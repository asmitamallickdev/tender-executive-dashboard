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0" yWindow="0" windowWidth="20055" windowHeight="9510" activeTab="1"/>
  </bookViews>
  <sheets>
    <sheet name="Sheet1" sheetId="1" r:id="rId1"/>
    <sheet name="AUTO CALCULATION SHEET (2)" sheetId="4" r:id="rId2"/>
    <sheet name="TPNODL" sheetId="6" r:id="rId3"/>
    <sheet name="TPWODL" sheetId="7" r:id="rId4"/>
    <sheet name="TPCODL" sheetId="8" r:id="rId5"/>
    <sheet name="PRICE BID FORMAT" sheetId="9" r:id="rId6"/>
  </sheets>
  <definedNames>
    <definedName name="_xlnm._FilterDatabase" localSheetId="1" hidden="1">'AUTO CALCULATION SHEET (2)'!$A$18:$CL$32</definedName>
    <definedName name="_xlnm._FilterDatabase" localSheetId="0" hidden="1">Sheet1!$A$1:$CU$1</definedName>
    <definedName name="_xlnm._FilterDatabase" localSheetId="4" hidden="1">TPCODL!$A$18:$CL$32</definedName>
    <definedName name="_xlnm._FilterDatabase" localSheetId="2" hidden="1">TPNODL!$A$18:$CL$32</definedName>
    <definedName name="_xlnm._FilterDatabase" localSheetId="3" hidden="1">TPWODL!$A$18:$CL$32</definedName>
  </definedNames>
  <calcPr calcId="145621"/>
</workbook>
</file>

<file path=xl/calcChain.xml><?xml version="1.0" encoding="utf-8"?>
<calcChain xmlns="http://schemas.openxmlformats.org/spreadsheetml/2006/main">
  <c r="BT18" i="8" l="1"/>
  <c r="BS18" i="8"/>
  <c r="BR18" i="8"/>
  <c r="BQ18" i="8"/>
  <c r="BP18" i="8"/>
  <c r="BN18" i="8"/>
  <c r="BL18" i="8"/>
  <c r="BK18" i="8"/>
  <c r="BJ18" i="8"/>
  <c r="BI18" i="8"/>
  <c r="BH18" i="8"/>
  <c r="BE18" i="8"/>
  <c r="BD18" i="8"/>
  <c r="BC18" i="8"/>
  <c r="BB18" i="8"/>
  <c r="AZ18" i="8"/>
  <c r="AY18" i="8"/>
  <c r="AX18" i="8"/>
  <c r="AW18" i="8"/>
  <c r="AU18" i="8"/>
  <c r="AT18" i="8"/>
  <c r="AS18" i="8"/>
  <c r="AP18" i="8"/>
  <c r="AO18" i="8"/>
  <c r="AN18" i="8"/>
  <c r="AM18" i="8"/>
  <c r="AL18" i="8"/>
  <c r="AJ18" i="8"/>
  <c r="AI18" i="8"/>
  <c r="AH18" i="8"/>
  <c r="AG18" i="8"/>
  <c r="AF18" i="8"/>
  <c r="AD18" i="8"/>
  <c r="AB18" i="8"/>
  <c r="AA18" i="8"/>
  <c r="Z18" i="8"/>
  <c r="X18" i="8"/>
  <c r="W18" i="8"/>
  <c r="V18" i="8"/>
  <c r="U18" i="8"/>
  <c r="T18" i="8"/>
  <c r="S18" i="8"/>
  <c r="R18" i="8"/>
  <c r="Q18" i="8"/>
  <c r="P18" i="8"/>
  <c r="O18" i="8"/>
  <c r="BT18" i="7"/>
  <c r="BS18" i="7"/>
  <c r="BR18" i="7"/>
  <c r="BQ18" i="7"/>
  <c r="BP18" i="7"/>
  <c r="BN18" i="7"/>
  <c r="BL18" i="7"/>
  <c r="BK18" i="7"/>
  <c r="BJ18" i="7"/>
  <c r="BI18" i="7"/>
  <c r="BH18" i="7"/>
  <c r="BE18" i="7"/>
  <c r="BD18" i="7"/>
  <c r="BC18" i="7"/>
  <c r="BB18" i="7"/>
  <c r="AZ18" i="7"/>
  <c r="AY18" i="7"/>
  <c r="AX18" i="7"/>
  <c r="AW18" i="7"/>
  <c r="AU18" i="7"/>
  <c r="AT18" i="7"/>
  <c r="AS18" i="7"/>
  <c r="AP18" i="7"/>
  <c r="AO18" i="7"/>
  <c r="AN18" i="7"/>
  <c r="AM18" i="7"/>
  <c r="AL18" i="7"/>
  <c r="AJ18" i="7"/>
  <c r="AI18" i="7"/>
  <c r="AH18" i="7"/>
  <c r="AG18" i="7"/>
  <c r="AF18" i="7"/>
  <c r="AD18" i="7"/>
  <c r="AB18" i="7"/>
  <c r="AA18" i="7"/>
  <c r="Z18" i="7"/>
  <c r="X18" i="7"/>
  <c r="W18" i="7"/>
  <c r="V18" i="7"/>
  <c r="U18" i="7"/>
  <c r="T18" i="7"/>
  <c r="S18" i="7"/>
  <c r="R18" i="7"/>
  <c r="Q18" i="7"/>
  <c r="P18" i="7"/>
  <c r="O18" i="7"/>
  <c r="BT18" i="6"/>
  <c r="BS18" i="6"/>
  <c r="BR18" i="6"/>
  <c r="BQ18" i="6"/>
  <c r="BP18" i="6"/>
  <c r="BN18" i="6"/>
  <c r="BL18" i="6"/>
  <c r="BK18" i="6"/>
  <c r="BJ18" i="6"/>
  <c r="BI18" i="6"/>
  <c r="BH18" i="6"/>
  <c r="BE18" i="6"/>
  <c r="BD18" i="6"/>
  <c r="BC18" i="6"/>
  <c r="BB18" i="6"/>
  <c r="AZ18" i="6"/>
  <c r="AY18" i="6"/>
  <c r="AX18" i="6"/>
  <c r="AW18" i="6"/>
  <c r="AU18" i="6"/>
  <c r="AT18" i="6"/>
  <c r="AS18" i="6"/>
  <c r="AP18" i="6"/>
  <c r="AO18" i="6"/>
  <c r="AN18" i="6"/>
  <c r="AM18" i="6"/>
  <c r="AL18" i="6"/>
  <c r="AJ18" i="6"/>
  <c r="AI18" i="6"/>
  <c r="AH18" i="6"/>
  <c r="AG18" i="6"/>
  <c r="AF18" i="6"/>
  <c r="AD18" i="6"/>
  <c r="AB18" i="6"/>
  <c r="AA18" i="6"/>
  <c r="Z18" i="6"/>
  <c r="X18" i="6"/>
  <c r="W18" i="6"/>
  <c r="V18" i="6"/>
  <c r="U18" i="6"/>
  <c r="T18" i="6"/>
  <c r="S18" i="6"/>
  <c r="R18" i="6"/>
  <c r="Q18" i="6"/>
  <c r="P18" i="6"/>
  <c r="O18" i="6"/>
  <c r="I14" i="9" l="1"/>
  <c r="M14" i="9" s="1"/>
  <c r="I15" i="9"/>
  <c r="M15" i="9" s="1"/>
  <c r="I16" i="9"/>
  <c r="M16" i="9" s="1"/>
  <c r="I17" i="9"/>
  <c r="M17" i="9" s="1"/>
  <c r="I18" i="9"/>
  <c r="M18" i="9" s="1"/>
  <c r="I19" i="9"/>
  <c r="M19" i="9" s="1"/>
  <c r="I20" i="9"/>
  <c r="M20" i="9" s="1"/>
  <c r="I21" i="9"/>
  <c r="M21" i="9" s="1"/>
  <c r="I22" i="9"/>
  <c r="M22" i="9" s="1"/>
  <c r="I23" i="9"/>
  <c r="M23" i="9" s="1"/>
  <c r="I24" i="9"/>
  <c r="M24" i="9" s="1"/>
  <c r="I25" i="9"/>
  <c r="M25" i="9" s="1"/>
  <c r="I26" i="9"/>
  <c r="M26" i="9" s="1"/>
  <c r="I13" i="9"/>
  <c r="M13" i="9" s="1"/>
  <c r="G14" i="9"/>
  <c r="G15" i="9"/>
  <c r="G16" i="9"/>
  <c r="G17" i="9"/>
  <c r="G18" i="9"/>
  <c r="G19" i="9"/>
  <c r="G20" i="9"/>
  <c r="G21" i="9"/>
  <c r="G22" i="9"/>
  <c r="G23" i="9"/>
  <c r="G24" i="9"/>
  <c r="G25" i="9"/>
  <c r="G26" i="9"/>
  <c r="G13" i="9"/>
  <c r="F14" i="9"/>
  <c r="F15" i="9"/>
  <c r="F16" i="9"/>
  <c r="F17" i="9"/>
  <c r="F18" i="9"/>
  <c r="F19" i="9"/>
  <c r="F20" i="9"/>
  <c r="F21" i="9"/>
  <c r="F22" i="9"/>
  <c r="F23" i="9"/>
  <c r="F24" i="9"/>
  <c r="F25" i="9"/>
  <c r="F26" i="9"/>
  <c r="F13" i="9"/>
  <c r="E14" i="9"/>
  <c r="P14" i="9" s="1"/>
  <c r="E15" i="9"/>
  <c r="P15" i="9" s="1"/>
  <c r="E16" i="9"/>
  <c r="P16" i="9" s="1"/>
  <c r="E17" i="9"/>
  <c r="P17" i="9" s="1"/>
  <c r="E18" i="9"/>
  <c r="P18" i="9" s="1"/>
  <c r="E19" i="9"/>
  <c r="P19" i="9" s="1"/>
  <c r="E20" i="9"/>
  <c r="P20" i="9" s="1"/>
  <c r="E21" i="9"/>
  <c r="P21" i="9" s="1"/>
  <c r="E22" i="9"/>
  <c r="P22" i="9" s="1"/>
  <c r="E23" i="9"/>
  <c r="P23" i="9" s="1"/>
  <c r="E24" i="9"/>
  <c r="P24" i="9" s="1"/>
  <c r="E25" i="9"/>
  <c r="P25" i="9" s="1"/>
  <c r="E26" i="9"/>
  <c r="P26" i="9" s="1"/>
  <c r="E13" i="9"/>
  <c r="P13" i="9" s="1"/>
  <c r="K66" i="8"/>
  <c r="A66" i="8"/>
  <c r="K65" i="8"/>
  <c r="A65" i="8"/>
  <c r="K64" i="8"/>
  <c r="K63" i="8"/>
  <c r="A63" i="8"/>
  <c r="K62" i="8"/>
  <c r="A62" i="8"/>
  <c r="K61" i="8"/>
  <c r="A61" i="8"/>
  <c r="K60" i="8"/>
  <c r="A60" i="8"/>
  <c r="K59" i="8"/>
  <c r="K58" i="8"/>
  <c r="K57" i="8"/>
  <c r="D57" i="8"/>
  <c r="C57" i="8"/>
  <c r="K56" i="8"/>
  <c r="C56" i="8"/>
  <c r="K55" i="8"/>
  <c r="C55" i="8"/>
  <c r="K54" i="8"/>
  <c r="K53" i="8"/>
  <c r="B53" i="8"/>
  <c r="E48" i="8"/>
  <c r="K48" i="8" s="1"/>
  <c r="M48" i="8" s="1"/>
  <c r="L48" i="8" s="1"/>
  <c r="F47" i="8"/>
  <c r="J47" i="8" s="1"/>
  <c r="E47" i="8"/>
  <c r="D47" i="8"/>
  <c r="E46" i="8"/>
  <c r="F45" i="8"/>
  <c r="J45" i="8" s="1"/>
  <c r="E45" i="8"/>
  <c r="J44" i="8"/>
  <c r="E44" i="8"/>
  <c r="E43" i="8"/>
  <c r="D43" i="8"/>
  <c r="E42" i="8"/>
  <c r="F41" i="8"/>
  <c r="J41" i="8" s="1"/>
  <c r="K41" i="8" s="1"/>
  <c r="M41" i="8" s="1"/>
  <c r="E41" i="8"/>
  <c r="D41" i="8"/>
  <c r="J40" i="8"/>
  <c r="E40" i="8"/>
  <c r="F39" i="8"/>
  <c r="J39" i="8" s="1"/>
  <c r="E39" i="8"/>
  <c r="D39" i="8"/>
  <c r="J38" i="8"/>
  <c r="E38" i="8"/>
  <c r="E37" i="8"/>
  <c r="D37" i="8"/>
  <c r="E36" i="8"/>
  <c r="F35" i="8"/>
  <c r="J35" i="8" s="1"/>
  <c r="E35" i="8"/>
  <c r="D35" i="8"/>
  <c r="CB32" i="8"/>
  <c r="BZ32" i="8"/>
  <c r="BY32" i="8"/>
  <c r="F48" i="8" s="1"/>
  <c r="J48" i="8" s="1"/>
  <c r="BX32" i="8"/>
  <c r="BW32" i="8"/>
  <c r="BV32" i="8"/>
  <c r="BU32" i="8"/>
  <c r="BS32" i="8"/>
  <c r="BR32" i="8"/>
  <c r="BQ32" i="8"/>
  <c r="BN32" i="8"/>
  <c r="BM32" i="8"/>
  <c r="BL32" i="8"/>
  <c r="BK32" i="8"/>
  <c r="BJ32" i="8"/>
  <c r="BI32" i="8"/>
  <c r="BH32" i="8"/>
  <c r="BG32" i="8"/>
  <c r="BE32" i="8"/>
  <c r="BD32" i="8"/>
  <c r="BC32" i="8"/>
  <c r="BB32" i="8"/>
  <c r="BA32" i="8"/>
  <c r="AZ32" i="8"/>
  <c r="AY32" i="8"/>
  <c r="AX32" i="8"/>
  <c r="AW32" i="8"/>
  <c r="AU32" i="8"/>
  <c r="AT32" i="8"/>
  <c r="AS32" i="8"/>
  <c r="AR32" i="8"/>
  <c r="AP32" i="8"/>
  <c r="AO32" i="8"/>
  <c r="AN32" i="8"/>
  <c r="AM32" i="8"/>
  <c r="AL32" i="8"/>
  <c r="AJ32" i="8"/>
  <c r="AI32" i="8"/>
  <c r="AH32" i="8"/>
  <c r="AG32" i="8"/>
  <c r="AF32" i="8"/>
  <c r="AD32" i="8"/>
  <c r="AB32" i="8"/>
  <c r="AA32" i="8"/>
  <c r="Z32" i="8"/>
  <c r="X32" i="8"/>
  <c r="W32" i="8"/>
  <c r="V32" i="8"/>
  <c r="U32" i="8"/>
  <c r="T32" i="8"/>
  <c r="S32" i="8"/>
  <c r="R32" i="8"/>
  <c r="Q32" i="8"/>
  <c r="P32" i="8"/>
  <c r="O32" i="8"/>
  <c r="N32" i="8"/>
  <c r="L32" i="8"/>
  <c r="H32" i="8"/>
  <c r="H66" i="8" s="1"/>
  <c r="D32" i="8"/>
  <c r="C32" i="8"/>
  <c r="C66" i="8" s="1"/>
  <c r="B32" i="8"/>
  <c r="B66" i="8" s="1"/>
  <c r="A32" i="8"/>
  <c r="CB31" i="8"/>
  <c r="BZ31" i="8"/>
  <c r="BY31" i="8"/>
  <c r="BX31" i="8"/>
  <c r="BW31" i="8"/>
  <c r="BV31" i="8"/>
  <c r="BU31" i="8"/>
  <c r="BS31" i="8"/>
  <c r="BR31" i="8"/>
  <c r="BQ31" i="8"/>
  <c r="BN31" i="8"/>
  <c r="BM31" i="8"/>
  <c r="BL31" i="8"/>
  <c r="BK31" i="8"/>
  <c r="BJ31" i="8"/>
  <c r="BI31" i="8"/>
  <c r="BH31" i="8"/>
  <c r="BG31" i="8"/>
  <c r="BE31" i="8"/>
  <c r="BD31" i="8"/>
  <c r="BC31" i="8"/>
  <c r="BB31" i="8"/>
  <c r="BA31" i="8"/>
  <c r="AZ31" i="8"/>
  <c r="AY31" i="8"/>
  <c r="AX31" i="8"/>
  <c r="AW31" i="8"/>
  <c r="AU31" i="8"/>
  <c r="AT31" i="8"/>
  <c r="AS31" i="8"/>
  <c r="AR31" i="8"/>
  <c r="AP31" i="8"/>
  <c r="AO31" i="8"/>
  <c r="AN31" i="8"/>
  <c r="AM31" i="8"/>
  <c r="AL31" i="8"/>
  <c r="AJ31" i="8"/>
  <c r="AI31" i="8"/>
  <c r="AH31" i="8"/>
  <c r="AG31" i="8"/>
  <c r="AF31" i="8"/>
  <c r="AD31" i="8"/>
  <c r="AB31" i="8"/>
  <c r="AA31" i="8"/>
  <c r="Z31" i="8"/>
  <c r="X31" i="8"/>
  <c r="W31" i="8"/>
  <c r="V31" i="8"/>
  <c r="U31" i="8"/>
  <c r="T31" i="8"/>
  <c r="S31" i="8"/>
  <c r="R31" i="8"/>
  <c r="Q31" i="8"/>
  <c r="P31" i="8"/>
  <c r="O31" i="8"/>
  <c r="L31" i="8"/>
  <c r="H31" i="8"/>
  <c r="H65" i="8" s="1"/>
  <c r="D31" i="8"/>
  <c r="D65" i="8" s="1"/>
  <c r="C31" i="8"/>
  <c r="C65" i="8" s="1"/>
  <c r="B31" i="8"/>
  <c r="B65" i="8" s="1"/>
  <c r="A31" i="8"/>
  <c r="CB30" i="8"/>
  <c r="BZ30" i="8"/>
  <c r="BY30" i="8"/>
  <c r="F46" i="8" s="1"/>
  <c r="J46" i="8" s="1"/>
  <c r="BX30" i="8"/>
  <c r="BW30" i="8"/>
  <c r="BV30" i="8"/>
  <c r="BU30" i="8"/>
  <c r="BS30" i="8"/>
  <c r="BR30" i="8"/>
  <c r="BQ30" i="8"/>
  <c r="BN30" i="8"/>
  <c r="BM30" i="8"/>
  <c r="BL30" i="8"/>
  <c r="BK30" i="8"/>
  <c r="BJ30" i="8"/>
  <c r="BI30" i="8"/>
  <c r="BH30" i="8"/>
  <c r="BG30" i="8"/>
  <c r="BE30" i="8"/>
  <c r="BD30" i="8"/>
  <c r="BC30" i="8"/>
  <c r="BB30" i="8"/>
  <c r="BA30" i="8"/>
  <c r="AZ30" i="8"/>
  <c r="AY30" i="8"/>
  <c r="AX30" i="8"/>
  <c r="AW30" i="8"/>
  <c r="AU30" i="8"/>
  <c r="AT30" i="8"/>
  <c r="AS30" i="8"/>
  <c r="AR30" i="8"/>
  <c r="AP30" i="8"/>
  <c r="AO30" i="8"/>
  <c r="AN30" i="8"/>
  <c r="AM30" i="8"/>
  <c r="AL30" i="8"/>
  <c r="AJ30" i="8"/>
  <c r="AI30" i="8"/>
  <c r="AH30" i="8"/>
  <c r="AG30" i="8"/>
  <c r="AF30" i="8"/>
  <c r="AD30" i="8"/>
  <c r="AB30" i="8"/>
  <c r="AA30" i="8"/>
  <c r="Z30" i="8"/>
  <c r="X30" i="8"/>
  <c r="W30" i="8"/>
  <c r="V30" i="8"/>
  <c r="U30" i="8"/>
  <c r="T30" i="8"/>
  <c r="S30" i="8"/>
  <c r="R30" i="8"/>
  <c r="Q30" i="8"/>
  <c r="P30" i="8"/>
  <c r="O30" i="8"/>
  <c r="N30" i="8"/>
  <c r="L30" i="8"/>
  <c r="H30" i="8"/>
  <c r="H64" i="8" s="1"/>
  <c r="D30" i="8"/>
  <c r="D64" i="8" s="1"/>
  <c r="C30" i="8"/>
  <c r="C64" i="8" s="1"/>
  <c r="B30" i="8"/>
  <c r="B64" i="8" s="1"/>
  <c r="A30" i="8"/>
  <c r="A64" i="8" s="1"/>
  <c r="CB29" i="8"/>
  <c r="BZ29" i="8"/>
  <c r="BY29" i="8"/>
  <c r="BX29" i="8"/>
  <c r="BW29" i="8"/>
  <c r="BV29" i="8"/>
  <c r="BU29" i="8"/>
  <c r="BS29" i="8"/>
  <c r="BR29" i="8"/>
  <c r="BQ29" i="8"/>
  <c r="BN29" i="8"/>
  <c r="BM29" i="8"/>
  <c r="BL29" i="8"/>
  <c r="BK29" i="8"/>
  <c r="BJ29" i="8"/>
  <c r="BI29" i="8"/>
  <c r="BH29" i="8"/>
  <c r="BE29" i="8"/>
  <c r="BD29" i="8"/>
  <c r="BC29" i="8"/>
  <c r="BB29" i="8"/>
  <c r="AZ29" i="8"/>
  <c r="AY29" i="8"/>
  <c r="AX29" i="8"/>
  <c r="AW29" i="8"/>
  <c r="AV29" i="8"/>
  <c r="AU29" i="8"/>
  <c r="AT29" i="8"/>
  <c r="AS29" i="8"/>
  <c r="AQ29" i="8"/>
  <c r="AP29" i="8"/>
  <c r="AO29" i="8"/>
  <c r="AN29" i="8"/>
  <c r="AM29" i="8"/>
  <c r="AL29" i="8"/>
  <c r="AK29" i="8"/>
  <c r="AJ29" i="8"/>
  <c r="AI29" i="8"/>
  <c r="AH29" i="8"/>
  <c r="AG29" i="8"/>
  <c r="AF29" i="8"/>
  <c r="AD29" i="8"/>
  <c r="AB29" i="8"/>
  <c r="AA29" i="8"/>
  <c r="Z29" i="8"/>
  <c r="X29" i="8"/>
  <c r="W29" i="8"/>
  <c r="V29" i="8"/>
  <c r="U29" i="8"/>
  <c r="T29" i="8"/>
  <c r="S29" i="8"/>
  <c r="R29" i="8"/>
  <c r="Q29" i="8"/>
  <c r="P29" i="8"/>
  <c r="O29" i="8"/>
  <c r="N29" i="8"/>
  <c r="L29" i="8"/>
  <c r="H29" i="8"/>
  <c r="H63" i="8" s="1"/>
  <c r="D29" i="8"/>
  <c r="D63" i="8" s="1"/>
  <c r="C29" i="8"/>
  <c r="C63" i="8" s="1"/>
  <c r="B29" i="8"/>
  <c r="B63" i="8" s="1"/>
  <c r="A29" i="8"/>
  <c r="CB28" i="8"/>
  <c r="BZ28" i="8"/>
  <c r="BY28" i="8"/>
  <c r="F44" i="8" s="1"/>
  <c r="BX28" i="8"/>
  <c r="BW28" i="8"/>
  <c r="BV28" i="8"/>
  <c r="BU28" i="8"/>
  <c r="BS28" i="8"/>
  <c r="BR28" i="8"/>
  <c r="BQ28" i="8"/>
  <c r="BN28" i="8"/>
  <c r="BM28" i="8"/>
  <c r="BL28" i="8"/>
  <c r="BK28" i="8"/>
  <c r="BJ28" i="8"/>
  <c r="BI28" i="8"/>
  <c r="BH28" i="8"/>
  <c r="BE28" i="8"/>
  <c r="BD28" i="8"/>
  <c r="BC28" i="8"/>
  <c r="BB28" i="8"/>
  <c r="AZ28" i="8"/>
  <c r="AY28" i="8"/>
  <c r="AX28" i="8"/>
  <c r="AW28" i="8"/>
  <c r="AV28" i="8"/>
  <c r="AU28" i="8"/>
  <c r="AT28" i="8"/>
  <c r="AS28" i="8"/>
  <c r="AQ28" i="8"/>
  <c r="AP28" i="8"/>
  <c r="AO28" i="8"/>
  <c r="AN28" i="8"/>
  <c r="AM28" i="8"/>
  <c r="AL28" i="8"/>
  <c r="AK28" i="8"/>
  <c r="AJ28" i="8"/>
  <c r="AI28" i="8"/>
  <c r="AH28" i="8"/>
  <c r="AG28" i="8"/>
  <c r="AF28" i="8"/>
  <c r="AD28" i="8"/>
  <c r="AB28" i="8"/>
  <c r="AA28" i="8"/>
  <c r="Z28" i="8"/>
  <c r="X28" i="8"/>
  <c r="W28" i="8"/>
  <c r="V28" i="8"/>
  <c r="U28" i="8"/>
  <c r="T28" i="8"/>
  <c r="S28" i="8"/>
  <c r="R28" i="8"/>
  <c r="Q28" i="8"/>
  <c r="P28" i="8"/>
  <c r="O28" i="8"/>
  <c r="N28" i="8"/>
  <c r="L28" i="8"/>
  <c r="H28" i="8"/>
  <c r="H62" i="8" s="1"/>
  <c r="D28" i="8"/>
  <c r="D62" i="8" s="1"/>
  <c r="C28" i="8"/>
  <c r="C62" i="8" s="1"/>
  <c r="B28" i="8"/>
  <c r="B62" i="8" s="1"/>
  <c r="A28" i="8"/>
  <c r="CB27" i="8"/>
  <c r="BZ27" i="8"/>
  <c r="BY27" i="8"/>
  <c r="F43" i="8" s="1"/>
  <c r="J43" i="8" s="1"/>
  <c r="K43" i="8" s="1"/>
  <c r="M43" i="8" s="1"/>
  <c r="BX27" i="8"/>
  <c r="BW27" i="8"/>
  <c r="BV27" i="8"/>
  <c r="BU27" i="8"/>
  <c r="BS27" i="8"/>
  <c r="BR27" i="8"/>
  <c r="BQ27" i="8"/>
  <c r="BN27" i="8"/>
  <c r="BM27" i="8"/>
  <c r="BL27" i="8"/>
  <c r="BK27" i="8"/>
  <c r="BJ27" i="8"/>
  <c r="BI27" i="8"/>
  <c r="BH27" i="8"/>
  <c r="BE27" i="8"/>
  <c r="BD27" i="8"/>
  <c r="BC27" i="8"/>
  <c r="BB27" i="8"/>
  <c r="AZ27" i="8"/>
  <c r="AY27" i="8"/>
  <c r="AX27" i="8"/>
  <c r="AW27" i="8"/>
  <c r="AV27" i="8"/>
  <c r="AU27" i="8"/>
  <c r="AT27" i="8"/>
  <c r="AS27" i="8"/>
  <c r="AQ27" i="8"/>
  <c r="AP27" i="8"/>
  <c r="AO27" i="8"/>
  <c r="AN27" i="8"/>
  <c r="AM27" i="8"/>
  <c r="AL27" i="8"/>
  <c r="AK27" i="8"/>
  <c r="AJ27" i="8"/>
  <c r="AI27" i="8"/>
  <c r="AH27" i="8"/>
  <c r="AG27" i="8"/>
  <c r="AF27" i="8"/>
  <c r="AD27" i="8"/>
  <c r="AB27" i="8"/>
  <c r="AA27" i="8"/>
  <c r="Z27" i="8"/>
  <c r="X27" i="8"/>
  <c r="W27" i="8"/>
  <c r="V27" i="8"/>
  <c r="U27" i="8"/>
  <c r="T27" i="8"/>
  <c r="S27" i="8"/>
  <c r="R27" i="8"/>
  <c r="Q27" i="8"/>
  <c r="P27" i="8"/>
  <c r="O27" i="8"/>
  <c r="L27" i="8"/>
  <c r="H27" i="8"/>
  <c r="H61" i="8" s="1"/>
  <c r="D27" i="8"/>
  <c r="D61" i="8" s="1"/>
  <c r="C27" i="8"/>
  <c r="C61" i="8" s="1"/>
  <c r="B27" i="8"/>
  <c r="B61" i="8" s="1"/>
  <c r="A27" i="8"/>
  <c r="CB26" i="8"/>
  <c r="BZ26" i="8"/>
  <c r="BY26" i="8"/>
  <c r="F42" i="8" s="1"/>
  <c r="J42" i="8" s="1"/>
  <c r="BX26" i="8"/>
  <c r="BW26" i="8"/>
  <c r="BV26" i="8"/>
  <c r="BU26" i="8"/>
  <c r="BS26" i="8"/>
  <c r="BR26" i="8"/>
  <c r="BQ26" i="8"/>
  <c r="BN26" i="8"/>
  <c r="BM26" i="8"/>
  <c r="BL26" i="8"/>
  <c r="BK26" i="8"/>
  <c r="BJ26" i="8"/>
  <c r="BI26" i="8"/>
  <c r="BH26" i="8"/>
  <c r="BG26" i="8"/>
  <c r="BE26" i="8"/>
  <c r="BD26" i="8"/>
  <c r="BC26" i="8"/>
  <c r="BB26" i="8"/>
  <c r="BA26" i="8"/>
  <c r="AZ26" i="8"/>
  <c r="AY26" i="8"/>
  <c r="AX26" i="8"/>
  <c r="AW26" i="8"/>
  <c r="AU26" i="8"/>
  <c r="AT26" i="8"/>
  <c r="AS26" i="8"/>
  <c r="AR26" i="8"/>
  <c r="AP26" i="8"/>
  <c r="AO26" i="8"/>
  <c r="AN26" i="8"/>
  <c r="AM26" i="8"/>
  <c r="AL26" i="8"/>
  <c r="AJ26" i="8"/>
  <c r="AI26" i="8"/>
  <c r="AH26" i="8"/>
  <c r="AG26" i="8"/>
  <c r="AF26" i="8"/>
  <c r="AD26" i="8"/>
  <c r="AB26" i="8"/>
  <c r="AA26" i="8"/>
  <c r="Z26" i="8"/>
  <c r="X26" i="8"/>
  <c r="W26" i="8"/>
  <c r="V26" i="8"/>
  <c r="U26" i="8"/>
  <c r="T26" i="8"/>
  <c r="S26" i="8"/>
  <c r="R26" i="8"/>
  <c r="Q26" i="8"/>
  <c r="P26" i="8"/>
  <c r="O26" i="8"/>
  <c r="N26" i="8"/>
  <c r="L26" i="8"/>
  <c r="H26" i="8"/>
  <c r="H60" i="8" s="1"/>
  <c r="D26" i="8"/>
  <c r="C26" i="8"/>
  <c r="C60" i="8" s="1"/>
  <c r="B26" i="8"/>
  <c r="B60" i="8" s="1"/>
  <c r="A26" i="8"/>
  <c r="CB25" i="8"/>
  <c r="BZ25" i="8"/>
  <c r="BY25" i="8"/>
  <c r="BX25" i="8"/>
  <c r="BW25" i="8"/>
  <c r="BV25" i="8"/>
  <c r="BU25" i="8"/>
  <c r="BS25" i="8"/>
  <c r="BR25" i="8"/>
  <c r="BQ25" i="8"/>
  <c r="BN25" i="8"/>
  <c r="BM25" i="8"/>
  <c r="BL25" i="8"/>
  <c r="BK25" i="8"/>
  <c r="BJ25" i="8"/>
  <c r="BI25" i="8"/>
  <c r="BH25" i="8"/>
  <c r="BG25" i="8"/>
  <c r="BE25" i="8"/>
  <c r="BD25" i="8"/>
  <c r="BC25" i="8"/>
  <c r="BB25" i="8"/>
  <c r="BA25" i="8"/>
  <c r="AZ25" i="8"/>
  <c r="AY25" i="8"/>
  <c r="AX25" i="8"/>
  <c r="AW25" i="8"/>
  <c r="AU25" i="8"/>
  <c r="AT25" i="8"/>
  <c r="AS25" i="8"/>
  <c r="AR25" i="8"/>
  <c r="AP25" i="8"/>
  <c r="AO25" i="8"/>
  <c r="AN25" i="8"/>
  <c r="AM25" i="8"/>
  <c r="AL25" i="8"/>
  <c r="AJ25" i="8"/>
  <c r="AI25" i="8"/>
  <c r="AH25" i="8"/>
  <c r="AG25" i="8"/>
  <c r="AF25" i="8"/>
  <c r="AD25" i="8"/>
  <c r="AB25" i="8"/>
  <c r="AA25" i="8"/>
  <c r="Z25" i="8"/>
  <c r="X25" i="8"/>
  <c r="W25" i="8"/>
  <c r="V25" i="8"/>
  <c r="U25" i="8"/>
  <c r="T25" i="8"/>
  <c r="S25" i="8"/>
  <c r="R25" i="8"/>
  <c r="Q25" i="8"/>
  <c r="P25" i="8"/>
  <c r="O25" i="8"/>
  <c r="N25" i="8"/>
  <c r="L25" i="8"/>
  <c r="H25" i="8"/>
  <c r="H59" i="8" s="1"/>
  <c r="D25" i="8"/>
  <c r="D59" i="8" s="1"/>
  <c r="C25" i="8"/>
  <c r="C59" i="8" s="1"/>
  <c r="B25" i="8"/>
  <c r="B59" i="8" s="1"/>
  <c r="A25" i="8"/>
  <c r="A59" i="8" s="1"/>
  <c r="CB24" i="8"/>
  <c r="BZ24" i="8"/>
  <c r="BY24" i="8"/>
  <c r="F40" i="8" s="1"/>
  <c r="BX24" i="8"/>
  <c r="BW24" i="8"/>
  <c r="BV24" i="8"/>
  <c r="BU24" i="8"/>
  <c r="BS24" i="8"/>
  <c r="BR24" i="8"/>
  <c r="BQ24" i="8"/>
  <c r="BN24" i="8"/>
  <c r="BM24" i="8"/>
  <c r="BL24" i="8"/>
  <c r="BK24" i="8"/>
  <c r="BJ24" i="8"/>
  <c r="BI24" i="8"/>
  <c r="BH24" i="8"/>
  <c r="BG24" i="8"/>
  <c r="BE24" i="8"/>
  <c r="BD24" i="8"/>
  <c r="BC24" i="8"/>
  <c r="BB24" i="8"/>
  <c r="BA24" i="8"/>
  <c r="AZ24" i="8"/>
  <c r="AY24" i="8"/>
  <c r="AX24" i="8"/>
  <c r="AW24" i="8"/>
  <c r="AU24" i="8"/>
  <c r="AT24" i="8"/>
  <c r="AS24" i="8"/>
  <c r="AR24" i="8"/>
  <c r="AP24" i="8"/>
  <c r="AO24" i="8"/>
  <c r="AN24" i="8"/>
  <c r="AM24" i="8"/>
  <c r="AL24" i="8"/>
  <c r="AJ24" i="8"/>
  <c r="AI24" i="8"/>
  <c r="AH24" i="8"/>
  <c r="AG24" i="8"/>
  <c r="AF24" i="8"/>
  <c r="AD24" i="8"/>
  <c r="AB24" i="8"/>
  <c r="AA24" i="8"/>
  <c r="Z24" i="8"/>
  <c r="X24" i="8"/>
  <c r="W24" i="8"/>
  <c r="V24" i="8"/>
  <c r="U24" i="8"/>
  <c r="T24" i="8"/>
  <c r="S24" i="8"/>
  <c r="R24" i="8"/>
  <c r="Q24" i="8"/>
  <c r="P24" i="8"/>
  <c r="O24" i="8"/>
  <c r="L24" i="8"/>
  <c r="H24" i="8"/>
  <c r="H58" i="8" s="1"/>
  <c r="D24" i="8"/>
  <c r="D58" i="8" s="1"/>
  <c r="C24" i="8"/>
  <c r="C58" i="8" s="1"/>
  <c r="B24" i="8"/>
  <c r="B58" i="8" s="1"/>
  <c r="A24" i="8"/>
  <c r="A58" i="8" s="1"/>
  <c r="CB23" i="8"/>
  <c r="BY23" i="8"/>
  <c r="BV23" i="8"/>
  <c r="BU23" i="8"/>
  <c r="BS23" i="8"/>
  <c r="BR23" i="8"/>
  <c r="BQ23" i="8"/>
  <c r="BN23" i="8"/>
  <c r="BL23" i="8"/>
  <c r="BK23" i="8"/>
  <c r="BJ23" i="8"/>
  <c r="BI23" i="8"/>
  <c r="BH23" i="8"/>
  <c r="BE23" i="8"/>
  <c r="BD23" i="8"/>
  <c r="BC23" i="8"/>
  <c r="BB23" i="8"/>
  <c r="AZ23" i="8"/>
  <c r="AY23" i="8"/>
  <c r="AX23" i="8"/>
  <c r="AW23" i="8"/>
  <c r="AV23" i="8"/>
  <c r="AU23" i="8"/>
  <c r="AT23" i="8"/>
  <c r="AS23" i="8"/>
  <c r="AQ23" i="8"/>
  <c r="AP23" i="8"/>
  <c r="AO23" i="8"/>
  <c r="AN23" i="8"/>
  <c r="AM23" i="8"/>
  <c r="AL23" i="8"/>
  <c r="AK23" i="8"/>
  <c r="AJ23" i="8"/>
  <c r="AI23" i="8"/>
  <c r="AH23" i="8"/>
  <c r="AG23" i="8"/>
  <c r="AF23" i="8"/>
  <c r="AD23" i="8"/>
  <c r="AB23" i="8"/>
  <c r="AA23" i="8"/>
  <c r="Z23" i="8"/>
  <c r="X23" i="8"/>
  <c r="W23" i="8"/>
  <c r="V23" i="8"/>
  <c r="U23" i="8"/>
  <c r="T23" i="8"/>
  <c r="S23" i="8"/>
  <c r="R23" i="8"/>
  <c r="Q23" i="8"/>
  <c r="P23" i="8"/>
  <c r="O23" i="8"/>
  <c r="N23" i="8"/>
  <c r="L23" i="8"/>
  <c r="H23" i="8"/>
  <c r="H57" i="8" s="1"/>
  <c r="B23" i="8"/>
  <c r="B57" i="8" s="1"/>
  <c r="A23" i="8"/>
  <c r="A57" i="8" s="1"/>
  <c r="CB22" i="8"/>
  <c r="BZ22" i="8"/>
  <c r="BY22" i="8"/>
  <c r="F38" i="8" s="1"/>
  <c r="BX22" i="8"/>
  <c r="BW22" i="8"/>
  <c r="BV22" i="8"/>
  <c r="BU22" i="8"/>
  <c r="BS22" i="8"/>
  <c r="BR22" i="8"/>
  <c r="BQ22" i="8"/>
  <c r="BN22" i="8"/>
  <c r="BM22" i="8"/>
  <c r="BL22" i="8"/>
  <c r="BK22" i="8"/>
  <c r="BJ22" i="8"/>
  <c r="BI22" i="8"/>
  <c r="BH22" i="8"/>
  <c r="BE22" i="8"/>
  <c r="BD22" i="8"/>
  <c r="BC22" i="8"/>
  <c r="BB22" i="8"/>
  <c r="AZ22" i="8"/>
  <c r="AY22" i="8"/>
  <c r="AX22" i="8"/>
  <c r="AW22" i="8"/>
  <c r="AV22" i="8"/>
  <c r="AU22" i="8"/>
  <c r="AT22" i="8"/>
  <c r="AS22" i="8"/>
  <c r="AQ22" i="8"/>
  <c r="AP22" i="8"/>
  <c r="AO22" i="8"/>
  <c r="AN22" i="8"/>
  <c r="AM22" i="8"/>
  <c r="AL22" i="8"/>
  <c r="AK22" i="8"/>
  <c r="AJ22" i="8"/>
  <c r="AI22" i="8"/>
  <c r="AH22" i="8"/>
  <c r="AG22" i="8"/>
  <c r="AF22" i="8"/>
  <c r="AD22" i="8"/>
  <c r="AB22" i="8"/>
  <c r="AA22" i="8"/>
  <c r="Z22" i="8"/>
  <c r="X22" i="8"/>
  <c r="W22" i="8"/>
  <c r="V22" i="8"/>
  <c r="U22" i="8"/>
  <c r="T22" i="8"/>
  <c r="S22" i="8"/>
  <c r="R22" i="8"/>
  <c r="Q22" i="8"/>
  <c r="P22" i="8"/>
  <c r="O22" i="8"/>
  <c r="N22" i="8"/>
  <c r="L22" i="8"/>
  <c r="H22" i="8"/>
  <c r="H56" i="8" s="1"/>
  <c r="D22" i="8"/>
  <c r="D56" i="8" s="1"/>
  <c r="C22" i="8"/>
  <c r="B22" i="8"/>
  <c r="B56" i="8" s="1"/>
  <c r="A22" i="8"/>
  <c r="A56" i="8" s="1"/>
  <c r="CB21" i="8"/>
  <c r="BZ21" i="8"/>
  <c r="BY21" i="8"/>
  <c r="F37" i="8" s="1"/>
  <c r="J37" i="8" s="1"/>
  <c r="BX21" i="8"/>
  <c r="BW21" i="8"/>
  <c r="BV21" i="8"/>
  <c r="BU21" i="8"/>
  <c r="BS21" i="8"/>
  <c r="BR21" i="8"/>
  <c r="BQ21" i="8"/>
  <c r="BN21" i="8"/>
  <c r="BM21" i="8"/>
  <c r="BL21" i="8"/>
  <c r="BK21" i="8"/>
  <c r="BJ21" i="8"/>
  <c r="BI21" i="8"/>
  <c r="BH21" i="8"/>
  <c r="BE21" i="8"/>
  <c r="BD21" i="8"/>
  <c r="BC21" i="8"/>
  <c r="BB21" i="8"/>
  <c r="AZ21" i="8"/>
  <c r="AY21" i="8"/>
  <c r="AX21" i="8"/>
  <c r="AW21" i="8"/>
  <c r="AV21" i="8"/>
  <c r="AU21" i="8"/>
  <c r="AT21" i="8"/>
  <c r="AS21" i="8"/>
  <c r="AQ21" i="8"/>
  <c r="AP21" i="8"/>
  <c r="AO21" i="8"/>
  <c r="AN21" i="8"/>
  <c r="AM21" i="8"/>
  <c r="AL21" i="8"/>
  <c r="AK21" i="8"/>
  <c r="AJ21" i="8"/>
  <c r="AI21" i="8"/>
  <c r="AH21" i="8"/>
  <c r="AG21" i="8"/>
  <c r="AF21" i="8"/>
  <c r="AD21" i="8"/>
  <c r="AB21" i="8"/>
  <c r="AA21" i="8"/>
  <c r="Z21" i="8"/>
  <c r="X21" i="8"/>
  <c r="W21" i="8"/>
  <c r="V21" i="8"/>
  <c r="U21" i="8"/>
  <c r="T21" i="8"/>
  <c r="S21" i="8"/>
  <c r="R21" i="8"/>
  <c r="Q21" i="8"/>
  <c r="P21" i="8"/>
  <c r="O21" i="8"/>
  <c r="N21" i="8"/>
  <c r="L21" i="8"/>
  <c r="H21" i="8"/>
  <c r="H55" i="8" s="1"/>
  <c r="D21" i="8"/>
  <c r="D55" i="8" s="1"/>
  <c r="C21" i="8"/>
  <c r="B21" i="8"/>
  <c r="B55" i="8" s="1"/>
  <c r="A21" i="8"/>
  <c r="A55" i="8" s="1"/>
  <c r="CB20" i="8"/>
  <c r="BZ20" i="8"/>
  <c r="BY20" i="8"/>
  <c r="F36" i="8" s="1"/>
  <c r="J36" i="8" s="1"/>
  <c r="BX20" i="8"/>
  <c r="BW20" i="8"/>
  <c r="BV20" i="8"/>
  <c r="BU20" i="8"/>
  <c r="BS20" i="8"/>
  <c r="BR20" i="8"/>
  <c r="BQ20" i="8"/>
  <c r="BN20" i="8"/>
  <c r="BM20" i="8"/>
  <c r="BL20" i="8"/>
  <c r="BK20" i="8"/>
  <c r="BJ20" i="8"/>
  <c r="BI20" i="8"/>
  <c r="BH20" i="8"/>
  <c r="BE20" i="8"/>
  <c r="BD20" i="8"/>
  <c r="BC20" i="8"/>
  <c r="BB20" i="8"/>
  <c r="AZ20" i="8"/>
  <c r="AY20" i="8"/>
  <c r="AX20" i="8"/>
  <c r="AW20" i="8"/>
  <c r="AV20" i="8"/>
  <c r="AU20" i="8"/>
  <c r="AT20" i="8"/>
  <c r="AS20" i="8"/>
  <c r="AQ20" i="8"/>
  <c r="AP20" i="8"/>
  <c r="AO20" i="8"/>
  <c r="AN20" i="8"/>
  <c r="AM20" i="8"/>
  <c r="AL20" i="8"/>
  <c r="AK20" i="8"/>
  <c r="AJ20" i="8"/>
  <c r="AI20" i="8"/>
  <c r="AH20" i="8"/>
  <c r="AG20" i="8"/>
  <c r="AF20" i="8"/>
  <c r="AD20" i="8"/>
  <c r="AB20" i="8"/>
  <c r="AA20" i="8"/>
  <c r="Z20" i="8"/>
  <c r="X20" i="8"/>
  <c r="W20" i="8"/>
  <c r="V20" i="8"/>
  <c r="U20" i="8"/>
  <c r="T20" i="8"/>
  <c r="S20" i="8"/>
  <c r="R20" i="8"/>
  <c r="Q20" i="8"/>
  <c r="P20" i="8"/>
  <c r="O20" i="8"/>
  <c r="N20" i="8"/>
  <c r="L20" i="8"/>
  <c r="H20" i="8"/>
  <c r="H54" i="8" s="1"/>
  <c r="D20" i="8"/>
  <c r="D54" i="8" s="1"/>
  <c r="C20" i="8"/>
  <c r="C54" i="8" s="1"/>
  <c r="B20" i="8"/>
  <c r="B54" i="8" s="1"/>
  <c r="A20" i="8"/>
  <c r="A54" i="8" s="1"/>
  <c r="CB19" i="8"/>
  <c r="BZ19" i="8"/>
  <c r="BY19" i="8"/>
  <c r="BX19" i="8"/>
  <c r="BW19" i="8"/>
  <c r="BV19" i="8"/>
  <c r="BU19" i="8"/>
  <c r="BS19" i="8"/>
  <c r="BR19" i="8"/>
  <c r="BQ19" i="8"/>
  <c r="BN19" i="8"/>
  <c r="BM19" i="8"/>
  <c r="BL19" i="8"/>
  <c r="BK19" i="8"/>
  <c r="BJ19" i="8"/>
  <c r="BI19" i="8"/>
  <c r="BH19" i="8"/>
  <c r="BE19" i="8"/>
  <c r="BD19" i="8"/>
  <c r="BC19" i="8"/>
  <c r="BB19" i="8"/>
  <c r="AZ19" i="8"/>
  <c r="AY19" i="8"/>
  <c r="AX19" i="8"/>
  <c r="AW19" i="8"/>
  <c r="AV19" i="8"/>
  <c r="AU19" i="8"/>
  <c r="AT19" i="8"/>
  <c r="AS19" i="8"/>
  <c r="AQ19" i="8"/>
  <c r="AP19" i="8"/>
  <c r="AO19" i="8"/>
  <c r="AN19" i="8"/>
  <c r="AM19" i="8"/>
  <c r="AL19" i="8"/>
  <c r="AK19" i="8"/>
  <c r="AJ19" i="8"/>
  <c r="AI19" i="8"/>
  <c r="AH19" i="8"/>
  <c r="AG19" i="8"/>
  <c r="AF19" i="8"/>
  <c r="AD19" i="8"/>
  <c r="AB19" i="8"/>
  <c r="AA19" i="8"/>
  <c r="Z19" i="8"/>
  <c r="X19" i="8"/>
  <c r="W19" i="8"/>
  <c r="V19" i="8"/>
  <c r="U19" i="8"/>
  <c r="T19" i="8"/>
  <c r="S19" i="8"/>
  <c r="R19" i="8"/>
  <c r="Q19" i="8"/>
  <c r="P19" i="8"/>
  <c r="O19" i="8"/>
  <c r="L19" i="8"/>
  <c r="H19" i="8"/>
  <c r="H53" i="8" s="1"/>
  <c r="D19" i="8"/>
  <c r="D53" i="8" s="1"/>
  <c r="C19" i="8"/>
  <c r="C53" i="8" s="1"/>
  <c r="B19" i="8"/>
  <c r="A19" i="8"/>
  <c r="A53" i="8" s="1"/>
  <c r="BU18" i="8"/>
  <c r="CA32" i="8"/>
  <c r="BY17" i="8"/>
  <c r="BX17" i="8"/>
  <c r="BW17" i="8"/>
  <c r="BV17" i="8"/>
  <c r="B17" i="8"/>
  <c r="N16" i="8"/>
  <c r="K66" i="7"/>
  <c r="A66" i="7"/>
  <c r="K65" i="7"/>
  <c r="A65" i="7"/>
  <c r="K64" i="7"/>
  <c r="K63" i="7"/>
  <c r="A63" i="7"/>
  <c r="K62" i="7"/>
  <c r="K61" i="7"/>
  <c r="K60" i="7"/>
  <c r="A60" i="7"/>
  <c r="K59" i="7"/>
  <c r="K58" i="7"/>
  <c r="K57" i="7"/>
  <c r="D57" i="7"/>
  <c r="C57" i="7"/>
  <c r="K56" i="7"/>
  <c r="K55" i="7"/>
  <c r="C55" i="7"/>
  <c r="K54" i="7"/>
  <c r="K53" i="7"/>
  <c r="E48" i="7"/>
  <c r="F47" i="7"/>
  <c r="J47" i="7" s="1"/>
  <c r="K47" i="7" s="1"/>
  <c r="M47" i="7" s="1"/>
  <c r="E47" i="7"/>
  <c r="E46" i="7"/>
  <c r="E45" i="7"/>
  <c r="E44" i="7"/>
  <c r="E43" i="7"/>
  <c r="D43" i="7"/>
  <c r="E42" i="7"/>
  <c r="F41" i="7"/>
  <c r="J41" i="7" s="1"/>
  <c r="K41" i="7" s="1"/>
  <c r="M41" i="7" s="1"/>
  <c r="E41" i="7"/>
  <c r="D41" i="7"/>
  <c r="E40" i="7"/>
  <c r="F39" i="7"/>
  <c r="J39" i="7" s="1"/>
  <c r="K39" i="7" s="1"/>
  <c r="M39" i="7" s="1"/>
  <c r="L39" i="7" s="1"/>
  <c r="E39" i="7"/>
  <c r="D39" i="7"/>
  <c r="E38" i="7"/>
  <c r="E37" i="7"/>
  <c r="E36" i="7"/>
  <c r="E35" i="7"/>
  <c r="CB32" i="7"/>
  <c r="BZ32" i="7"/>
  <c r="BY32" i="7"/>
  <c r="F48" i="7" s="1"/>
  <c r="J48" i="7" s="1"/>
  <c r="BX32" i="7"/>
  <c r="BW32" i="7"/>
  <c r="BV32" i="7"/>
  <c r="BU32" i="7"/>
  <c r="BS32" i="7"/>
  <c r="BR32" i="7"/>
  <c r="BQ32" i="7"/>
  <c r="BN32" i="7"/>
  <c r="BM32" i="7"/>
  <c r="BL32" i="7"/>
  <c r="BK32" i="7"/>
  <c r="BJ32" i="7"/>
  <c r="BI32" i="7"/>
  <c r="BH32" i="7"/>
  <c r="BG32" i="7"/>
  <c r="BE32" i="7"/>
  <c r="BD32" i="7"/>
  <c r="BC32" i="7"/>
  <c r="BB32" i="7"/>
  <c r="BA32" i="7"/>
  <c r="AZ32" i="7"/>
  <c r="AY32" i="7"/>
  <c r="AX32" i="7"/>
  <c r="AW32" i="7"/>
  <c r="AU32" i="7"/>
  <c r="AT32" i="7"/>
  <c r="AS32" i="7"/>
  <c r="AR32" i="7"/>
  <c r="AP32" i="7"/>
  <c r="AO32" i="7"/>
  <c r="AN32" i="7"/>
  <c r="AM32" i="7"/>
  <c r="AL32" i="7"/>
  <c r="AJ32" i="7"/>
  <c r="AI32" i="7"/>
  <c r="AH32" i="7"/>
  <c r="AG32" i="7"/>
  <c r="AF32" i="7"/>
  <c r="AD32" i="7"/>
  <c r="AB32" i="7"/>
  <c r="AA32" i="7"/>
  <c r="Z32" i="7"/>
  <c r="X32" i="7"/>
  <c r="W32" i="7"/>
  <c r="V32" i="7"/>
  <c r="U32" i="7"/>
  <c r="T32" i="7"/>
  <c r="S32" i="7"/>
  <c r="R32" i="7"/>
  <c r="Q32" i="7"/>
  <c r="P32" i="7"/>
  <c r="O32" i="7"/>
  <c r="N32" i="7"/>
  <c r="L32" i="7"/>
  <c r="H32" i="7"/>
  <c r="H66" i="7" s="1"/>
  <c r="D32" i="7"/>
  <c r="D66" i="7" s="1"/>
  <c r="C32" i="7"/>
  <c r="C66" i="7" s="1"/>
  <c r="B32" i="7"/>
  <c r="B66" i="7" s="1"/>
  <c r="A32" i="7"/>
  <c r="CB31" i="7"/>
  <c r="BZ31" i="7"/>
  <c r="BY31" i="7"/>
  <c r="BX31" i="7"/>
  <c r="BW31" i="7"/>
  <c r="BV31" i="7"/>
  <c r="BU31" i="7"/>
  <c r="BS31" i="7"/>
  <c r="BR31" i="7"/>
  <c r="BQ31" i="7"/>
  <c r="BN31" i="7"/>
  <c r="BM31" i="7"/>
  <c r="BL31" i="7"/>
  <c r="BK31" i="7"/>
  <c r="BJ31" i="7"/>
  <c r="BI31" i="7"/>
  <c r="BH31" i="7"/>
  <c r="BG31" i="7"/>
  <c r="BE31" i="7"/>
  <c r="BD31" i="7"/>
  <c r="BC31" i="7"/>
  <c r="BB31" i="7"/>
  <c r="BA31" i="7"/>
  <c r="AZ31" i="7"/>
  <c r="AY31" i="7"/>
  <c r="AX31" i="7"/>
  <c r="AW31" i="7"/>
  <c r="AU31" i="7"/>
  <c r="AT31" i="7"/>
  <c r="AS31" i="7"/>
  <c r="AR31" i="7"/>
  <c r="AP31" i="7"/>
  <c r="AO31" i="7"/>
  <c r="AN31" i="7"/>
  <c r="AM31" i="7"/>
  <c r="AL31" i="7"/>
  <c r="AJ31" i="7"/>
  <c r="AI31" i="7"/>
  <c r="AH31" i="7"/>
  <c r="AG31" i="7"/>
  <c r="AF31" i="7"/>
  <c r="AD31" i="7"/>
  <c r="AB31" i="7"/>
  <c r="AA31" i="7"/>
  <c r="Z31" i="7"/>
  <c r="X31" i="7"/>
  <c r="W31" i="7"/>
  <c r="V31" i="7"/>
  <c r="U31" i="7"/>
  <c r="T31" i="7"/>
  <c r="S31" i="7"/>
  <c r="R31" i="7"/>
  <c r="Q31" i="7"/>
  <c r="P31" i="7"/>
  <c r="O31" i="7"/>
  <c r="L31" i="7"/>
  <c r="H31" i="7"/>
  <c r="H65" i="7" s="1"/>
  <c r="D31" i="7"/>
  <c r="D65" i="7" s="1"/>
  <c r="C31" i="7"/>
  <c r="C65" i="7" s="1"/>
  <c r="B31" i="7"/>
  <c r="B65" i="7" s="1"/>
  <c r="A31" i="7"/>
  <c r="CB30" i="7"/>
  <c r="BZ30" i="7"/>
  <c r="BY30" i="7"/>
  <c r="F46" i="7" s="1"/>
  <c r="J46" i="7" s="1"/>
  <c r="BX30" i="7"/>
  <c r="BW30" i="7"/>
  <c r="BV30" i="7"/>
  <c r="BU30" i="7"/>
  <c r="BS30" i="7"/>
  <c r="BR30" i="7"/>
  <c r="BQ30" i="7"/>
  <c r="BN30" i="7"/>
  <c r="BM30" i="7"/>
  <c r="BL30" i="7"/>
  <c r="BK30" i="7"/>
  <c r="BJ30" i="7"/>
  <c r="BI30" i="7"/>
  <c r="BH30" i="7"/>
  <c r="BG30" i="7"/>
  <c r="BE30" i="7"/>
  <c r="BD30" i="7"/>
  <c r="BC30" i="7"/>
  <c r="BB30" i="7"/>
  <c r="BA30" i="7"/>
  <c r="AZ30" i="7"/>
  <c r="AY30" i="7"/>
  <c r="AX30" i="7"/>
  <c r="AW30" i="7"/>
  <c r="AU30" i="7"/>
  <c r="AT30" i="7"/>
  <c r="AS30" i="7"/>
  <c r="AR30" i="7"/>
  <c r="AP30" i="7"/>
  <c r="AO30" i="7"/>
  <c r="AN30" i="7"/>
  <c r="AM30" i="7"/>
  <c r="AL30" i="7"/>
  <c r="AJ30" i="7"/>
  <c r="AI30" i="7"/>
  <c r="AH30" i="7"/>
  <c r="AG30" i="7"/>
  <c r="AF30" i="7"/>
  <c r="AD30" i="7"/>
  <c r="AB30" i="7"/>
  <c r="AA30" i="7"/>
  <c r="Z30" i="7"/>
  <c r="X30" i="7"/>
  <c r="W30" i="7"/>
  <c r="V30" i="7"/>
  <c r="U30" i="7"/>
  <c r="T30" i="7"/>
  <c r="S30" i="7"/>
  <c r="R30" i="7"/>
  <c r="Q30" i="7"/>
  <c r="P30" i="7"/>
  <c r="O30" i="7"/>
  <c r="N30" i="7"/>
  <c r="L30" i="7"/>
  <c r="H30" i="7"/>
  <c r="H64" i="7" s="1"/>
  <c r="D30" i="7"/>
  <c r="D64" i="7" s="1"/>
  <c r="C30" i="7"/>
  <c r="C64" i="7" s="1"/>
  <c r="B30" i="7"/>
  <c r="B64" i="7" s="1"/>
  <c r="A30" i="7"/>
  <c r="A64" i="7" s="1"/>
  <c r="CB29" i="7"/>
  <c r="BZ29" i="7"/>
  <c r="BY29" i="7"/>
  <c r="F45" i="7" s="1"/>
  <c r="J45" i="7" s="1"/>
  <c r="K45" i="7" s="1"/>
  <c r="M45" i="7" s="1"/>
  <c r="L45" i="7" s="1"/>
  <c r="BX29" i="7"/>
  <c r="BW29" i="7"/>
  <c r="BV29" i="7"/>
  <c r="BU29" i="7"/>
  <c r="BS29" i="7"/>
  <c r="BR29" i="7"/>
  <c r="BQ29" i="7"/>
  <c r="BN29" i="7"/>
  <c r="BM29" i="7"/>
  <c r="BL29" i="7"/>
  <c r="BK29" i="7"/>
  <c r="BJ29" i="7"/>
  <c r="BI29" i="7"/>
  <c r="BH29" i="7"/>
  <c r="BE29" i="7"/>
  <c r="BD29" i="7"/>
  <c r="BC29" i="7"/>
  <c r="BB29" i="7"/>
  <c r="AZ29" i="7"/>
  <c r="AY29" i="7"/>
  <c r="AX29" i="7"/>
  <c r="AW29" i="7"/>
  <c r="AV29" i="7"/>
  <c r="AU29" i="7"/>
  <c r="AT29" i="7"/>
  <c r="AS29" i="7"/>
  <c r="AQ29" i="7"/>
  <c r="AP29" i="7"/>
  <c r="AO29" i="7"/>
  <c r="AN29" i="7"/>
  <c r="AM29" i="7"/>
  <c r="AL29" i="7"/>
  <c r="AK29" i="7"/>
  <c r="AJ29" i="7"/>
  <c r="AI29" i="7"/>
  <c r="AH29" i="7"/>
  <c r="AG29" i="7"/>
  <c r="AF29" i="7"/>
  <c r="AD29" i="7"/>
  <c r="AB29" i="7"/>
  <c r="AA29" i="7"/>
  <c r="Z29" i="7"/>
  <c r="X29" i="7"/>
  <c r="W29" i="7"/>
  <c r="V29" i="7"/>
  <c r="U29" i="7"/>
  <c r="T29" i="7"/>
  <c r="S29" i="7"/>
  <c r="R29" i="7"/>
  <c r="Q29" i="7"/>
  <c r="P29" i="7"/>
  <c r="O29" i="7"/>
  <c r="N29" i="7"/>
  <c r="L29" i="7"/>
  <c r="H29" i="7"/>
  <c r="H63" i="7" s="1"/>
  <c r="F29" i="7"/>
  <c r="F63" i="7" s="1"/>
  <c r="J23" i="9" s="1"/>
  <c r="N23" i="9" s="1"/>
  <c r="D29" i="7"/>
  <c r="C29" i="7"/>
  <c r="C63" i="7" s="1"/>
  <c r="B29" i="7"/>
  <c r="B63" i="7" s="1"/>
  <c r="A29" i="7"/>
  <c r="CB28" i="7"/>
  <c r="BZ28" i="7"/>
  <c r="BY28" i="7"/>
  <c r="F44" i="7" s="1"/>
  <c r="J44" i="7" s="1"/>
  <c r="BX28" i="7"/>
  <c r="BW28" i="7"/>
  <c r="BV28" i="7"/>
  <c r="BU28" i="7"/>
  <c r="BS28" i="7"/>
  <c r="BR28" i="7"/>
  <c r="BQ28" i="7"/>
  <c r="BN28" i="7"/>
  <c r="BM28" i="7"/>
  <c r="BL28" i="7"/>
  <c r="BK28" i="7"/>
  <c r="BJ28" i="7"/>
  <c r="BI28" i="7"/>
  <c r="BH28" i="7"/>
  <c r="BE28" i="7"/>
  <c r="BD28" i="7"/>
  <c r="BC28" i="7"/>
  <c r="BB28" i="7"/>
  <c r="AZ28" i="7"/>
  <c r="AY28" i="7"/>
  <c r="AX28" i="7"/>
  <c r="AW28" i="7"/>
  <c r="AV28" i="7"/>
  <c r="AU28" i="7"/>
  <c r="AT28" i="7"/>
  <c r="AS28" i="7"/>
  <c r="AQ28" i="7"/>
  <c r="AP28" i="7"/>
  <c r="AO28" i="7"/>
  <c r="AN28" i="7"/>
  <c r="AM28" i="7"/>
  <c r="AL28" i="7"/>
  <c r="AK28" i="7"/>
  <c r="AJ28" i="7"/>
  <c r="AI28" i="7"/>
  <c r="AH28" i="7"/>
  <c r="AG28" i="7"/>
  <c r="AF28" i="7"/>
  <c r="AD28" i="7"/>
  <c r="AB28" i="7"/>
  <c r="AA28" i="7"/>
  <c r="Z28" i="7"/>
  <c r="X28" i="7"/>
  <c r="W28" i="7"/>
  <c r="V28" i="7"/>
  <c r="U28" i="7"/>
  <c r="T28" i="7"/>
  <c r="S28" i="7"/>
  <c r="R28" i="7"/>
  <c r="Q28" i="7"/>
  <c r="P28" i="7"/>
  <c r="O28" i="7"/>
  <c r="N28" i="7"/>
  <c r="L28" i="7"/>
  <c r="H28" i="7"/>
  <c r="H62" i="7" s="1"/>
  <c r="D28" i="7"/>
  <c r="D62" i="7" s="1"/>
  <c r="C28" i="7"/>
  <c r="C62" i="7" s="1"/>
  <c r="B28" i="7"/>
  <c r="B62" i="7" s="1"/>
  <c r="A28" i="7"/>
  <c r="A62" i="7" s="1"/>
  <c r="CB27" i="7"/>
  <c r="BZ27" i="7"/>
  <c r="BY27" i="7"/>
  <c r="F43" i="7" s="1"/>
  <c r="J43" i="7" s="1"/>
  <c r="K43" i="7" s="1"/>
  <c r="M43" i="7" s="1"/>
  <c r="BX27" i="7"/>
  <c r="BW27" i="7"/>
  <c r="BV27" i="7"/>
  <c r="BU27" i="7"/>
  <c r="BS27" i="7"/>
  <c r="BR27" i="7"/>
  <c r="BQ27" i="7"/>
  <c r="BN27" i="7"/>
  <c r="BM27" i="7"/>
  <c r="BL27" i="7"/>
  <c r="BK27" i="7"/>
  <c r="BJ27" i="7"/>
  <c r="BI27" i="7"/>
  <c r="BH27" i="7"/>
  <c r="BE27" i="7"/>
  <c r="BD27" i="7"/>
  <c r="BC27" i="7"/>
  <c r="BB27" i="7"/>
  <c r="AZ27" i="7"/>
  <c r="AY27" i="7"/>
  <c r="AX27" i="7"/>
  <c r="AW27" i="7"/>
  <c r="AV27" i="7"/>
  <c r="AU27" i="7"/>
  <c r="AT27" i="7"/>
  <c r="AS27" i="7"/>
  <c r="AQ27" i="7"/>
  <c r="AP27" i="7"/>
  <c r="AO27" i="7"/>
  <c r="AN27" i="7"/>
  <c r="AM27" i="7"/>
  <c r="AL27" i="7"/>
  <c r="AK27" i="7"/>
  <c r="AJ27" i="7"/>
  <c r="AI27" i="7"/>
  <c r="AH27" i="7"/>
  <c r="AG27" i="7"/>
  <c r="AF27" i="7"/>
  <c r="AD27" i="7"/>
  <c r="AB27" i="7"/>
  <c r="AA27" i="7"/>
  <c r="Z27" i="7"/>
  <c r="X27" i="7"/>
  <c r="W27" i="7"/>
  <c r="V27" i="7"/>
  <c r="U27" i="7"/>
  <c r="T27" i="7"/>
  <c r="S27" i="7"/>
  <c r="R27" i="7"/>
  <c r="Q27" i="7"/>
  <c r="P27" i="7"/>
  <c r="O27" i="7"/>
  <c r="L27" i="7"/>
  <c r="H27" i="7"/>
  <c r="H61" i="7" s="1"/>
  <c r="D27" i="7"/>
  <c r="D61" i="7" s="1"/>
  <c r="C27" i="7"/>
  <c r="C61" i="7" s="1"/>
  <c r="B27" i="7"/>
  <c r="B61" i="7" s="1"/>
  <c r="A27" i="7"/>
  <c r="A61" i="7" s="1"/>
  <c r="CB26" i="7"/>
  <c r="BZ26" i="7"/>
  <c r="BY26" i="7"/>
  <c r="F42" i="7" s="1"/>
  <c r="J42" i="7" s="1"/>
  <c r="BX26" i="7"/>
  <c r="BW26" i="7"/>
  <c r="BV26" i="7"/>
  <c r="BU26" i="7"/>
  <c r="BS26" i="7"/>
  <c r="BR26" i="7"/>
  <c r="BQ26" i="7"/>
  <c r="BN26" i="7"/>
  <c r="BM26" i="7"/>
  <c r="BL26" i="7"/>
  <c r="BK26" i="7"/>
  <c r="BJ26" i="7"/>
  <c r="BI26" i="7"/>
  <c r="BH26" i="7"/>
  <c r="BG26" i="7"/>
  <c r="BE26" i="7"/>
  <c r="BD26" i="7"/>
  <c r="BC26" i="7"/>
  <c r="BB26" i="7"/>
  <c r="BA26" i="7"/>
  <c r="AZ26" i="7"/>
  <c r="AY26" i="7"/>
  <c r="AX26" i="7"/>
  <c r="AW26" i="7"/>
  <c r="AU26" i="7"/>
  <c r="AT26" i="7"/>
  <c r="AS26" i="7"/>
  <c r="AR26" i="7"/>
  <c r="AP26" i="7"/>
  <c r="AO26" i="7"/>
  <c r="AN26" i="7"/>
  <c r="AM26" i="7"/>
  <c r="AL26" i="7"/>
  <c r="AJ26" i="7"/>
  <c r="AI26" i="7"/>
  <c r="AH26" i="7"/>
  <c r="AG26" i="7"/>
  <c r="AF26" i="7"/>
  <c r="AD26" i="7"/>
  <c r="AB26" i="7"/>
  <c r="AA26" i="7"/>
  <c r="Z26" i="7"/>
  <c r="X26" i="7"/>
  <c r="W26" i="7"/>
  <c r="V26" i="7"/>
  <c r="U26" i="7"/>
  <c r="T26" i="7"/>
  <c r="S26" i="7"/>
  <c r="R26" i="7"/>
  <c r="Q26" i="7"/>
  <c r="P26" i="7"/>
  <c r="O26" i="7"/>
  <c r="N26" i="7"/>
  <c r="L26" i="7"/>
  <c r="H26" i="7"/>
  <c r="H60" i="7" s="1"/>
  <c r="D26" i="7"/>
  <c r="C26" i="7"/>
  <c r="C60" i="7" s="1"/>
  <c r="B26" i="7"/>
  <c r="B60" i="7" s="1"/>
  <c r="A26" i="7"/>
  <c r="CB25" i="7"/>
  <c r="BZ25" i="7"/>
  <c r="BY25" i="7"/>
  <c r="BX25" i="7"/>
  <c r="BW25" i="7"/>
  <c r="BV25" i="7"/>
  <c r="BU25" i="7"/>
  <c r="BS25" i="7"/>
  <c r="BR25" i="7"/>
  <c r="BQ25" i="7"/>
  <c r="BN25" i="7"/>
  <c r="BM25" i="7"/>
  <c r="BL25" i="7"/>
  <c r="BK25" i="7"/>
  <c r="BJ25" i="7"/>
  <c r="BI25" i="7"/>
  <c r="BH25" i="7"/>
  <c r="BG25" i="7"/>
  <c r="BE25" i="7"/>
  <c r="BD25" i="7"/>
  <c r="BC25" i="7"/>
  <c r="BB25" i="7"/>
  <c r="BA25" i="7"/>
  <c r="AZ25" i="7"/>
  <c r="AY25" i="7"/>
  <c r="AX25" i="7"/>
  <c r="AW25" i="7"/>
  <c r="AU25" i="7"/>
  <c r="AT25" i="7"/>
  <c r="AS25" i="7"/>
  <c r="AR25" i="7"/>
  <c r="AP25" i="7"/>
  <c r="AO25" i="7"/>
  <c r="AN25" i="7"/>
  <c r="AM25" i="7"/>
  <c r="AL25" i="7"/>
  <c r="AJ25" i="7"/>
  <c r="AI25" i="7"/>
  <c r="AH25" i="7"/>
  <c r="AG25" i="7"/>
  <c r="AF25" i="7"/>
  <c r="AD25" i="7"/>
  <c r="AB25" i="7"/>
  <c r="AA25" i="7"/>
  <c r="Z25" i="7"/>
  <c r="X25" i="7"/>
  <c r="W25" i="7"/>
  <c r="V25" i="7"/>
  <c r="U25" i="7"/>
  <c r="T25" i="7"/>
  <c r="S25" i="7"/>
  <c r="R25" i="7"/>
  <c r="Q25" i="7"/>
  <c r="P25" i="7"/>
  <c r="O25" i="7"/>
  <c r="N25" i="7"/>
  <c r="L25" i="7"/>
  <c r="H25" i="7"/>
  <c r="H59" i="7" s="1"/>
  <c r="D25" i="7"/>
  <c r="D59" i="7" s="1"/>
  <c r="C25" i="7"/>
  <c r="C59" i="7" s="1"/>
  <c r="B25" i="7"/>
  <c r="B59" i="7" s="1"/>
  <c r="A25" i="7"/>
  <c r="A59" i="7" s="1"/>
  <c r="CB24" i="7"/>
  <c r="BZ24" i="7"/>
  <c r="BY24" i="7"/>
  <c r="F40" i="7" s="1"/>
  <c r="J40" i="7" s="1"/>
  <c r="BX24" i="7"/>
  <c r="BW24" i="7"/>
  <c r="BV24" i="7"/>
  <c r="BU24" i="7"/>
  <c r="BS24" i="7"/>
  <c r="BR24" i="7"/>
  <c r="BQ24" i="7"/>
  <c r="BN24" i="7"/>
  <c r="BM24" i="7"/>
  <c r="BL24" i="7"/>
  <c r="BK24" i="7"/>
  <c r="BJ24" i="7"/>
  <c r="BI24" i="7"/>
  <c r="BH24" i="7"/>
  <c r="BG24" i="7"/>
  <c r="BE24" i="7"/>
  <c r="BD24" i="7"/>
  <c r="BC24" i="7"/>
  <c r="BB24" i="7"/>
  <c r="BA24" i="7"/>
  <c r="AZ24" i="7"/>
  <c r="AY24" i="7"/>
  <c r="AX24" i="7"/>
  <c r="AW24" i="7"/>
  <c r="AU24" i="7"/>
  <c r="AT24" i="7"/>
  <c r="AS24" i="7"/>
  <c r="AR24" i="7"/>
  <c r="AP24" i="7"/>
  <c r="AO24" i="7"/>
  <c r="AN24" i="7"/>
  <c r="AM24" i="7"/>
  <c r="AL24" i="7"/>
  <c r="AJ24" i="7"/>
  <c r="AI24" i="7"/>
  <c r="AH24" i="7"/>
  <c r="AG24" i="7"/>
  <c r="AF24" i="7"/>
  <c r="AD24" i="7"/>
  <c r="AB24" i="7"/>
  <c r="AA24" i="7"/>
  <c r="Z24" i="7"/>
  <c r="X24" i="7"/>
  <c r="W24" i="7"/>
  <c r="V24" i="7"/>
  <c r="U24" i="7"/>
  <c r="T24" i="7"/>
  <c r="S24" i="7"/>
  <c r="R24" i="7"/>
  <c r="Q24" i="7"/>
  <c r="P24" i="7"/>
  <c r="O24" i="7"/>
  <c r="L24" i="7"/>
  <c r="H24" i="7"/>
  <c r="H58" i="7" s="1"/>
  <c r="D24" i="7"/>
  <c r="D58" i="7" s="1"/>
  <c r="C24" i="7"/>
  <c r="C58" i="7" s="1"/>
  <c r="B24" i="7"/>
  <c r="B58" i="7" s="1"/>
  <c r="A24" i="7"/>
  <c r="A58" i="7" s="1"/>
  <c r="CB23" i="7"/>
  <c r="BY23" i="7"/>
  <c r="BV23" i="7"/>
  <c r="BU23" i="7"/>
  <c r="BS23" i="7"/>
  <c r="BR23" i="7"/>
  <c r="BQ23" i="7"/>
  <c r="BN23" i="7"/>
  <c r="BL23" i="7"/>
  <c r="BK23" i="7"/>
  <c r="BJ23" i="7"/>
  <c r="BI23" i="7"/>
  <c r="BH23" i="7"/>
  <c r="BE23" i="7"/>
  <c r="BD23" i="7"/>
  <c r="BC23" i="7"/>
  <c r="BB23" i="7"/>
  <c r="AZ23" i="7"/>
  <c r="AY23" i="7"/>
  <c r="AX23" i="7"/>
  <c r="AW23" i="7"/>
  <c r="AV23" i="7"/>
  <c r="AU23" i="7"/>
  <c r="AT23" i="7"/>
  <c r="AS23" i="7"/>
  <c r="AQ23" i="7"/>
  <c r="AP23" i="7"/>
  <c r="AO23" i="7"/>
  <c r="AN23" i="7"/>
  <c r="AM23" i="7"/>
  <c r="AL23" i="7"/>
  <c r="AK23" i="7"/>
  <c r="AJ23" i="7"/>
  <c r="AI23" i="7"/>
  <c r="AH23" i="7"/>
  <c r="AG23" i="7"/>
  <c r="AF23" i="7"/>
  <c r="AD23" i="7"/>
  <c r="AB23" i="7"/>
  <c r="AA23" i="7"/>
  <c r="Z23" i="7"/>
  <c r="X23" i="7"/>
  <c r="W23" i="7"/>
  <c r="V23" i="7"/>
  <c r="U23" i="7"/>
  <c r="T23" i="7"/>
  <c r="S23" i="7"/>
  <c r="R23" i="7"/>
  <c r="Q23" i="7"/>
  <c r="P23" i="7"/>
  <c r="O23" i="7"/>
  <c r="N23" i="7"/>
  <c r="L23" i="7"/>
  <c r="H23" i="7"/>
  <c r="H57" i="7" s="1"/>
  <c r="F23" i="7"/>
  <c r="F57" i="7" s="1"/>
  <c r="J17" i="9" s="1"/>
  <c r="N17" i="9" s="1"/>
  <c r="B23" i="7"/>
  <c r="B57" i="7" s="1"/>
  <c r="A23" i="7"/>
  <c r="A57" i="7" s="1"/>
  <c r="CB22" i="7"/>
  <c r="BZ22" i="7"/>
  <c r="BY22" i="7"/>
  <c r="F38" i="7" s="1"/>
  <c r="J38" i="7" s="1"/>
  <c r="BX22" i="7"/>
  <c r="BW22" i="7"/>
  <c r="BV22" i="7"/>
  <c r="BU22" i="7"/>
  <c r="BS22" i="7"/>
  <c r="BR22" i="7"/>
  <c r="BQ22" i="7"/>
  <c r="BN22" i="7"/>
  <c r="BM22" i="7"/>
  <c r="BL22" i="7"/>
  <c r="BK22" i="7"/>
  <c r="BJ22" i="7"/>
  <c r="BI22" i="7"/>
  <c r="BH22" i="7"/>
  <c r="BE22" i="7"/>
  <c r="BD22" i="7"/>
  <c r="BC22" i="7"/>
  <c r="BB22" i="7"/>
  <c r="AZ22" i="7"/>
  <c r="AY22" i="7"/>
  <c r="AX22" i="7"/>
  <c r="AW22" i="7"/>
  <c r="AV22" i="7"/>
  <c r="AU22" i="7"/>
  <c r="AT22" i="7"/>
  <c r="AS22" i="7"/>
  <c r="AQ22" i="7"/>
  <c r="AP22" i="7"/>
  <c r="AO22" i="7"/>
  <c r="AN22" i="7"/>
  <c r="AM22" i="7"/>
  <c r="AL22" i="7"/>
  <c r="AK22" i="7"/>
  <c r="AJ22" i="7"/>
  <c r="AI22" i="7"/>
  <c r="AH22" i="7"/>
  <c r="AG22" i="7"/>
  <c r="AF22" i="7"/>
  <c r="AD22" i="7"/>
  <c r="AB22" i="7"/>
  <c r="AA22" i="7"/>
  <c r="Z22" i="7"/>
  <c r="X22" i="7"/>
  <c r="W22" i="7"/>
  <c r="V22" i="7"/>
  <c r="U22" i="7"/>
  <c r="T22" i="7"/>
  <c r="S22" i="7"/>
  <c r="R22" i="7"/>
  <c r="Q22" i="7"/>
  <c r="P22" i="7"/>
  <c r="O22" i="7"/>
  <c r="N22" i="7"/>
  <c r="L22" i="7"/>
  <c r="H22" i="7"/>
  <c r="H56" i="7" s="1"/>
  <c r="D22" i="7"/>
  <c r="D56" i="7" s="1"/>
  <c r="C22" i="7"/>
  <c r="C56" i="7" s="1"/>
  <c r="B22" i="7"/>
  <c r="B56" i="7" s="1"/>
  <c r="A22" i="7"/>
  <c r="A56" i="7" s="1"/>
  <c r="CB21" i="7"/>
  <c r="BZ21" i="7"/>
  <c r="BY21" i="7"/>
  <c r="F37" i="7" s="1"/>
  <c r="J37" i="7" s="1"/>
  <c r="K37" i="7" s="1"/>
  <c r="M37" i="7" s="1"/>
  <c r="L37" i="7" s="1"/>
  <c r="BX21" i="7"/>
  <c r="BW21" i="7"/>
  <c r="BV21" i="7"/>
  <c r="BU21" i="7"/>
  <c r="BS21" i="7"/>
  <c r="BR21" i="7"/>
  <c r="BQ21" i="7"/>
  <c r="BN21" i="7"/>
  <c r="BM21" i="7"/>
  <c r="BL21" i="7"/>
  <c r="BK21" i="7"/>
  <c r="BJ21" i="7"/>
  <c r="BI21" i="7"/>
  <c r="BH21" i="7"/>
  <c r="BE21" i="7"/>
  <c r="BD21" i="7"/>
  <c r="BC21" i="7"/>
  <c r="BB21" i="7"/>
  <c r="AZ21" i="7"/>
  <c r="AY21" i="7"/>
  <c r="AX21" i="7"/>
  <c r="AW21" i="7"/>
  <c r="AV21" i="7"/>
  <c r="AU21" i="7"/>
  <c r="AT21" i="7"/>
  <c r="AS21" i="7"/>
  <c r="AQ21" i="7"/>
  <c r="AP21" i="7"/>
  <c r="AO21" i="7"/>
  <c r="AN21" i="7"/>
  <c r="AM21" i="7"/>
  <c r="AL21" i="7"/>
  <c r="AK21" i="7"/>
  <c r="AJ21" i="7"/>
  <c r="AI21" i="7"/>
  <c r="AH21" i="7"/>
  <c r="AG21" i="7"/>
  <c r="AF21" i="7"/>
  <c r="AD21" i="7"/>
  <c r="AB21" i="7"/>
  <c r="AA21" i="7"/>
  <c r="Z21" i="7"/>
  <c r="X21" i="7"/>
  <c r="W21" i="7"/>
  <c r="V21" i="7"/>
  <c r="U21" i="7"/>
  <c r="T21" i="7"/>
  <c r="S21" i="7"/>
  <c r="R21" i="7"/>
  <c r="Q21" i="7"/>
  <c r="P21" i="7"/>
  <c r="O21" i="7"/>
  <c r="N21" i="7"/>
  <c r="L21" i="7"/>
  <c r="H21" i="7"/>
  <c r="H55" i="7" s="1"/>
  <c r="F21" i="7"/>
  <c r="F55" i="7" s="1"/>
  <c r="J15" i="9" s="1"/>
  <c r="N15" i="9" s="1"/>
  <c r="D21" i="7"/>
  <c r="C21" i="7"/>
  <c r="B21" i="7"/>
  <c r="B55" i="7" s="1"/>
  <c r="A21" i="7"/>
  <c r="A55" i="7" s="1"/>
  <c r="CB20" i="7"/>
  <c r="BZ20" i="7"/>
  <c r="BY20" i="7"/>
  <c r="F36" i="7" s="1"/>
  <c r="J36" i="7" s="1"/>
  <c r="BX20" i="7"/>
  <c r="BW20" i="7"/>
  <c r="BV20" i="7"/>
  <c r="BU20" i="7"/>
  <c r="BS20" i="7"/>
  <c r="BR20" i="7"/>
  <c r="BQ20" i="7"/>
  <c r="BN20" i="7"/>
  <c r="BM20" i="7"/>
  <c r="BL20" i="7"/>
  <c r="BK20" i="7"/>
  <c r="BJ20" i="7"/>
  <c r="BI20" i="7"/>
  <c r="BH20" i="7"/>
  <c r="BE20" i="7"/>
  <c r="BD20" i="7"/>
  <c r="BC20" i="7"/>
  <c r="BB20" i="7"/>
  <c r="AZ20" i="7"/>
  <c r="AY20" i="7"/>
  <c r="AX20" i="7"/>
  <c r="AW20" i="7"/>
  <c r="AV20" i="7"/>
  <c r="AU20" i="7"/>
  <c r="AT20" i="7"/>
  <c r="AS20" i="7"/>
  <c r="AQ20" i="7"/>
  <c r="AP20" i="7"/>
  <c r="AO20" i="7"/>
  <c r="AN20" i="7"/>
  <c r="AM20" i="7"/>
  <c r="AL20" i="7"/>
  <c r="AK20" i="7"/>
  <c r="AJ20" i="7"/>
  <c r="AI20" i="7"/>
  <c r="AH20" i="7"/>
  <c r="AG20" i="7"/>
  <c r="AF20" i="7"/>
  <c r="AD20" i="7"/>
  <c r="AB20" i="7"/>
  <c r="AA20" i="7"/>
  <c r="Z20" i="7"/>
  <c r="X20" i="7"/>
  <c r="W20" i="7"/>
  <c r="V20" i="7"/>
  <c r="U20" i="7"/>
  <c r="T20" i="7"/>
  <c r="S20" i="7"/>
  <c r="R20" i="7"/>
  <c r="Q20" i="7"/>
  <c r="P20" i="7"/>
  <c r="O20" i="7"/>
  <c r="N20" i="7"/>
  <c r="L20" i="7"/>
  <c r="H20" i="7"/>
  <c r="H54" i="7" s="1"/>
  <c r="D20" i="7"/>
  <c r="D54" i="7" s="1"/>
  <c r="C20" i="7"/>
  <c r="C54" i="7" s="1"/>
  <c r="B20" i="7"/>
  <c r="B54" i="7" s="1"/>
  <c r="A20" i="7"/>
  <c r="A54" i="7" s="1"/>
  <c r="CB19" i="7"/>
  <c r="BZ19" i="7"/>
  <c r="BY19" i="7"/>
  <c r="F35" i="7" s="1"/>
  <c r="J35" i="7" s="1"/>
  <c r="BX19" i="7"/>
  <c r="BW19" i="7"/>
  <c r="BV19" i="7"/>
  <c r="BU19" i="7"/>
  <c r="BS19" i="7"/>
  <c r="BR19" i="7"/>
  <c r="BQ19" i="7"/>
  <c r="BN19" i="7"/>
  <c r="BM19" i="7"/>
  <c r="BL19" i="7"/>
  <c r="BK19" i="7"/>
  <c r="BJ19" i="7"/>
  <c r="BI19" i="7"/>
  <c r="BH19" i="7"/>
  <c r="BE19" i="7"/>
  <c r="BD19" i="7"/>
  <c r="BC19" i="7"/>
  <c r="BB19" i="7"/>
  <c r="AZ19" i="7"/>
  <c r="AY19" i="7"/>
  <c r="AX19" i="7"/>
  <c r="AW19" i="7"/>
  <c r="AV19" i="7"/>
  <c r="AU19" i="7"/>
  <c r="AT19" i="7"/>
  <c r="AS19" i="7"/>
  <c r="AQ19" i="7"/>
  <c r="AP19" i="7"/>
  <c r="AO19" i="7"/>
  <c r="AN19" i="7"/>
  <c r="AM19" i="7"/>
  <c r="AL19" i="7"/>
  <c r="AK19" i="7"/>
  <c r="AJ19" i="7"/>
  <c r="AI19" i="7"/>
  <c r="AH19" i="7"/>
  <c r="AG19" i="7"/>
  <c r="AF19" i="7"/>
  <c r="AD19" i="7"/>
  <c r="AB19" i="7"/>
  <c r="AA19" i="7"/>
  <c r="Z19" i="7"/>
  <c r="X19" i="7"/>
  <c r="W19" i="7"/>
  <c r="V19" i="7"/>
  <c r="U19" i="7"/>
  <c r="T19" i="7"/>
  <c r="S19" i="7"/>
  <c r="R19" i="7"/>
  <c r="Q19" i="7"/>
  <c r="P19" i="7"/>
  <c r="O19" i="7"/>
  <c r="L19" i="7"/>
  <c r="H19" i="7"/>
  <c r="H53" i="7" s="1"/>
  <c r="D19" i="7"/>
  <c r="D53" i="7" s="1"/>
  <c r="C19" i="7"/>
  <c r="C53" i="7" s="1"/>
  <c r="B19" i="7"/>
  <c r="B53" i="7" s="1"/>
  <c r="A19" i="7"/>
  <c r="A53" i="7" s="1"/>
  <c r="BU18" i="7"/>
  <c r="CA27" i="7"/>
  <c r="BY17" i="7"/>
  <c r="BX17" i="7"/>
  <c r="BW17" i="7"/>
  <c r="BV17" i="7"/>
  <c r="B17" i="7"/>
  <c r="N16" i="7"/>
  <c r="D57" i="6"/>
  <c r="C57" i="6"/>
  <c r="D39" i="6"/>
  <c r="CB32" i="6"/>
  <c r="BZ32" i="6"/>
  <c r="BY32" i="6"/>
  <c r="F48" i="6" s="1"/>
  <c r="J48" i="6" s="1"/>
  <c r="BX32" i="6"/>
  <c r="BW32" i="6"/>
  <c r="BV32" i="6"/>
  <c r="BU32" i="6"/>
  <c r="BS32" i="6"/>
  <c r="BR32" i="6"/>
  <c r="BQ32" i="6"/>
  <c r="BN32" i="6"/>
  <c r="BM32" i="6"/>
  <c r="BL32" i="6"/>
  <c r="BK32" i="6"/>
  <c r="BJ32" i="6"/>
  <c r="BI32" i="6"/>
  <c r="BH32" i="6"/>
  <c r="BG32" i="6"/>
  <c r="BE32" i="6"/>
  <c r="BD32" i="6"/>
  <c r="BC32" i="6"/>
  <c r="BB32" i="6"/>
  <c r="BA32" i="6"/>
  <c r="AZ32" i="6"/>
  <c r="AY32" i="6"/>
  <c r="AX32" i="6"/>
  <c r="AW32" i="6"/>
  <c r="AU32" i="6"/>
  <c r="AT32" i="6"/>
  <c r="AS32" i="6"/>
  <c r="AR32" i="6"/>
  <c r="AP32" i="6"/>
  <c r="AO32" i="6"/>
  <c r="AN32" i="6"/>
  <c r="AM32" i="6"/>
  <c r="AL32" i="6"/>
  <c r="AJ32" i="6"/>
  <c r="AI32" i="6"/>
  <c r="AH32" i="6"/>
  <c r="AG32" i="6"/>
  <c r="AF32" i="6"/>
  <c r="AD32" i="6"/>
  <c r="AB32" i="6"/>
  <c r="AA32" i="6"/>
  <c r="Z32" i="6"/>
  <c r="X32" i="6"/>
  <c r="W32" i="6"/>
  <c r="V32" i="6"/>
  <c r="U32" i="6"/>
  <c r="T32" i="6"/>
  <c r="S32" i="6"/>
  <c r="R32" i="6"/>
  <c r="Q32" i="6"/>
  <c r="P32" i="6"/>
  <c r="O32" i="6"/>
  <c r="N32" i="6"/>
  <c r="L32" i="6"/>
  <c r="H32" i="6"/>
  <c r="H66" i="6" s="1"/>
  <c r="D32" i="6"/>
  <c r="C32" i="6"/>
  <c r="C66" i="6" s="1"/>
  <c r="B32" i="6"/>
  <c r="B66" i="6" s="1"/>
  <c r="A32" i="6"/>
  <c r="A66" i="6" s="1"/>
  <c r="CB31" i="6"/>
  <c r="BZ31" i="6"/>
  <c r="BY31" i="6"/>
  <c r="F47" i="6" s="1"/>
  <c r="J47" i="6" s="1"/>
  <c r="BX31" i="6"/>
  <c r="BW31" i="6"/>
  <c r="BV31" i="6"/>
  <c r="BU31" i="6"/>
  <c r="BS31" i="6"/>
  <c r="BR31" i="6"/>
  <c r="BQ31" i="6"/>
  <c r="BN31" i="6"/>
  <c r="BM31" i="6"/>
  <c r="BL31" i="6"/>
  <c r="BK31" i="6"/>
  <c r="BJ31" i="6"/>
  <c r="BI31" i="6"/>
  <c r="BH31" i="6"/>
  <c r="BG31" i="6"/>
  <c r="BE31" i="6"/>
  <c r="BD31" i="6"/>
  <c r="BC31" i="6"/>
  <c r="BB31" i="6"/>
  <c r="BA31" i="6"/>
  <c r="AZ31" i="6"/>
  <c r="AY31" i="6"/>
  <c r="AX31" i="6"/>
  <c r="AW31" i="6"/>
  <c r="AU31" i="6"/>
  <c r="AT31" i="6"/>
  <c r="AS31" i="6"/>
  <c r="AR31" i="6"/>
  <c r="AP31" i="6"/>
  <c r="AO31" i="6"/>
  <c r="AN31" i="6"/>
  <c r="AM31" i="6"/>
  <c r="AL31" i="6"/>
  <c r="AJ31" i="6"/>
  <c r="AI31" i="6"/>
  <c r="AH31" i="6"/>
  <c r="AG31" i="6"/>
  <c r="AF31" i="6"/>
  <c r="AD31" i="6"/>
  <c r="AB31" i="6"/>
  <c r="AA31" i="6"/>
  <c r="Z31" i="6"/>
  <c r="X31" i="6"/>
  <c r="W31" i="6"/>
  <c r="V31" i="6"/>
  <c r="U31" i="6"/>
  <c r="T31" i="6"/>
  <c r="S31" i="6"/>
  <c r="R31" i="6"/>
  <c r="Q31" i="6"/>
  <c r="P31" i="6"/>
  <c r="O31" i="6"/>
  <c r="L31" i="6"/>
  <c r="H31" i="6"/>
  <c r="H65" i="6" s="1"/>
  <c r="D31" i="6"/>
  <c r="C31" i="6"/>
  <c r="C65" i="6" s="1"/>
  <c r="B31" i="6"/>
  <c r="B65" i="6" s="1"/>
  <c r="A31" i="6"/>
  <c r="A65" i="6" s="1"/>
  <c r="CB30" i="6"/>
  <c r="BZ30" i="6"/>
  <c r="CA30" i="6" s="1"/>
  <c r="BY30" i="6"/>
  <c r="F46" i="6" s="1"/>
  <c r="J46" i="6" s="1"/>
  <c r="BX30" i="6"/>
  <c r="BW30" i="6"/>
  <c r="BV30" i="6"/>
  <c r="BU30" i="6"/>
  <c r="BS30" i="6"/>
  <c r="BR30" i="6"/>
  <c r="BQ30" i="6"/>
  <c r="BN30" i="6"/>
  <c r="BM30" i="6"/>
  <c r="BL30" i="6"/>
  <c r="BK30" i="6"/>
  <c r="BJ30" i="6"/>
  <c r="BI30" i="6"/>
  <c r="BH30" i="6"/>
  <c r="BG30" i="6"/>
  <c r="BE30" i="6"/>
  <c r="BD30" i="6"/>
  <c r="BC30" i="6"/>
  <c r="BB30" i="6"/>
  <c r="BA30" i="6"/>
  <c r="AZ30" i="6"/>
  <c r="AY30" i="6"/>
  <c r="AX30" i="6"/>
  <c r="AW30" i="6"/>
  <c r="AU30" i="6"/>
  <c r="AT30" i="6"/>
  <c r="AS30" i="6"/>
  <c r="AR30" i="6"/>
  <c r="AP30" i="6"/>
  <c r="AO30" i="6"/>
  <c r="AN30" i="6"/>
  <c r="AM30" i="6"/>
  <c r="AL30" i="6"/>
  <c r="AJ30" i="6"/>
  <c r="AI30" i="6"/>
  <c r="AH30" i="6"/>
  <c r="AG30" i="6"/>
  <c r="AF30" i="6"/>
  <c r="AD30" i="6"/>
  <c r="AB30" i="6"/>
  <c r="AA30" i="6"/>
  <c r="Z30" i="6"/>
  <c r="X30" i="6"/>
  <c r="W30" i="6"/>
  <c r="V30" i="6"/>
  <c r="U30" i="6"/>
  <c r="T30" i="6"/>
  <c r="S30" i="6"/>
  <c r="R30" i="6"/>
  <c r="Q30" i="6"/>
  <c r="P30" i="6"/>
  <c r="O30" i="6"/>
  <c r="N30" i="6"/>
  <c r="L30" i="6"/>
  <c r="H30" i="6"/>
  <c r="H64" i="6" s="1"/>
  <c r="D30" i="6"/>
  <c r="C30" i="6"/>
  <c r="C64" i="6" s="1"/>
  <c r="B30" i="6"/>
  <c r="B64" i="6" s="1"/>
  <c r="A30" i="6"/>
  <c r="A64" i="6" s="1"/>
  <c r="CB29" i="6"/>
  <c r="BZ29" i="6"/>
  <c r="CA29" i="6" s="1"/>
  <c r="BY29" i="6"/>
  <c r="F45" i="6" s="1"/>
  <c r="J45" i="6" s="1"/>
  <c r="BX29" i="6"/>
  <c r="BW29" i="6"/>
  <c r="BV29" i="6"/>
  <c r="BU29" i="6"/>
  <c r="BS29" i="6"/>
  <c r="BR29" i="6"/>
  <c r="BQ29" i="6"/>
  <c r="BN29" i="6"/>
  <c r="BM29" i="6"/>
  <c r="BL29" i="6"/>
  <c r="BK29" i="6"/>
  <c r="BJ29" i="6"/>
  <c r="BI29" i="6"/>
  <c r="BH29" i="6"/>
  <c r="BE29" i="6"/>
  <c r="BD29" i="6"/>
  <c r="BC29" i="6"/>
  <c r="BB29" i="6"/>
  <c r="AZ29" i="6"/>
  <c r="AY29" i="6"/>
  <c r="AX29" i="6"/>
  <c r="AW29" i="6"/>
  <c r="AV29" i="6"/>
  <c r="AU29" i="6"/>
  <c r="AT29" i="6"/>
  <c r="AS29" i="6"/>
  <c r="AQ29" i="6"/>
  <c r="AP29" i="6"/>
  <c r="AO29" i="6"/>
  <c r="AN29" i="6"/>
  <c r="AM29" i="6"/>
  <c r="AL29" i="6"/>
  <c r="AK29" i="6"/>
  <c r="AJ29" i="6"/>
  <c r="AI29" i="6"/>
  <c r="AH29" i="6"/>
  <c r="AG29" i="6"/>
  <c r="AF29" i="6"/>
  <c r="AD29" i="6"/>
  <c r="AB29" i="6"/>
  <c r="AA29" i="6"/>
  <c r="Z29" i="6"/>
  <c r="X29" i="6"/>
  <c r="W29" i="6"/>
  <c r="V29" i="6"/>
  <c r="U29" i="6"/>
  <c r="T29" i="6"/>
  <c r="S29" i="6"/>
  <c r="R29" i="6"/>
  <c r="Q29" i="6"/>
  <c r="P29" i="6"/>
  <c r="O29" i="6"/>
  <c r="N29" i="6"/>
  <c r="L29" i="6"/>
  <c r="H29" i="6"/>
  <c r="H63" i="6" s="1"/>
  <c r="D29" i="6"/>
  <c r="C29" i="6"/>
  <c r="C63" i="6" s="1"/>
  <c r="B29" i="6"/>
  <c r="B63" i="6" s="1"/>
  <c r="A29" i="6"/>
  <c r="A63" i="6" s="1"/>
  <c r="CB28" i="6"/>
  <c r="BZ28" i="6"/>
  <c r="CA28" i="6" s="1"/>
  <c r="BY28" i="6"/>
  <c r="F44" i="6" s="1"/>
  <c r="J44" i="6" s="1"/>
  <c r="BX28" i="6"/>
  <c r="BW28" i="6"/>
  <c r="BV28" i="6"/>
  <c r="BU28" i="6"/>
  <c r="BS28" i="6"/>
  <c r="BR28" i="6"/>
  <c r="BQ28" i="6"/>
  <c r="BN28" i="6"/>
  <c r="BM28" i="6"/>
  <c r="BL28" i="6"/>
  <c r="BK28" i="6"/>
  <c r="BJ28" i="6"/>
  <c r="BI28" i="6"/>
  <c r="BH28" i="6"/>
  <c r="BE28" i="6"/>
  <c r="BD28" i="6"/>
  <c r="BC28" i="6"/>
  <c r="BB28" i="6"/>
  <c r="AZ28" i="6"/>
  <c r="AY28" i="6"/>
  <c r="AX28" i="6"/>
  <c r="AW28" i="6"/>
  <c r="AV28" i="6"/>
  <c r="AU28" i="6"/>
  <c r="AT28" i="6"/>
  <c r="AS28" i="6"/>
  <c r="AQ28" i="6"/>
  <c r="AP28" i="6"/>
  <c r="AO28" i="6"/>
  <c r="AN28" i="6"/>
  <c r="AM28" i="6"/>
  <c r="AL28" i="6"/>
  <c r="AK28" i="6"/>
  <c r="AJ28" i="6"/>
  <c r="AI28" i="6"/>
  <c r="AH28" i="6"/>
  <c r="AG28" i="6"/>
  <c r="AF28" i="6"/>
  <c r="AD28" i="6"/>
  <c r="AB28" i="6"/>
  <c r="AA28" i="6"/>
  <c r="Z28" i="6"/>
  <c r="X28" i="6"/>
  <c r="W28" i="6"/>
  <c r="V28" i="6"/>
  <c r="U28" i="6"/>
  <c r="T28" i="6"/>
  <c r="S28" i="6"/>
  <c r="R28" i="6"/>
  <c r="Q28" i="6"/>
  <c r="P28" i="6"/>
  <c r="O28" i="6"/>
  <c r="N28" i="6"/>
  <c r="L28" i="6"/>
  <c r="H28" i="6"/>
  <c r="H62" i="6" s="1"/>
  <c r="D28" i="6"/>
  <c r="C28" i="6"/>
  <c r="C62" i="6" s="1"/>
  <c r="B28" i="6"/>
  <c r="B62" i="6" s="1"/>
  <c r="A28" i="6"/>
  <c r="A62" i="6" s="1"/>
  <c r="CB27" i="6"/>
  <c r="BZ27" i="6"/>
  <c r="CA27" i="6" s="1"/>
  <c r="BY27" i="6"/>
  <c r="F43" i="6" s="1"/>
  <c r="J43" i="6" s="1"/>
  <c r="BX27" i="6"/>
  <c r="BW27" i="6"/>
  <c r="BV27" i="6"/>
  <c r="BU27" i="6"/>
  <c r="BS27" i="6"/>
  <c r="BR27" i="6"/>
  <c r="BQ27" i="6"/>
  <c r="BN27" i="6"/>
  <c r="BM27" i="6"/>
  <c r="BL27" i="6"/>
  <c r="BK27" i="6"/>
  <c r="BJ27" i="6"/>
  <c r="BI27" i="6"/>
  <c r="BH27" i="6"/>
  <c r="BE27" i="6"/>
  <c r="BD27" i="6"/>
  <c r="BC27" i="6"/>
  <c r="BB27" i="6"/>
  <c r="AZ27" i="6"/>
  <c r="AY27" i="6"/>
  <c r="AX27" i="6"/>
  <c r="AW27" i="6"/>
  <c r="AV27" i="6"/>
  <c r="AU27" i="6"/>
  <c r="AT27" i="6"/>
  <c r="AS27" i="6"/>
  <c r="AQ27" i="6"/>
  <c r="AP27" i="6"/>
  <c r="AO27" i="6"/>
  <c r="AN27" i="6"/>
  <c r="AM27" i="6"/>
  <c r="AL27" i="6"/>
  <c r="AK27" i="6"/>
  <c r="AJ27" i="6"/>
  <c r="AI27" i="6"/>
  <c r="AH27" i="6"/>
  <c r="AG27" i="6"/>
  <c r="AF27" i="6"/>
  <c r="AD27" i="6"/>
  <c r="AB27" i="6"/>
  <c r="AA27" i="6"/>
  <c r="Z27" i="6"/>
  <c r="X27" i="6"/>
  <c r="W27" i="6"/>
  <c r="V27" i="6"/>
  <c r="U27" i="6"/>
  <c r="T27" i="6"/>
  <c r="S27" i="6"/>
  <c r="R27" i="6"/>
  <c r="Q27" i="6"/>
  <c r="P27" i="6"/>
  <c r="O27" i="6"/>
  <c r="L27" i="6"/>
  <c r="H27" i="6"/>
  <c r="H61" i="6" s="1"/>
  <c r="D27" i="6"/>
  <c r="C27" i="6"/>
  <c r="C61" i="6" s="1"/>
  <c r="B27" i="6"/>
  <c r="B61" i="6" s="1"/>
  <c r="A27" i="6"/>
  <c r="A61" i="6" s="1"/>
  <c r="CB26" i="6"/>
  <c r="BZ26" i="6"/>
  <c r="BY26" i="6"/>
  <c r="F42" i="6" s="1"/>
  <c r="J42" i="6" s="1"/>
  <c r="BX26" i="6"/>
  <c r="BW26" i="6"/>
  <c r="BV26" i="6"/>
  <c r="BU26" i="6"/>
  <c r="BS26" i="6"/>
  <c r="BR26" i="6"/>
  <c r="BQ26" i="6"/>
  <c r="BN26" i="6"/>
  <c r="BM26" i="6"/>
  <c r="BL26" i="6"/>
  <c r="BK26" i="6"/>
  <c r="BJ26" i="6"/>
  <c r="BI26" i="6"/>
  <c r="BH26" i="6"/>
  <c r="BG26" i="6"/>
  <c r="BE26" i="6"/>
  <c r="BD26" i="6"/>
  <c r="BC26" i="6"/>
  <c r="BB26" i="6"/>
  <c r="BA26" i="6"/>
  <c r="AZ26" i="6"/>
  <c r="AY26" i="6"/>
  <c r="AX26" i="6"/>
  <c r="AW26" i="6"/>
  <c r="AU26" i="6"/>
  <c r="AT26" i="6"/>
  <c r="AS26" i="6"/>
  <c r="AR26" i="6"/>
  <c r="AP26" i="6"/>
  <c r="AO26" i="6"/>
  <c r="AN26" i="6"/>
  <c r="AM26" i="6"/>
  <c r="AL26" i="6"/>
  <c r="AJ26" i="6"/>
  <c r="AI26" i="6"/>
  <c r="AH26" i="6"/>
  <c r="AG26" i="6"/>
  <c r="AF26" i="6"/>
  <c r="AD26" i="6"/>
  <c r="AB26" i="6"/>
  <c r="AA26" i="6"/>
  <c r="Z26" i="6"/>
  <c r="X26" i="6"/>
  <c r="W26" i="6"/>
  <c r="V26" i="6"/>
  <c r="U26" i="6"/>
  <c r="T26" i="6"/>
  <c r="S26" i="6"/>
  <c r="R26" i="6"/>
  <c r="Q26" i="6"/>
  <c r="P26" i="6"/>
  <c r="O26" i="6"/>
  <c r="N26" i="6"/>
  <c r="L26" i="6"/>
  <c r="H26" i="6"/>
  <c r="H60" i="6" s="1"/>
  <c r="D26" i="6"/>
  <c r="C26" i="6"/>
  <c r="C60" i="6" s="1"/>
  <c r="B26" i="6"/>
  <c r="B60" i="6" s="1"/>
  <c r="A26" i="6"/>
  <c r="A60" i="6" s="1"/>
  <c r="CB25" i="6"/>
  <c r="BZ25" i="6"/>
  <c r="BY25" i="6"/>
  <c r="F41" i="6" s="1"/>
  <c r="J41" i="6" s="1"/>
  <c r="BX25" i="6"/>
  <c r="BW25" i="6"/>
  <c r="BV25" i="6"/>
  <c r="BU25" i="6"/>
  <c r="BS25" i="6"/>
  <c r="BR25" i="6"/>
  <c r="BQ25" i="6"/>
  <c r="BN25" i="6"/>
  <c r="BM25" i="6"/>
  <c r="BL25" i="6"/>
  <c r="BK25" i="6"/>
  <c r="BJ25" i="6"/>
  <c r="BI25" i="6"/>
  <c r="BH25" i="6"/>
  <c r="BG25" i="6"/>
  <c r="BE25" i="6"/>
  <c r="BD25" i="6"/>
  <c r="BC25" i="6"/>
  <c r="BB25" i="6"/>
  <c r="BA25" i="6"/>
  <c r="AZ25" i="6"/>
  <c r="AY25" i="6"/>
  <c r="AX25" i="6"/>
  <c r="AW25" i="6"/>
  <c r="AU25" i="6"/>
  <c r="AT25" i="6"/>
  <c r="AS25" i="6"/>
  <c r="AR25" i="6"/>
  <c r="AP25" i="6"/>
  <c r="AO25" i="6"/>
  <c r="AN25" i="6"/>
  <c r="AM25" i="6"/>
  <c r="AL25" i="6"/>
  <c r="AJ25" i="6"/>
  <c r="AI25" i="6"/>
  <c r="AH25" i="6"/>
  <c r="AG25" i="6"/>
  <c r="AF25" i="6"/>
  <c r="AD25" i="6"/>
  <c r="AB25" i="6"/>
  <c r="AA25" i="6"/>
  <c r="Z25" i="6"/>
  <c r="X25" i="6"/>
  <c r="W25" i="6"/>
  <c r="V25" i="6"/>
  <c r="U25" i="6"/>
  <c r="T25" i="6"/>
  <c r="S25" i="6"/>
  <c r="R25" i="6"/>
  <c r="Q25" i="6"/>
  <c r="P25" i="6"/>
  <c r="O25" i="6"/>
  <c r="N25" i="6"/>
  <c r="L25" i="6"/>
  <c r="H25" i="6"/>
  <c r="H59" i="6" s="1"/>
  <c r="D25" i="6"/>
  <c r="C25" i="6"/>
  <c r="C59" i="6" s="1"/>
  <c r="B25" i="6"/>
  <c r="B59" i="6" s="1"/>
  <c r="A25" i="6"/>
  <c r="A59" i="6" s="1"/>
  <c r="CB24" i="6"/>
  <c r="BZ24" i="6"/>
  <c r="BY24" i="6"/>
  <c r="F40" i="6" s="1"/>
  <c r="J40" i="6" s="1"/>
  <c r="BX24" i="6"/>
  <c r="BW24" i="6"/>
  <c r="BV24" i="6"/>
  <c r="BU24" i="6"/>
  <c r="BS24" i="6"/>
  <c r="BR24" i="6"/>
  <c r="BQ24" i="6"/>
  <c r="BN24" i="6"/>
  <c r="BM24" i="6"/>
  <c r="BL24" i="6"/>
  <c r="BK24" i="6"/>
  <c r="BJ24" i="6"/>
  <c r="BI24" i="6"/>
  <c r="BH24" i="6"/>
  <c r="BG24" i="6"/>
  <c r="BE24" i="6"/>
  <c r="BD24" i="6"/>
  <c r="BC24" i="6"/>
  <c r="BB24" i="6"/>
  <c r="BA24" i="6"/>
  <c r="AZ24" i="6"/>
  <c r="AY24" i="6"/>
  <c r="AX24" i="6"/>
  <c r="AW24" i="6"/>
  <c r="AU24" i="6"/>
  <c r="AT24" i="6"/>
  <c r="AS24" i="6"/>
  <c r="AR24" i="6"/>
  <c r="AP24" i="6"/>
  <c r="AO24" i="6"/>
  <c r="AN24" i="6"/>
  <c r="AM24" i="6"/>
  <c r="AL24" i="6"/>
  <c r="AJ24" i="6"/>
  <c r="AI24" i="6"/>
  <c r="AH24" i="6"/>
  <c r="AG24" i="6"/>
  <c r="AF24" i="6"/>
  <c r="AD24" i="6"/>
  <c r="AB24" i="6"/>
  <c r="AA24" i="6"/>
  <c r="Z24" i="6"/>
  <c r="X24" i="6"/>
  <c r="W24" i="6"/>
  <c r="V24" i="6"/>
  <c r="U24" i="6"/>
  <c r="T24" i="6"/>
  <c r="S24" i="6"/>
  <c r="R24" i="6"/>
  <c r="Q24" i="6"/>
  <c r="P24" i="6"/>
  <c r="O24" i="6"/>
  <c r="L24" i="6"/>
  <c r="H24" i="6"/>
  <c r="H58" i="6" s="1"/>
  <c r="D24" i="6"/>
  <c r="C24" i="6"/>
  <c r="C58" i="6" s="1"/>
  <c r="B24" i="6"/>
  <c r="B58" i="6" s="1"/>
  <c r="A24" i="6"/>
  <c r="A58" i="6" s="1"/>
  <c r="CB23" i="6"/>
  <c r="BY23" i="6"/>
  <c r="F39" i="6" s="1"/>
  <c r="J39" i="6" s="1"/>
  <c r="BV23" i="6"/>
  <c r="BU23" i="6"/>
  <c r="BS23" i="6"/>
  <c r="BR23" i="6"/>
  <c r="BQ23" i="6"/>
  <c r="BN23" i="6"/>
  <c r="BL23" i="6"/>
  <c r="BK23" i="6"/>
  <c r="BJ23" i="6"/>
  <c r="BI23" i="6"/>
  <c r="BH23" i="6"/>
  <c r="BE23" i="6"/>
  <c r="BD23" i="6"/>
  <c r="BC23" i="6"/>
  <c r="BB23" i="6"/>
  <c r="AZ23" i="6"/>
  <c r="AY23" i="6"/>
  <c r="AX23" i="6"/>
  <c r="AW23" i="6"/>
  <c r="AV23" i="6"/>
  <c r="AU23" i="6"/>
  <c r="AT23" i="6"/>
  <c r="AS23" i="6"/>
  <c r="AQ23" i="6"/>
  <c r="AP23" i="6"/>
  <c r="AO23" i="6"/>
  <c r="AN23" i="6"/>
  <c r="AM23" i="6"/>
  <c r="AL23" i="6"/>
  <c r="AK23" i="6"/>
  <c r="AJ23" i="6"/>
  <c r="AI23" i="6"/>
  <c r="AH23" i="6"/>
  <c r="AG23" i="6"/>
  <c r="AF23" i="6"/>
  <c r="AD23" i="6"/>
  <c r="AB23" i="6"/>
  <c r="AA23" i="6"/>
  <c r="Z23" i="6"/>
  <c r="X23" i="6"/>
  <c r="W23" i="6"/>
  <c r="V23" i="6"/>
  <c r="U23" i="6"/>
  <c r="T23" i="6"/>
  <c r="S23" i="6"/>
  <c r="R23" i="6"/>
  <c r="Q23" i="6"/>
  <c r="P23" i="6"/>
  <c r="O23" i="6"/>
  <c r="N23" i="6"/>
  <c r="L23" i="6"/>
  <c r="H23" i="6"/>
  <c r="H57" i="6" s="1"/>
  <c r="B23" i="6"/>
  <c r="B57" i="6" s="1"/>
  <c r="A23" i="6"/>
  <c r="A57" i="6" s="1"/>
  <c r="CB22" i="6"/>
  <c r="BZ22" i="6"/>
  <c r="CA22" i="6" s="1"/>
  <c r="BY22" i="6"/>
  <c r="F38" i="6" s="1"/>
  <c r="J38" i="6" s="1"/>
  <c r="BX22" i="6"/>
  <c r="BW22" i="6"/>
  <c r="BV22" i="6"/>
  <c r="BU22" i="6"/>
  <c r="BS22" i="6"/>
  <c r="BR22" i="6"/>
  <c r="BQ22" i="6"/>
  <c r="BN22" i="6"/>
  <c r="BM22" i="6"/>
  <c r="BL22" i="6"/>
  <c r="BK22" i="6"/>
  <c r="BJ22" i="6"/>
  <c r="BI22" i="6"/>
  <c r="BH22" i="6"/>
  <c r="BE22" i="6"/>
  <c r="BD22" i="6"/>
  <c r="BC22" i="6"/>
  <c r="BB22" i="6"/>
  <c r="AZ22" i="6"/>
  <c r="AY22" i="6"/>
  <c r="AX22" i="6"/>
  <c r="AW22" i="6"/>
  <c r="AV22" i="6"/>
  <c r="AU22" i="6"/>
  <c r="AT22" i="6"/>
  <c r="AS22" i="6"/>
  <c r="AQ22" i="6"/>
  <c r="AP22" i="6"/>
  <c r="AO22" i="6"/>
  <c r="AN22" i="6"/>
  <c r="AM22" i="6"/>
  <c r="AL22" i="6"/>
  <c r="AK22" i="6"/>
  <c r="AJ22" i="6"/>
  <c r="AI22" i="6"/>
  <c r="AH22" i="6"/>
  <c r="AG22" i="6"/>
  <c r="AF22" i="6"/>
  <c r="AD22" i="6"/>
  <c r="AB22" i="6"/>
  <c r="AA22" i="6"/>
  <c r="Z22" i="6"/>
  <c r="X22" i="6"/>
  <c r="W22" i="6"/>
  <c r="V22" i="6"/>
  <c r="U22" i="6"/>
  <c r="T22" i="6"/>
  <c r="S22" i="6"/>
  <c r="R22" i="6"/>
  <c r="Q22" i="6"/>
  <c r="P22" i="6"/>
  <c r="O22" i="6"/>
  <c r="N22" i="6"/>
  <c r="L22" i="6"/>
  <c r="H22" i="6"/>
  <c r="H56" i="6" s="1"/>
  <c r="D22" i="6"/>
  <c r="C22" i="6"/>
  <c r="C56" i="6" s="1"/>
  <c r="B22" i="6"/>
  <c r="B56" i="6" s="1"/>
  <c r="A22" i="6"/>
  <c r="A56" i="6" s="1"/>
  <c r="CB21" i="6"/>
  <c r="BZ21" i="6"/>
  <c r="CA21" i="6" s="1"/>
  <c r="BY21" i="6"/>
  <c r="F37" i="6" s="1"/>
  <c r="J37" i="6" s="1"/>
  <c r="BX21" i="6"/>
  <c r="BW21" i="6"/>
  <c r="BV21" i="6"/>
  <c r="BU21" i="6"/>
  <c r="BS21" i="6"/>
  <c r="BR21" i="6"/>
  <c r="BQ21" i="6"/>
  <c r="BN21" i="6"/>
  <c r="BM21" i="6"/>
  <c r="BL21" i="6"/>
  <c r="BK21" i="6"/>
  <c r="BJ21" i="6"/>
  <c r="BI21" i="6"/>
  <c r="BH21" i="6"/>
  <c r="BE21" i="6"/>
  <c r="BD21" i="6"/>
  <c r="BC21" i="6"/>
  <c r="BB21" i="6"/>
  <c r="AZ21" i="6"/>
  <c r="AY21" i="6"/>
  <c r="AX21" i="6"/>
  <c r="AW21" i="6"/>
  <c r="AV21" i="6"/>
  <c r="AU21" i="6"/>
  <c r="AT21" i="6"/>
  <c r="AS21" i="6"/>
  <c r="AQ21" i="6"/>
  <c r="AP21" i="6"/>
  <c r="AO21" i="6"/>
  <c r="AN21" i="6"/>
  <c r="AM21" i="6"/>
  <c r="AL21" i="6"/>
  <c r="AK21" i="6"/>
  <c r="AJ21" i="6"/>
  <c r="AI21" i="6"/>
  <c r="AH21" i="6"/>
  <c r="AG21" i="6"/>
  <c r="AF21" i="6"/>
  <c r="AD21" i="6"/>
  <c r="AB21" i="6"/>
  <c r="AA21" i="6"/>
  <c r="Z21" i="6"/>
  <c r="X21" i="6"/>
  <c r="W21" i="6"/>
  <c r="V21" i="6"/>
  <c r="U21" i="6"/>
  <c r="T21" i="6"/>
  <c r="S21" i="6"/>
  <c r="R21" i="6"/>
  <c r="Q21" i="6"/>
  <c r="P21" i="6"/>
  <c r="O21" i="6"/>
  <c r="N21" i="6"/>
  <c r="L21" i="6"/>
  <c r="H21" i="6"/>
  <c r="H55" i="6" s="1"/>
  <c r="D21" i="6"/>
  <c r="C21" i="6"/>
  <c r="C55" i="6" s="1"/>
  <c r="B21" i="6"/>
  <c r="B55" i="6" s="1"/>
  <c r="A21" i="6"/>
  <c r="A55" i="6" s="1"/>
  <c r="CB20" i="6"/>
  <c r="BZ20" i="6"/>
  <c r="CA20" i="6" s="1"/>
  <c r="BY20" i="6"/>
  <c r="F36" i="6" s="1"/>
  <c r="J36" i="6" s="1"/>
  <c r="BX20" i="6"/>
  <c r="BW20" i="6"/>
  <c r="BV20" i="6"/>
  <c r="BU20" i="6"/>
  <c r="BS20" i="6"/>
  <c r="BR20" i="6"/>
  <c r="BQ20" i="6"/>
  <c r="BN20" i="6"/>
  <c r="BM20" i="6"/>
  <c r="BL20" i="6"/>
  <c r="BK20" i="6"/>
  <c r="BJ20" i="6"/>
  <c r="BI20" i="6"/>
  <c r="BH20" i="6"/>
  <c r="BE20" i="6"/>
  <c r="BD20" i="6"/>
  <c r="BC20" i="6"/>
  <c r="BB20" i="6"/>
  <c r="AZ20" i="6"/>
  <c r="AY20" i="6"/>
  <c r="AX20" i="6"/>
  <c r="AW20" i="6"/>
  <c r="AV20" i="6"/>
  <c r="AU20" i="6"/>
  <c r="AT20" i="6"/>
  <c r="AS20" i="6"/>
  <c r="AQ20" i="6"/>
  <c r="AP20" i="6"/>
  <c r="AO20" i="6"/>
  <c r="AN20" i="6"/>
  <c r="AM20" i="6"/>
  <c r="AL20" i="6"/>
  <c r="AK20" i="6"/>
  <c r="AJ20" i="6"/>
  <c r="AI20" i="6"/>
  <c r="AH20" i="6"/>
  <c r="AG20" i="6"/>
  <c r="AF20" i="6"/>
  <c r="AD20" i="6"/>
  <c r="AB20" i="6"/>
  <c r="AA20" i="6"/>
  <c r="Z20" i="6"/>
  <c r="X20" i="6"/>
  <c r="W20" i="6"/>
  <c r="V20" i="6"/>
  <c r="U20" i="6"/>
  <c r="T20" i="6"/>
  <c r="S20" i="6"/>
  <c r="R20" i="6"/>
  <c r="Q20" i="6"/>
  <c r="P20" i="6"/>
  <c r="O20" i="6"/>
  <c r="N20" i="6"/>
  <c r="L20" i="6"/>
  <c r="H20" i="6"/>
  <c r="H54" i="6" s="1"/>
  <c r="D20" i="6"/>
  <c r="C20" i="6"/>
  <c r="C54" i="6" s="1"/>
  <c r="B20" i="6"/>
  <c r="B54" i="6" s="1"/>
  <c r="A20" i="6"/>
  <c r="A54" i="6" s="1"/>
  <c r="CB19" i="6"/>
  <c r="BZ19" i="6"/>
  <c r="CA19" i="6" s="1"/>
  <c r="BY19" i="6"/>
  <c r="F35" i="6" s="1"/>
  <c r="J35" i="6" s="1"/>
  <c r="BX19" i="6"/>
  <c r="BW19" i="6"/>
  <c r="BV19" i="6"/>
  <c r="BU19" i="6"/>
  <c r="BS19" i="6"/>
  <c r="BR19" i="6"/>
  <c r="BQ19" i="6"/>
  <c r="BN19" i="6"/>
  <c r="BM19" i="6"/>
  <c r="BL19" i="6"/>
  <c r="BK19" i="6"/>
  <c r="BJ19" i="6"/>
  <c r="BI19" i="6"/>
  <c r="BH19" i="6"/>
  <c r="BE19" i="6"/>
  <c r="BD19" i="6"/>
  <c r="BC19" i="6"/>
  <c r="BB19" i="6"/>
  <c r="AZ19" i="6"/>
  <c r="AY19" i="6"/>
  <c r="AX19" i="6"/>
  <c r="AW19" i="6"/>
  <c r="AV19" i="6"/>
  <c r="AU19" i="6"/>
  <c r="AT19" i="6"/>
  <c r="AS19" i="6"/>
  <c r="AQ19" i="6"/>
  <c r="AP19" i="6"/>
  <c r="AO19" i="6"/>
  <c r="AN19" i="6"/>
  <c r="AM19" i="6"/>
  <c r="AL19" i="6"/>
  <c r="AK19" i="6"/>
  <c r="AJ19" i="6"/>
  <c r="AI19" i="6"/>
  <c r="AH19" i="6"/>
  <c r="AG19" i="6"/>
  <c r="AF19" i="6"/>
  <c r="AD19" i="6"/>
  <c r="AB19" i="6"/>
  <c r="AA19" i="6"/>
  <c r="Z19" i="6"/>
  <c r="X19" i="6"/>
  <c r="W19" i="6"/>
  <c r="V19" i="6"/>
  <c r="U19" i="6"/>
  <c r="T19" i="6"/>
  <c r="S19" i="6"/>
  <c r="R19" i="6"/>
  <c r="Q19" i="6"/>
  <c r="P19" i="6"/>
  <c r="O19" i="6"/>
  <c r="L19" i="6"/>
  <c r="H19" i="6"/>
  <c r="H53" i="6" s="1"/>
  <c r="D19" i="6"/>
  <c r="D53" i="6" s="1"/>
  <c r="C19" i="6"/>
  <c r="C53" i="6" s="1"/>
  <c r="B19" i="6"/>
  <c r="B53" i="6" s="1"/>
  <c r="A19" i="6"/>
  <c r="A53" i="6" s="1"/>
  <c r="BU18" i="6"/>
  <c r="CA24" i="6"/>
  <c r="CA23" i="6"/>
  <c r="BY17" i="6"/>
  <c r="BX17" i="6"/>
  <c r="BW17" i="6"/>
  <c r="BV17" i="6"/>
  <c r="B17" i="6"/>
  <c r="N16" i="6"/>
  <c r="K54" i="4"/>
  <c r="K55" i="4"/>
  <c r="K56" i="4"/>
  <c r="K57" i="4"/>
  <c r="K58" i="4"/>
  <c r="K59" i="4"/>
  <c r="K60" i="4"/>
  <c r="K61" i="4"/>
  <c r="K62" i="4"/>
  <c r="K63" i="4"/>
  <c r="K64" i="4"/>
  <c r="K65" i="4"/>
  <c r="K66" i="4"/>
  <c r="K53" i="4"/>
  <c r="H54" i="4"/>
  <c r="H55" i="4"/>
  <c r="H56" i="4"/>
  <c r="H57" i="4"/>
  <c r="H58" i="4"/>
  <c r="H59" i="4"/>
  <c r="H60" i="4"/>
  <c r="H61" i="4"/>
  <c r="H62" i="4"/>
  <c r="H63" i="4"/>
  <c r="H64" i="4"/>
  <c r="H65" i="4"/>
  <c r="H66" i="4"/>
  <c r="H53" i="4"/>
  <c r="F54" i="4"/>
  <c r="F55" i="4"/>
  <c r="F56" i="4"/>
  <c r="F57" i="4"/>
  <c r="F58" i="4"/>
  <c r="F59" i="4"/>
  <c r="F60" i="4"/>
  <c r="F61" i="4"/>
  <c r="F62" i="4"/>
  <c r="F63" i="4"/>
  <c r="F64" i="4"/>
  <c r="F65" i="4"/>
  <c r="F66" i="4"/>
  <c r="F53" i="4"/>
  <c r="D54" i="4"/>
  <c r="D55" i="4"/>
  <c r="D56" i="4"/>
  <c r="D57" i="4"/>
  <c r="D58" i="4"/>
  <c r="D59" i="4"/>
  <c r="D60" i="4"/>
  <c r="D61" i="4"/>
  <c r="D62" i="4"/>
  <c r="D63" i="4"/>
  <c r="D64" i="4"/>
  <c r="D65" i="4"/>
  <c r="D66" i="4"/>
  <c r="D53" i="4"/>
  <c r="C54" i="4"/>
  <c r="C55" i="4"/>
  <c r="C56" i="4"/>
  <c r="C57" i="4"/>
  <c r="C58" i="4"/>
  <c r="C59" i="4"/>
  <c r="C60" i="4"/>
  <c r="C61" i="4"/>
  <c r="C62" i="4"/>
  <c r="C63" i="4"/>
  <c r="C64" i="4"/>
  <c r="C65" i="4"/>
  <c r="C66" i="4"/>
  <c r="C53" i="4"/>
  <c r="B54" i="4"/>
  <c r="B55" i="4"/>
  <c r="B56" i="4"/>
  <c r="B57" i="4"/>
  <c r="B58" i="4"/>
  <c r="B59" i="4"/>
  <c r="B60" i="4"/>
  <c r="B61" i="4"/>
  <c r="B62" i="4"/>
  <c r="B63" i="4"/>
  <c r="B64" i="4"/>
  <c r="B65" i="4"/>
  <c r="B66" i="4"/>
  <c r="B53" i="4"/>
  <c r="A54" i="4"/>
  <c r="A55" i="4"/>
  <c r="A56" i="4"/>
  <c r="A57" i="4"/>
  <c r="A58" i="4"/>
  <c r="A59" i="4"/>
  <c r="A60" i="4"/>
  <c r="A61" i="4"/>
  <c r="A62" i="4"/>
  <c r="A63" i="4"/>
  <c r="A64" i="4"/>
  <c r="A65" i="4"/>
  <c r="A66" i="4"/>
  <c r="A53" i="4"/>
  <c r="L53" i="4"/>
  <c r="CA32" i="4"/>
  <c r="CA31" i="4"/>
  <c r="CA30" i="4"/>
  <c r="CA29" i="4"/>
  <c r="CA28" i="4"/>
  <c r="CA27" i="4"/>
  <c r="CA26" i="4"/>
  <c r="CA25" i="4"/>
  <c r="CA24" i="4"/>
  <c r="CA23" i="4"/>
  <c r="CA22" i="4"/>
  <c r="CA21" i="4"/>
  <c r="CA20" i="4"/>
  <c r="CA19" i="4"/>
  <c r="CE19" i="4" l="1"/>
  <c r="CE21" i="4"/>
  <c r="CE23" i="4"/>
  <c r="CE25" i="4"/>
  <c r="CE27" i="4"/>
  <c r="CE29" i="4"/>
  <c r="CE31" i="4"/>
  <c r="CG19" i="4"/>
  <c r="CG21" i="4"/>
  <c r="CG23" i="4"/>
  <c r="CG25" i="4"/>
  <c r="CG27" i="4"/>
  <c r="CG29" i="4"/>
  <c r="CG31" i="4"/>
  <c r="CE20" i="4"/>
  <c r="CE22" i="4"/>
  <c r="CE24" i="4"/>
  <c r="CE26" i="4"/>
  <c r="CE28" i="4"/>
  <c r="CE30" i="4"/>
  <c r="CE32" i="4"/>
  <c r="CG20" i="4"/>
  <c r="CG22" i="4"/>
  <c r="CG24" i="4"/>
  <c r="CG26" i="4"/>
  <c r="CG28" i="4"/>
  <c r="CG30" i="4"/>
  <c r="CG32" i="4"/>
  <c r="R25" i="9"/>
  <c r="R17" i="9"/>
  <c r="Q23" i="9"/>
  <c r="Q17" i="9"/>
  <c r="Q15" i="9"/>
  <c r="K47" i="8"/>
  <c r="M47" i="8" s="1"/>
  <c r="K45" i="8"/>
  <c r="M45" i="8" s="1"/>
  <c r="F29" i="8" s="1"/>
  <c r="F63" i="8" s="1"/>
  <c r="K23" i="9" s="1"/>
  <c r="O23" i="9" s="1"/>
  <c r="R23" i="9" s="1"/>
  <c r="K39" i="8"/>
  <c r="M39" i="8" s="1"/>
  <c r="K37" i="8"/>
  <c r="M37" i="8" s="1"/>
  <c r="L37" i="8" s="1"/>
  <c r="K35" i="8"/>
  <c r="M35" i="8" s="1"/>
  <c r="F19" i="8" s="1"/>
  <c r="F53" i="8" s="1"/>
  <c r="K13" i="9" s="1"/>
  <c r="O13" i="9" s="1"/>
  <c r="R13" i="9" s="1"/>
  <c r="L41" i="8"/>
  <c r="F25" i="8"/>
  <c r="F59" i="8" s="1"/>
  <c r="K19" i="9" s="1"/>
  <c r="O19" i="9" s="1"/>
  <c r="R19" i="9" s="1"/>
  <c r="CE32" i="8"/>
  <c r="CC32" i="8"/>
  <c r="CG32" i="8"/>
  <c r="F21" i="8"/>
  <c r="F55" i="8" s="1"/>
  <c r="K15" i="9" s="1"/>
  <c r="O15" i="9" s="1"/>
  <c r="R15" i="9" s="1"/>
  <c r="L43" i="8"/>
  <c r="F27" i="8"/>
  <c r="F61" i="8" s="1"/>
  <c r="K21" i="9" s="1"/>
  <c r="O21" i="9" s="1"/>
  <c r="R21" i="9" s="1"/>
  <c r="L35" i="8"/>
  <c r="L39" i="8"/>
  <c r="F23" i="8"/>
  <c r="F57" i="8" s="1"/>
  <c r="K17" i="9" s="1"/>
  <c r="O17" i="9" s="1"/>
  <c r="L45" i="8"/>
  <c r="L47" i="8"/>
  <c r="F31" i="8"/>
  <c r="F65" i="8" s="1"/>
  <c r="K25" i="9" s="1"/>
  <c r="O25" i="9" s="1"/>
  <c r="CA21" i="8"/>
  <c r="CA22" i="8"/>
  <c r="CA26" i="8"/>
  <c r="CA27" i="8"/>
  <c r="CA28" i="8"/>
  <c r="CA31" i="8"/>
  <c r="D66" i="8"/>
  <c r="D48" i="8"/>
  <c r="D45" i="8"/>
  <c r="CA19" i="8"/>
  <c r="CA20" i="8"/>
  <c r="CA23" i="8"/>
  <c r="CA24" i="8"/>
  <c r="CA25" i="8"/>
  <c r="D60" i="8"/>
  <c r="D42" i="8"/>
  <c r="CA29" i="8"/>
  <c r="CA30" i="8"/>
  <c r="F32" i="8"/>
  <c r="F66" i="8" s="1"/>
  <c r="K26" i="9" s="1"/>
  <c r="O26" i="9" s="1"/>
  <c r="R26" i="9" s="1"/>
  <c r="K36" i="8"/>
  <c r="M36" i="8" s="1"/>
  <c r="K38" i="8"/>
  <c r="M38" i="8" s="1"/>
  <c r="K40" i="8"/>
  <c r="M40" i="8" s="1"/>
  <c r="K42" i="8"/>
  <c r="M42" i="8" s="1"/>
  <c r="K44" i="8"/>
  <c r="M44" i="8" s="1"/>
  <c r="K46" i="8"/>
  <c r="M46" i="8" s="1"/>
  <c r="D36" i="8"/>
  <c r="D38" i="8"/>
  <c r="D40" i="8"/>
  <c r="D44" i="8"/>
  <c r="D46" i="8"/>
  <c r="K35" i="7"/>
  <c r="M35" i="7" s="1"/>
  <c r="L35" i="7" s="1"/>
  <c r="CE27" i="7"/>
  <c r="CC27" i="7"/>
  <c r="CH27" i="7" s="1"/>
  <c r="CG27" i="7"/>
  <c r="CA32" i="7"/>
  <c r="F19" i="7"/>
  <c r="F53" i="7" s="1"/>
  <c r="J13" i="9" s="1"/>
  <c r="N13" i="9" s="1"/>
  <c r="Q13" i="9" s="1"/>
  <c r="CA19" i="7"/>
  <c r="CA20" i="7"/>
  <c r="D55" i="7"/>
  <c r="D37" i="7"/>
  <c r="CA23" i="7"/>
  <c r="CA24" i="7"/>
  <c r="CA25" i="7"/>
  <c r="D60" i="7"/>
  <c r="D42" i="7"/>
  <c r="CA29" i="7"/>
  <c r="CA31" i="7"/>
  <c r="L41" i="7"/>
  <c r="F25" i="7"/>
  <c r="F59" i="7" s="1"/>
  <c r="J19" i="9" s="1"/>
  <c r="N19" i="9" s="1"/>
  <c r="Q19" i="9" s="1"/>
  <c r="K44" i="7"/>
  <c r="M44" i="7" s="1"/>
  <c r="K46" i="7"/>
  <c r="M46" i="7" s="1"/>
  <c r="L47" i="7"/>
  <c r="F31" i="7"/>
  <c r="F65" i="7" s="1"/>
  <c r="J25" i="9" s="1"/>
  <c r="N25" i="9" s="1"/>
  <c r="Q25" i="9" s="1"/>
  <c r="S25" i="9" s="1"/>
  <c r="CA21" i="7"/>
  <c r="CA22" i="7"/>
  <c r="CA26" i="7"/>
  <c r="L43" i="7"/>
  <c r="F27" i="7"/>
  <c r="F61" i="7" s="1"/>
  <c r="J21" i="9" s="1"/>
  <c r="N21" i="9" s="1"/>
  <c r="Q21" i="9" s="1"/>
  <c r="CA28" i="7"/>
  <c r="D63" i="7"/>
  <c r="D45" i="7"/>
  <c r="CA30" i="7"/>
  <c r="K36" i="7"/>
  <c r="M36" i="7" s="1"/>
  <c r="K38" i="7"/>
  <c r="M38" i="7" s="1"/>
  <c r="K40" i="7"/>
  <c r="M40" i="7" s="1"/>
  <c r="K42" i="7"/>
  <c r="M42" i="7" s="1"/>
  <c r="K48" i="7"/>
  <c r="M48" i="7" s="1"/>
  <c r="D35" i="7"/>
  <c r="D47" i="7"/>
  <c r="D36" i="7"/>
  <c r="D38" i="7"/>
  <c r="D40" i="7"/>
  <c r="D44" i="7"/>
  <c r="D46" i="7"/>
  <c r="D48" i="7"/>
  <c r="CE24" i="6"/>
  <c r="CG24" i="6"/>
  <c r="CC24" i="6"/>
  <c r="CH24" i="6" s="1"/>
  <c r="CG19" i="6"/>
  <c r="CC19" i="6"/>
  <c r="CH19" i="6" s="1"/>
  <c r="CE19" i="6"/>
  <c r="CG21" i="6"/>
  <c r="CC21" i="6"/>
  <c r="CE21" i="6"/>
  <c r="CG27" i="6"/>
  <c r="CC27" i="6"/>
  <c r="CH27" i="6" s="1"/>
  <c r="CE27" i="6"/>
  <c r="CG29" i="6"/>
  <c r="CC29" i="6"/>
  <c r="CE29" i="6"/>
  <c r="CG23" i="6"/>
  <c r="CC23" i="6"/>
  <c r="CE23" i="6"/>
  <c r="CH23" i="6"/>
  <c r="CG20" i="6"/>
  <c r="CC20" i="6"/>
  <c r="CH20" i="6" s="1"/>
  <c r="CE20" i="6"/>
  <c r="CG22" i="6"/>
  <c r="CC22" i="6"/>
  <c r="CE22" i="6"/>
  <c r="CH22" i="6" s="1"/>
  <c r="CG28" i="6"/>
  <c r="CC28" i="6"/>
  <c r="CE28" i="6"/>
  <c r="CG30" i="6"/>
  <c r="CC30" i="6"/>
  <c r="CH30" i="6" s="1"/>
  <c r="CE30" i="6"/>
  <c r="D55" i="6"/>
  <c r="D37" i="6"/>
  <c r="D58" i="6"/>
  <c r="D40" i="6"/>
  <c r="K59" i="6"/>
  <c r="E41" i="6"/>
  <c r="K41" i="6" s="1"/>
  <c r="M41" i="6" s="1"/>
  <c r="CA25" i="6"/>
  <c r="K60" i="6"/>
  <c r="E42" i="6"/>
  <c r="K42" i="6" s="1"/>
  <c r="M42" i="6" s="1"/>
  <c r="CA26" i="6"/>
  <c r="K61" i="6"/>
  <c r="E43" i="6"/>
  <c r="K43" i="6" s="1"/>
  <c r="M43" i="6" s="1"/>
  <c r="D62" i="6"/>
  <c r="D44" i="6"/>
  <c r="D63" i="6"/>
  <c r="D45" i="6"/>
  <c r="D64" i="6"/>
  <c r="D46" i="6"/>
  <c r="D65" i="6"/>
  <c r="D47" i="6"/>
  <c r="CA31" i="6"/>
  <c r="K66" i="6"/>
  <c r="E48" i="6"/>
  <c r="K48" i="6" s="1"/>
  <c r="M48" i="6" s="1"/>
  <c r="CA32" i="6"/>
  <c r="K53" i="6"/>
  <c r="E35" i="6"/>
  <c r="K35" i="6" s="1"/>
  <c r="M35" i="6" s="1"/>
  <c r="D54" i="6"/>
  <c r="D36" i="6"/>
  <c r="D56" i="6"/>
  <c r="D38" i="6"/>
  <c r="K54" i="6"/>
  <c r="E36" i="6"/>
  <c r="K36" i="6" s="1"/>
  <c r="M36" i="6" s="1"/>
  <c r="E37" i="6"/>
  <c r="K37" i="6" s="1"/>
  <c r="M37" i="6" s="1"/>
  <c r="K55" i="6"/>
  <c r="K56" i="6"/>
  <c r="E38" i="6"/>
  <c r="K38" i="6" s="1"/>
  <c r="M38" i="6" s="1"/>
  <c r="K57" i="6"/>
  <c r="E39" i="6"/>
  <c r="K39" i="6" s="1"/>
  <c r="M39" i="6" s="1"/>
  <c r="K58" i="6"/>
  <c r="E40" i="6"/>
  <c r="K40" i="6" s="1"/>
  <c r="M40" i="6" s="1"/>
  <c r="D59" i="6"/>
  <c r="D41" i="6"/>
  <c r="D60" i="6"/>
  <c r="D42" i="6"/>
  <c r="D61" i="6"/>
  <c r="D43" i="6"/>
  <c r="K62" i="6"/>
  <c r="E44" i="6"/>
  <c r="K44" i="6" s="1"/>
  <c r="M44" i="6" s="1"/>
  <c r="K63" i="6"/>
  <c r="E45" i="6"/>
  <c r="K45" i="6" s="1"/>
  <c r="M45" i="6" s="1"/>
  <c r="K64" i="6"/>
  <c r="E46" i="6"/>
  <c r="K46" i="6" s="1"/>
  <c r="M46" i="6" s="1"/>
  <c r="K65" i="6"/>
  <c r="E47" i="6"/>
  <c r="K47" i="6" s="1"/>
  <c r="M47" i="6" s="1"/>
  <c r="D66" i="6"/>
  <c r="D48" i="6"/>
  <c r="D35" i="6"/>
  <c r="K31" i="4"/>
  <c r="K28" i="4"/>
  <c r="K27" i="4"/>
  <c r="K22" i="4"/>
  <c r="K21" i="4"/>
  <c r="K20" i="4"/>
  <c r="K19" i="4"/>
  <c r="CH32" i="8" l="1"/>
  <c r="E32" i="8" s="1"/>
  <c r="CH28" i="6"/>
  <c r="CJ28" i="6" s="1"/>
  <c r="CH29" i="6"/>
  <c r="CH21" i="6"/>
  <c r="E21" i="6" s="1"/>
  <c r="S19" i="9"/>
  <c r="S15" i="9"/>
  <c r="S23" i="9"/>
  <c r="S21" i="9"/>
  <c r="S17" i="9"/>
  <c r="S13" i="9"/>
  <c r="CL32" i="8"/>
  <c r="CJ32" i="8"/>
  <c r="F28" i="8"/>
  <c r="F62" i="8" s="1"/>
  <c r="K22" i="9" s="1"/>
  <c r="O22" i="9" s="1"/>
  <c r="R22" i="9" s="1"/>
  <c r="L44" i="8"/>
  <c r="F24" i="8"/>
  <c r="F58" i="8" s="1"/>
  <c r="K18" i="9" s="1"/>
  <c r="O18" i="9" s="1"/>
  <c r="R18" i="9" s="1"/>
  <c r="L40" i="8"/>
  <c r="F20" i="8"/>
  <c r="F54" i="8" s="1"/>
  <c r="K14" i="9" s="1"/>
  <c r="O14" i="9" s="1"/>
  <c r="R14" i="9" s="1"/>
  <c r="L36" i="8"/>
  <c r="CG30" i="8"/>
  <c r="CC30" i="8"/>
  <c r="CE30" i="8"/>
  <c r="CG25" i="8"/>
  <c r="CC25" i="8"/>
  <c r="CE25" i="8"/>
  <c r="CH25" i="8" s="1"/>
  <c r="CE23" i="8"/>
  <c r="CC23" i="8"/>
  <c r="CH23" i="8" s="1"/>
  <c r="CG23" i="8"/>
  <c r="CE19" i="8"/>
  <c r="CC19" i="8"/>
  <c r="CG19" i="8"/>
  <c r="CG31" i="8"/>
  <c r="CC31" i="8"/>
  <c r="CH31" i="8" s="1"/>
  <c r="CE31" i="8"/>
  <c r="CE27" i="8"/>
  <c r="CG27" i="8"/>
  <c r="CH27" i="8" s="1"/>
  <c r="CC27" i="8"/>
  <c r="CG22" i="8"/>
  <c r="CC22" i="8"/>
  <c r="CH22" i="8"/>
  <c r="CE22" i="8"/>
  <c r="F30" i="8"/>
  <c r="F64" i="8" s="1"/>
  <c r="K24" i="9" s="1"/>
  <c r="O24" i="9" s="1"/>
  <c r="R24" i="9" s="1"/>
  <c r="L46" i="8"/>
  <c r="L42" i="8"/>
  <c r="F26" i="8"/>
  <c r="F60" i="8" s="1"/>
  <c r="K20" i="9" s="1"/>
  <c r="O20" i="9" s="1"/>
  <c r="R20" i="9" s="1"/>
  <c r="F22" i="8"/>
  <c r="F56" i="8" s="1"/>
  <c r="K16" i="9" s="1"/>
  <c r="O16" i="9" s="1"/>
  <c r="R16" i="9" s="1"/>
  <c r="L38" i="8"/>
  <c r="CE29" i="8"/>
  <c r="CC29" i="8"/>
  <c r="CG29" i="8"/>
  <c r="CE24" i="8"/>
  <c r="CC24" i="8"/>
  <c r="CH24" i="8" s="1"/>
  <c r="CG24" i="8"/>
  <c r="CG20" i="8"/>
  <c r="CC20" i="8"/>
  <c r="CE20" i="8"/>
  <c r="CH20" i="8" s="1"/>
  <c r="CG28" i="8"/>
  <c r="CC28" i="8"/>
  <c r="CH28" i="8" s="1"/>
  <c r="CE28" i="8"/>
  <c r="CE26" i="8"/>
  <c r="CG26" i="8"/>
  <c r="CH26" i="8" s="1"/>
  <c r="CC26" i="8"/>
  <c r="CE21" i="8"/>
  <c r="CG21" i="8"/>
  <c r="CC21" i="8"/>
  <c r="CL27" i="7"/>
  <c r="CJ27" i="7"/>
  <c r="L48" i="7"/>
  <c r="F32" i="7"/>
  <c r="F66" i="7" s="1"/>
  <c r="J26" i="9" s="1"/>
  <c r="N26" i="9" s="1"/>
  <c r="Q26" i="9" s="1"/>
  <c r="S26" i="9" s="1"/>
  <c r="F24" i="7"/>
  <c r="F58" i="7" s="1"/>
  <c r="J18" i="9" s="1"/>
  <c r="N18" i="9" s="1"/>
  <c r="Q18" i="9" s="1"/>
  <c r="S18" i="9" s="1"/>
  <c r="L40" i="7"/>
  <c r="F20" i="7"/>
  <c r="F54" i="7" s="1"/>
  <c r="J14" i="9" s="1"/>
  <c r="N14" i="9" s="1"/>
  <c r="Q14" i="9" s="1"/>
  <c r="S14" i="9" s="1"/>
  <c r="L36" i="7"/>
  <c r="CG28" i="7"/>
  <c r="CC28" i="7"/>
  <c r="CE28" i="7"/>
  <c r="CH28" i="7" s="1"/>
  <c r="CG22" i="7"/>
  <c r="CC22" i="7"/>
  <c r="CE22" i="7"/>
  <c r="F30" i="7"/>
  <c r="F64" i="7" s="1"/>
  <c r="J24" i="9" s="1"/>
  <c r="N24" i="9" s="1"/>
  <c r="Q24" i="9" s="1"/>
  <c r="S24" i="9" s="1"/>
  <c r="L46" i="7"/>
  <c r="CG31" i="7"/>
  <c r="CC31" i="7"/>
  <c r="CH31" i="7"/>
  <c r="CE31" i="7"/>
  <c r="CG25" i="7"/>
  <c r="CC25" i="7"/>
  <c r="CH25" i="7"/>
  <c r="CE25" i="7"/>
  <c r="CE23" i="7"/>
  <c r="CG23" i="7"/>
  <c r="CC23" i="7"/>
  <c r="CE19" i="7"/>
  <c r="CG19" i="7"/>
  <c r="CH19" i="7" s="1"/>
  <c r="CC19" i="7"/>
  <c r="L42" i="7"/>
  <c r="F26" i="7"/>
  <c r="F60" i="7" s="1"/>
  <c r="J20" i="9" s="1"/>
  <c r="N20" i="9" s="1"/>
  <c r="Q20" i="9" s="1"/>
  <c r="S20" i="9" s="1"/>
  <c r="F22" i="7"/>
  <c r="F56" i="7" s="1"/>
  <c r="J16" i="9" s="1"/>
  <c r="N16" i="9" s="1"/>
  <c r="Q16" i="9" s="1"/>
  <c r="S16" i="9" s="1"/>
  <c r="L38" i="7"/>
  <c r="CG30" i="7"/>
  <c r="CC30" i="7"/>
  <c r="CH30" i="7"/>
  <c r="CE30" i="7"/>
  <c r="CE26" i="7"/>
  <c r="CC26" i="7"/>
  <c r="CG26" i="7"/>
  <c r="CE21" i="7"/>
  <c r="CC21" i="7"/>
  <c r="CH21" i="7" s="1"/>
  <c r="CG21" i="7"/>
  <c r="F28" i="7"/>
  <c r="F62" i="7" s="1"/>
  <c r="J22" i="9" s="1"/>
  <c r="N22" i="9" s="1"/>
  <c r="Q22" i="9" s="1"/>
  <c r="S22" i="9" s="1"/>
  <c r="L44" i="7"/>
  <c r="CE29" i="7"/>
  <c r="CG29" i="7"/>
  <c r="CC29" i="7"/>
  <c r="CE24" i="7"/>
  <c r="CG24" i="7"/>
  <c r="CH24" i="7" s="1"/>
  <c r="CC24" i="7"/>
  <c r="CG20" i="7"/>
  <c r="CH20" i="7" s="1"/>
  <c r="CC20" i="7"/>
  <c r="CE20" i="7"/>
  <c r="CE32" i="7"/>
  <c r="CG32" i="7"/>
  <c r="CC32" i="7"/>
  <c r="CJ29" i="6"/>
  <c r="E29" i="6" s="1"/>
  <c r="CL29" i="6"/>
  <c r="CJ21" i="6"/>
  <c r="CL21" i="6"/>
  <c r="CJ30" i="6"/>
  <c r="CL30" i="6"/>
  <c r="CJ20" i="6"/>
  <c r="E20" i="6"/>
  <c r="CL20" i="6"/>
  <c r="CJ27" i="6"/>
  <c r="CL27" i="6"/>
  <c r="E27" i="6"/>
  <c r="CJ19" i="6"/>
  <c r="CL19" i="6"/>
  <c r="E19" i="6" s="1"/>
  <c r="CL24" i="6"/>
  <c r="CJ24" i="6"/>
  <c r="E24" i="6" s="1"/>
  <c r="L46" i="6"/>
  <c r="F30" i="6"/>
  <c r="F64" i="6" s="1"/>
  <c r="L44" i="6"/>
  <c r="F28" i="6"/>
  <c r="F62" i="6" s="1"/>
  <c r="L40" i="6"/>
  <c r="F24" i="6"/>
  <c r="F58" i="6" s="1"/>
  <c r="L39" i="6"/>
  <c r="F23" i="6"/>
  <c r="F57" i="6" s="1"/>
  <c r="L38" i="6"/>
  <c r="F22" i="6"/>
  <c r="F56" i="6" s="1"/>
  <c r="L36" i="6"/>
  <c r="F20" i="6"/>
  <c r="F54" i="6" s="1"/>
  <c r="L35" i="6"/>
  <c r="F19" i="6"/>
  <c r="F53" i="6" s="1"/>
  <c r="CE32" i="6"/>
  <c r="CG32" i="6"/>
  <c r="CC32" i="6"/>
  <c r="L43" i="6"/>
  <c r="F27" i="6"/>
  <c r="F61" i="6" s="1"/>
  <c r="CE26" i="6"/>
  <c r="CG26" i="6"/>
  <c r="CC26" i="6"/>
  <c r="CH26" i="6" s="1"/>
  <c r="L41" i="6"/>
  <c r="F25" i="6"/>
  <c r="F59" i="6" s="1"/>
  <c r="CJ22" i="6"/>
  <c r="E22" i="6"/>
  <c r="CL22" i="6"/>
  <c r="CJ23" i="6"/>
  <c r="E23" i="6" s="1"/>
  <c r="CL23" i="6"/>
  <c r="L47" i="6"/>
  <c r="F31" i="6"/>
  <c r="F65" i="6" s="1"/>
  <c r="L45" i="6"/>
  <c r="F29" i="6"/>
  <c r="F63" i="6" s="1"/>
  <c r="L37" i="6"/>
  <c r="F21" i="6"/>
  <c r="F55" i="6" s="1"/>
  <c r="L48" i="6"/>
  <c r="F32" i="6"/>
  <c r="F66" i="6" s="1"/>
  <c r="CE31" i="6"/>
  <c r="CG31" i="6"/>
  <c r="CC31" i="6"/>
  <c r="CH31" i="6" s="1"/>
  <c r="L42" i="6"/>
  <c r="F26" i="6"/>
  <c r="F60" i="6" s="1"/>
  <c r="CE25" i="6"/>
  <c r="CG25" i="6"/>
  <c r="CC25" i="6"/>
  <c r="BY21" i="4"/>
  <c r="F37" i="4" s="1"/>
  <c r="J37" i="4" s="1"/>
  <c r="BY23" i="4"/>
  <c r="F39" i="4" s="1"/>
  <c r="J39" i="4" s="1"/>
  <c r="BY25" i="4"/>
  <c r="F41" i="4" s="1"/>
  <c r="J41" i="4" s="1"/>
  <c r="BY22" i="4"/>
  <c r="F38" i="4" s="1"/>
  <c r="J38" i="4" s="1"/>
  <c r="BY32" i="4"/>
  <c r="F48" i="4" s="1"/>
  <c r="J48" i="4" s="1"/>
  <c r="BY24" i="4"/>
  <c r="F40" i="4" s="1"/>
  <c r="J40" i="4" s="1"/>
  <c r="BY28" i="4"/>
  <c r="F44" i="4" s="1"/>
  <c r="J44" i="4" s="1"/>
  <c r="BY31" i="4"/>
  <c r="F47" i="4" s="1"/>
  <c r="J47" i="4" s="1"/>
  <c r="BY26" i="4"/>
  <c r="F42" i="4" s="1"/>
  <c r="J42" i="4" s="1"/>
  <c r="BY30" i="4"/>
  <c r="F46" i="4" s="1"/>
  <c r="J46" i="4" s="1"/>
  <c r="BY19" i="4"/>
  <c r="F35" i="4" s="1"/>
  <c r="J35" i="4" s="1"/>
  <c r="BY27" i="4"/>
  <c r="F43" i="4" s="1"/>
  <c r="J43" i="4" s="1"/>
  <c r="BY20" i="4"/>
  <c r="F36" i="4" s="1"/>
  <c r="J36" i="4" s="1"/>
  <c r="BY29" i="4"/>
  <c r="F45" i="4" s="1"/>
  <c r="J45" i="4" s="1"/>
  <c r="BY17" i="4"/>
  <c r="CH21" i="8" l="1"/>
  <c r="E21" i="8" s="1"/>
  <c r="CH29" i="8"/>
  <c r="CH19" i="8"/>
  <c r="CL19" i="8" s="1"/>
  <c r="CH30" i="8"/>
  <c r="CH32" i="7"/>
  <c r="CJ32" i="7" s="1"/>
  <c r="E32" i="7" s="1"/>
  <c r="CH29" i="7"/>
  <c r="CH26" i="7"/>
  <c r="CJ26" i="7" s="1"/>
  <c r="E26" i="7" s="1"/>
  <c r="CH23" i="7"/>
  <c r="CH22" i="7"/>
  <c r="CJ22" i="7" s="1"/>
  <c r="E27" i="7"/>
  <c r="CH25" i="6"/>
  <c r="CH32" i="6"/>
  <c r="E30" i="6"/>
  <c r="CL28" i="6"/>
  <c r="E28" i="6" s="1"/>
  <c r="CL21" i="8"/>
  <c r="CJ21" i="8"/>
  <c r="CL29" i="8"/>
  <c r="CJ29" i="8"/>
  <c r="E29" i="8" s="1"/>
  <c r="CJ19" i="8"/>
  <c r="CJ30" i="8"/>
  <c r="CL30" i="8"/>
  <c r="E30" i="8" s="1"/>
  <c r="CL26" i="8"/>
  <c r="CJ26" i="8"/>
  <c r="E26" i="8" s="1"/>
  <c r="CJ20" i="8"/>
  <c r="CL20" i="8"/>
  <c r="E20" i="8" s="1"/>
  <c r="CL24" i="8"/>
  <c r="CJ24" i="8"/>
  <c r="CL27" i="8"/>
  <c r="CJ27" i="8"/>
  <c r="CL23" i="8"/>
  <c r="CJ23" i="8"/>
  <c r="E23" i="8" s="1"/>
  <c r="CJ25" i="8"/>
  <c r="CL25" i="8"/>
  <c r="E25" i="8" s="1"/>
  <c r="CJ28" i="8"/>
  <c r="E28" i="8" s="1"/>
  <c r="CL28" i="8"/>
  <c r="CJ22" i="8"/>
  <c r="CL22" i="8"/>
  <c r="CJ31" i="8"/>
  <c r="E31" i="8"/>
  <c r="CL31" i="8"/>
  <c r="G32" i="8"/>
  <c r="E66" i="8"/>
  <c r="CL32" i="7"/>
  <c r="CL29" i="7"/>
  <c r="CJ29" i="7"/>
  <c r="CL26" i="7"/>
  <c r="CL23" i="7"/>
  <c r="CJ23" i="7"/>
  <c r="E23" i="7" s="1"/>
  <c r="CL22" i="7"/>
  <c r="E61" i="7"/>
  <c r="G27" i="7"/>
  <c r="CL24" i="7"/>
  <c r="CJ24" i="7"/>
  <c r="CL21" i="7"/>
  <c r="CJ21" i="7"/>
  <c r="E21" i="7" s="1"/>
  <c r="CL19" i="7"/>
  <c r="CJ19" i="7"/>
  <c r="E19" i="7" s="1"/>
  <c r="CJ28" i="7"/>
  <c r="CL28" i="7"/>
  <c r="E28" i="7" s="1"/>
  <c r="CJ30" i="7"/>
  <c r="CL30" i="7"/>
  <c r="E30" i="7" s="1"/>
  <c r="CJ25" i="7"/>
  <c r="E25" i="7" s="1"/>
  <c r="CL25" i="7"/>
  <c r="CJ31" i="7"/>
  <c r="CL31" i="7"/>
  <c r="CJ20" i="7"/>
  <c r="E20" i="7"/>
  <c r="CL20" i="7"/>
  <c r="CL31" i="6"/>
  <c r="E31" i="6"/>
  <c r="CJ31" i="6"/>
  <c r="E57" i="6"/>
  <c r="G23" i="6"/>
  <c r="CL26" i="6"/>
  <c r="CJ26" i="6"/>
  <c r="E26" i="6"/>
  <c r="E58" i="6"/>
  <c r="G24" i="6"/>
  <c r="E53" i="6"/>
  <c r="G19" i="6"/>
  <c r="E63" i="6"/>
  <c r="G29" i="6"/>
  <c r="CL25" i="6"/>
  <c r="CJ25" i="6"/>
  <c r="E25" i="6" s="1"/>
  <c r="CL32" i="6"/>
  <c r="CJ32" i="6"/>
  <c r="E32" i="6" s="1"/>
  <c r="E64" i="6"/>
  <c r="G30" i="6"/>
  <c r="E56" i="6"/>
  <c r="G22" i="6"/>
  <c r="E61" i="6"/>
  <c r="G27" i="6"/>
  <c r="E54" i="6"/>
  <c r="G20" i="6"/>
  <c r="E55" i="6"/>
  <c r="G21" i="6"/>
  <c r="A21" i="4"/>
  <c r="B21" i="4"/>
  <c r="C21" i="4"/>
  <c r="D21" i="4"/>
  <c r="D37" i="4" s="1"/>
  <c r="H21" i="4"/>
  <c r="E37" i="4"/>
  <c r="K37" i="4" s="1"/>
  <c r="M37" i="4" s="1"/>
  <c r="L21" i="4"/>
  <c r="N21" i="4"/>
  <c r="O21" i="4"/>
  <c r="P21" i="4"/>
  <c r="Q21" i="4"/>
  <c r="R21" i="4"/>
  <c r="S21" i="4"/>
  <c r="T21" i="4"/>
  <c r="U21" i="4"/>
  <c r="V21" i="4"/>
  <c r="W21" i="4"/>
  <c r="X21" i="4"/>
  <c r="Z21" i="4"/>
  <c r="AA21" i="4"/>
  <c r="AB21" i="4"/>
  <c r="AD21" i="4"/>
  <c r="AF21" i="4"/>
  <c r="AG21" i="4"/>
  <c r="AH21" i="4"/>
  <c r="AI21" i="4"/>
  <c r="AJ21" i="4"/>
  <c r="AK21" i="4"/>
  <c r="AL21" i="4"/>
  <c r="AM21" i="4"/>
  <c r="AN21" i="4"/>
  <c r="AO21" i="4"/>
  <c r="AP21" i="4"/>
  <c r="AQ21" i="4"/>
  <c r="AS21" i="4"/>
  <c r="AT21" i="4"/>
  <c r="AU21" i="4"/>
  <c r="AV21" i="4"/>
  <c r="AW21" i="4"/>
  <c r="AX21" i="4"/>
  <c r="AY21" i="4"/>
  <c r="AZ21" i="4"/>
  <c r="BB21" i="4"/>
  <c r="BC21" i="4"/>
  <c r="BD21" i="4"/>
  <c r="BE21" i="4"/>
  <c r="BH21" i="4"/>
  <c r="BI21" i="4"/>
  <c r="BJ21" i="4"/>
  <c r="BK21" i="4"/>
  <c r="BL21" i="4"/>
  <c r="BM21" i="4"/>
  <c r="BN21" i="4"/>
  <c r="BQ21" i="4"/>
  <c r="BR21" i="4"/>
  <c r="BS21" i="4"/>
  <c r="BU21" i="4"/>
  <c r="BV21" i="4"/>
  <c r="BW21" i="4"/>
  <c r="BX21" i="4"/>
  <c r="BZ21" i="4"/>
  <c r="CB21" i="4"/>
  <c r="A23" i="4"/>
  <c r="B23" i="4"/>
  <c r="D39" i="4"/>
  <c r="H23" i="4"/>
  <c r="K23" i="4"/>
  <c r="E39" i="4" s="1"/>
  <c r="K39" i="4" s="1"/>
  <c r="M39" i="4" s="1"/>
  <c r="L23" i="4"/>
  <c r="N23" i="4"/>
  <c r="O23" i="4"/>
  <c r="P23" i="4"/>
  <c r="Q23" i="4"/>
  <c r="R23" i="4"/>
  <c r="S23" i="4"/>
  <c r="T23" i="4"/>
  <c r="U23" i="4"/>
  <c r="V23" i="4"/>
  <c r="W23" i="4"/>
  <c r="X23" i="4"/>
  <c r="Z23" i="4"/>
  <c r="AA23" i="4"/>
  <c r="AB23" i="4"/>
  <c r="AD23" i="4"/>
  <c r="AF23" i="4"/>
  <c r="AG23" i="4"/>
  <c r="AH23" i="4"/>
  <c r="AI23" i="4"/>
  <c r="AJ23" i="4"/>
  <c r="AK23" i="4"/>
  <c r="AL23" i="4"/>
  <c r="AM23" i="4"/>
  <c r="AN23" i="4"/>
  <c r="AO23" i="4"/>
  <c r="AP23" i="4"/>
  <c r="AQ23" i="4"/>
  <c r="AS23" i="4"/>
  <c r="AT23" i="4"/>
  <c r="AU23" i="4"/>
  <c r="AV23" i="4"/>
  <c r="AW23" i="4"/>
  <c r="AX23" i="4"/>
  <c r="AY23" i="4"/>
  <c r="AZ23" i="4"/>
  <c r="BB23" i="4"/>
  <c r="BC23" i="4"/>
  <c r="BD23" i="4"/>
  <c r="BE23" i="4"/>
  <c r="BH23" i="4"/>
  <c r="BI23" i="4"/>
  <c r="BJ23" i="4"/>
  <c r="BK23" i="4"/>
  <c r="BL23" i="4"/>
  <c r="BN23" i="4"/>
  <c r="BQ23" i="4"/>
  <c r="BR23" i="4"/>
  <c r="BS23" i="4"/>
  <c r="BU23" i="4"/>
  <c r="BV23" i="4"/>
  <c r="CB23" i="4"/>
  <c r="A25" i="4"/>
  <c r="B25" i="4"/>
  <c r="C25" i="4"/>
  <c r="D25" i="4"/>
  <c r="D41" i="4" s="1"/>
  <c r="H25" i="4"/>
  <c r="K25" i="4"/>
  <c r="E41" i="4" s="1"/>
  <c r="K41" i="4" s="1"/>
  <c r="M41" i="4" s="1"/>
  <c r="L25" i="4"/>
  <c r="N25" i="4"/>
  <c r="O25" i="4"/>
  <c r="P25" i="4"/>
  <c r="Q25" i="4"/>
  <c r="R25" i="4"/>
  <c r="S25" i="4"/>
  <c r="T25" i="4"/>
  <c r="U25" i="4"/>
  <c r="V25" i="4"/>
  <c r="W25" i="4"/>
  <c r="X25" i="4"/>
  <c r="Z25" i="4"/>
  <c r="AA25" i="4"/>
  <c r="AB25" i="4"/>
  <c r="AD25" i="4"/>
  <c r="AF25" i="4"/>
  <c r="AG25" i="4"/>
  <c r="AH25" i="4"/>
  <c r="AI25" i="4"/>
  <c r="AJ25" i="4"/>
  <c r="AL25" i="4"/>
  <c r="AM25" i="4"/>
  <c r="AN25" i="4"/>
  <c r="AO25" i="4"/>
  <c r="AP25" i="4"/>
  <c r="AR25" i="4"/>
  <c r="AS25" i="4"/>
  <c r="AT25" i="4"/>
  <c r="AU25" i="4"/>
  <c r="AW25" i="4"/>
  <c r="AX25" i="4"/>
  <c r="AY25" i="4"/>
  <c r="AZ25" i="4"/>
  <c r="BA25" i="4"/>
  <c r="BB25" i="4"/>
  <c r="BC25" i="4"/>
  <c r="BD25" i="4"/>
  <c r="BE25" i="4"/>
  <c r="BG25" i="4"/>
  <c r="BH25" i="4"/>
  <c r="BI25" i="4"/>
  <c r="BJ25" i="4"/>
  <c r="BK25" i="4"/>
  <c r="BL25" i="4"/>
  <c r="BM25" i="4"/>
  <c r="BN25" i="4"/>
  <c r="BQ25" i="4"/>
  <c r="BR25" i="4"/>
  <c r="BS25" i="4"/>
  <c r="BU25" i="4"/>
  <c r="BV25" i="4"/>
  <c r="BW25" i="4"/>
  <c r="BX25" i="4"/>
  <c r="BZ25" i="4"/>
  <c r="CB25" i="4"/>
  <c r="A22" i="4"/>
  <c r="B22" i="4"/>
  <c r="C22" i="4"/>
  <c r="D22" i="4"/>
  <c r="D38" i="4" s="1"/>
  <c r="H22" i="4"/>
  <c r="E38" i="4"/>
  <c r="K38" i="4" s="1"/>
  <c r="M38" i="4" s="1"/>
  <c r="L22" i="4"/>
  <c r="N22" i="4"/>
  <c r="O22" i="4"/>
  <c r="P22" i="4"/>
  <c r="Q22" i="4"/>
  <c r="R22" i="4"/>
  <c r="S22" i="4"/>
  <c r="T22" i="4"/>
  <c r="U22" i="4"/>
  <c r="V22" i="4"/>
  <c r="W22" i="4"/>
  <c r="X22" i="4"/>
  <c r="Z22" i="4"/>
  <c r="AA22" i="4"/>
  <c r="AB22" i="4"/>
  <c r="AD22" i="4"/>
  <c r="AF22" i="4"/>
  <c r="AG22" i="4"/>
  <c r="AH22" i="4"/>
  <c r="AI22" i="4"/>
  <c r="AJ22" i="4"/>
  <c r="AK22" i="4"/>
  <c r="AL22" i="4"/>
  <c r="AM22" i="4"/>
  <c r="AN22" i="4"/>
  <c r="AO22" i="4"/>
  <c r="AP22" i="4"/>
  <c r="AQ22" i="4"/>
  <c r="AS22" i="4"/>
  <c r="AT22" i="4"/>
  <c r="AU22" i="4"/>
  <c r="AV22" i="4"/>
  <c r="AW22" i="4"/>
  <c r="AX22" i="4"/>
  <c r="AY22" i="4"/>
  <c r="AZ22" i="4"/>
  <c r="BB22" i="4"/>
  <c r="BC22" i="4"/>
  <c r="BD22" i="4"/>
  <c r="BE22" i="4"/>
  <c r="BH22" i="4"/>
  <c r="BI22" i="4"/>
  <c r="BJ22" i="4"/>
  <c r="BK22" i="4"/>
  <c r="BL22" i="4"/>
  <c r="BM22" i="4"/>
  <c r="BN22" i="4"/>
  <c r="BQ22" i="4"/>
  <c r="BR22" i="4"/>
  <c r="BS22" i="4"/>
  <c r="BU22" i="4"/>
  <c r="BV22" i="4"/>
  <c r="BW22" i="4"/>
  <c r="BX22" i="4"/>
  <c r="BZ22" i="4"/>
  <c r="CB22" i="4"/>
  <c r="A32" i="4"/>
  <c r="B32" i="4"/>
  <c r="C32" i="4"/>
  <c r="D32" i="4"/>
  <c r="D48" i="4" s="1"/>
  <c r="H32" i="4"/>
  <c r="K32" i="4"/>
  <c r="E48" i="4" s="1"/>
  <c r="K48" i="4" s="1"/>
  <c r="M48" i="4" s="1"/>
  <c r="L32" i="4"/>
  <c r="N32" i="4"/>
  <c r="O32" i="4"/>
  <c r="P32" i="4"/>
  <c r="Q32" i="4"/>
  <c r="R32" i="4"/>
  <c r="S32" i="4"/>
  <c r="T32" i="4"/>
  <c r="U32" i="4"/>
  <c r="V32" i="4"/>
  <c r="W32" i="4"/>
  <c r="X32" i="4"/>
  <c r="Z32" i="4"/>
  <c r="AA32" i="4"/>
  <c r="AB32" i="4"/>
  <c r="AD32" i="4"/>
  <c r="AF32" i="4"/>
  <c r="AG32" i="4"/>
  <c r="AH32" i="4"/>
  <c r="AI32" i="4"/>
  <c r="AJ32" i="4"/>
  <c r="AL32" i="4"/>
  <c r="AM32" i="4"/>
  <c r="AN32" i="4"/>
  <c r="AO32" i="4"/>
  <c r="AP32" i="4"/>
  <c r="AR32" i="4"/>
  <c r="AS32" i="4"/>
  <c r="AT32" i="4"/>
  <c r="AU32" i="4"/>
  <c r="AW32" i="4"/>
  <c r="AX32" i="4"/>
  <c r="AY32" i="4"/>
  <c r="AZ32" i="4"/>
  <c r="BA32" i="4"/>
  <c r="BB32" i="4"/>
  <c r="BC32" i="4"/>
  <c r="BD32" i="4"/>
  <c r="BE32" i="4"/>
  <c r="BG32" i="4"/>
  <c r="BH32" i="4"/>
  <c r="BI32" i="4"/>
  <c r="BJ32" i="4"/>
  <c r="BK32" i="4"/>
  <c r="BL32" i="4"/>
  <c r="BM32" i="4"/>
  <c r="BN32" i="4"/>
  <c r="BQ32" i="4"/>
  <c r="BR32" i="4"/>
  <c r="BS32" i="4"/>
  <c r="BU32" i="4"/>
  <c r="BV32" i="4"/>
  <c r="BW32" i="4"/>
  <c r="BX32" i="4"/>
  <c r="BZ32" i="4"/>
  <c r="CB32" i="4"/>
  <c r="A24" i="4"/>
  <c r="B24" i="4"/>
  <c r="C24" i="4"/>
  <c r="D24" i="4"/>
  <c r="D40" i="4" s="1"/>
  <c r="H24" i="4"/>
  <c r="K24" i="4"/>
  <c r="E40" i="4" s="1"/>
  <c r="K40" i="4" s="1"/>
  <c r="M40" i="4" s="1"/>
  <c r="L24" i="4"/>
  <c r="O24" i="4"/>
  <c r="P24" i="4"/>
  <c r="Q24" i="4"/>
  <c r="R24" i="4"/>
  <c r="S24" i="4"/>
  <c r="T24" i="4"/>
  <c r="U24" i="4"/>
  <c r="V24" i="4"/>
  <c r="W24" i="4"/>
  <c r="X24" i="4"/>
  <c r="Z24" i="4"/>
  <c r="AA24" i="4"/>
  <c r="AB24" i="4"/>
  <c r="AD24" i="4"/>
  <c r="AF24" i="4"/>
  <c r="AG24" i="4"/>
  <c r="AH24" i="4"/>
  <c r="AI24" i="4"/>
  <c r="AJ24" i="4"/>
  <c r="AL24" i="4"/>
  <c r="AM24" i="4"/>
  <c r="AN24" i="4"/>
  <c r="AO24" i="4"/>
  <c r="AP24" i="4"/>
  <c r="AR24" i="4"/>
  <c r="AS24" i="4"/>
  <c r="AT24" i="4"/>
  <c r="AU24" i="4"/>
  <c r="AW24" i="4"/>
  <c r="AX24" i="4"/>
  <c r="AY24" i="4"/>
  <c r="AZ24" i="4"/>
  <c r="BA24" i="4"/>
  <c r="BB24" i="4"/>
  <c r="BC24" i="4"/>
  <c r="BD24" i="4"/>
  <c r="BE24" i="4"/>
  <c r="BG24" i="4"/>
  <c r="BH24" i="4"/>
  <c r="BI24" i="4"/>
  <c r="BJ24" i="4"/>
  <c r="BK24" i="4"/>
  <c r="BL24" i="4"/>
  <c r="BM24" i="4"/>
  <c r="BN24" i="4"/>
  <c r="BQ24" i="4"/>
  <c r="BR24" i="4"/>
  <c r="BS24" i="4"/>
  <c r="BU24" i="4"/>
  <c r="BV24" i="4"/>
  <c r="BW24" i="4"/>
  <c r="BX24" i="4"/>
  <c r="BZ24" i="4"/>
  <c r="CB24" i="4"/>
  <c r="A28" i="4"/>
  <c r="B28" i="4"/>
  <c r="C28" i="4"/>
  <c r="D28" i="4"/>
  <c r="D44" i="4" s="1"/>
  <c r="H28" i="4"/>
  <c r="E44" i="4"/>
  <c r="K44" i="4" s="1"/>
  <c r="M44" i="4" s="1"/>
  <c r="L28" i="4"/>
  <c r="N28" i="4"/>
  <c r="O28" i="4"/>
  <c r="P28" i="4"/>
  <c r="Q28" i="4"/>
  <c r="R28" i="4"/>
  <c r="S28" i="4"/>
  <c r="T28" i="4"/>
  <c r="U28" i="4"/>
  <c r="V28" i="4"/>
  <c r="W28" i="4"/>
  <c r="X28" i="4"/>
  <c r="Z28" i="4"/>
  <c r="AA28" i="4"/>
  <c r="AB28" i="4"/>
  <c r="AD28" i="4"/>
  <c r="AF28" i="4"/>
  <c r="AG28" i="4"/>
  <c r="AH28" i="4"/>
  <c r="AI28" i="4"/>
  <c r="AJ28" i="4"/>
  <c r="AK28" i="4"/>
  <c r="AL28" i="4"/>
  <c r="AM28" i="4"/>
  <c r="AN28" i="4"/>
  <c r="AO28" i="4"/>
  <c r="AP28" i="4"/>
  <c r="AQ28" i="4"/>
  <c r="AS28" i="4"/>
  <c r="AT28" i="4"/>
  <c r="AU28" i="4"/>
  <c r="AV28" i="4"/>
  <c r="AW28" i="4"/>
  <c r="AX28" i="4"/>
  <c r="AY28" i="4"/>
  <c r="AZ28" i="4"/>
  <c r="BB28" i="4"/>
  <c r="BC28" i="4"/>
  <c r="BD28" i="4"/>
  <c r="BE28" i="4"/>
  <c r="BH28" i="4"/>
  <c r="BI28" i="4"/>
  <c r="BJ28" i="4"/>
  <c r="BK28" i="4"/>
  <c r="BL28" i="4"/>
  <c r="BM28" i="4"/>
  <c r="BN28" i="4"/>
  <c r="BQ28" i="4"/>
  <c r="BR28" i="4"/>
  <c r="BS28" i="4"/>
  <c r="BU28" i="4"/>
  <c r="BV28" i="4"/>
  <c r="BW28" i="4"/>
  <c r="BX28" i="4"/>
  <c r="BZ28" i="4"/>
  <c r="CB28" i="4"/>
  <c r="A31" i="4"/>
  <c r="B31" i="4"/>
  <c r="C31" i="4"/>
  <c r="D31" i="4"/>
  <c r="D47" i="4" s="1"/>
  <c r="H31" i="4"/>
  <c r="E47" i="4"/>
  <c r="K47" i="4" s="1"/>
  <c r="M47" i="4" s="1"/>
  <c r="L31" i="4"/>
  <c r="O31" i="4"/>
  <c r="P31" i="4"/>
  <c r="Q31" i="4"/>
  <c r="R31" i="4"/>
  <c r="S31" i="4"/>
  <c r="T31" i="4"/>
  <c r="U31" i="4"/>
  <c r="V31" i="4"/>
  <c r="W31" i="4"/>
  <c r="X31" i="4"/>
  <c r="Z31" i="4"/>
  <c r="AA31" i="4"/>
  <c r="AB31" i="4"/>
  <c r="AD31" i="4"/>
  <c r="AF31" i="4"/>
  <c r="AG31" i="4"/>
  <c r="AH31" i="4"/>
  <c r="AI31" i="4"/>
  <c r="AJ31" i="4"/>
  <c r="AL31" i="4"/>
  <c r="AM31" i="4"/>
  <c r="AN31" i="4"/>
  <c r="AO31" i="4"/>
  <c r="AP31" i="4"/>
  <c r="AR31" i="4"/>
  <c r="AS31" i="4"/>
  <c r="AT31" i="4"/>
  <c r="AU31" i="4"/>
  <c r="AW31" i="4"/>
  <c r="AX31" i="4"/>
  <c r="AY31" i="4"/>
  <c r="AZ31" i="4"/>
  <c r="BA31" i="4"/>
  <c r="BB31" i="4"/>
  <c r="BC31" i="4"/>
  <c r="BD31" i="4"/>
  <c r="BE31" i="4"/>
  <c r="BG31" i="4"/>
  <c r="BH31" i="4"/>
  <c r="BI31" i="4"/>
  <c r="BJ31" i="4"/>
  <c r="BK31" i="4"/>
  <c r="BL31" i="4"/>
  <c r="BM31" i="4"/>
  <c r="BN31" i="4"/>
  <c r="BQ31" i="4"/>
  <c r="BR31" i="4"/>
  <c r="BS31" i="4"/>
  <c r="BU31" i="4"/>
  <c r="BV31" i="4"/>
  <c r="BW31" i="4"/>
  <c r="BX31" i="4"/>
  <c r="BZ31" i="4"/>
  <c r="CB31" i="4"/>
  <c r="A26" i="4"/>
  <c r="B26" i="4"/>
  <c r="C26" i="4"/>
  <c r="D26" i="4"/>
  <c r="D42" i="4" s="1"/>
  <c r="H26" i="4"/>
  <c r="K26" i="4"/>
  <c r="E42" i="4" s="1"/>
  <c r="K42" i="4" s="1"/>
  <c r="M42" i="4" s="1"/>
  <c r="L26" i="4"/>
  <c r="N26" i="4"/>
  <c r="O26" i="4"/>
  <c r="P26" i="4"/>
  <c r="Q26" i="4"/>
  <c r="R26" i="4"/>
  <c r="S26" i="4"/>
  <c r="T26" i="4"/>
  <c r="U26" i="4"/>
  <c r="V26" i="4"/>
  <c r="W26" i="4"/>
  <c r="X26" i="4"/>
  <c r="Z26" i="4"/>
  <c r="AA26" i="4"/>
  <c r="AB26" i="4"/>
  <c r="AD26" i="4"/>
  <c r="AF26" i="4"/>
  <c r="AG26" i="4"/>
  <c r="AH26" i="4"/>
  <c r="AI26" i="4"/>
  <c r="AJ26" i="4"/>
  <c r="AL26" i="4"/>
  <c r="AM26" i="4"/>
  <c r="AN26" i="4"/>
  <c r="AO26" i="4"/>
  <c r="AP26" i="4"/>
  <c r="AR26" i="4"/>
  <c r="AS26" i="4"/>
  <c r="AT26" i="4"/>
  <c r="AU26" i="4"/>
  <c r="AW26" i="4"/>
  <c r="AX26" i="4"/>
  <c r="AY26" i="4"/>
  <c r="AZ26" i="4"/>
  <c r="BA26" i="4"/>
  <c r="BB26" i="4"/>
  <c r="BC26" i="4"/>
  <c r="BD26" i="4"/>
  <c r="BE26" i="4"/>
  <c r="BG26" i="4"/>
  <c r="BH26" i="4"/>
  <c r="BI26" i="4"/>
  <c r="BJ26" i="4"/>
  <c r="BK26" i="4"/>
  <c r="BL26" i="4"/>
  <c r="BM26" i="4"/>
  <c r="BN26" i="4"/>
  <c r="BQ26" i="4"/>
  <c r="BR26" i="4"/>
  <c r="BS26" i="4"/>
  <c r="BU26" i="4"/>
  <c r="BV26" i="4"/>
  <c r="BW26" i="4"/>
  <c r="BX26" i="4"/>
  <c r="BZ26" i="4"/>
  <c r="CB26" i="4"/>
  <c r="A30" i="4"/>
  <c r="B30" i="4"/>
  <c r="C30" i="4"/>
  <c r="D30" i="4"/>
  <c r="D46" i="4" s="1"/>
  <c r="H30" i="4"/>
  <c r="K30" i="4"/>
  <c r="E46" i="4" s="1"/>
  <c r="K46" i="4" s="1"/>
  <c r="M46" i="4" s="1"/>
  <c r="L30" i="4"/>
  <c r="N30" i="4"/>
  <c r="O30" i="4"/>
  <c r="P30" i="4"/>
  <c r="Q30" i="4"/>
  <c r="R30" i="4"/>
  <c r="S30" i="4"/>
  <c r="T30" i="4"/>
  <c r="U30" i="4"/>
  <c r="V30" i="4"/>
  <c r="W30" i="4"/>
  <c r="X30" i="4"/>
  <c r="Z30" i="4"/>
  <c r="AA30" i="4"/>
  <c r="AB30" i="4"/>
  <c r="AD30" i="4"/>
  <c r="AF30" i="4"/>
  <c r="AG30" i="4"/>
  <c r="AH30" i="4"/>
  <c r="AI30" i="4"/>
  <c r="AJ30" i="4"/>
  <c r="AL30" i="4"/>
  <c r="AM30" i="4"/>
  <c r="AN30" i="4"/>
  <c r="AO30" i="4"/>
  <c r="AP30" i="4"/>
  <c r="AR30" i="4"/>
  <c r="AS30" i="4"/>
  <c r="AT30" i="4"/>
  <c r="AU30" i="4"/>
  <c r="AW30" i="4"/>
  <c r="AX30" i="4"/>
  <c r="AY30" i="4"/>
  <c r="AZ30" i="4"/>
  <c r="BA30" i="4"/>
  <c r="BB30" i="4"/>
  <c r="BC30" i="4"/>
  <c r="BD30" i="4"/>
  <c r="BE30" i="4"/>
  <c r="BG30" i="4"/>
  <c r="BH30" i="4"/>
  <c r="BI30" i="4"/>
  <c r="BJ30" i="4"/>
  <c r="BK30" i="4"/>
  <c r="BL30" i="4"/>
  <c r="BM30" i="4"/>
  <c r="BN30" i="4"/>
  <c r="BQ30" i="4"/>
  <c r="BR30" i="4"/>
  <c r="BS30" i="4"/>
  <c r="BU30" i="4"/>
  <c r="BV30" i="4"/>
  <c r="BW30" i="4"/>
  <c r="BX30" i="4"/>
  <c r="BZ30" i="4"/>
  <c r="CB30" i="4"/>
  <c r="A19" i="4"/>
  <c r="B19" i="4"/>
  <c r="C19" i="4"/>
  <c r="D19" i="4"/>
  <c r="D35" i="4" s="1"/>
  <c r="H19" i="4"/>
  <c r="E35" i="4"/>
  <c r="K35" i="4" s="1"/>
  <c r="M35" i="4" s="1"/>
  <c r="L19" i="4"/>
  <c r="O19" i="4"/>
  <c r="P19" i="4"/>
  <c r="Q19" i="4"/>
  <c r="R19" i="4"/>
  <c r="S19" i="4"/>
  <c r="T19" i="4"/>
  <c r="U19" i="4"/>
  <c r="V19" i="4"/>
  <c r="W19" i="4"/>
  <c r="X19" i="4"/>
  <c r="Z19" i="4"/>
  <c r="AA19" i="4"/>
  <c r="AB19" i="4"/>
  <c r="AD19" i="4"/>
  <c r="AF19" i="4"/>
  <c r="AG19" i="4"/>
  <c r="AH19" i="4"/>
  <c r="AI19" i="4"/>
  <c r="AJ19" i="4"/>
  <c r="AK19" i="4"/>
  <c r="AL19" i="4"/>
  <c r="AM19" i="4"/>
  <c r="AN19" i="4"/>
  <c r="AO19" i="4"/>
  <c r="AP19" i="4"/>
  <c r="AQ19" i="4"/>
  <c r="AS19" i="4"/>
  <c r="AT19" i="4"/>
  <c r="AU19" i="4"/>
  <c r="AV19" i="4"/>
  <c r="AW19" i="4"/>
  <c r="AX19" i="4"/>
  <c r="AY19" i="4"/>
  <c r="AZ19" i="4"/>
  <c r="BB19" i="4"/>
  <c r="BC19" i="4"/>
  <c r="BD19" i="4"/>
  <c r="BE19" i="4"/>
  <c r="BH19" i="4"/>
  <c r="BI19" i="4"/>
  <c r="BJ19" i="4"/>
  <c r="BK19" i="4"/>
  <c r="BL19" i="4"/>
  <c r="BM19" i="4"/>
  <c r="BN19" i="4"/>
  <c r="BQ19" i="4"/>
  <c r="BR19" i="4"/>
  <c r="BS19" i="4"/>
  <c r="BU19" i="4"/>
  <c r="BV19" i="4"/>
  <c r="BW19" i="4"/>
  <c r="BX19" i="4"/>
  <c r="BZ19" i="4"/>
  <c r="CB19" i="4"/>
  <c r="A27" i="4"/>
  <c r="B27" i="4"/>
  <c r="C27" i="4"/>
  <c r="D27" i="4"/>
  <c r="D43" i="4" s="1"/>
  <c r="H27" i="4"/>
  <c r="E43" i="4"/>
  <c r="K43" i="4" s="1"/>
  <c r="M43" i="4" s="1"/>
  <c r="L27" i="4"/>
  <c r="O27" i="4"/>
  <c r="P27" i="4"/>
  <c r="Q27" i="4"/>
  <c r="R27" i="4"/>
  <c r="S27" i="4"/>
  <c r="T27" i="4"/>
  <c r="U27" i="4"/>
  <c r="V27" i="4"/>
  <c r="W27" i="4"/>
  <c r="X27" i="4"/>
  <c r="Z27" i="4"/>
  <c r="AA27" i="4"/>
  <c r="AB27" i="4"/>
  <c r="AD27" i="4"/>
  <c r="AF27" i="4"/>
  <c r="AG27" i="4"/>
  <c r="AH27" i="4"/>
  <c r="AI27" i="4"/>
  <c r="AJ27" i="4"/>
  <c r="AK27" i="4"/>
  <c r="AL27" i="4"/>
  <c r="AM27" i="4"/>
  <c r="AN27" i="4"/>
  <c r="AO27" i="4"/>
  <c r="AP27" i="4"/>
  <c r="AQ27" i="4"/>
  <c r="AS27" i="4"/>
  <c r="AT27" i="4"/>
  <c r="AU27" i="4"/>
  <c r="AV27" i="4"/>
  <c r="AW27" i="4"/>
  <c r="AX27" i="4"/>
  <c r="AY27" i="4"/>
  <c r="AZ27" i="4"/>
  <c r="BB27" i="4"/>
  <c r="BC27" i="4"/>
  <c r="BD27" i="4"/>
  <c r="BE27" i="4"/>
  <c r="BH27" i="4"/>
  <c r="BI27" i="4"/>
  <c r="BJ27" i="4"/>
  <c r="BK27" i="4"/>
  <c r="BL27" i="4"/>
  <c r="BM27" i="4"/>
  <c r="BN27" i="4"/>
  <c r="BQ27" i="4"/>
  <c r="BR27" i="4"/>
  <c r="BS27" i="4"/>
  <c r="BU27" i="4"/>
  <c r="BV27" i="4"/>
  <c r="BW27" i="4"/>
  <c r="BX27" i="4"/>
  <c r="BZ27" i="4"/>
  <c r="CB27" i="4"/>
  <c r="A20" i="4"/>
  <c r="B20" i="4"/>
  <c r="C20" i="4"/>
  <c r="D20" i="4"/>
  <c r="D36" i="4" s="1"/>
  <c r="H20" i="4"/>
  <c r="E36" i="4"/>
  <c r="K36" i="4" s="1"/>
  <c r="M36" i="4" s="1"/>
  <c r="L20" i="4"/>
  <c r="N20" i="4"/>
  <c r="O20" i="4"/>
  <c r="P20" i="4"/>
  <c r="Q20" i="4"/>
  <c r="R20" i="4"/>
  <c r="S20" i="4"/>
  <c r="T20" i="4"/>
  <c r="U20" i="4"/>
  <c r="V20" i="4"/>
  <c r="W20" i="4"/>
  <c r="X20" i="4"/>
  <c r="Z20" i="4"/>
  <c r="AA20" i="4"/>
  <c r="AB20" i="4"/>
  <c r="AD20" i="4"/>
  <c r="AF20" i="4"/>
  <c r="AG20" i="4"/>
  <c r="AH20" i="4"/>
  <c r="AI20" i="4"/>
  <c r="AJ20" i="4"/>
  <c r="AK20" i="4"/>
  <c r="AL20" i="4"/>
  <c r="AM20" i="4"/>
  <c r="AN20" i="4"/>
  <c r="AO20" i="4"/>
  <c r="AP20" i="4"/>
  <c r="AQ20" i="4"/>
  <c r="AS20" i="4"/>
  <c r="AT20" i="4"/>
  <c r="AU20" i="4"/>
  <c r="AV20" i="4"/>
  <c r="AW20" i="4"/>
  <c r="AX20" i="4"/>
  <c r="AY20" i="4"/>
  <c r="AZ20" i="4"/>
  <c r="BB20" i="4"/>
  <c r="BC20" i="4"/>
  <c r="BD20" i="4"/>
  <c r="BE20" i="4"/>
  <c r="BH20" i="4"/>
  <c r="BI20" i="4"/>
  <c r="BJ20" i="4"/>
  <c r="BK20" i="4"/>
  <c r="BL20" i="4"/>
  <c r="BM20" i="4"/>
  <c r="BN20" i="4"/>
  <c r="BQ20" i="4"/>
  <c r="BR20" i="4"/>
  <c r="BS20" i="4"/>
  <c r="BU20" i="4"/>
  <c r="BV20" i="4"/>
  <c r="BW20" i="4"/>
  <c r="BX20" i="4"/>
  <c r="BZ20" i="4"/>
  <c r="CB20" i="4"/>
  <c r="G66" i="8" l="1"/>
  <c r="I66" i="8" s="1"/>
  <c r="J66" i="8" s="1"/>
  <c r="M66" i="8" s="1"/>
  <c r="W26" i="9"/>
  <c r="E22" i="8"/>
  <c r="G22" i="8" s="1"/>
  <c r="E27" i="8"/>
  <c r="E24" i="8"/>
  <c r="G24" i="8" s="1"/>
  <c r="E19" i="8"/>
  <c r="E31" i="7"/>
  <c r="E24" i="7"/>
  <c r="E22" i="7"/>
  <c r="E29" i="7"/>
  <c r="G61" i="7"/>
  <c r="V21" i="9"/>
  <c r="E62" i="6"/>
  <c r="G28" i="6"/>
  <c r="G63" i="6"/>
  <c r="U23" i="9"/>
  <c r="G53" i="6"/>
  <c r="U13" i="9"/>
  <c r="G58" i="6"/>
  <c r="U18" i="9"/>
  <c r="G55" i="6"/>
  <c r="U15" i="9"/>
  <c r="G54" i="6"/>
  <c r="U14" i="9"/>
  <c r="G61" i="6"/>
  <c r="U21" i="9"/>
  <c r="G56" i="6"/>
  <c r="U16" i="9"/>
  <c r="G64" i="6"/>
  <c r="U24" i="9"/>
  <c r="G57" i="6"/>
  <c r="U17" i="9"/>
  <c r="E56" i="8"/>
  <c r="E61" i="8"/>
  <c r="G27" i="8"/>
  <c r="E58" i="8"/>
  <c r="E53" i="8"/>
  <c r="G19" i="8"/>
  <c r="G29" i="8"/>
  <c r="E63" i="8"/>
  <c r="I32" i="8"/>
  <c r="J32" i="8" s="1"/>
  <c r="M32" i="8" s="1"/>
  <c r="G31" i="8"/>
  <c r="E65" i="8"/>
  <c r="E62" i="8"/>
  <c r="G28" i="8"/>
  <c r="E59" i="8"/>
  <c r="G25" i="8"/>
  <c r="G23" i="8"/>
  <c r="E57" i="8"/>
  <c r="E54" i="8"/>
  <c r="G20" i="8"/>
  <c r="G26" i="8"/>
  <c r="E60" i="8"/>
  <c r="E64" i="8"/>
  <c r="G30" i="8"/>
  <c r="E55" i="8"/>
  <c r="G21" i="8"/>
  <c r="G31" i="7"/>
  <c r="E65" i="7"/>
  <c r="E58" i="7"/>
  <c r="G24" i="7"/>
  <c r="G26" i="7"/>
  <c r="E60" i="7"/>
  <c r="G29" i="7"/>
  <c r="E63" i="7"/>
  <c r="G32" i="7"/>
  <c r="E66" i="7"/>
  <c r="E62" i="7"/>
  <c r="G28" i="7"/>
  <c r="E53" i="7"/>
  <c r="G19" i="7"/>
  <c r="E54" i="7"/>
  <c r="G20" i="7"/>
  <c r="E59" i="7"/>
  <c r="G25" i="7"/>
  <c r="G30" i="7"/>
  <c r="E64" i="7"/>
  <c r="E55" i="7"/>
  <c r="G21" i="7"/>
  <c r="I61" i="7"/>
  <c r="J61" i="7" s="1"/>
  <c r="M61" i="7" s="1"/>
  <c r="I27" i="7"/>
  <c r="J27" i="7" s="1"/>
  <c r="M27" i="7" s="1"/>
  <c r="E56" i="7"/>
  <c r="G22" i="7"/>
  <c r="G23" i="7"/>
  <c r="E57" i="7"/>
  <c r="E66" i="6"/>
  <c r="G32" i="6"/>
  <c r="I28" i="6"/>
  <c r="J28" i="6" s="1"/>
  <c r="M28" i="6" s="1"/>
  <c r="I21" i="6"/>
  <c r="J21" i="6" s="1"/>
  <c r="M21" i="6" s="1"/>
  <c r="I20" i="6"/>
  <c r="J20" i="6" s="1"/>
  <c r="M20" i="6" s="1"/>
  <c r="I27" i="6"/>
  <c r="J27" i="6" s="1"/>
  <c r="M27" i="6" s="1"/>
  <c r="I22" i="6"/>
  <c r="J22" i="6" s="1"/>
  <c r="M22" i="6" s="1"/>
  <c r="I30" i="6"/>
  <c r="J30" i="6" s="1"/>
  <c r="M30" i="6" s="1"/>
  <c r="I29" i="6"/>
  <c r="J29" i="6" s="1"/>
  <c r="M29" i="6" s="1"/>
  <c r="I19" i="6"/>
  <c r="J19" i="6" s="1"/>
  <c r="M19" i="6" s="1"/>
  <c r="I24" i="6"/>
  <c r="J24" i="6" s="1"/>
  <c r="M24" i="6" s="1"/>
  <c r="E60" i="6"/>
  <c r="G26" i="6"/>
  <c r="I57" i="6"/>
  <c r="J57" i="6" s="1"/>
  <c r="M57" i="6" s="1"/>
  <c r="E65" i="6"/>
  <c r="G31" i="6"/>
  <c r="I55" i="6"/>
  <c r="J55" i="6" s="1"/>
  <c r="M55" i="6" s="1"/>
  <c r="I54" i="6"/>
  <c r="J54" i="6" s="1"/>
  <c r="M54" i="6" s="1"/>
  <c r="I61" i="6"/>
  <c r="J61" i="6" s="1"/>
  <c r="M61" i="6" s="1"/>
  <c r="I56" i="6"/>
  <c r="J56" i="6" s="1"/>
  <c r="M56" i="6" s="1"/>
  <c r="I64" i="6"/>
  <c r="J64" i="6" s="1"/>
  <c r="M64" i="6" s="1"/>
  <c r="E59" i="6"/>
  <c r="G25" i="6"/>
  <c r="I63" i="6"/>
  <c r="J63" i="6" s="1"/>
  <c r="M63" i="6" s="1"/>
  <c r="I53" i="6"/>
  <c r="J53" i="6" s="1"/>
  <c r="M53" i="6" s="1"/>
  <c r="I58" i="6"/>
  <c r="J58" i="6" s="1"/>
  <c r="M58" i="6" s="1"/>
  <c r="I23" i="6"/>
  <c r="J23" i="6" s="1"/>
  <c r="M23" i="6" s="1"/>
  <c r="L42" i="4"/>
  <c r="F26" i="4"/>
  <c r="L40" i="4"/>
  <c r="F24" i="4"/>
  <c r="L38" i="4"/>
  <c r="F22" i="4"/>
  <c r="L39" i="4"/>
  <c r="F23" i="4"/>
  <c r="L43" i="4"/>
  <c r="F27" i="4"/>
  <c r="L47" i="4"/>
  <c r="F31" i="4"/>
  <c r="L37" i="4"/>
  <c r="F21" i="4"/>
  <c r="L44" i="4"/>
  <c r="F28" i="4"/>
  <c r="L36" i="4"/>
  <c r="F20" i="4"/>
  <c r="L46" i="4"/>
  <c r="F30" i="4"/>
  <c r="L48" i="4"/>
  <c r="F32" i="4"/>
  <c r="L41" i="4"/>
  <c r="F25" i="4"/>
  <c r="L35" i="4"/>
  <c r="F19" i="4"/>
  <c r="B29" i="4"/>
  <c r="G60" i="8" l="1"/>
  <c r="W20" i="9"/>
  <c r="G53" i="8"/>
  <c r="I53" i="8" s="1"/>
  <c r="J53" i="8" s="1"/>
  <c r="M53" i="8" s="1"/>
  <c r="W13" i="9"/>
  <c r="G58" i="8"/>
  <c r="W18" i="9"/>
  <c r="G56" i="8"/>
  <c r="W16" i="9"/>
  <c r="G55" i="8"/>
  <c r="I55" i="8" s="1"/>
  <c r="J55" i="8" s="1"/>
  <c r="M55" i="8" s="1"/>
  <c r="W15" i="9"/>
  <c r="G64" i="8"/>
  <c r="W24" i="9"/>
  <c r="G54" i="8"/>
  <c r="I54" i="8" s="1"/>
  <c r="J54" i="8" s="1"/>
  <c r="M54" i="8" s="1"/>
  <c r="W14" i="9"/>
  <c r="G59" i="8"/>
  <c r="I59" i="8" s="1"/>
  <c r="J59" i="8" s="1"/>
  <c r="M59" i="8" s="1"/>
  <c r="W19" i="9"/>
  <c r="G62" i="8"/>
  <c r="W22" i="9"/>
  <c r="G63" i="8"/>
  <c r="W23" i="9"/>
  <c r="G57" i="8"/>
  <c r="W17" i="9"/>
  <c r="G65" i="8"/>
  <c r="I65" i="8" s="1"/>
  <c r="J65" i="8" s="1"/>
  <c r="M65" i="8" s="1"/>
  <c r="W25" i="9"/>
  <c r="G61" i="8"/>
  <c r="I61" i="8" s="1"/>
  <c r="J61" i="8" s="1"/>
  <c r="M61" i="8" s="1"/>
  <c r="W21" i="9"/>
  <c r="G57" i="7"/>
  <c r="I57" i="7" s="1"/>
  <c r="J57" i="7" s="1"/>
  <c r="M57" i="7" s="1"/>
  <c r="V17" i="9"/>
  <c r="G64" i="7"/>
  <c r="I64" i="7" s="1"/>
  <c r="J64" i="7" s="1"/>
  <c r="M64" i="7" s="1"/>
  <c r="V24" i="9"/>
  <c r="G66" i="7"/>
  <c r="V26" i="9"/>
  <c r="G63" i="7"/>
  <c r="I63" i="7" s="1"/>
  <c r="J63" i="7" s="1"/>
  <c r="M63" i="7" s="1"/>
  <c r="V23" i="9"/>
  <c r="G60" i="7"/>
  <c r="V20" i="9"/>
  <c r="G65" i="7"/>
  <c r="V25" i="9"/>
  <c r="G56" i="7"/>
  <c r="V16" i="9"/>
  <c r="G55" i="7"/>
  <c r="I55" i="7" s="1"/>
  <c r="J55" i="7" s="1"/>
  <c r="M55" i="7" s="1"/>
  <c r="V15" i="9"/>
  <c r="G59" i="7"/>
  <c r="I59" i="7" s="1"/>
  <c r="J59" i="7" s="1"/>
  <c r="M59" i="7" s="1"/>
  <c r="V19" i="9"/>
  <c r="G54" i="7"/>
  <c r="V14" i="9"/>
  <c r="G53" i="7"/>
  <c r="I53" i="7" s="1"/>
  <c r="J53" i="7" s="1"/>
  <c r="M53" i="7" s="1"/>
  <c r="V13" i="9"/>
  <c r="G62" i="7"/>
  <c r="V22" i="9"/>
  <c r="G58" i="7"/>
  <c r="V18" i="9"/>
  <c r="G59" i="6"/>
  <c r="U19" i="9"/>
  <c r="G65" i="6"/>
  <c r="U25" i="9"/>
  <c r="G60" i="6"/>
  <c r="I60" i="6" s="1"/>
  <c r="J60" i="6" s="1"/>
  <c r="M60" i="6" s="1"/>
  <c r="U20" i="9"/>
  <c r="G66" i="6"/>
  <c r="U26" i="9"/>
  <c r="G62" i="6"/>
  <c r="U22" i="9"/>
  <c r="I21" i="8"/>
  <c r="J21" i="8" s="1"/>
  <c r="M21" i="8" s="1"/>
  <c r="I30" i="8"/>
  <c r="J30" i="8" s="1"/>
  <c r="M30" i="8" s="1"/>
  <c r="I60" i="8"/>
  <c r="J60" i="8" s="1"/>
  <c r="M60" i="8" s="1"/>
  <c r="I20" i="8"/>
  <c r="J20" i="8" s="1"/>
  <c r="M20" i="8" s="1"/>
  <c r="I57" i="8"/>
  <c r="J57" i="8" s="1"/>
  <c r="M57" i="8" s="1"/>
  <c r="I25" i="8"/>
  <c r="J25" i="8" s="1"/>
  <c r="M25" i="8" s="1"/>
  <c r="I28" i="8"/>
  <c r="J28" i="8" s="1"/>
  <c r="M28" i="8" s="1"/>
  <c r="I63" i="8"/>
  <c r="J63" i="8" s="1"/>
  <c r="M63" i="8" s="1"/>
  <c r="I19" i="8"/>
  <c r="J19" i="8" s="1"/>
  <c r="M19" i="8" s="1"/>
  <c r="I24" i="8"/>
  <c r="J24" i="8" s="1"/>
  <c r="M24" i="8" s="1"/>
  <c r="I27" i="8"/>
  <c r="J27" i="8" s="1"/>
  <c r="M27" i="8" s="1"/>
  <c r="I22" i="8"/>
  <c r="J22" i="8" s="1"/>
  <c r="M22" i="8" s="1"/>
  <c r="I64" i="8"/>
  <c r="J64" i="8" s="1"/>
  <c r="M64" i="8" s="1"/>
  <c r="I26" i="8"/>
  <c r="J26" i="8"/>
  <c r="M26" i="8" s="1"/>
  <c r="I23" i="8"/>
  <c r="J23" i="8" s="1"/>
  <c r="M23" i="8" s="1"/>
  <c r="I62" i="8"/>
  <c r="J62" i="8" s="1"/>
  <c r="M62" i="8" s="1"/>
  <c r="I31" i="8"/>
  <c r="J31" i="8"/>
  <c r="M31" i="8" s="1"/>
  <c r="I29" i="8"/>
  <c r="J29" i="8"/>
  <c r="M29" i="8" s="1"/>
  <c r="I58" i="8"/>
  <c r="J58" i="8" s="1"/>
  <c r="M58" i="8" s="1"/>
  <c r="I56" i="8"/>
  <c r="J56" i="8" s="1"/>
  <c r="M56" i="8" s="1"/>
  <c r="I22" i="7"/>
  <c r="J22" i="7" s="1"/>
  <c r="M22" i="7" s="1"/>
  <c r="I21" i="7"/>
  <c r="J21" i="7" s="1"/>
  <c r="M21" i="7" s="1"/>
  <c r="I25" i="7"/>
  <c r="J25" i="7" s="1"/>
  <c r="M25" i="7" s="1"/>
  <c r="I20" i="7"/>
  <c r="J20" i="7" s="1"/>
  <c r="M20" i="7" s="1"/>
  <c r="I19" i="7"/>
  <c r="J19" i="7" s="1"/>
  <c r="M19" i="7" s="1"/>
  <c r="I28" i="7"/>
  <c r="J28" i="7" s="1"/>
  <c r="M28" i="7" s="1"/>
  <c r="I66" i="7"/>
  <c r="J66" i="7" s="1"/>
  <c r="M66" i="7" s="1"/>
  <c r="I60" i="7"/>
  <c r="J60" i="7" s="1"/>
  <c r="M60" i="7" s="1"/>
  <c r="I24" i="7"/>
  <c r="J24" i="7" s="1"/>
  <c r="M24" i="7" s="1"/>
  <c r="I65" i="7"/>
  <c r="J65" i="7" s="1"/>
  <c r="M65" i="7" s="1"/>
  <c r="I23" i="7"/>
  <c r="J23" i="7" s="1"/>
  <c r="M23" i="7" s="1"/>
  <c r="I56" i="7"/>
  <c r="J56" i="7" s="1"/>
  <c r="M56" i="7" s="1"/>
  <c r="I30" i="7"/>
  <c r="J30" i="7" s="1"/>
  <c r="M30" i="7" s="1"/>
  <c r="I54" i="7"/>
  <c r="J54" i="7" s="1"/>
  <c r="M54" i="7" s="1"/>
  <c r="I62" i="7"/>
  <c r="J62" i="7" s="1"/>
  <c r="M62" i="7" s="1"/>
  <c r="I32" i="7"/>
  <c r="J32" i="7" s="1"/>
  <c r="M32" i="7" s="1"/>
  <c r="I29" i="7"/>
  <c r="J29" i="7" s="1"/>
  <c r="M29" i="7" s="1"/>
  <c r="I26" i="7"/>
  <c r="J26" i="7" s="1"/>
  <c r="M26" i="7" s="1"/>
  <c r="I58" i="7"/>
  <c r="J58" i="7" s="1"/>
  <c r="M58" i="7" s="1"/>
  <c r="I31" i="7"/>
  <c r="J31" i="7" s="1"/>
  <c r="M31" i="7" s="1"/>
  <c r="I59" i="6"/>
  <c r="J59" i="6" s="1"/>
  <c r="M59" i="6" s="1"/>
  <c r="I25" i="6"/>
  <c r="J25" i="6" s="1"/>
  <c r="M25" i="6" s="1"/>
  <c r="I31" i="6"/>
  <c r="J31" i="6" s="1"/>
  <c r="M31" i="6" s="1"/>
  <c r="I26" i="6"/>
  <c r="J26" i="6" s="1"/>
  <c r="M26" i="6" s="1"/>
  <c r="I32" i="6"/>
  <c r="J32" i="6" s="1"/>
  <c r="M32" i="6" s="1"/>
  <c r="I65" i="6"/>
  <c r="J65" i="6" s="1"/>
  <c r="M65" i="6" s="1"/>
  <c r="I66" i="6"/>
  <c r="J66" i="6" s="1"/>
  <c r="M66" i="6" s="1"/>
  <c r="BX29" i="4"/>
  <c r="BW29" i="4"/>
  <c r="BX17" i="4"/>
  <c r="BW17" i="4"/>
  <c r="BV29" i="4"/>
  <c r="BV17" i="4"/>
  <c r="B17" i="4"/>
  <c r="I62" i="6" l="1"/>
  <c r="J62" i="6" s="1"/>
  <c r="M62" i="6" s="1"/>
  <c r="T18" i="4"/>
  <c r="S18" i="4"/>
  <c r="AB29" i="4" l="1"/>
  <c r="AA29" i="4"/>
  <c r="Z29" i="4"/>
  <c r="X29" i="4"/>
  <c r="W29" i="4"/>
  <c r="V29" i="4"/>
  <c r="U29" i="4"/>
  <c r="T29" i="4"/>
  <c r="S29" i="4"/>
  <c r="BU29" i="4"/>
  <c r="BS29" i="4"/>
  <c r="BR29" i="4"/>
  <c r="BQ29" i="4"/>
  <c r="BN29" i="4"/>
  <c r="BS18" i="4"/>
  <c r="BT18" i="4"/>
  <c r="BU18" i="4"/>
  <c r="BR18" i="4"/>
  <c r="BQ18" i="4"/>
  <c r="BP18" i="4"/>
  <c r="BN18" i="4"/>
  <c r="BM29" i="4"/>
  <c r="BL29" i="4"/>
  <c r="BK29" i="4"/>
  <c r="BJ29" i="4"/>
  <c r="BI29" i="4"/>
  <c r="BH29" i="4"/>
  <c r="BE29" i="4"/>
  <c r="BD29" i="4"/>
  <c r="BC29" i="4"/>
  <c r="BL18" i="4"/>
  <c r="BK18" i="4"/>
  <c r="BJ18" i="4"/>
  <c r="BI18" i="4"/>
  <c r="BH18" i="4"/>
  <c r="BE18" i="4"/>
  <c r="BD18" i="4"/>
  <c r="BC18" i="4"/>
  <c r="BB29" i="4"/>
  <c r="AZ29" i="4"/>
  <c r="AY29" i="4"/>
  <c r="AX29" i="4"/>
  <c r="AW29" i="4"/>
  <c r="AV29" i="4"/>
  <c r="AU29" i="4"/>
  <c r="AT29" i="4"/>
  <c r="AS29" i="4"/>
  <c r="BB18" i="4"/>
  <c r="AZ18" i="4"/>
  <c r="AY18" i="4"/>
  <c r="AX18" i="4"/>
  <c r="AW18" i="4"/>
  <c r="AU18" i="4"/>
  <c r="AT18" i="4"/>
  <c r="AS18" i="4"/>
  <c r="AQ29" i="4"/>
  <c r="AP29" i="4"/>
  <c r="AO29" i="4"/>
  <c r="AN29" i="4"/>
  <c r="AM29" i="4"/>
  <c r="AL29" i="4"/>
  <c r="AP18" i="4"/>
  <c r="AO18" i="4"/>
  <c r="AN18" i="4"/>
  <c r="AM18" i="4"/>
  <c r="AL18" i="4"/>
  <c r="AK29" i="4"/>
  <c r="AJ29" i="4"/>
  <c r="AI29" i="4"/>
  <c r="AH29" i="4"/>
  <c r="AG29" i="4"/>
  <c r="AF29" i="4"/>
  <c r="AJ18" i="4"/>
  <c r="AI18" i="4"/>
  <c r="AH18" i="4"/>
  <c r="AG18" i="4"/>
  <c r="AF18" i="4"/>
  <c r="AD18" i="4"/>
  <c r="AD29" i="4"/>
  <c r="AB18" i="4" l="1"/>
  <c r="AA18" i="4"/>
  <c r="Z18" i="4"/>
  <c r="X18" i="4"/>
  <c r="W18" i="4"/>
  <c r="V18" i="4"/>
  <c r="U18" i="4"/>
  <c r="R18" i="4" l="1"/>
  <c r="Q18" i="4"/>
  <c r="P18" i="4"/>
  <c r="O18" i="4"/>
  <c r="N29" i="4"/>
  <c r="R29" i="4"/>
  <c r="Q29" i="4"/>
  <c r="P29" i="4"/>
  <c r="O29" i="4"/>
  <c r="N16" i="4"/>
  <c r="L29" i="4"/>
  <c r="K29" i="4"/>
  <c r="E45" i="4" s="1"/>
  <c r="K45" i="4" s="1"/>
  <c r="M45" i="4" s="1"/>
  <c r="H29" i="4"/>
  <c r="CB29" i="4"/>
  <c r="BZ29" i="4"/>
  <c r="D29" i="4"/>
  <c r="D45" i="4" s="1"/>
  <c r="C29" i="4"/>
  <c r="A29" i="4"/>
  <c r="L45" i="4" l="1"/>
  <c r="F29" i="4"/>
  <c r="CC21" i="4" l="1"/>
  <c r="CH21" i="4" s="1"/>
  <c r="CC24" i="4"/>
  <c r="CH24" i="4" s="1"/>
  <c r="CC30" i="4"/>
  <c r="CH30" i="4" s="1"/>
  <c r="CC23" i="4"/>
  <c r="CH23" i="4" s="1"/>
  <c r="CC28" i="4"/>
  <c r="CH28" i="4" s="1"/>
  <c r="CC32" i="4"/>
  <c r="CH32" i="4" s="1"/>
  <c r="CC26" i="4"/>
  <c r="CH26" i="4" s="1"/>
  <c r="CC20" i="4"/>
  <c r="CH20" i="4" s="1"/>
  <c r="CC22" i="4"/>
  <c r="CH22" i="4" s="1"/>
  <c r="CC25" i="4"/>
  <c r="CH25" i="4" s="1"/>
  <c r="CC31" i="4"/>
  <c r="CH31" i="4" s="1"/>
  <c r="CC27" i="4"/>
  <c r="CH27" i="4" s="1"/>
  <c r="CC19" i="4"/>
  <c r="CH19" i="4" s="1"/>
  <c r="CC29" i="4"/>
  <c r="CH29" i="4" s="1"/>
  <c r="CL29" i="4" l="1"/>
  <c r="CJ29" i="4"/>
  <c r="CL27" i="4"/>
  <c r="CJ27" i="4"/>
  <c r="CL25" i="4"/>
  <c r="CJ25" i="4"/>
  <c r="CL20" i="4"/>
  <c r="CJ20" i="4"/>
  <c r="CL32" i="4"/>
  <c r="CJ32" i="4"/>
  <c r="CL23" i="4"/>
  <c r="CJ23" i="4"/>
  <c r="CL24" i="4"/>
  <c r="CJ24" i="4"/>
  <c r="CL19" i="4"/>
  <c r="CJ19" i="4"/>
  <c r="CL31" i="4"/>
  <c r="CJ31" i="4"/>
  <c r="CL22" i="4"/>
  <c r="CJ22" i="4"/>
  <c r="CL26" i="4"/>
  <c r="CJ26" i="4"/>
  <c r="CL28" i="4"/>
  <c r="CJ28" i="4"/>
  <c r="CL30" i="4"/>
  <c r="CJ30" i="4"/>
  <c r="CL21" i="4"/>
  <c r="E21" i="4" s="1"/>
  <c r="CJ21" i="4"/>
  <c r="E24" i="4"/>
  <c r="E28" i="4" l="1"/>
  <c r="E62" i="4" s="1"/>
  <c r="G62" i="4" s="1"/>
  <c r="E26" i="4"/>
  <c r="G28" i="4"/>
  <c r="I28" i="4" s="1"/>
  <c r="J28" i="4" s="1"/>
  <c r="M28" i="4" s="1"/>
  <c r="G26" i="4"/>
  <c r="I26" i="4" s="1"/>
  <c r="J26" i="4" s="1"/>
  <c r="M26" i="4" s="1"/>
  <c r="E60" i="4"/>
  <c r="G60" i="4" s="1"/>
  <c r="G21" i="4"/>
  <c r="I21" i="4" s="1"/>
  <c r="J21" i="4" s="1"/>
  <c r="M21" i="4" s="1"/>
  <c r="E55" i="4"/>
  <c r="G55" i="4" s="1"/>
  <c r="G24" i="4"/>
  <c r="I24" i="4" s="1"/>
  <c r="J24" i="4" s="1"/>
  <c r="M24" i="4" s="1"/>
  <c r="E58" i="4"/>
  <c r="G58" i="4" s="1"/>
  <c r="E31" i="4"/>
  <c r="E32" i="4"/>
  <c r="E23" i="4"/>
  <c r="E22" i="4"/>
  <c r="E30" i="4"/>
  <c r="E27" i="4"/>
  <c r="E20" i="4"/>
  <c r="E25" i="4"/>
  <c r="E19" i="4"/>
  <c r="E29" i="4"/>
  <c r="E63" i="4" s="1"/>
  <c r="G63" i="4" s="1"/>
  <c r="I63" i="4" l="1"/>
  <c r="J63" i="4" s="1"/>
  <c r="M63" i="4" s="1"/>
  <c r="G25" i="4"/>
  <c r="I25" i="4" s="1"/>
  <c r="J25" i="4" s="1"/>
  <c r="M25" i="4" s="1"/>
  <c r="E59" i="4"/>
  <c r="G59" i="4" s="1"/>
  <c r="G27" i="4"/>
  <c r="I27" i="4" s="1"/>
  <c r="J27" i="4" s="1"/>
  <c r="M27" i="4" s="1"/>
  <c r="E61" i="4"/>
  <c r="G61" i="4" s="1"/>
  <c r="G22" i="4"/>
  <c r="I22" i="4" s="1"/>
  <c r="J22" i="4" s="1"/>
  <c r="M22" i="4" s="1"/>
  <c r="E56" i="4"/>
  <c r="G56" i="4" s="1"/>
  <c r="G32" i="4"/>
  <c r="I32" i="4" s="1"/>
  <c r="J32" i="4" s="1"/>
  <c r="M32" i="4" s="1"/>
  <c r="E66" i="4"/>
  <c r="G66" i="4" s="1"/>
  <c r="I58" i="4"/>
  <c r="J58" i="4" s="1"/>
  <c r="M58" i="4" s="1"/>
  <c r="I55" i="4"/>
  <c r="J55" i="4" s="1"/>
  <c r="M55" i="4" s="1"/>
  <c r="I60" i="4"/>
  <c r="J60" i="4" s="1"/>
  <c r="M60" i="4" s="1"/>
  <c r="I62" i="4"/>
  <c r="J62" i="4" s="1"/>
  <c r="M62" i="4" s="1"/>
  <c r="G19" i="4"/>
  <c r="I19" i="4" s="1"/>
  <c r="J19" i="4" s="1"/>
  <c r="M19" i="4" s="1"/>
  <c r="E53" i="4"/>
  <c r="G53" i="4" s="1"/>
  <c r="G20" i="4"/>
  <c r="E54" i="4"/>
  <c r="G54" i="4" s="1"/>
  <c r="G30" i="4"/>
  <c r="I30" i="4" s="1"/>
  <c r="J30" i="4" s="1"/>
  <c r="M30" i="4" s="1"/>
  <c r="E64" i="4"/>
  <c r="G64" i="4" s="1"/>
  <c r="G23" i="4"/>
  <c r="I23" i="4" s="1"/>
  <c r="J23" i="4" s="1"/>
  <c r="M23" i="4" s="1"/>
  <c r="E57" i="4"/>
  <c r="G57" i="4" s="1"/>
  <c r="G31" i="4"/>
  <c r="I31" i="4" s="1"/>
  <c r="J31" i="4" s="1"/>
  <c r="M31" i="4" s="1"/>
  <c r="E65" i="4"/>
  <c r="G65" i="4" s="1"/>
  <c r="I20" i="4"/>
  <c r="J20" i="4" s="1"/>
  <c r="M20" i="4" s="1"/>
  <c r="G29" i="4"/>
  <c r="I29" i="4" s="1"/>
  <c r="J29" i="4" s="1"/>
  <c r="M29" i="4" s="1"/>
  <c r="I65" i="4" l="1"/>
  <c r="J65" i="4" s="1"/>
  <c r="M65" i="4" s="1"/>
  <c r="I57" i="4"/>
  <c r="J57" i="4" s="1"/>
  <c r="M57" i="4" s="1"/>
  <c r="I64" i="4"/>
  <c r="J64" i="4" s="1"/>
  <c r="M64" i="4" s="1"/>
  <c r="I54" i="4"/>
  <c r="J54" i="4" s="1"/>
  <c r="M54" i="4" s="1"/>
  <c r="I53" i="4"/>
  <c r="J53" i="4" s="1"/>
  <c r="M53" i="4" s="1"/>
  <c r="I66" i="4"/>
  <c r="J66" i="4" s="1"/>
  <c r="M66" i="4" s="1"/>
  <c r="I56" i="4"/>
  <c r="J56" i="4" s="1"/>
  <c r="M56" i="4" s="1"/>
  <c r="I61" i="4"/>
  <c r="J61" i="4" s="1"/>
  <c r="M61" i="4" s="1"/>
  <c r="I59" i="4"/>
  <c r="J59" i="4" s="1"/>
  <c r="M59" i="4" s="1"/>
</calcChain>
</file>

<file path=xl/comments1.xml><?xml version="1.0" encoding="utf-8"?>
<comments xmlns="http://schemas.openxmlformats.org/spreadsheetml/2006/main">
  <authors>
    <author>Author</author>
  </authors>
  <commentList>
    <comment ref="I34" authorId="0">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authors>
    <author>Author</author>
  </authors>
  <commentList>
    <comment ref="I34" authorId="0">
      <text>
        <r>
          <rPr>
            <b/>
            <sz val="9"/>
            <color indexed="81"/>
            <rFont val="Tahoma"/>
            <family val="2"/>
          </rPr>
          <t>Author:</t>
        </r>
        <r>
          <rPr>
            <sz val="9"/>
            <color indexed="81"/>
            <rFont val="Tahoma"/>
            <family val="2"/>
          </rPr>
          <t xml:space="preserve">
Take from BI BOM Master</t>
        </r>
      </text>
    </comment>
  </commentList>
</comments>
</file>

<file path=xl/comments3.xml><?xml version="1.0" encoding="utf-8"?>
<comments xmlns="http://schemas.openxmlformats.org/spreadsheetml/2006/main">
  <authors>
    <author>Author</author>
  </authors>
  <commentList>
    <comment ref="I34" authorId="0">
      <text>
        <r>
          <rPr>
            <b/>
            <sz val="9"/>
            <color indexed="81"/>
            <rFont val="Tahoma"/>
            <family val="2"/>
          </rPr>
          <t>Author:</t>
        </r>
        <r>
          <rPr>
            <sz val="9"/>
            <color indexed="81"/>
            <rFont val="Tahoma"/>
            <family val="2"/>
          </rPr>
          <t xml:space="preserve">
Take from BI BOM Master</t>
        </r>
      </text>
    </comment>
  </commentList>
</comments>
</file>

<file path=xl/comments4.xml><?xml version="1.0" encoding="utf-8"?>
<comments xmlns="http://schemas.openxmlformats.org/spreadsheetml/2006/main">
  <authors>
    <author>Author</author>
  </authors>
  <commentList>
    <comment ref="I34" author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<sst xmlns="http://schemas.openxmlformats.org/spreadsheetml/2006/main" count="1147" uniqueCount="263">
  <si>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</si>
  <si>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</si>
  <si>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</si>
  <si>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</si>
  <si>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</si>
  <si>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</si>
  <si>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</si>
  <si>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</si>
  <si>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</si>
  <si>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</si>
  <si>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</si>
  <si>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</si>
  <si>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</si>
  <si>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</si>
  <si>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</si>
  <si>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</si>
  <si>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</si>
  <si>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</si>
  <si>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</si>
  <si>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</si>
  <si>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</si>
  <si>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</si>
  <si>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</si>
  <si>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</si>
  <si>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</si>
  <si>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</si>
  <si>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</si>
  <si>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</si>
  <si>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</si>
  <si>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</si>
  <si>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</si>
  <si>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</si>
  <si>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</si>
  <si>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</si>
  <si>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</si>
  <si>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</si>
  <si>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</si>
  <si>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</si>
  <si>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</si>
  <si>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</si>
  <si>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</si>
  <si>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</si>
  <si>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</si>
  <si>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</si>
  <si>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</si>
  <si>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</si>
  <si>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</si>
  <si>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</si>
  <si>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</si>
  <si>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</si>
  <si>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</si>
  <si>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</si>
  <si>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</si>
  <si>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</si>
  <si>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</si>
  <si>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</si>
  <si>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</si>
  <si>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</si>
  <si>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</si>
  <si>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</si>
  <si>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</si>
  <si>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</si>
  <si>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</si>
  <si>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</si>
  <si>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</si>
  <si>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</si>
  <si>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</si>
  <si>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</si>
  <si>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</si>
  <si>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</si>
  <si>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</si>
  <si>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</si>
  <si>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</si>
  <si>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</si>
  <si>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</si>
  <si>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</si>
  <si>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</si>
  <si>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</si>
  <si>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</si>
  <si>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</si>
  <si>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</si>
  <si>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</si>
  <si>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</si>
  <si>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</si>
  <si>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</si>
  <si>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</si>
  <si>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</si>
  <si>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</si>
  <si>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</si>
  <si>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</si>
  <si>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</si>
  <si>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</si>
  <si>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</si>
  <si>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</si>
  <si>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</si>
  <si>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</si>
  <si>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</si>
  <si>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</si>
  <si>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</si>
  <si>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</si>
  <si>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</si>
  <si>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</si>
  <si>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</si>
  <si>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</si>
  <si>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</si>
  <si>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</si>
  <si>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</si>
  <si>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</si>
  <si>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</si>
  <si>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</si>
  <si>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</si>
  <si>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</si>
  <si>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</si>
  <si>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</si>
  <si>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</si>
  <si>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</si>
  <si>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</si>
  <si>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</si>
  <si>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</si>
  <si>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</si>
  <si>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</si>
  <si>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</si>
  <si>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</si>
  <si>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</si>
  <si>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</si>
  <si>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</si>
  <si>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</si>
  <si>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</si>
  <si>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</si>
  <si>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</si>
  <si>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</si>
  <si>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</si>
  <si>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</si>
  <si>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</si>
  <si>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</si>
  <si>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</si>
  <si>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Sum of RM RATE (Insulation Screening (Metallic))</t>
  </si>
  <si>
    <t>Sum of RM RATE(Conductor)</t>
  </si>
  <si>
    <t>Sum of RM RATE(Alu Alloy)</t>
  </si>
  <si>
    <t>Sum of RM RATE(Insulation Screening (Non-Metallic))</t>
  </si>
  <si>
    <t>Sum of RM RATE(Insulation)</t>
  </si>
  <si>
    <t>Sum of RM RATE (Poly Tape)</t>
  </si>
  <si>
    <t>Sum of RM RATE(Inner Sheath)</t>
  </si>
  <si>
    <t>Sum of RM RATE(Armouring)</t>
  </si>
  <si>
    <t>Sum of RM RATE(Outer Sheath)</t>
  </si>
  <si>
    <t>Sum of RM RATE(Filler)</t>
  </si>
  <si>
    <t>Sum of RM RATE(Grease)</t>
  </si>
  <si>
    <t>Sum of RM RATE(Water swellable Tape)</t>
  </si>
  <si>
    <t>Sum of RM RATE(Semi conducting Water Swellable tape)</t>
  </si>
  <si>
    <t>Sum of RM RATE(SEMICON TAPE)</t>
  </si>
  <si>
    <t>Sum of RM RATE(GLASS FIBER TAPE)</t>
  </si>
  <si>
    <t>Sum of RM RATE(COPPER WIRE 0.8 MM)</t>
  </si>
  <si>
    <t>Sum of RM RATE(RUBBERIZED COTTON TAPE)</t>
  </si>
  <si>
    <t>Sum of RM RATE(Water Tight Compound)</t>
  </si>
  <si>
    <t>DRUM CODE</t>
  </si>
  <si>
    <t>DRUM SIZE (FxbXtx Ft)</t>
  </si>
  <si>
    <t>Rate Contract for Supply of 11 KV &amp; 33 KV HT XLPE Cable of various sizes for TPCODL, TPWODL &amp; TPNODL.</t>
  </si>
  <si>
    <t xml:space="preserve">TP Central Odisha Distribution Limited </t>
  </si>
  <si>
    <t>TPCODL/CCG/23-24/013.</t>
  </si>
  <si>
    <t>31st July 2023 [17:00 Hrs.]</t>
  </si>
  <si>
    <t>CCG reserves the right to conduct the reverse auction (instead of public opening of price bids) for the products/ services being asked for in the tender. The terms and conditions for such reverse auction events shall be as per the Acceptance Form attached as Annexure VI of this document. The bidders along with the tender document shall mandatorily submit a duly signed copy of the Acceptance Form attached as Annexure VI as a token of acceptance for the same.</t>
  </si>
  <si>
    <t>Delivery period shall be 60 days from date of receipt of release order / CAT-A issuance, whichever is later.</t>
  </si>
  <si>
    <t>Price will be fixed and firm during the contractual period.</t>
  </si>
  <si>
    <t xml:space="preserve">Bids shall remain valid for 180 days from the due date of submission of the bid. 
Notwithstanding clause above, the Odisha DISCOMs may solicit the Bidder’s consent to an extension of the Period of Bid Validity. The request and responses thereto shall be made in writing. 
</t>
  </si>
  <si>
    <t>TPCODL will make 100% payment within 30 days of submission of the Bill/Invoice complete in all respects and along with all the requisite documents mentioned above, subject to condition that Associate has furnished the requisite Security-cum-Performance Guarantee as stipulated in the contract.</t>
  </si>
  <si>
    <t>Steel drums shall be provided. Drum shall be free from sharp edges and visual defect. 
Stencil plate on one flange side of the drum and laminated paper sheet on other side flange of drum.</t>
  </si>
  <si>
    <t xml:space="preserve">The cable shall be supplied in continuous standard length of 250 (3 cores) &amp; 500 (Single core) running meters with +/- 5% tolerance. </t>
  </si>
  <si>
    <t xml:space="preserve">PARTY STANDARD LENGTH (MTR) </t>
  </si>
  <si>
    <t>ENQ-10773-22-23</t>
  </si>
  <si>
    <t>FA1300200</t>
  </si>
  <si>
    <t>3 CORE X 95 SQ. MM. AL/ARM  WIRE (XLPE) - 33 KV</t>
  </si>
  <si>
    <t>STEEL</t>
  </si>
  <si>
    <t>Extruded Semiconductive</t>
  </si>
  <si>
    <t>Polypropylene Filler</t>
  </si>
  <si>
    <t>KMS</t>
  </si>
  <si>
    <t>SP0400136</t>
  </si>
  <si>
    <t>CORRUGATED DISPATCH STEEL DRUM 2200 X 1300 X 1200 MM</t>
  </si>
  <si>
    <t>FA1300176</t>
  </si>
  <si>
    <t>3 CORE X 150 SQ. MM. AL/ARM - WIRE (XLPE) - 11 KV</t>
  </si>
  <si>
    <t>SP0400111</t>
  </si>
  <si>
    <t>CORRUGATED DISPATCH STEEL DRUM 1900 X 1000 X 1000 MM</t>
  </si>
  <si>
    <t>FA1300088</t>
  </si>
  <si>
    <t>3 CORE X 95 SQ. MM. AL/ARM - WIRE (XLPE) - 11 KV (E)</t>
  </si>
  <si>
    <t>FA1300016</t>
  </si>
  <si>
    <t>1 CORE X 630 SQ. MM. AL/ARM (XLPE)  - 11 KV</t>
  </si>
  <si>
    <t>SP0400091</t>
  </si>
  <si>
    <t>CORRUGATED DISPATCH STEEL DRUM 1800 X 900 X 1000</t>
  </si>
  <si>
    <t>FA1300197</t>
  </si>
  <si>
    <t>3 CORE X 120 SQ. MM. AL/ARM - WIRE (XLPE) - 11 KV</t>
  </si>
  <si>
    <t>SP0400118</t>
  </si>
  <si>
    <t>CORRUGATED DISPATCH STEEL DRUM 1700 X 1000 X 1200</t>
  </si>
  <si>
    <t>FA1300019</t>
  </si>
  <si>
    <t>1 CORE X 300 SQ. MM. AL/ARM (XLPE)  - 33 KV</t>
  </si>
  <si>
    <t>SP0400110</t>
  </si>
  <si>
    <t>CORRUGATED DISPATCH STEEL DRUM 1600 X 900 X 1000 MM</t>
  </si>
  <si>
    <t>FA1300066</t>
  </si>
  <si>
    <t>1 CORE X 1000 SQ. MM. AL/ARM (XLPE) - 11 KV</t>
  </si>
  <si>
    <t>SP0400107</t>
  </si>
  <si>
    <t>CORRUGATED DISPATCH STEEL DRUM 2150 X 1080 X 1240 MM</t>
  </si>
  <si>
    <t>FA1300081</t>
  </si>
  <si>
    <t>3 CORE X 300 SQ. MM. AL/ARM - WIRE (XLPE) - 33 KV</t>
  </si>
  <si>
    <t>SP0400137</t>
  </si>
  <si>
    <t>CORRUGATED DISPATCH STEEL DRUM 2600 X 1600 X 1600</t>
  </si>
  <si>
    <t>FA1300018</t>
  </si>
  <si>
    <t>1 CORE X 400 SQ. MM. AL/ARM (XLPE) - 33 KV</t>
  </si>
  <si>
    <t>SP0400112</t>
  </si>
  <si>
    <t>CORRUGATED DISPATCH STEEL DRUM 2000 X 1000 X 1000 MM</t>
  </si>
  <si>
    <t>FA1300047</t>
  </si>
  <si>
    <t>1 CORE X 400 SQ. MM. AL/ARM (XLPE) - 11 KV</t>
  </si>
  <si>
    <t>SP0400125</t>
  </si>
  <si>
    <t>CORRUGATED DISPATCH STEEL DRUM 1600 X 700 X 915 MM</t>
  </si>
  <si>
    <t>FA1300027</t>
  </si>
  <si>
    <t>1 CORE X 630 SQ. MM. AL/ARM (XLPE)  - 33 KV</t>
  </si>
  <si>
    <t>SP0400123</t>
  </si>
  <si>
    <t>CORRUGATED DISPATCH STEEL DRUM 2000 X 1000 X 1200 MM</t>
  </si>
  <si>
    <t>FA1300083</t>
  </si>
  <si>
    <t>3 CORE X 400 SQ. MM. AL/ARM - WIRE (XLPE) - 11 KV</t>
  </si>
  <si>
    <t>SP0400105</t>
  </si>
  <si>
    <t>CORRUGATED DISPATCH STEEL DRUM 2500 X 1500 X 1400</t>
  </si>
  <si>
    <t>FA1300080</t>
  </si>
  <si>
    <t>3 CORE X 400 SQ. MM AL/ARM - WIRE (XLPE) - 33 KV</t>
  </si>
  <si>
    <t>CORRUGATED DISPATCH STEEL DRUM 2600 X 1600 X 1600 MM</t>
  </si>
  <si>
    <t>FA1300091</t>
  </si>
  <si>
    <t>3 CORE X 300 SQ. MM. AL/ARM - WIRE (XLPE) - 11 KV</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</si>
  <si>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</si>
  <si>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</si>
  <si>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</si>
  <si>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</si>
  <si>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</si>
  <si>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</si>
  <si>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</si>
  <si>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</si>
  <si>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</si>
  <si>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FA1300098</t>
  </si>
  <si>
    <t>3 CORE X 95 SQ. MM. AL/ARM - WIRE (XLPE) - 11 KV</t>
  </si>
  <si>
    <t>NCWBT</t>
  </si>
  <si>
    <t>Consider Rs. 1 extra for colour of o/sh-FRLSH</t>
  </si>
  <si>
    <t>TRAILER 28 MT</t>
  </si>
  <si>
    <t>EX-WORKS (PER MTR)</t>
  </si>
  <si>
    <t>FREIGHT PER MTR</t>
  </si>
  <si>
    <t>PRICE INCLUDING FREIGHT (PER MTR)</t>
  </si>
  <si>
    <t>PRICE INCLUDING GST &amp; FREIGHT (PER MTR)</t>
  </si>
  <si>
    <t>MTR</t>
  </si>
  <si>
    <t>TPNODL</t>
  </si>
  <si>
    <t>TPWODL</t>
  </si>
  <si>
    <t>TPCODL</t>
  </si>
  <si>
    <t>A</t>
  </si>
  <si>
    <t>B</t>
  </si>
  <si>
    <t>C</t>
  </si>
  <si>
    <t>D</t>
  </si>
  <si>
    <t>E</t>
  </si>
  <si>
    <t>F</t>
  </si>
  <si>
    <t>G</t>
  </si>
  <si>
    <t>ALL-INCLUSIVE UNIT RATE(RS.)</t>
  </si>
  <si>
    <t>H=(D+E)*1.18</t>
  </si>
  <si>
    <t>I=(D+F)*1.18</t>
  </si>
  <si>
    <t>J=(D+G)*1.18</t>
  </si>
  <si>
    <t>K = A X H</t>
  </si>
  <si>
    <t>L = B X I</t>
  </si>
  <si>
    <t>M = C X J</t>
  </si>
  <si>
    <t>All -inclusive Total Price (Rs.)</t>
  </si>
  <si>
    <t>K + L + M</t>
  </si>
  <si>
    <t>EX-WORKS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</si>
</sst>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0.000%"/>
    <numFmt numFmtId="165" formatCode="_(* #,##0.00_);_(* \(#,##0.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108">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4" fontId="0" fillId="0" borderId="0" xfId="0" applyNumberFormat="1"/>
    <xf numFmtId="0" fontId="8" fillId="5" borderId="0" xfId="0" applyFont="1" applyFill="1" applyBorder="1" applyAlignment="1">
      <alignment vertical="center" wrapText="1"/>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7" fillId="0" borderId="0" xfId="0" applyFont="1"/>
    <xf numFmtId="0" fontId="7" fillId="3" borderId="1" xfId="0" applyFont="1" applyFill="1" applyBorder="1" applyAlignment="1">
      <alignment vertical="center" wrapText="1"/>
    </xf>
    <xf numFmtId="43" fontId="7" fillId="8" borderId="1" xfId="1" applyFont="1" applyFill="1" applyBorder="1" applyAlignment="1">
      <alignment vertical="center" wrapText="1"/>
    </xf>
    <xf numFmtId="43" fontId="8" fillId="8" borderId="1" xfId="1" applyFont="1" applyFill="1" applyBorder="1" applyAlignment="1">
      <alignment vertical="center" wrapText="1"/>
    </xf>
    <xf numFmtId="0" fontId="0" fillId="0" borderId="1" xfId="0" applyFont="1" applyBorder="1" applyAlignment="1">
      <alignment vertical="center" wrapText="1"/>
    </xf>
    <xf numFmtId="0" fontId="0" fillId="8" borderId="1" xfId="0" applyFont="1" applyFill="1" applyBorder="1" applyAlignment="1">
      <alignment vertical="center" wrapText="1"/>
    </xf>
    <xf numFmtId="0" fontId="3" fillId="0" borderId="1" xfId="0" applyFont="1" applyFill="1" applyBorder="1" applyAlignment="1">
      <alignment horizontal="center" vertical="center" wrapText="1"/>
    </xf>
    <xf numFmtId="0" fontId="0" fillId="0" borderId="1" xfId="0" applyFill="1" applyBorder="1" applyAlignment="1">
      <alignment wrapText="1"/>
    </xf>
    <xf numFmtId="43" fontId="0" fillId="0" borderId="1" xfId="1" applyFont="1" applyFill="1" applyBorder="1" applyAlignment="1">
      <alignment wrapText="1"/>
    </xf>
    <xf numFmtId="43" fontId="0" fillId="0" borderId="1" xfId="0" applyNumberFormat="1" applyFill="1" applyBorder="1" applyAlignment="1">
      <alignment wrapText="1"/>
    </xf>
    <xf numFmtId="9" fontId="0" fillId="0" borderId="1" xfId="2" applyFont="1" applyFill="1" applyBorder="1" applyAlignment="1">
      <alignment wrapText="1"/>
    </xf>
    <xf numFmtId="165" fontId="0" fillId="0" borderId="1" xfId="0" applyNumberFormat="1" applyFill="1" applyBorder="1" applyAlignment="1">
      <alignment wrapText="1"/>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43" fontId="0" fillId="0" borderId="1" xfId="0" applyNumberFormat="1" applyBorder="1" applyAlignment="1">
      <alignment wrapText="1"/>
    </xf>
    <xf numFmtId="9" fontId="3" fillId="0" borderId="1" xfId="1" applyNumberFormat="1" applyFont="1" applyBorder="1" applyAlignment="1">
      <alignment horizontal="center" vertical="center" wrapText="1"/>
    </xf>
    <xf numFmtId="43" fontId="2" fillId="0" borderId="1" xfId="1" applyFont="1" applyFill="1" applyBorder="1" applyAlignment="1">
      <alignment wrapText="1"/>
    </xf>
    <xf numFmtId="9" fontId="0" fillId="0" borderId="1" xfId="2" applyFont="1" applyFill="1" applyBorder="1" applyAlignment="1">
      <alignment horizontal="center" wrapText="1"/>
    </xf>
    <xf numFmtId="2" fontId="0" fillId="0" borderId="1" xfId="2" applyNumberFormat="1" applyFont="1" applyFill="1" applyBorder="1" applyAlignment="1">
      <alignment wrapText="1"/>
    </xf>
    <xf numFmtId="43" fontId="3" fillId="3" borderId="1" xfId="1" applyFont="1" applyFill="1" applyBorder="1" applyAlignment="1">
      <alignment horizontal="center" vertical="center" wrapText="1"/>
    </xf>
    <xf numFmtId="43" fontId="0" fillId="0" borderId="0" xfId="0" applyNumberFormat="1"/>
    <xf numFmtId="0" fontId="0" fillId="0" borderId="1" xfId="0" applyFont="1" applyBorder="1" applyAlignment="1">
      <alignment horizontal="center" vertical="center"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AD1" workbookViewId="0">
      <selection activeCell="AP2" sqref="AP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41" width="8.85546875" customWidth="1"/>
    <col min="42" max="42" width="19.28515625" bestFit="1" customWidth="1"/>
    <col min="43"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4" customFormat="1" x14ac:dyDescent="0.25">
      <c r="A1" t="s">
        <v>0</v>
      </c>
      <c r="B1" t="s">
        <v>134</v>
      </c>
      <c r="C1" t="s">
        <v>1</v>
      </c>
      <c r="D1" t="s">
        <v>2</v>
      </c>
      <c r="E1" t="s">
        <v>135</v>
      </c>
      <c r="F1" t="s">
        <v>3</v>
      </c>
      <c r="G1" t="s">
        <v>136</v>
      </c>
      <c r="H1" t="s">
        <v>4</v>
      </c>
      <c r="I1" t="s">
        <v>5</v>
      </c>
      <c r="J1" t="s">
        <v>6</v>
      </c>
      <c r="K1" t="s">
        <v>137</v>
      </c>
      <c r="L1" t="s">
        <v>7</v>
      </c>
      <c r="M1" t="s">
        <v>8</v>
      </c>
      <c r="N1" t="s">
        <v>9</v>
      </c>
      <c r="O1" t="s">
        <v>138</v>
      </c>
      <c r="P1" t="s">
        <v>10</v>
      </c>
      <c r="Q1" t="s">
        <v>11</v>
      </c>
      <c r="R1" t="s">
        <v>12</v>
      </c>
      <c r="S1" t="s">
        <v>139</v>
      </c>
      <c r="T1" t="s">
        <v>13</v>
      </c>
      <c r="U1" t="s">
        <v>14</v>
      </c>
      <c r="V1" t="s">
        <v>15</v>
      </c>
      <c r="W1" t="s">
        <v>140</v>
      </c>
      <c r="X1" t="s">
        <v>16</v>
      </c>
      <c r="Y1" t="s">
        <v>17</v>
      </c>
      <c r="Z1" t="s">
        <v>18</v>
      </c>
      <c r="AA1" t="s">
        <v>141</v>
      </c>
      <c r="AB1" t="s">
        <v>19</v>
      </c>
      <c r="AC1" t="s">
        <v>20</v>
      </c>
      <c r="AD1" t="s">
        <v>21</v>
      </c>
      <c r="AE1" t="s">
        <v>142</v>
      </c>
      <c r="AF1" t="s">
        <v>22</v>
      </c>
      <c r="AG1" t="s">
        <v>23</v>
      </c>
      <c r="AH1" t="s">
        <v>24</v>
      </c>
      <c r="AI1" t="s">
        <v>143</v>
      </c>
      <c r="AJ1" t="s">
        <v>25</v>
      </c>
      <c r="AK1" t="s">
        <v>26</v>
      </c>
      <c r="AL1" t="s">
        <v>27</v>
      </c>
      <c r="AM1" t="s">
        <v>144</v>
      </c>
      <c r="AN1" t="s">
        <v>28</v>
      </c>
      <c r="AO1" t="s">
        <v>29</v>
      </c>
      <c r="AP1" t="s">
        <v>30</v>
      </c>
      <c r="AQ1" t="s">
        <v>145</v>
      </c>
      <c r="AR1" t="s">
        <v>31</v>
      </c>
      <c r="AS1" t="s">
        <v>32</v>
      </c>
      <c r="AT1" t="s">
        <v>33</v>
      </c>
      <c r="AU1" t="s">
        <v>146</v>
      </c>
      <c r="AV1" t="s">
        <v>34</v>
      </c>
      <c r="AW1" t="s">
        <v>35</v>
      </c>
      <c r="AX1" t="s">
        <v>36</v>
      </c>
      <c r="AY1" t="s">
        <v>147</v>
      </c>
      <c r="AZ1" t="s">
        <v>37</v>
      </c>
      <c r="BA1" t="s">
        <v>38</v>
      </c>
      <c r="BB1" t="s">
        <v>39</v>
      </c>
      <c r="BC1" t="s">
        <v>148</v>
      </c>
      <c r="BD1" t="s">
        <v>40</v>
      </c>
      <c r="BE1" t="s">
        <v>41</v>
      </c>
      <c r="BF1" t="s">
        <v>42</v>
      </c>
      <c r="BG1" t="s">
        <v>149</v>
      </c>
      <c r="BH1" t="s">
        <v>43</v>
      </c>
      <c r="BI1" t="s">
        <v>44</v>
      </c>
      <c r="BJ1" t="s">
        <v>45</v>
      </c>
      <c r="BK1" t="s">
        <v>150</v>
      </c>
      <c r="BL1" t="s">
        <v>46</v>
      </c>
      <c r="BM1" t="s">
        <v>47</v>
      </c>
      <c r="BN1" t="s">
        <v>48</v>
      </c>
      <c r="BO1" t="s">
        <v>151</v>
      </c>
      <c r="BP1" t="s">
        <v>49</v>
      </c>
      <c r="BQ1" t="s">
        <v>50</v>
      </c>
      <c r="BR1" t="s">
        <v>51</v>
      </c>
      <c r="BS1" t="s">
        <v>152</v>
      </c>
      <c r="BT1" t="s">
        <v>52</v>
      </c>
      <c r="BU1" t="s">
        <v>53</v>
      </c>
      <c r="BV1" t="s">
        <v>54</v>
      </c>
      <c r="BW1" t="s">
        <v>153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154</v>
      </c>
      <c r="CW1" t="s">
        <v>155</v>
      </c>
      <c r="CX1" t="s">
        <v>167</v>
      </c>
    </row>
    <row r="2" spans="1:102" x14ac:dyDescent="0.25">
      <c r="A2" t="s">
        <v>168</v>
      </c>
      <c r="B2" s="56">
        <v>45135</v>
      </c>
      <c r="C2" t="s">
        <v>169</v>
      </c>
      <c r="D2" t="s">
        <v>170</v>
      </c>
      <c r="E2" t="s">
        <v>171</v>
      </c>
      <c r="F2" t="s">
        <v>108</v>
      </c>
      <c r="G2">
        <v>872.6</v>
      </c>
      <c r="H2">
        <v>129.10599999999999</v>
      </c>
      <c r="I2">
        <v>112657.9</v>
      </c>
      <c r="J2" t="s">
        <v>80</v>
      </c>
      <c r="K2">
        <v>212</v>
      </c>
      <c r="L2">
        <v>769.5</v>
      </c>
      <c r="M2">
        <v>163134</v>
      </c>
      <c r="P2">
        <v>0</v>
      </c>
      <c r="R2" t="s">
        <v>172</v>
      </c>
      <c r="S2">
        <v>194</v>
      </c>
      <c r="T2">
        <v>268</v>
      </c>
      <c r="U2">
        <v>51992</v>
      </c>
      <c r="V2" t="s">
        <v>90</v>
      </c>
      <c r="W2">
        <v>150.5</v>
      </c>
      <c r="X2">
        <v>1650</v>
      </c>
      <c r="Y2">
        <v>248325</v>
      </c>
      <c r="AB2">
        <v>0</v>
      </c>
      <c r="AD2" t="s">
        <v>115</v>
      </c>
      <c r="AE2">
        <v>85</v>
      </c>
      <c r="AF2">
        <v>288</v>
      </c>
      <c r="AG2">
        <v>24480</v>
      </c>
      <c r="AH2" t="s">
        <v>119</v>
      </c>
      <c r="AI2">
        <v>86.87</v>
      </c>
      <c r="AJ2">
        <v>3945</v>
      </c>
      <c r="AK2">
        <v>342702.15</v>
      </c>
      <c r="AL2" t="s">
        <v>100</v>
      </c>
      <c r="AM2">
        <v>91</v>
      </c>
      <c r="AN2">
        <v>1217</v>
      </c>
      <c r="AO2">
        <v>110747</v>
      </c>
      <c r="AP2" t="s">
        <v>173</v>
      </c>
      <c r="AR2">
        <v>1370</v>
      </c>
      <c r="AV2">
        <v>0</v>
      </c>
      <c r="AX2" t="s">
        <v>36</v>
      </c>
      <c r="AY2">
        <v>460</v>
      </c>
      <c r="AZ2">
        <v>0</v>
      </c>
      <c r="BA2">
        <v>0</v>
      </c>
      <c r="BB2" t="s">
        <v>39</v>
      </c>
      <c r="BC2">
        <v>510</v>
      </c>
      <c r="BD2">
        <v>0</v>
      </c>
      <c r="BE2">
        <v>0</v>
      </c>
      <c r="BH2">
        <v>0</v>
      </c>
      <c r="BL2">
        <v>0</v>
      </c>
      <c r="BP2">
        <v>0</v>
      </c>
      <c r="BR2" t="s">
        <v>51</v>
      </c>
      <c r="BS2">
        <v>440</v>
      </c>
      <c r="BT2">
        <v>0</v>
      </c>
      <c r="BU2">
        <v>0</v>
      </c>
      <c r="BX2">
        <v>0</v>
      </c>
      <c r="BZ2">
        <v>147200</v>
      </c>
      <c r="CA2">
        <v>1201238.05</v>
      </c>
      <c r="CH2">
        <v>1201238.05</v>
      </c>
      <c r="CM2">
        <v>1201238.05</v>
      </c>
      <c r="CO2">
        <v>1201238.05</v>
      </c>
      <c r="CP2" s="57">
        <v>0.18</v>
      </c>
      <c r="CQ2">
        <v>216222.85</v>
      </c>
      <c r="CR2">
        <v>1417460.9</v>
      </c>
      <c r="CS2">
        <v>0.5</v>
      </c>
      <c r="CT2" t="s">
        <v>174</v>
      </c>
      <c r="CU2" s="58">
        <v>708730</v>
      </c>
      <c r="CV2" t="s">
        <v>175</v>
      </c>
      <c r="CW2" t="s">
        <v>176</v>
      </c>
      <c r="CX2">
        <v>250</v>
      </c>
    </row>
    <row r="3" spans="1:102" x14ac:dyDescent="0.25">
      <c r="A3" t="s">
        <v>168</v>
      </c>
      <c r="B3" s="56">
        <v>45135</v>
      </c>
      <c r="C3" t="s">
        <v>177</v>
      </c>
      <c r="D3" t="s">
        <v>178</v>
      </c>
      <c r="E3" t="s">
        <v>171</v>
      </c>
      <c r="F3" t="s">
        <v>108</v>
      </c>
      <c r="G3">
        <v>872.6</v>
      </c>
      <c r="H3">
        <v>98.846000000000004</v>
      </c>
      <c r="I3">
        <v>86253.02</v>
      </c>
      <c r="J3" t="s">
        <v>80</v>
      </c>
      <c r="K3">
        <v>212</v>
      </c>
      <c r="L3">
        <v>1215</v>
      </c>
      <c r="M3">
        <v>257580</v>
      </c>
      <c r="P3">
        <v>0</v>
      </c>
      <c r="R3" t="s">
        <v>172</v>
      </c>
      <c r="S3">
        <v>194</v>
      </c>
      <c r="T3">
        <v>208</v>
      </c>
      <c r="U3">
        <v>40352</v>
      </c>
      <c r="V3" t="s">
        <v>90</v>
      </c>
      <c r="W3">
        <v>150.5</v>
      </c>
      <c r="X3">
        <v>625</v>
      </c>
      <c r="Y3">
        <v>94062.5</v>
      </c>
      <c r="AB3">
        <v>0</v>
      </c>
      <c r="AD3" t="s">
        <v>115</v>
      </c>
      <c r="AE3">
        <v>85</v>
      </c>
      <c r="AF3">
        <v>173</v>
      </c>
      <c r="AG3">
        <v>14705</v>
      </c>
      <c r="AH3" t="s">
        <v>119</v>
      </c>
      <c r="AI3">
        <v>86.87</v>
      </c>
      <c r="AJ3">
        <v>2300</v>
      </c>
      <c r="AK3">
        <v>199801</v>
      </c>
      <c r="AL3" t="s">
        <v>100</v>
      </c>
      <c r="AM3">
        <v>91</v>
      </c>
      <c r="AN3">
        <v>713</v>
      </c>
      <c r="AO3">
        <v>64883</v>
      </c>
      <c r="AP3" t="s">
        <v>173</v>
      </c>
      <c r="AR3">
        <v>757</v>
      </c>
      <c r="AV3">
        <v>0</v>
      </c>
      <c r="AX3" t="s">
        <v>36</v>
      </c>
      <c r="AY3">
        <v>460</v>
      </c>
      <c r="AZ3">
        <v>0</v>
      </c>
      <c r="BA3">
        <v>0</v>
      </c>
      <c r="BB3" t="s">
        <v>39</v>
      </c>
      <c r="BC3">
        <v>510</v>
      </c>
      <c r="BD3">
        <v>162</v>
      </c>
      <c r="BE3" s="59">
        <v>82620</v>
      </c>
      <c r="BH3">
        <v>0</v>
      </c>
      <c r="BL3">
        <v>0</v>
      </c>
      <c r="BP3">
        <v>0</v>
      </c>
      <c r="BR3" t="s">
        <v>51</v>
      </c>
      <c r="BS3">
        <v>440</v>
      </c>
      <c r="BT3">
        <v>0</v>
      </c>
      <c r="BU3">
        <v>0</v>
      </c>
      <c r="BX3">
        <v>0</v>
      </c>
      <c r="BZ3">
        <v>108300</v>
      </c>
      <c r="CA3">
        <v>948556.52</v>
      </c>
      <c r="CH3">
        <v>948556.52</v>
      </c>
      <c r="CM3">
        <v>948556.52</v>
      </c>
      <c r="CO3">
        <v>948556.52</v>
      </c>
      <c r="CP3" s="57">
        <v>0.18</v>
      </c>
      <c r="CQ3">
        <v>170740.17</v>
      </c>
      <c r="CR3">
        <v>1119296.69</v>
      </c>
      <c r="CS3">
        <v>1</v>
      </c>
      <c r="CT3" t="s">
        <v>174</v>
      </c>
      <c r="CU3" s="58">
        <v>1119297</v>
      </c>
      <c r="CV3" t="s">
        <v>179</v>
      </c>
      <c r="CW3" t="s">
        <v>180</v>
      </c>
      <c r="CX3">
        <v>250</v>
      </c>
    </row>
    <row r="4" spans="1:102" x14ac:dyDescent="0.25">
      <c r="A4" t="s">
        <v>168</v>
      </c>
      <c r="B4" s="56">
        <v>45135</v>
      </c>
      <c r="C4" t="s">
        <v>181</v>
      </c>
      <c r="D4" t="s">
        <v>182</v>
      </c>
      <c r="E4" t="s">
        <v>171</v>
      </c>
      <c r="F4" t="s">
        <v>108</v>
      </c>
      <c r="G4">
        <v>872.6</v>
      </c>
      <c r="H4">
        <v>85.995000000000005</v>
      </c>
      <c r="I4">
        <v>75039.240000000005</v>
      </c>
      <c r="J4" t="s">
        <v>80</v>
      </c>
      <c r="K4">
        <v>212</v>
      </c>
      <c r="L4">
        <v>769.5</v>
      </c>
      <c r="M4">
        <v>163134</v>
      </c>
      <c r="P4">
        <v>0</v>
      </c>
      <c r="R4" t="s">
        <v>172</v>
      </c>
      <c r="S4">
        <v>194</v>
      </c>
      <c r="T4">
        <v>173</v>
      </c>
      <c r="U4">
        <v>33562</v>
      </c>
      <c r="V4" t="s">
        <v>90</v>
      </c>
      <c r="W4">
        <v>150.5</v>
      </c>
      <c r="X4">
        <v>525</v>
      </c>
      <c r="Y4">
        <v>79012.5</v>
      </c>
      <c r="AB4">
        <v>0</v>
      </c>
      <c r="AD4" t="s">
        <v>115</v>
      </c>
      <c r="AE4">
        <v>85</v>
      </c>
      <c r="AF4">
        <v>129</v>
      </c>
      <c r="AG4">
        <v>10965</v>
      </c>
      <c r="AH4" t="s">
        <v>119</v>
      </c>
      <c r="AI4">
        <v>86.87</v>
      </c>
      <c r="AJ4">
        <v>2001</v>
      </c>
      <c r="AK4">
        <v>173826.87</v>
      </c>
      <c r="AL4" t="s">
        <v>100</v>
      </c>
      <c r="AM4">
        <v>91</v>
      </c>
      <c r="AN4">
        <v>605</v>
      </c>
      <c r="AO4">
        <v>55055</v>
      </c>
      <c r="AP4" t="s">
        <v>30</v>
      </c>
      <c r="AQ4">
        <v>31</v>
      </c>
      <c r="AR4">
        <v>573</v>
      </c>
      <c r="AS4">
        <v>17763</v>
      </c>
      <c r="AV4">
        <v>0</v>
      </c>
      <c r="AX4" t="s">
        <v>36</v>
      </c>
      <c r="AY4">
        <v>460</v>
      </c>
      <c r="AZ4">
        <v>0</v>
      </c>
      <c r="BA4">
        <v>0</v>
      </c>
      <c r="BB4" t="s">
        <v>39</v>
      </c>
      <c r="BC4">
        <v>510</v>
      </c>
      <c r="BD4">
        <v>52</v>
      </c>
      <c r="BE4" s="59">
        <v>26520</v>
      </c>
      <c r="BH4">
        <v>0</v>
      </c>
      <c r="BL4">
        <v>0</v>
      </c>
      <c r="BP4">
        <v>0</v>
      </c>
      <c r="BT4">
        <v>0</v>
      </c>
      <c r="BX4">
        <v>0</v>
      </c>
      <c r="CA4">
        <v>634877.61</v>
      </c>
      <c r="CH4">
        <v>634877.61</v>
      </c>
      <c r="CM4">
        <v>634877.61</v>
      </c>
      <c r="CO4">
        <v>634877.61</v>
      </c>
      <c r="CP4" s="57">
        <v>0.18</v>
      </c>
      <c r="CQ4">
        <v>114277.97</v>
      </c>
      <c r="CR4">
        <v>749155.58</v>
      </c>
      <c r="CS4">
        <v>2.5</v>
      </c>
      <c r="CT4" t="s">
        <v>174</v>
      </c>
      <c r="CU4" s="58">
        <v>1872889</v>
      </c>
      <c r="CX4">
        <v>250</v>
      </c>
    </row>
    <row r="5" spans="1:102" x14ac:dyDescent="0.25">
      <c r="A5" t="s">
        <v>168</v>
      </c>
      <c r="B5" s="56">
        <v>45135</v>
      </c>
      <c r="C5" t="s">
        <v>183</v>
      </c>
      <c r="D5" t="s">
        <v>184</v>
      </c>
      <c r="E5" t="s">
        <v>171</v>
      </c>
      <c r="F5" t="s">
        <v>108</v>
      </c>
      <c r="G5">
        <v>872.6</v>
      </c>
      <c r="H5">
        <v>54.366</v>
      </c>
      <c r="I5">
        <v>47439.78</v>
      </c>
      <c r="J5" t="s">
        <v>80</v>
      </c>
      <c r="K5">
        <v>212</v>
      </c>
      <c r="L5">
        <v>1701</v>
      </c>
      <c r="M5">
        <v>360612</v>
      </c>
      <c r="P5">
        <v>0</v>
      </c>
      <c r="R5" t="s">
        <v>172</v>
      </c>
      <c r="S5">
        <v>194</v>
      </c>
      <c r="T5">
        <v>128</v>
      </c>
      <c r="U5">
        <v>24832</v>
      </c>
      <c r="V5" t="s">
        <v>90</v>
      </c>
      <c r="W5">
        <v>150.5</v>
      </c>
      <c r="X5">
        <v>375</v>
      </c>
      <c r="Y5">
        <v>56437.5</v>
      </c>
      <c r="Z5" t="s">
        <v>18</v>
      </c>
      <c r="AA5">
        <v>120</v>
      </c>
      <c r="AB5">
        <v>0</v>
      </c>
      <c r="AC5">
        <v>0</v>
      </c>
      <c r="AD5" t="s">
        <v>87</v>
      </c>
      <c r="AE5">
        <v>60.7</v>
      </c>
      <c r="AF5">
        <v>171</v>
      </c>
      <c r="AG5">
        <v>10379.700000000001</v>
      </c>
      <c r="AH5" t="s">
        <v>106</v>
      </c>
      <c r="AI5">
        <v>217</v>
      </c>
      <c r="AJ5">
        <v>494</v>
      </c>
      <c r="AK5">
        <v>107198</v>
      </c>
      <c r="AL5" t="s">
        <v>100</v>
      </c>
      <c r="AM5">
        <v>91</v>
      </c>
      <c r="AN5">
        <v>407</v>
      </c>
      <c r="AO5">
        <v>37037</v>
      </c>
      <c r="AR5">
        <v>0</v>
      </c>
      <c r="AV5">
        <v>0</v>
      </c>
      <c r="AX5" t="s">
        <v>36</v>
      </c>
      <c r="AY5">
        <v>460</v>
      </c>
      <c r="AZ5">
        <v>0</v>
      </c>
      <c r="BA5">
        <v>0</v>
      </c>
      <c r="BB5" t="s">
        <v>39</v>
      </c>
      <c r="BC5">
        <v>510</v>
      </c>
      <c r="BD5">
        <v>70</v>
      </c>
      <c r="BE5" s="59">
        <v>35700</v>
      </c>
      <c r="BH5">
        <v>0</v>
      </c>
      <c r="BL5">
        <v>0</v>
      </c>
      <c r="BP5">
        <v>0</v>
      </c>
      <c r="BR5" t="s">
        <v>51</v>
      </c>
      <c r="BS5">
        <v>440</v>
      </c>
      <c r="BT5">
        <v>0</v>
      </c>
      <c r="BU5">
        <v>0</v>
      </c>
      <c r="BX5">
        <v>0</v>
      </c>
      <c r="BZ5">
        <v>48450</v>
      </c>
      <c r="CA5">
        <v>728085.98</v>
      </c>
      <c r="CH5">
        <v>728085.98</v>
      </c>
      <c r="CM5">
        <v>728085.98</v>
      </c>
      <c r="CO5">
        <v>728085.98</v>
      </c>
      <c r="CP5" s="57">
        <v>0.18</v>
      </c>
      <c r="CQ5">
        <v>131055.48</v>
      </c>
      <c r="CR5">
        <v>859141.46</v>
      </c>
      <c r="CS5">
        <v>5</v>
      </c>
      <c r="CT5" t="s">
        <v>174</v>
      </c>
      <c r="CU5" s="58">
        <v>4295707</v>
      </c>
      <c r="CV5" t="s">
        <v>185</v>
      </c>
      <c r="CW5" t="s">
        <v>186</v>
      </c>
      <c r="CX5">
        <v>500</v>
      </c>
    </row>
    <row r="6" spans="1:102" x14ac:dyDescent="0.25">
      <c r="A6" t="s">
        <v>168</v>
      </c>
      <c r="B6" s="56">
        <v>45135</v>
      </c>
      <c r="C6" t="s">
        <v>187</v>
      </c>
      <c r="D6" t="s">
        <v>188</v>
      </c>
      <c r="E6" t="s">
        <v>171</v>
      </c>
      <c r="F6" t="s">
        <v>108</v>
      </c>
      <c r="G6">
        <v>872.6</v>
      </c>
      <c r="H6">
        <v>92.628</v>
      </c>
      <c r="I6">
        <v>80827.199999999997</v>
      </c>
      <c r="J6" t="s">
        <v>80</v>
      </c>
      <c r="K6">
        <v>212</v>
      </c>
      <c r="L6">
        <v>972</v>
      </c>
      <c r="M6">
        <v>206064</v>
      </c>
      <c r="P6">
        <v>0</v>
      </c>
      <c r="R6" t="s">
        <v>172</v>
      </c>
      <c r="S6">
        <v>194</v>
      </c>
      <c r="T6">
        <v>232</v>
      </c>
      <c r="U6">
        <v>45008</v>
      </c>
      <c r="V6" t="s">
        <v>90</v>
      </c>
      <c r="W6">
        <v>150.5</v>
      </c>
      <c r="X6">
        <v>567</v>
      </c>
      <c r="Y6">
        <v>85333.5</v>
      </c>
      <c r="AB6">
        <v>0</v>
      </c>
      <c r="AD6" t="s">
        <v>115</v>
      </c>
      <c r="AE6">
        <v>85</v>
      </c>
      <c r="AF6">
        <v>185</v>
      </c>
      <c r="AG6">
        <v>15725</v>
      </c>
      <c r="AH6" t="s">
        <v>119</v>
      </c>
      <c r="AI6">
        <v>86.87</v>
      </c>
      <c r="AJ6">
        <v>2244</v>
      </c>
      <c r="AK6">
        <v>194936.28</v>
      </c>
      <c r="AL6" t="s">
        <v>100</v>
      </c>
      <c r="AM6">
        <v>91</v>
      </c>
      <c r="AN6">
        <v>669</v>
      </c>
      <c r="AO6">
        <v>60879</v>
      </c>
      <c r="AP6" t="s">
        <v>173</v>
      </c>
      <c r="AR6">
        <v>704</v>
      </c>
      <c r="AV6">
        <v>0</v>
      </c>
      <c r="AX6" t="s">
        <v>36</v>
      </c>
      <c r="AY6">
        <v>460</v>
      </c>
      <c r="AZ6">
        <v>0</v>
      </c>
      <c r="BA6">
        <v>0</v>
      </c>
      <c r="BB6" t="s">
        <v>39</v>
      </c>
      <c r="BC6">
        <v>510</v>
      </c>
      <c r="BD6">
        <v>59</v>
      </c>
      <c r="BE6" s="59">
        <v>30090</v>
      </c>
      <c r="BH6">
        <v>0</v>
      </c>
      <c r="BL6">
        <v>0</v>
      </c>
      <c r="BP6">
        <v>0</v>
      </c>
      <c r="BR6" t="s">
        <v>51</v>
      </c>
      <c r="BS6">
        <v>440</v>
      </c>
      <c r="BT6">
        <v>0</v>
      </c>
      <c r="BU6">
        <v>0</v>
      </c>
      <c r="BX6">
        <v>0</v>
      </c>
      <c r="BZ6">
        <v>95000</v>
      </c>
      <c r="CA6">
        <v>813862.98</v>
      </c>
      <c r="CH6">
        <v>813862.98</v>
      </c>
      <c r="CM6">
        <v>813862.98</v>
      </c>
      <c r="CO6">
        <v>813862.98</v>
      </c>
      <c r="CP6" s="57">
        <v>0.18</v>
      </c>
      <c r="CQ6">
        <v>146495.34</v>
      </c>
      <c r="CR6">
        <v>960358.32</v>
      </c>
      <c r="CS6">
        <v>6.5</v>
      </c>
      <c r="CT6" t="s">
        <v>174</v>
      </c>
      <c r="CU6" s="58">
        <v>6242329</v>
      </c>
      <c r="CV6" t="s">
        <v>189</v>
      </c>
      <c r="CW6" t="s">
        <v>190</v>
      </c>
      <c r="CX6">
        <v>250</v>
      </c>
    </row>
    <row r="7" spans="1:102" x14ac:dyDescent="0.25">
      <c r="A7" t="s">
        <v>168</v>
      </c>
      <c r="B7" s="56">
        <v>45135</v>
      </c>
      <c r="C7" t="s">
        <v>191</v>
      </c>
      <c r="D7" t="s">
        <v>192</v>
      </c>
      <c r="E7" t="s">
        <v>171</v>
      </c>
      <c r="F7" t="s">
        <v>108</v>
      </c>
      <c r="G7">
        <v>872.6</v>
      </c>
      <c r="H7">
        <v>54.918999999999997</v>
      </c>
      <c r="I7">
        <v>47922.32</v>
      </c>
      <c r="J7" t="s">
        <v>80</v>
      </c>
      <c r="K7">
        <v>212</v>
      </c>
      <c r="L7">
        <v>810</v>
      </c>
      <c r="M7">
        <v>171720</v>
      </c>
      <c r="P7">
        <v>0</v>
      </c>
      <c r="R7" t="s">
        <v>172</v>
      </c>
      <c r="S7">
        <v>194</v>
      </c>
      <c r="T7">
        <v>105</v>
      </c>
      <c r="U7">
        <v>20370</v>
      </c>
      <c r="V7" t="s">
        <v>90</v>
      </c>
      <c r="W7">
        <v>150.5</v>
      </c>
      <c r="X7">
        <v>790</v>
      </c>
      <c r="Y7">
        <v>118895</v>
      </c>
      <c r="Z7" t="s">
        <v>18</v>
      </c>
      <c r="AA7">
        <v>120</v>
      </c>
      <c r="AB7">
        <v>0</v>
      </c>
      <c r="AC7">
        <v>0</v>
      </c>
      <c r="AD7" t="s">
        <v>87</v>
      </c>
      <c r="AE7">
        <v>60.7</v>
      </c>
      <c r="AF7">
        <v>173</v>
      </c>
      <c r="AG7">
        <v>10501.1</v>
      </c>
      <c r="AH7" t="s">
        <v>106</v>
      </c>
      <c r="AI7">
        <v>217</v>
      </c>
      <c r="AJ7">
        <v>623</v>
      </c>
      <c r="AK7">
        <v>135191</v>
      </c>
      <c r="AL7" t="s">
        <v>100</v>
      </c>
      <c r="AM7">
        <v>91</v>
      </c>
      <c r="AN7">
        <v>454</v>
      </c>
      <c r="AO7">
        <v>41314</v>
      </c>
      <c r="AR7">
        <v>0</v>
      </c>
      <c r="AV7">
        <v>0</v>
      </c>
      <c r="AX7" t="s">
        <v>36</v>
      </c>
      <c r="AY7">
        <v>460</v>
      </c>
      <c r="AZ7">
        <v>0</v>
      </c>
      <c r="BA7">
        <v>0</v>
      </c>
      <c r="BB7" t="s">
        <v>39</v>
      </c>
      <c r="BC7">
        <v>510</v>
      </c>
      <c r="BD7">
        <v>0</v>
      </c>
      <c r="BE7">
        <v>0</v>
      </c>
      <c r="BH7">
        <v>0</v>
      </c>
      <c r="BL7">
        <v>0</v>
      </c>
      <c r="BP7">
        <v>0</v>
      </c>
      <c r="BR7" t="s">
        <v>51</v>
      </c>
      <c r="BS7">
        <v>440</v>
      </c>
      <c r="BT7">
        <v>0</v>
      </c>
      <c r="BU7">
        <v>0</v>
      </c>
      <c r="BX7">
        <v>0</v>
      </c>
      <c r="BZ7">
        <v>47500</v>
      </c>
      <c r="CA7">
        <v>593413.42000000004</v>
      </c>
      <c r="CH7">
        <v>593413.42000000004</v>
      </c>
      <c r="CM7">
        <v>593413.42000000004</v>
      </c>
      <c r="CO7">
        <v>593413.42000000004</v>
      </c>
      <c r="CP7" s="57">
        <v>0.18</v>
      </c>
      <c r="CQ7">
        <v>106814.42</v>
      </c>
      <c r="CR7">
        <v>700227.84</v>
      </c>
      <c r="CS7">
        <v>13</v>
      </c>
      <c r="CT7" t="s">
        <v>174</v>
      </c>
      <c r="CU7" s="58">
        <v>9102962</v>
      </c>
      <c r="CV7" t="s">
        <v>193</v>
      </c>
      <c r="CW7" t="s">
        <v>194</v>
      </c>
      <c r="CX7">
        <v>500</v>
      </c>
    </row>
    <row r="8" spans="1:102" x14ac:dyDescent="0.25">
      <c r="A8" t="s">
        <v>168</v>
      </c>
      <c r="B8" s="56">
        <v>45135</v>
      </c>
      <c r="C8" t="s">
        <v>195</v>
      </c>
      <c r="D8" t="s">
        <v>196</v>
      </c>
      <c r="E8" t="s">
        <v>171</v>
      </c>
      <c r="F8" t="s">
        <v>108</v>
      </c>
      <c r="G8">
        <v>872.6</v>
      </c>
      <c r="H8">
        <v>66.388000000000005</v>
      </c>
      <c r="I8">
        <v>57930.17</v>
      </c>
      <c r="J8" t="s">
        <v>80</v>
      </c>
      <c r="K8">
        <v>212</v>
      </c>
      <c r="L8">
        <v>2700</v>
      </c>
      <c r="M8">
        <v>572400</v>
      </c>
      <c r="P8">
        <v>0</v>
      </c>
      <c r="R8" t="s">
        <v>172</v>
      </c>
      <c r="S8">
        <v>194</v>
      </c>
      <c r="T8">
        <v>161</v>
      </c>
      <c r="U8">
        <v>31234</v>
      </c>
      <c r="V8" t="s">
        <v>90</v>
      </c>
      <c r="W8">
        <v>150.5</v>
      </c>
      <c r="X8">
        <v>468</v>
      </c>
      <c r="Y8">
        <v>70434</v>
      </c>
      <c r="Z8" t="s">
        <v>18</v>
      </c>
      <c r="AA8">
        <v>120</v>
      </c>
      <c r="AB8">
        <v>0</v>
      </c>
      <c r="AC8">
        <v>0</v>
      </c>
      <c r="AD8" t="s">
        <v>87</v>
      </c>
      <c r="AE8">
        <v>60.7</v>
      </c>
      <c r="AF8">
        <v>231</v>
      </c>
      <c r="AG8">
        <v>14021.7</v>
      </c>
      <c r="AH8" t="s">
        <v>106</v>
      </c>
      <c r="AI8">
        <v>217</v>
      </c>
      <c r="AJ8">
        <v>750</v>
      </c>
      <c r="AK8">
        <v>162750</v>
      </c>
      <c r="AL8" t="s">
        <v>100</v>
      </c>
      <c r="AM8">
        <v>91</v>
      </c>
      <c r="AN8">
        <v>542</v>
      </c>
      <c r="AO8">
        <v>49322</v>
      </c>
      <c r="AR8">
        <v>0</v>
      </c>
      <c r="AV8">
        <v>0</v>
      </c>
      <c r="AX8" t="s">
        <v>36</v>
      </c>
      <c r="AY8">
        <v>460</v>
      </c>
      <c r="AZ8">
        <v>0</v>
      </c>
      <c r="BA8">
        <v>0</v>
      </c>
      <c r="BB8" t="s">
        <v>39</v>
      </c>
      <c r="BC8">
        <v>510</v>
      </c>
      <c r="BD8">
        <v>99</v>
      </c>
      <c r="BE8" s="59">
        <v>50490</v>
      </c>
      <c r="BH8">
        <v>59</v>
      </c>
      <c r="BL8">
        <v>0</v>
      </c>
      <c r="BP8">
        <v>0</v>
      </c>
      <c r="BR8" t="s">
        <v>51</v>
      </c>
      <c r="BS8">
        <v>440</v>
      </c>
      <c r="BT8">
        <v>52</v>
      </c>
      <c r="BU8" s="59">
        <v>22880</v>
      </c>
      <c r="BX8">
        <v>0</v>
      </c>
      <c r="BZ8">
        <v>66500</v>
      </c>
      <c r="CA8">
        <v>1097961.8700000001</v>
      </c>
      <c r="CH8">
        <v>1097961.8700000001</v>
      </c>
      <c r="CM8">
        <v>1097961.8700000001</v>
      </c>
      <c r="CO8">
        <v>1097961.8700000001</v>
      </c>
      <c r="CP8" s="57">
        <v>0.18</v>
      </c>
      <c r="CQ8">
        <v>197633.14</v>
      </c>
      <c r="CR8">
        <v>1295595.01</v>
      </c>
      <c r="CS8">
        <v>15</v>
      </c>
      <c r="CT8" t="s">
        <v>174</v>
      </c>
      <c r="CU8" s="58">
        <v>19433925</v>
      </c>
      <c r="CV8" t="s">
        <v>197</v>
      </c>
      <c r="CW8" t="s">
        <v>198</v>
      </c>
      <c r="CX8">
        <v>500</v>
      </c>
    </row>
    <row r="9" spans="1:102" x14ac:dyDescent="0.25">
      <c r="A9" t="s">
        <v>168</v>
      </c>
      <c r="B9" s="56">
        <v>45135</v>
      </c>
      <c r="C9" t="s">
        <v>199</v>
      </c>
      <c r="D9" t="s">
        <v>200</v>
      </c>
      <c r="E9" t="s">
        <v>171</v>
      </c>
      <c r="F9" t="s">
        <v>108</v>
      </c>
      <c r="G9">
        <v>872.6</v>
      </c>
      <c r="H9">
        <v>164.756</v>
      </c>
      <c r="I9">
        <v>143766.09</v>
      </c>
      <c r="J9" t="s">
        <v>80</v>
      </c>
      <c r="K9">
        <v>212</v>
      </c>
      <c r="L9">
        <v>2430</v>
      </c>
      <c r="M9">
        <v>515160</v>
      </c>
      <c r="P9">
        <v>0</v>
      </c>
      <c r="R9" t="s">
        <v>172</v>
      </c>
      <c r="S9">
        <v>194</v>
      </c>
      <c r="T9">
        <v>394</v>
      </c>
      <c r="U9">
        <v>76436</v>
      </c>
      <c r="V9" t="s">
        <v>90</v>
      </c>
      <c r="W9">
        <v>150.5</v>
      </c>
      <c r="X9">
        <v>2355</v>
      </c>
      <c r="Y9">
        <v>354427.5</v>
      </c>
      <c r="AB9">
        <v>0</v>
      </c>
      <c r="AD9" t="s">
        <v>115</v>
      </c>
      <c r="AE9">
        <v>85</v>
      </c>
      <c r="AF9">
        <v>393</v>
      </c>
      <c r="AG9">
        <v>33405</v>
      </c>
      <c r="AH9" t="s">
        <v>119</v>
      </c>
      <c r="AI9">
        <v>86.87</v>
      </c>
      <c r="AJ9">
        <v>6463</v>
      </c>
      <c r="AK9">
        <v>561440.81000000006</v>
      </c>
      <c r="AL9" t="s">
        <v>100</v>
      </c>
      <c r="AM9">
        <v>91</v>
      </c>
      <c r="AN9">
        <v>1550</v>
      </c>
      <c r="AO9">
        <v>141050</v>
      </c>
      <c r="AP9" t="s">
        <v>173</v>
      </c>
      <c r="AR9">
        <v>2292</v>
      </c>
      <c r="AV9">
        <v>0</v>
      </c>
      <c r="AX9" t="s">
        <v>36</v>
      </c>
      <c r="AY9">
        <v>460</v>
      </c>
      <c r="AZ9">
        <v>0</v>
      </c>
      <c r="BA9">
        <v>0</v>
      </c>
      <c r="BB9" t="s">
        <v>39</v>
      </c>
      <c r="BC9">
        <v>510</v>
      </c>
      <c r="BD9">
        <v>0</v>
      </c>
      <c r="BE9">
        <v>0</v>
      </c>
      <c r="BH9">
        <v>0</v>
      </c>
      <c r="BL9">
        <v>0</v>
      </c>
      <c r="BP9">
        <v>0</v>
      </c>
      <c r="BR9" t="s">
        <v>51</v>
      </c>
      <c r="BS9">
        <v>440</v>
      </c>
      <c r="BT9">
        <v>0</v>
      </c>
      <c r="BU9">
        <v>0</v>
      </c>
      <c r="BX9">
        <v>0</v>
      </c>
      <c r="BZ9">
        <v>190000</v>
      </c>
      <c r="CA9">
        <v>2015685.4</v>
      </c>
      <c r="CH9">
        <v>2015685.4</v>
      </c>
      <c r="CM9">
        <v>2015685.4</v>
      </c>
      <c r="CO9">
        <v>2015685.4</v>
      </c>
      <c r="CP9" s="57">
        <v>0.18</v>
      </c>
      <c r="CQ9">
        <v>362823.37</v>
      </c>
      <c r="CR9">
        <v>2378508.77</v>
      </c>
      <c r="CS9">
        <v>15.09</v>
      </c>
      <c r="CT9" t="s">
        <v>174</v>
      </c>
      <c r="CU9" s="58">
        <v>35891697</v>
      </c>
      <c r="CV9" t="s">
        <v>201</v>
      </c>
      <c r="CW9" t="s">
        <v>202</v>
      </c>
      <c r="CX9">
        <v>250</v>
      </c>
    </row>
    <row r="10" spans="1:102" x14ac:dyDescent="0.25">
      <c r="A10" t="s">
        <v>168</v>
      </c>
      <c r="B10" s="56">
        <v>45135</v>
      </c>
      <c r="C10" t="s">
        <v>203</v>
      </c>
      <c r="D10" t="s">
        <v>204</v>
      </c>
      <c r="E10" t="s">
        <v>171</v>
      </c>
      <c r="F10" t="s">
        <v>108</v>
      </c>
      <c r="G10">
        <v>872.6</v>
      </c>
      <c r="H10">
        <v>59.755000000000003</v>
      </c>
      <c r="I10">
        <v>52142.22</v>
      </c>
      <c r="J10" t="s">
        <v>80</v>
      </c>
      <c r="K10">
        <v>212</v>
      </c>
      <c r="L10">
        <v>1080</v>
      </c>
      <c r="M10">
        <v>228960</v>
      </c>
      <c r="P10">
        <v>0</v>
      </c>
      <c r="R10" t="s">
        <v>172</v>
      </c>
      <c r="S10">
        <v>194</v>
      </c>
      <c r="T10">
        <v>119</v>
      </c>
      <c r="U10">
        <v>23086</v>
      </c>
      <c r="V10" t="s">
        <v>90</v>
      </c>
      <c r="W10">
        <v>150.5</v>
      </c>
      <c r="X10">
        <v>882</v>
      </c>
      <c r="Y10">
        <v>132741</v>
      </c>
      <c r="Z10" t="s">
        <v>18</v>
      </c>
      <c r="AA10">
        <v>120</v>
      </c>
      <c r="AB10">
        <v>0</v>
      </c>
      <c r="AC10">
        <v>0</v>
      </c>
      <c r="AD10" t="s">
        <v>87</v>
      </c>
      <c r="AE10">
        <v>60.7</v>
      </c>
      <c r="AF10">
        <v>187</v>
      </c>
      <c r="AG10">
        <v>11350.9</v>
      </c>
      <c r="AH10" t="s">
        <v>106</v>
      </c>
      <c r="AI10">
        <v>217</v>
      </c>
      <c r="AJ10">
        <v>675</v>
      </c>
      <c r="AK10">
        <v>146475</v>
      </c>
      <c r="AL10" t="s">
        <v>100</v>
      </c>
      <c r="AM10">
        <v>91</v>
      </c>
      <c r="AN10">
        <v>490</v>
      </c>
      <c r="AO10">
        <v>44590</v>
      </c>
      <c r="AR10">
        <v>0</v>
      </c>
      <c r="AV10">
        <v>0</v>
      </c>
      <c r="AX10" t="s">
        <v>36</v>
      </c>
      <c r="AY10">
        <v>460</v>
      </c>
      <c r="AZ10">
        <v>54</v>
      </c>
      <c r="BA10" s="59">
        <v>24840</v>
      </c>
      <c r="BB10" t="s">
        <v>39</v>
      </c>
      <c r="BC10">
        <v>510</v>
      </c>
      <c r="BD10">
        <v>0</v>
      </c>
      <c r="BE10">
        <v>0</v>
      </c>
      <c r="BH10">
        <v>52</v>
      </c>
      <c r="BL10">
        <v>0</v>
      </c>
      <c r="BP10">
        <v>0</v>
      </c>
      <c r="BR10" t="s">
        <v>51</v>
      </c>
      <c r="BS10">
        <v>440</v>
      </c>
      <c r="BT10">
        <v>0</v>
      </c>
      <c r="BU10">
        <v>0</v>
      </c>
      <c r="BX10">
        <v>0</v>
      </c>
      <c r="BZ10">
        <v>53200</v>
      </c>
      <c r="CA10">
        <v>717385.12</v>
      </c>
      <c r="CH10">
        <v>717385.12</v>
      </c>
      <c r="CM10">
        <v>717385.12</v>
      </c>
      <c r="CO10">
        <v>717385.12</v>
      </c>
      <c r="CP10" s="57">
        <v>0.18</v>
      </c>
      <c r="CQ10">
        <v>129129.32</v>
      </c>
      <c r="CR10">
        <v>846514.44</v>
      </c>
      <c r="CS10">
        <v>25.5</v>
      </c>
      <c r="CT10" t="s">
        <v>174</v>
      </c>
      <c r="CU10" s="58">
        <v>21586118</v>
      </c>
      <c r="CV10" t="s">
        <v>205</v>
      </c>
      <c r="CW10" t="s">
        <v>206</v>
      </c>
      <c r="CX10">
        <v>500</v>
      </c>
    </row>
    <row r="11" spans="1:102" x14ac:dyDescent="0.25">
      <c r="A11" t="s">
        <v>168</v>
      </c>
      <c r="B11" s="56">
        <v>45135</v>
      </c>
      <c r="C11" t="s">
        <v>207</v>
      </c>
      <c r="D11" t="s">
        <v>208</v>
      </c>
      <c r="E11" t="s">
        <v>171</v>
      </c>
      <c r="F11" t="s">
        <v>108</v>
      </c>
      <c r="G11">
        <v>872.6</v>
      </c>
      <c r="H11">
        <v>45.384999999999998</v>
      </c>
      <c r="I11">
        <v>39602.959999999999</v>
      </c>
      <c r="J11" t="s">
        <v>80</v>
      </c>
      <c r="K11">
        <v>212</v>
      </c>
      <c r="L11">
        <v>1080</v>
      </c>
      <c r="M11">
        <v>228960</v>
      </c>
      <c r="P11">
        <v>0</v>
      </c>
      <c r="R11" t="s">
        <v>172</v>
      </c>
      <c r="S11">
        <v>194</v>
      </c>
      <c r="T11">
        <v>103</v>
      </c>
      <c r="U11">
        <v>19982</v>
      </c>
      <c r="V11" t="s">
        <v>90</v>
      </c>
      <c r="W11">
        <v>150.5</v>
      </c>
      <c r="X11">
        <v>305</v>
      </c>
      <c r="Y11">
        <v>45902.5</v>
      </c>
      <c r="AB11">
        <v>0</v>
      </c>
      <c r="AD11" t="s">
        <v>87</v>
      </c>
      <c r="AE11">
        <v>60.7</v>
      </c>
      <c r="AF11">
        <v>127</v>
      </c>
      <c r="AG11">
        <v>7708.9</v>
      </c>
      <c r="AH11" t="s">
        <v>106</v>
      </c>
      <c r="AI11">
        <v>217</v>
      </c>
      <c r="AJ11">
        <v>413</v>
      </c>
      <c r="AK11">
        <v>89621</v>
      </c>
      <c r="AL11" t="s">
        <v>100</v>
      </c>
      <c r="AM11">
        <v>91</v>
      </c>
      <c r="AN11">
        <v>308</v>
      </c>
      <c r="AO11">
        <v>28028</v>
      </c>
      <c r="AR11">
        <v>0</v>
      </c>
      <c r="AV11">
        <v>0</v>
      </c>
      <c r="AX11" t="s">
        <v>36</v>
      </c>
      <c r="AY11">
        <v>460</v>
      </c>
      <c r="AZ11">
        <v>0</v>
      </c>
      <c r="BA11">
        <v>0</v>
      </c>
      <c r="BB11" t="s">
        <v>39</v>
      </c>
      <c r="BC11">
        <v>510</v>
      </c>
      <c r="BD11">
        <v>54</v>
      </c>
      <c r="BE11" s="59">
        <v>27540</v>
      </c>
      <c r="BH11">
        <v>0</v>
      </c>
      <c r="BL11">
        <v>0</v>
      </c>
      <c r="BP11">
        <v>0</v>
      </c>
      <c r="BT11">
        <v>0</v>
      </c>
      <c r="BX11">
        <v>0</v>
      </c>
      <c r="BZ11">
        <v>34200</v>
      </c>
      <c r="CA11">
        <v>521545.36</v>
      </c>
      <c r="CH11">
        <v>521545.36</v>
      </c>
      <c r="CM11">
        <v>521545.36</v>
      </c>
      <c r="CO11">
        <v>521545.36</v>
      </c>
      <c r="CP11" s="57">
        <v>0.18</v>
      </c>
      <c r="CQ11">
        <v>93878.16</v>
      </c>
      <c r="CR11">
        <v>615423.52</v>
      </c>
      <c r="CS11">
        <v>40</v>
      </c>
      <c r="CT11" t="s">
        <v>174</v>
      </c>
      <c r="CU11" s="58">
        <v>24616941</v>
      </c>
      <c r="CV11" t="s">
        <v>209</v>
      </c>
      <c r="CW11" t="s">
        <v>210</v>
      </c>
      <c r="CX11">
        <v>500</v>
      </c>
    </row>
    <row r="12" spans="1:102" x14ac:dyDescent="0.25">
      <c r="A12" t="s">
        <v>168</v>
      </c>
      <c r="B12" s="56">
        <v>45135</v>
      </c>
      <c r="C12" t="s">
        <v>211</v>
      </c>
      <c r="D12" t="s">
        <v>212</v>
      </c>
      <c r="E12" t="s">
        <v>171</v>
      </c>
      <c r="F12" t="s">
        <v>108</v>
      </c>
      <c r="G12">
        <v>872.6</v>
      </c>
      <c r="H12">
        <v>68.736999999999995</v>
      </c>
      <c r="I12">
        <v>59979.91</v>
      </c>
      <c r="J12" t="s">
        <v>80</v>
      </c>
      <c r="K12">
        <v>212</v>
      </c>
      <c r="L12">
        <v>1701</v>
      </c>
      <c r="M12">
        <v>360612</v>
      </c>
      <c r="P12">
        <v>0</v>
      </c>
      <c r="R12" t="s">
        <v>172</v>
      </c>
      <c r="S12">
        <v>194</v>
      </c>
      <c r="T12">
        <v>143</v>
      </c>
      <c r="U12">
        <v>27742</v>
      </c>
      <c r="V12" t="s">
        <v>90</v>
      </c>
      <c r="W12">
        <v>150.5</v>
      </c>
      <c r="X12">
        <v>1053</v>
      </c>
      <c r="Y12">
        <v>158476.5</v>
      </c>
      <c r="Z12" t="s">
        <v>18</v>
      </c>
      <c r="AA12">
        <v>120</v>
      </c>
      <c r="AB12">
        <v>0</v>
      </c>
      <c r="AC12">
        <v>0</v>
      </c>
      <c r="AD12" t="s">
        <v>87</v>
      </c>
      <c r="AE12">
        <v>60.7</v>
      </c>
      <c r="AF12">
        <v>239</v>
      </c>
      <c r="AG12">
        <v>14507.3</v>
      </c>
      <c r="AH12" t="s">
        <v>106</v>
      </c>
      <c r="AI12">
        <v>217</v>
      </c>
      <c r="AJ12">
        <v>776</v>
      </c>
      <c r="AK12">
        <v>168392</v>
      </c>
      <c r="AL12" t="s">
        <v>100</v>
      </c>
      <c r="AM12">
        <v>91</v>
      </c>
      <c r="AN12">
        <v>639</v>
      </c>
      <c r="AO12">
        <v>58149</v>
      </c>
      <c r="AR12">
        <v>0</v>
      </c>
      <c r="AV12">
        <v>0</v>
      </c>
      <c r="AX12" t="s">
        <v>36</v>
      </c>
      <c r="AY12">
        <v>460</v>
      </c>
      <c r="AZ12">
        <v>0</v>
      </c>
      <c r="BA12">
        <v>0</v>
      </c>
      <c r="BB12" t="s">
        <v>39</v>
      </c>
      <c r="BC12">
        <v>510</v>
      </c>
      <c r="BD12">
        <v>0</v>
      </c>
      <c r="BE12">
        <v>0</v>
      </c>
      <c r="BH12">
        <v>0</v>
      </c>
      <c r="BL12">
        <v>0</v>
      </c>
      <c r="BP12">
        <v>0</v>
      </c>
      <c r="BR12" t="s">
        <v>51</v>
      </c>
      <c r="BS12">
        <v>440</v>
      </c>
      <c r="BT12">
        <v>0</v>
      </c>
      <c r="BU12">
        <v>0</v>
      </c>
      <c r="BX12">
        <v>0</v>
      </c>
      <c r="BZ12">
        <v>53200</v>
      </c>
      <c r="CA12">
        <v>901058.71</v>
      </c>
      <c r="CH12">
        <v>901058.71</v>
      </c>
      <c r="CM12">
        <v>901058.71</v>
      </c>
      <c r="CO12">
        <v>901058.71</v>
      </c>
      <c r="CP12" s="57">
        <v>0.18</v>
      </c>
      <c r="CQ12">
        <v>162190.57</v>
      </c>
      <c r="CR12">
        <v>1063249.28</v>
      </c>
      <c r="CS12">
        <v>33</v>
      </c>
      <c r="CT12" t="s">
        <v>174</v>
      </c>
      <c r="CU12" s="58">
        <v>35087226</v>
      </c>
      <c r="CV12" t="s">
        <v>213</v>
      </c>
      <c r="CW12" t="s">
        <v>214</v>
      </c>
      <c r="CX12">
        <v>500</v>
      </c>
    </row>
    <row r="13" spans="1:102" x14ac:dyDescent="0.25">
      <c r="A13" t="s">
        <v>168</v>
      </c>
      <c r="B13" s="56">
        <v>45135</v>
      </c>
      <c r="C13" t="s">
        <v>215</v>
      </c>
      <c r="D13" t="s">
        <v>216</v>
      </c>
      <c r="E13" t="s">
        <v>171</v>
      </c>
      <c r="F13" t="s">
        <v>108</v>
      </c>
      <c r="G13">
        <v>872.6</v>
      </c>
      <c r="H13">
        <v>136.15299999999999</v>
      </c>
      <c r="I13">
        <v>118807.11</v>
      </c>
      <c r="J13" t="s">
        <v>80</v>
      </c>
      <c r="K13">
        <v>212</v>
      </c>
      <c r="L13">
        <v>3240</v>
      </c>
      <c r="M13">
        <v>686880</v>
      </c>
      <c r="P13">
        <v>0</v>
      </c>
      <c r="R13" t="s">
        <v>172</v>
      </c>
      <c r="S13">
        <v>194</v>
      </c>
      <c r="T13">
        <v>378</v>
      </c>
      <c r="U13">
        <v>73332</v>
      </c>
      <c r="V13" t="s">
        <v>90</v>
      </c>
      <c r="W13">
        <v>150.5</v>
      </c>
      <c r="X13">
        <v>897</v>
      </c>
      <c r="Y13">
        <v>134998.5</v>
      </c>
      <c r="AB13">
        <v>0</v>
      </c>
      <c r="AD13" t="s">
        <v>115</v>
      </c>
      <c r="AE13">
        <v>85</v>
      </c>
      <c r="AF13">
        <v>321</v>
      </c>
      <c r="AG13">
        <v>27285</v>
      </c>
      <c r="AH13" t="s">
        <v>119</v>
      </c>
      <c r="AI13">
        <v>86.87</v>
      </c>
      <c r="AJ13">
        <v>5335</v>
      </c>
      <c r="AK13">
        <v>463451.45</v>
      </c>
      <c r="AL13" t="s">
        <v>100</v>
      </c>
      <c r="AM13">
        <v>91</v>
      </c>
      <c r="AN13">
        <v>1303</v>
      </c>
      <c r="AO13">
        <v>118573</v>
      </c>
      <c r="AP13" t="s">
        <v>173</v>
      </c>
      <c r="AR13">
        <v>1525</v>
      </c>
      <c r="AV13">
        <v>0</v>
      </c>
      <c r="AX13" t="s">
        <v>36</v>
      </c>
      <c r="AY13">
        <v>460</v>
      </c>
      <c r="AZ13">
        <v>0</v>
      </c>
      <c r="BA13">
        <v>0</v>
      </c>
      <c r="BB13" t="s">
        <v>39</v>
      </c>
      <c r="BC13">
        <v>510</v>
      </c>
      <c r="BD13">
        <v>64</v>
      </c>
      <c r="BE13" s="59">
        <v>32640</v>
      </c>
      <c r="BH13">
        <v>0</v>
      </c>
      <c r="BL13">
        <v>0</v>
      </c>
      <c r="BP13">
        <v>0</v>
      </c>
      <c r="BR13" t="s">
        <v>51</v>
      </c>
      <c r="BS13">
        <v>440</v>
      </c>
      <c r="BT13">
        <v>0</v>
      </c>
      <c r="BU13">
        <v>0</v>
      </c>
      <c r="BX13">
        <v>0</v>
      </c>
      <c r="BZ13">
        <v>182400</v>
      </c>
      <c r="CA13">
        <v>1838367.06</v>
      </c>
      <c r="CH13">
        <v>1838367.06</v>
      </c>
      <c r="CM13">
        <v>1838367.06</v>
      </c>
      <c r="CO13">
        <v>1838367.06</v>
      </c>
      <c r="CP13" s="57">
        <v>0.18</v>
      </c>
      <c r="CQ13">
        <v>330906.07</v>
      </c>
      <c r="CR13">
        <v>2169273.13</v>
      </c>
      <c r="CS13">
        <v>41.1</v>
      </c>
      <c r="CT13" t="s">
        <v>174</v>
      </c>
      <c r="CU13" s="58">
        <v>89157126</v>
      </c>
      <c r="CV13" t="s">
        <v>217</v>
      </c>
      <c r="CW13" t="s">
        <v>218</v>
      </c>
      <c r="CX13">
        <v>250</v>
      </c>
    </row>
    <row r="14" spans="1:102" x14ac:dyDescent="0.25">
      <c r="A14" t="s">
        <v>168</v>
      </c>
      <c r="B14" s="56">
        <v>45135</v>
      </c>
      <c r="C14" t="s">
        <v>219</v>
      </c>
      <c r="D14" t="s">
        <v>220</v>
      </c>
      <c r="E14" t="s">
        <v>171</v>
      </c>
      <c r="F14" t="s">
        <v>108</v>
      </c>
      <c r="G14">
        <v>872.6</v>
      </c>
      <c r="H14">
        <v>179.26499999999999</v>
      </c>
      <c r="I14">
        <v>156426.64000000001</v>
      </c>
      <c r="J14" t="s">
        <v>80</v>
      </c>
      <c r="K14">
        <v>212</v>
      </c>
      <c r="L14">
        <v>3240</v>
      </c>
      <c r="M14">
        <v>686880</v>
      </c>
      <c r="P14">
        <v>0</v>
      </c>
      <c r="R14" t="s">
        <v>172</v>
      </c>
      <c r="S14">
        <v>194</v>
      </c>
      <c r="T14">
        <v>356</v>
      </c>
      <c r="U14">
        <v>69064</v>
      </c>
      <c r="V14" t="s">
        <v>90</v>
      </c>
      <c r="W14">
        <v>150.5</v>
      </c>
      <c r="X14">
        <v>2646</v>
      </c>
      <c r="Y14">
        <v>398223</v>
      </c>
      <c r="AB14">
        <v>0</v>
      </c>
      <c r="AD14" t="s">
        <v>115</v>
      </c>
      <c r="AE14">
        <v>85</v>
      </c>
      <c r="AF14">
        <v>414</v>
      </c>
      <c r="AG14">
        <v>35190</v>
      </c>
      <c r="AH14" t="s">
        <v>119</v>
      </c>
      <c r="AI14">
        <v>86.87</v>
      </c>
      <c r="AJ14">
        <v>6615</v>
      </c>
      <c r="AK14">
        <v>574645.05000000005</v>
      </c>
      <c r="AL14" t="s">
        <v>100</v>
      </c>
      <c r="AM14">
        <v>91</v>
      </c>
      <c r="AN14">
        <v>1552</v>
      </c>
      <c r="AO14">
        <v>141232</v>
      </c>
      <c r="AP14" t="s">
        <v>173</v>
      </c>
      <c r="AR14">
        <v>2484</v>
      </c>
      <c r="AV14">
        <v>0</v>
      </c>
      <c r="AX14" t="s">
        <v>36</v>
      </c>
      <c r="AY14">
        <v>460</v>
      </c>
      <c r="AZ14">
        <v>120</v>
      </c>
      <c r="BA14" s="59">
        <v>55200</v>
      </c>
      <c r="BB14" t="s">
        <v>39</v>
      </c>
      <c r="BC14">
        <v>510</v>
      </c>
      <c r="BD14">
        <v>0</v>
      </c>
      <c r="BE14">
        <v>0</v>
      </c>
      <c r="BH14">
        <v>144</v>
      </c>
      <c r="BL14">
        <v>0</v>
      </c>
      <c r="BP14">
        <v>0</v>
      </c>
      <c r="BR14" t="s">
        <v>51</v>
      </c>
      <c r="BS14">
        <v>440</v>
      </c>
      <c r="BT14">
        <v>0</v>
      </c>
      <c r="BU14">
        <v>0</v>
      </c>
      <c r="BX14">
        <v>0</v>
      </c>
      <c r="BZ14">
        <v>190000</v>
      </c>
      <c r="CA14">
        <v>2306860.69</v>
      </c>
      <c r="CH14">
        <v>2306860.69</v>
      </c>
      <c r="CM14">
        <v>2306860.69</v>
      </c>
      <c r="CO14">
        <v>2306860.69</v>
      </c>
      <c r="CP14" s="57">
        <v>0.18</v>
      </c>
      <c r="CQ14">
        <v>415234.92</v>
      </c>
      <c r="CR14">
        <v>2722095.61</v>
      </c>
      <c r="CS14">
        <v>103.5</v>
      </c>
      <c r="CT14" t="s">
        <v>174</v>
      </c>
      <c r="CU14" s="58">
        <v>281736896</v>
      </c>
      <c r="CV14" t="s">
        <v>201</v>
      </c>
      <c r="CW14" t="s">
        <v>221</v>
      </c>
      <c r="CX14">
        <v>250</v>
      </c>
    </row>
    <row r="15" spans="1:102" x14ac:dyDescent="0.25">
      <c r="A15" t="s">
        <v>168</v>
      </c>
      <c r="B15" s="56">
        <v>45135</v>
      </c>
      <c r="C15" t="s">
        <v>222</v>
      </c>
      <c r="D15" t="s">
        <v>223</v>
      </c>
      <c r="E15" t="s">
        <v>171</v>
      </c>
      <c r="F15" t="s">
        <v>108</v>
      </c>
      <c r="G15">
        <v>872.6</v>
      </c>
      <c r="H15">
        <v>121.645</v>
      </c>
      <c r="I15">
        <v>106147.43</v>
      </c>
      <c r="J15" t="s">
        <v>80</v>
      </c>
      <c r="K15">
        <v>212</v>
      </c>
      <c r="L15">
        <v>2430</v>
      </c>
      <c r="M15">
        <v>515160</v>
      </c>
      <c r="P15">
        <v>0</v>
      </c>
      <c r="R15" t="s">
        <v>172</v>
      </c>
      <c r="S15">
        <v>194</v>
      </c>
      <c r="T15">
        <v>338</v>
      </c>
      <c r="U15">
        <v>65572</v>
      </c>
      <c r="V15" t="s">
        <v>90</v>
      </c>
      <c r="W15">
        <v>150.5</v>
      </c>
      <c r="X15">
        <v>802</v>
      </c>
      <c r="Y15">
        <v>120701</v>
      </c>
      <c r="AB15">
        <v>0</v>
      </c>
      <c r="AD15" t="s">
        <v>115</v>
      </c>
      <c r="AE15">
        <v>85</v>
      </c>
      <c r="AF15">
        <v>292</v>
      </c>
      <c r="AG15">
        <v>24820</v>
      </c>
      <c r="AH15" t="s">
        <v>119</v>
      </c>
      <c r="AI15">
        <v>86.87</v>
      </c>
      <c r="AJ15">
        <v>3817</v>
      </c>
      <c r="AK15">
        <v>331582.78999999998</v>
      </c>
      <c r="AL15" t="s">
        <v>100</v>
      </c>
      <c r="AM15">
        <v>91</v>
      </c>
      <c r="AN15">
        <v>1125</v>
      </c>
      <c r="AO15">
        <v>102375</v>
      </c>
      <c r="AP15" t="s">
        <v>173</v>
      </c>
      <c r="AR15">
        <v>1305</v>
      </c>
      <c r="AV15">
        <v>0</v>
      </c>
      <c r="AX15" t="s">
        <v>36</v>
      </c>
      <c r="AY15">
        <v>460</v>
      </c>
      <c r="AZ15">
        <v>0</v>
      </c>
      <c r="BA15">
        <v>0</v>
      </c>
      <c r="BB15" t="s">
        <v>39</v>
      </c>
      <c r="BC15">
        <v>510</v>
      </c>
      <c r="BD15">
        <v>115</v>
      </c>
      <c r="BE15" s="59">
        <v>58650</v>
      </c>
      <c r="BH15">
        <v>34</v>
      </c>
      <c r="BL15">
        <v>0</v>
      </c>
      <c r="BP15">
        <v>0</v>
      </c>
      <c r="BR15" t="s">
        <v>51</v>
      </c>
      <c r="BS15">
        <v>440</v>
      </c>
      <c r="BT15">
        <v>0</v>
      </c>
      <c r="BU15">
        <v>0</v>
      </c>
      <c r="BX15">
        <v>0</v>
      </c>
      <c r="BZ15">
        <v>171000</v>
      </c>
      <c r="CA15">
        <v>1496008.22</v>
      </c>
      <c r="CH15">
        <v>1496008.22</v>
      </c>
      <c r="CM15">
        <v>1496008.22</v>
      </c>
      <c r="CO15">
        <v>1496008.22</v>
      </c>
      <c r="CP15" s="57">
        <v>0.18</v>
      </c>
      <c r="CQ15">
        <v>269281.48</v>
      </c>
      <c r="CR15">
        <v>1765289.7</v>
      </c>
      <c r="CS15">
        <v>169.9</v>
      </c>
      <c r="CT15" t="s">
        <v>174</v>
      </c>
      <c r="CU15" s="58">
        <v>299922720</v>
      </c>
      <c r="CV15" t="s">
        <v>175</v>
      </c>
      <c r="CW15" t="s">
        <v>176</v>
      </c>
      <c r="CX15">
        <v>250</v>
      </c>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8"/>
      <c r="AQ16" s="8"/>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2"/>
      <c r="CC16" s="1"/>
      <c r="CD16" s="12"/>
      <c r="CE16" s="1"/>
      <c r="CF16" s="12"/>
      <c r="CG16" s="1"/>
      <c r="CH16" s="1"/>
      <c r="CI16" s="12"/>
      <c r="CJ16" s="1"/>
      <c r="CK16" s="12"/>
      <c r="CL16" s="1"/>
      <c r="CM16" s="3"/>
      <c r="CN16" s="1"/>
      <c r="CO16" s="1"/>
      <c r="CP16" s="12"/>
      <c r="CQ16" s="1"/>
      <c r="CR16" s="1"/>
      <c r="CS16" s="1"/>
      <c r="CT16" s="1"/>
      <c r="CU16" s="13"/>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8"/>
      <c r="AQ17" s="8"/>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2"/>
      <c r="CC17" s="1"/>
      <c r="CD17" s="12"/>
      <c r="CE17" s="1"/>
      <c r="CF17" s="12"/>
      <c r="CG17" s="1"/>
      <c r="CH17" s="1"/>
      <c r="CI17" s="12"/>
      <c r="CJ17" s="1"/>
      <c r="CK17" s="12"/>
      <c r="CL17" s="1"/>
      <c r="CM17" s="3"/>
      <c r="CN17" s="1"/>
      <c r="CO17" s="1"/>
      <c r="CP17" s="12"/>
      <c r="CQ17" s="1"/>
      <c r="CR17" s="1"/>
      <c r="CS17" s="1"/>
      <c r="CT17" s="1"/>
      <c r="CU17" s="13"/>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8"/>
      <c r="AQ18" s="8"/>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2"/>
      <c r="CC18" s="1"/>
      <c r="CD18" s="12"/>
      <c r="CE18" s="1"/>
      <c r="CF18" s="12"/>
      <c r="CG18" s="1"/>
      <c r="CH18" s="1"/>
      <c r="CI18" s="12"/>
      <c r="CJ18" s="1"/>
      <c r="CK18" s="12"/>
      <c r="CL18" s="1"/>
      <c r="CM18" s="3"/>
      <c r="CN18" s="1"/>
      <c r="CO18" s="1"/>
      <c r="CP18" s="12"/>
      <c r="CQ18" s="1"/>
      <c r="CR18" s="1"/>
      <c r="CS18" s="1"/>
      <c r="CT18" s="1"/>
      <c r="CU18" s="13"/>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2"/>
      <c r="CE19" s="1"/>
      <c r="CF19" s="12"/>
      <c r="CG19" s="1"/>
      <c r="CH19" s="1"/>
      <c r="CI19" s="12"/>
      <c r="CJ19" s="1"/>
      <c r="CK19" s="12"/>
      <c r="CL19" s="1"/>
      <c r="CM19" s="3"/>
      <c r="CN19" s="1"/>
      <c r="CO19" s="1"/>
      <c r="CP19" s="12"/>
      <c r="CQ19" s="1"/>
      <c r="CR19" s="1"/>
      <c r="CS19" s="1"/>
      <c r="CT19" s="1"/>
      <c r="CU19" s="13"/>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2"/>
      <c r="CE20" s="1"/>
      <c r="CF20" s="12"/>
      <c r="CG20" s="1"/>
      <c r="CH20" s="1"/>
      <c r="CI20" s="12"/>
      <c r="CJ20" s="1"/>
      <c r="CK20" s="12"/>
      <c r="CL20" s="1"/>
      <c r="CM20" s="3"/>
      <c r="CN20" s="1"/>
      <c r="CO20" s="1"/>
      <c r="CP20" s="12"/>
      <c r="CQ20" s="1"/>
      <c r="CR20" s="1"/>
      <c r="CS20" s="1"/>
      <c r="CT20" s="1"/>
      <c r="CU20" s="13"/>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66"/>
  <sheetViews>
    <sheetView showZeros="0" tabSelected="1" topLeftCell="G15" workbookViewId="0">
      <pane ySplit="4" topLeftCell="A19" activePane="bottomLeft" state="frozen"/>
      <selection activeCell="A15" sqref="A15"/>
      <selection pane="bottomLeft" activeCell="N18" sqref="N18:BT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customWidth="1"/>
    <col min="6" max="6" width="11.5703125" customWidth="1"/>
    <col min="7" max="7" width="14.5703125" customWidth="1"/>
    <col min="8" max="8" width="11" style="7" customWidth="1"/>
    <col min="9" max="9" width="12.28515625" customWidth="1"/>
    <col min="10" max="10" width="13.85546875" customWidth="1"/>
    <col min="11" max="12" width="9.140625" customWidth="1"/>
    <col min="13" max="13" width="15.28515625" customWidth="1"/>
    <col min="14" max="14" width="7.85546875" style="26" customWidth="1"/>
    <col min="15" max="24" width="7.85546875" style="26" hidden="1" customWidth="1"/>
    <col min="25" max="25" width="7.85546875" style="26" customWidth="1"/>
    <col min="26" max="28" width="7.85546875" style="26" hidden="1" customWidth="1"/>
    <col min="29" max="29" width="7.85546875" style="26" customWidth="1"/>
    <col min="30" max="30" width="7.85546875" style="26" hidden="1" customWidth="1"/>
    <col min="31" max="31" width="7.85546875" style="26" customWidth="1"/>
    <col min="32" max="36" width="7.85546875" style="26" hidden="1" customWidth="1"/>
    <col min="37" max="37" width="7.85546875" style="26" customWidth="1"/>
    <col min="38" max="42" width="7.85546875" style="26" hidden="1" customWidth="1"/>
    <col min="43" max="44" width="7.85546875" style="26" customWidth="1"/>
    <col min="45" max="47" width="7.85546875" style="26" hidden="1" customWidth="1"/>
    <col min="48" max="48" width="7.85546875" style="26" customWidth="1"/>
    <col min="49" max="52" width="7.85546875" style="26" hidden="1" customWidth="1"/>
    <col min="53" max="53" width="7.85546875" style="26" customWidth="1"/>
    <col min="54" max="57" width="7.85546875" style="26" hidden="1" customWidth="1"/>
    <col min="58" max="58" width="11.28515625" style="26" customWidth="1"/>
    <col min="59" max="59" width="7.85546875" style="26" customWidth="1"/>
    <col min="60" max="66" width="7.85546875" style="26" hidden="1" customWidth="1"/>
    <col min="67" max="68" width="7.85546875" style="26" customWidth="1"/>
    <col min="69" max="71" width="7.85546875" style="26" hidden="1" customWidth="1"/>
    <col min="72" max="72" width="7.85546875" style="26" customWidth="1"/>
    <col min="73" max="73" width="7.85546875" style="26" hidden="1" customWidth="1"/>
    <col min="74" max="74" width="7.85546875" style="26" customWidth="1"/>
    <col min="75" max="75" width="11.140625" style="26" customWidth="1"/>
    <col min="76" max="76" width="18" style="26" customWidth="1"/>
    <col min="77" max="77" width="9.140625" style="26" customWidth="1"/>
    <col min="78" max="78" width="13.28515625" style="4" customWidth="1"/>
    <col min="79" max="79" width="13.85546875" style="4" bestFit="1" customWidth="1"/>
    <col min="80" max="80" width="9.140625" style="24" hidden="1" customWidth="1"/>
    <col min="81" max="81" width="9.140625" style="4" hidden="1" customWidth="1"/>
    <col min="82" max="82" width="9.140625" style="10" customWidth="1"/>
    <col min="83" max="83" width="12.5703125"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10" bestFit="1" customWidth="1"/>
  </cols>
  <sheetData>
    <row r="1" spans="1:89" s="42" customFormat="1" ht="15.75" thickBot="1" x14ac:dyDescent="0.3"/>
    <row r="2" spans="1:89" s="42" customFormat="1" ht="23.25" thickBot="1" x14ac:dyDescent="0.5">
      <c r="A2" s="92" t="s">
        <v>157</v>
      </c>
      <c r="B2" s="93"/>
      <c r="C2" s="93"/>
      <c r="D2" s="93"/>
      <c r="E2" s="93"/>
      <c r="F2" s="93"/>
      <c r="G2" s="93"/>
      <c r="H2" s="93"/>
      <c r="I2" s="93"/>
      <c r="J2" s="93"/>
      <c r="K2" s="93"/>
      <c r="L2" s="93"/>
      <c r="M2" s="93"/>
      <c r="N2" s="93"/>
      <c r="O2" s="93"/>
      <c r="P2" s="93"/>
      <c r="Q2" s="93"/>
      <c r="R2" s="94"/>
      <c r="S2" s="48"/>
      <c r="T2" s="45"/>
    </row>
    <row r="3" spans="1:89" s="42" customFormat="1" ht="15.75" thickBot="1" x14ac:dyDescent="0.3">
      <c r="A3"/>
      <c r="B3"/>
      <c r="C3"/>
      <c r="D3"/>
      <c r="E3"/>
      <c r="F3"/>
      <c r="G3"/>
      <c r="H3"/>
      <c r="I3"/>
      <c r="J3"/>
      <c r="K3"/>
      <c r="L3"/>
      <c r="M3"/>
      <c r="N3"/>
      <c r="O3"/>
      <c r="P3"/>
      <c r="Q3"/>
      <c r="R3"/>
      <c r="S3"/>
    </row>
    <row r="4" spans="1:89" s="42" customFormat="1" ht="51.75" customHeight="1" thickBot="1" x14ac:dyDescent="0.3">
      <c r="A4" s="43" t="s">
        <v>124</v>
      </c>
      <c r="B4" s="101" t="s">
        <v>158</v>
      </c>
      <c r="C4" s="101"/>
      <c r="D4" s="101"/>
      <c r="E4" s="101"/>
      <c r="F4" s="101"/>
      <c r="G4" s="101"/>
      <c r="H4" s="101"/>
      <c r="I4" s="101"/>
      <c r="J4" s="101"/>
      <c r="K4" s="101"/>
      <c r="L4" s="101"/>
      <c r="M4" s="101"/>
      <c r="N4" s="101"/>
      <c r="O4" s="101"/>
      <c r="P4" s="101"/>
      <c r="Q4" s="101"/>
      <c r="R4" s="101"/>
      <c r="S4"/>
    </row>
    <row r="5" spans="1:89" s="42" customFormat="1" ht="34.5" customHeight="1" x14ac:dyDescent="0.25">
      <c r="A5" s="43" t="s">
        <v>125</v>
      </c>
      <c r="B5" s="101" t="s">
        <v>156</v>
      </c>
      <c r="C5" s="101"/>
      <c r="D5" s="101"/>
      <c r="E5" s="101"/>
      <c r="F5" s="101"/>
      <c r="G5" s="101"/>
      <c r="H5" s="101"/>
      <c r="I5" s="101"/>
      <c r="J5" s="101"/>
      <c r="K5" s="101"/>
      <c r="L5" s="101"/>
      <c r="M5" s="101"/>
      <c r="N5" s="101"/>
      <c r="O5" s="101"/>
      <c r="P5" s="101"/>
      <c r="Q5" s="101"/>
      <c r="R5" s="101"/>
      <c r="S5"/>
    </row>
    <row r="6" spans="1:89" s="42" customFormat="1" ht="45" customHeight="1" x14ac:dyDescent="0.25">
      <c r="A6" s="44" t="s">
        <v>126</v>
      </c>
      <c r="B6" s="88" t="s">
        <v>159</v>
      </c>
      <c r="C6" s="101"/>
      <c r="D6" s="101"/>
      <c r="E6" s="101"/>
      <c r="F6" s="101"/>
      <c r="G6" s="101"/>
      <c r="H6" s="101"/>
      <c r="I6" s="101"/>
      <c r="J6" s="101"/>
      <c r="K6" s="101"/>
      <c r="L6" s="101"/>
      <c r="M6" s="101"/>
      <c r="N6" s="101"/>
      <c r="O6" s="101"/>
      <c r="P6" s="101"/>
      <c r="Q6" s="101"/>
      <c r="R6" s="101"/>
      <c r="S6"/>
    </row>
    <row r="7" spans="1:89" s="42" customFormat="1" ht="47.25" customHeight="1" x14ac:dyDescent="0.25">
      <c r="A7" s="44" t="s">
        <v>123</v>
      </c>
      <c r="B7" s="88" t="s">
        <v>160</v>
      </c>
      <c r="C7" s="101"/>
      <c r="D7" s="101"/>
      <c r="E7" s="101"/>
      <c r="F7" s="101"/>
      <c r="G7" s="101"/>
      <c r="H7" s="101"/>
      <c r="I7" s="101"/>
      <c r="J7" s="101"/>
      <c r="K7" s="101"/>
      <c r="L7" s="101"/>
      <c r="M7" s="101"/>
      <c r="N7" s="101"/>
      <c r="O7" s="101"/>
      <c r="P7" s="101"/>
      <c r="Q7" s="101"/>
      <c r="R7" s="101"/>
      <c r="S7"/>
    </row>
    <row r="8" spans="1:89" s="42" customFormat="1" ht="23.25" customHeight="1" x14ac:dyDescent="0.25">
      <c r="A8" s="44" t="s">
        <v>127</v>
      </c>
      <c r="B8" s="88" t="s">
        <v>162</v>
      </c>
      <c r="C8" s="88"/>
      <c r="D8" s="88"/>
      <c r="E8" s="88"/>
      <c r="F8" s="88"/>
      <c r="G8" s="88"/>
      <c r="H8" s="88"/>
      <c r="I8" s="88"/>
      <c r="J8" s="88"/>
      <c r="K8" s="88"/>
      <c r="L8" s="88"/>
      <c r="M8" s="88"/>
      <c r="N8" s="88"/>
      <c r="O8" s="88"/>
      <c r="P8" s="88"/>
      <c r="Q8" s="88"/>
      <c r="R8" s="88"/>
      <c r="S8"/>
    </row>
    <row r="9" spans="1:89" s="42" customFormat="1" ht="34.5" customHeight="1" x14ac:dyDescent="0.25">
      <c r="A9" s="44" t="s">
        <v>128</v>
      </c>
      <c r="B9" s="89" t="s">
        <v>163</v>
      </c>
      <c r="C9" s="90"/>
      <c r="D9" s="90"/>
      <c r="E9" s="90"/>
      <c r="F9" s="90"/>
      <c r="G9" s="90"/>
      <c r="H9" s="90"/>
      <c r="I9" s="90"/>
      <c r="J9" s="90"/>
      <c r="K9" s="90"/>
      <c r="L9" s="90"/>
      <c r="M9" s="90"/>
      <c r="N9" s="90"/>
      <c r="O9" s="90"/>
      <c r="P9" s="90"/>
      <c r="Q9" s="90"/>
      <c r="R9" s="91"/>
    </row>
    <row r="10" spans="1:89" s="42" customFormat="1" ht="33.75" customHeight="1" x14ac:dyDescent="0.25">
      <c r="A10" s="44" t="s">
        <v>129</v>
      </c>
      <c r="B10" s="88" t="s">
        <v>161</v>
      </c>
      <c r="C10" s="88"/>
      <c r="D10" s="88"/>
      <c r="E10" s="88"/>
      <c r="F10" s="88"/>
      <c r="G10" s="88"/>
      <c r="H10" s="88"/>
      <c r="I10" s="88"/>
      <c r="J10" s="88"/>
      <c r="K10" s="88"/>
      <c r="L10" s="88"/>
      <c r="M10" s="88"/>
      <c r="N10" s="88"/>
      <c r="O10" s="88"/>
      <c r="P10" s="88"/>
      <c r="Q10" s="88"/>
      <c r="R10" s="88"/>
      <c r="S10"/>
    </row>
    <row r="11" spans="1:89" s="42" customFormat="1" ht="34.5" customHeight="1" x14ac:dyDescent="0.25">
      <c r="A11" s="44" t="s">
        <v>130</v>
      </c>
      <c r="B11" s="97" t="s">
        <v>164</v>
      </c>
      <c r="C11" s="98"/>
      <c r="D11" s="98"/>
      <c r="E11" s="98"/>
      <c r="F11" s="98"/>
      <c r="G11" s="98"/>
      <c r="H11" s="98"/>
      <c r="I11" s="98"/>
      <c r="J11" s="98"/>
      <c r="K11" s="98"/>
      <c r="L11" s="98"/>
      <c r="M11" s="98"/>
      <c r="N11" s="98"/>
      <c r="O11" s="98"/>
      <c r="P11" s="98"/>
      <c r="Q11" s="98"/>
      <c r="R11" s="99"/>
      <c r="S11"/>
    </row>
    <row r="12" spans="1:89" s="42" customFormat="1" ht="30" x14ac:dyDescent="0.25">
      <c r="A12" s="49" t="s">
        <v>131</v>
      </c>
      <c r="B12" s="100" t="s">
        <v>166</v>
      </c>
      <c r="C12" s="100"/>
      <c r="D12" s="100"/>
      <c r="E12" s="100"/>
      <c r="F12" s="100"/>
      <c r="G12" s="100"/>
      <c r="H12" s="100"/>
      <c r="I12" s="100"/>
      <c r="J12" s="100"/>
      <c r="K12" s="100"/>
      <c r="L12" s="100"/>
      <c r="M12" s="100"/>
      <c r="N12" s="100"/>
      <c r="O12" s="100"/>
      <c r="P12" s="100"/>
      <c r="Q12" s="100"/>
      <c r="R12" s="100"/>
    </row>
    <row r="13" spans="1:89" s="42" customFormat="1" ht="37.5" customHeight="1" x14ac:dyDescent="0.25">
      <c r="A13" s="49" t="s">
        <v>132</v>
      </c>
      <c r="B13" s="100" t="s">
        <v>165</v>
      </c>
      <c r="C13" s="100"/>
      <c r="D13" s="100"/>
      <c r="E13" s="100"/>
      <c r="F13" s="100"/>
      <c r="G13" s="100"/>
      <c r="H13" s="100"/>
      <c r="I13" s="100"/>
      <c r="J13" s="100"/>
      <c r="K13" s="100"/>
      <c r="L13" s="100"/>
      <c r="M13" s="100"/>
      <c r="N13" s="100"/>
      <c r="O13" s="100"/>
      <c r="P13" s="100"/>
      <c r="Q13" s="100"/>
      <c r="R13" s="100"/>
    </row>
    <row r="14" spans="1:89" s="42" customFormat="1" ht="13.5" customHeight="1" x14ac:dyDescent="0.25">
      <c r="A14" s="50" t="s">
        <v>133</v>
      </c>
      <c r="B14" s="100"/>
      <c r="C14" s="100"/>
      <c r="D14" s="100"/>
      <c r="E14" s="100"/>
      <c r="F14" s="100"/>
      <c r="G14" s="100"/>
      <c r="H14" s="100"/>
      <c r="I14" s="100"/>
      <c r="J14" s="100"/>
      <c r="K14" s="100"/>
      <c r="L14" s="100"/>
      <c r="M14" s="100"/>
      <c r="N14" s="100"/>
      <c r="O14" s="100"/>
      <c r="P14" s="100"/>
      <c r="Q14" s="100"/>
      <c r="R14" s="100"/>
    </row>
    <row r="15" spans="1:89" ht="9" customHeight="1" x14ac:dyDescent="0.25"/>
    <row r="16" spans="1:89" s="33" customFormat="1" ht="55.5" customHeight="1" x14ac:dyDescent="0.25">
      <c r="E16" s="39"/>
      <c r="H16" s="40"/>
      <c r="N16" s="87" t="str">
        <f>Sheet1!J1</f>
        <v>Conductor</v>
      </c>
      <c r="O16" s="87"/>
      <c r="P16" s="87"/>
      <c r="Q16" s="87"/>
      <c r="R16" s="87"/>
      <c r="S16" s="87" t="s">
        <v>9</v>
      </c>
      <c r="T16" s="87"/>
      <c r="U16" s="87" t="s">
        <v>3</v>
      </c>
      <c r="V16" s="87"/>
      <c r="W16" s="87"/>
      <c r="X16" s="87"/>
      <c r="Y16" s="87"/>
      <c r="Z16" s="87"/>
      <c r="AA16" s="87"/>
      <c r="AB16" s="87"/>
      <c r="AC16" s="87" t="s">
        <v>12</v>
      </c>
      <c r="AD16" s="87"/>
      <c r="AE16" s="87" t="s">
        <v>15</v>
      </c>
      <c r="AF16" s="87"/>
      <c r="AG16" s="87"/>
      <c r="AH16" s="87"/>
      <c r="AI16" s="87"/>
      <c r="AJ16" s="87"/>
      <c r="AK16" s="34" t="s">
        <v>18</v>
      </c>
      <c r="AL16" s="95" t="s">
        <v>21</v>
      </c>
      <c r="AM16" s="96"/>
      <c r="AN16" s="96"/>
      <c r="AO16" s="96"/>
      <c r="AP16" s="96"/>
      <c r="AQ16" s="96"/>
      <c r="AR16" s="96"/>
      <c r="AS16" s="87" t="s">
        <v>24</v>
      </c>
      <c r="AT16" s="87"/>
      <c r="AU16" s="87"/>
      <c r="AV16" s="87"/>
      <c r="AW16" s="87"/>
      <c r="AX16" s="87"/>
      <c r="AY16" s="87"/>
      <c r="AZ16" s="87"/>
      <c r="BA16" s="87"/>
      <c r="BB16" s="87"/>
      <c r="BC16" s="70" t="s">
        <v>27</v>
      </c>
      <c r="BD16" s="70"/>
      <c r="BE16" s="70"/>
      <c r="BF16" s="71" t="s">
        <v>236</v>
      </c>
      <c r="BG16" s="70"/>
      <c r="BH16" s="70"/>
      <c r="BI16" s="70"/>
      <c r="BJ16" s="70"/>
      <c r="BK16" s="70"/>
      <c r="BL16" s="70"/>
      <c r="BM16" s="35" t="s">
        <v>30</v>
      </c>
      <c r="BN16" s="34" t="s">
        <v>33</v>
      </c>
      <c r="BO16" s="34" t="s">
        <v>36</v>
      </c>
      <c r="BP16" s="34" t="s">
        <v>39</v>
      </c>
      <c r="BQ16" s="34" t="s">
        <v>42</v>
      </c>
      <c r="BR16" s="34" t="s">
        <v>45</v>
      </c>
      <c r="BS16" s="34" t="s">
        <v>48</v>
      </c>
      <c r="BT16" s="34" t="s">
        <v>51</v>
      </c>
      <c r="BU16" s="34" t="s">
        <v>54</v>
      </c>
      <c r="BV16" s="46"/>
      <c r="BW16" s="46"/>
      <c r="BX16" s="46"/>
      <c r="BY16" s="54"/>
      <c r="BZ16" s="36" t="s">
        <v>57</v>
      </c>
      <c r="CA16" s="36" t="s">
        <v>58</v>
      </c>
      <c r="CB16" s="37" t="s">
        <v>79</v>
      </c>
      <c r="CC16" s="36" t="s">
        <v>122</v>
      </c>
      <c r="CD16" s="38"/>
      <c r="CE16" s="39"/>
      <c r="CF16" s="40"/>
      <c r="CG16" s="39"/>
      <c r="CH16" s="39"/>
      <c r="CI16" s="40"/>
      <c r="CK16" s="40"/>
    </row>
    <row r="17" spans="1:90" s="15" customFormat="1" ht="89.25" x14ac:dyDescent="0.25">
      <c r="A17" s="18" t="s">
        <v>0</v>
      </c>
      <c r="B17" s="18" t="str">
        <f>Sheet1!B1</f>
        <v>Base Date</v>
      </c>
      <c r="C17" s="18" t="s">
        <v>1</v>
      </c>
      <c r="D17" s="18" t="s">
        <v>2</v>
      </c>
      <c r="E17" s="5" t="s">
        <v>70</v>
      </c>
      <c r="F17" s="11" t="s">
        <v>71</v>
      </c>
      <c r="G17" s="11" t="s">
        <v>72</v>
      </c>
      <c r="H17" s="6" t="s">
        <v>73</v>
      </c>
      <c r="I17" s="11" t="s">
        <v>74</v>
      </c>
      <c r="J17" s="11" t="s">
        <v>75</v>
      </c>
      <c r="K17" s="11" t="s">
        <v>76</v>
      </c>
      <c r="L17" s="11" t="s">
        <v>77</v>
      </c>
      <c r="M17" s="11" t="s">
        <v>78</v>
      </c>
      <c r="N17" s="19" t="s">
        <v>80</v>
      </c>
      <c r="O17" s="19" t="s">
        <v>85</v>
      </c>
      <c r="P17" s="19" t="s">
        <v>82</v>
      </c>
      <c r="Q17" s="19" t="s">
        <v>83</v>
      </c>
      <c r="R17" s="19" t="s">
        <v>84</v>
      </c>
      <c r="S17" s="19" t="s">
        <v>80</v>
      </c>
      <c r="T17" s="19" t="s">
        <v>85</v>
      </c>
      <c r="U17" s="20" t="s">
        <v>92</v>
      </c>
      <c r="V17" s="20" t="s">
        <v>96</v>
      </c>
      <c r="W17" s="20" t="s">
        <v>99</v>
      </c>
      <c r="X17" s="20" t="s">
        <v>104</v>
      </c>
      <c r="Y17" s="20" t="s">
        <v>108</v>
      </c>
      <c r="Z17" s="20" t="s">
        <v>111</v>
      </c>
      <c r="AA17" s="20" t="s">
        <v>114</v>
      </c>
      <c r="AB17" s="20" t="s">
        <v>116</v>
      </c>
      <c r="AC17" s="20" t="s">
        <v>91</v>
      </c>
      <c r="AD17" s="20" t="s">
        <v>95</v>
      </c>
      <c r="AE17" s="20" t="s">
        <v>90</v>
      </c>
      <c r="AF17" s="20" t="s">
        <v>86</v>
      </c>
      <c r="AG17" s="20" t="s">
        <v>98</v>
      </c>
      <c r="AH17" s="20" t="s">
        <v>103</v>
      </c>
      <c r="AI17" s="20" t="s">
        <v>107</v>
      </c>
      <c r="AJ17" s="20" t="s">
        <v>110</v>
      </c>
      <c r="AK17" s="16" t="s">
        <v>18</v>
      </c>
      <c r="AL17" s="20" t="s">
        <v>93</v>
      </c>
      <c r="AM17" s="20" t="s">
        <v>97</v>
      </c>
      <c r="AN17" s="20" t="s">
        <v>100</v>
      </c>
      <c r="AO17" s="20" t="s">
        <v>105</v>
      </c>
      <c r="AP17" s="20" t="s">
        <v>109</v>
      </c>
      <c r="AQ17" s="20" t="s">
        <v>87</v>
      </c>
      <c r="AR17" s="20" t="s">
        <v>115</v>
      </c>
      <c r="AS17" s="20" t="s">
        <v>94</v>
      </c>
      <c r="AT17" s="20" t="s">
        <v>81</v>
      </c>
      <c r="AU17" s="20" t="s">
        <v>101</v>
      </c>
      <c r="AV17" s="20" t="s">
        <v>106</v>
      </c>
      <c r="AW17" s="20" t="s">
        <v>112</v>
      </c>
      <c r="AX17" s="20" t="s">
        <v>88</v>
      </c>
      <c r="AY17" s="20" t="s">
        <v>117</v>
      </c>
      <c r="AZ17" s="20" t="s">
        <v>118</v>
      </c>
      <c r="BA17" s="20" t="s">
        <v>119</v>
      </c>
      <c r="BB17" s="20" t="s">
        <v>121</v>
      </c>
      <c r="BC17" s="20" t="s">
        <v>93</v>
      </c>
      <c r="BD17" s="20" t="s">
        <v>97</v>
      </c>
      <c r="BE17" s="20" t="s">
        <v>102</v>
      </c>
      <c r="BF17" s="20" t="s">
        <v>100</v>
      </c>
      <c r="BG17" s="20" t="s">
        <v>173</v>
      </c>
      <c r="BH17" s="20" t="s">
        <v>113</v>
      </c>
      <c r="BI17" s="20" t="s">
        <v>105</v>
      </c>
      <c r="BJ17" s="20" t="s">
        <v>87</v>
      </c>
      <c r="BK17" s="20" t="s">
        <v>115</v>
      </c>
      <c r="BL17" s="20" t="s">
        <v>120</v>
      </c>
      <c r="BM17" s="16" t="s">
        <v>30</v>
      </c>
      <c r="BN17" s="16" t="s">
        <v>89</v>
      </c>
      <c r="BO17" s="67" t="s">
        <v>235</v>
      </c>
      <c r="BP17" s="21" t="s">
        <v>39</v>
      </c>
      <c r="BQ17" s="17" t="s">
        <v>42</v>
      </c>
      <c r="BR17" s="17" t="s">
        <v>45</v>
      </c>
      <c r="BS17" s="17" t="s">
        <v>48</v>
      </c>
      <c r="BT17" s="21" t="s">
        <v>51</v>
      </c>
      <c r="BU17" s="17" t="s">
        <v>54</v>
      </c>
      <c r="BV17" s="17" t="str">
        <f>Sheet1!E1</f>
        <v>PROPOSE DRUM TYPE</v>
      </c>
      <c r="BW17" s="53" t="str">
        <f>Sheet1!CV1</f>
        <v>DRUM CODE</v>
      </c>
      <c r="BX17" s="53" t="str">
        <f>Sheet1!CW1</f>
        <v>DRUM SIZE (FxbXtx Ft)</v>
      </c>
      <c r="BY17" s="60" t="str">
        <f>Sheet1!CX1</f>
        <v xml:space="preserve">PARTY STANDARD LENGTH (MTR) </v>
      </c>
      <c r="BZ17" s="25"/>
      <c r="CA17" s="25"/>
      <c r="CB17" s="22"/>
      <c r="CC17" s="25"/>
      <c r="CD17" s="9" t="s">
        <v>61</v>
      </c>
      <c r="CE17" s="5" t="s">
        <v>62</v>
      </c>
      <c r="CF17" s="6" t="s">
        <v>63</v>
      </c>
      <c r="CG17" s="5" t="s">
        <v>64</v>
      </c>
      <c r="CH17" s="5" t="s">
        <v>65</v>
      </c>
      <c r="CI17" s="6" t="s">
        <v>66</v>
      </c>
      <c r="CJ17" s="11" t="s">
        <v>67</v>
      </c>
      <c r="CK17" s="6" t="s">
        <v>68</v>
      </c>
      <c r="CL17" s="11" t="s">
        <v>69</v>
      </c>
    </row>
    <row r="18" spans="1:90" s="25" customFormat="1" x14ac:dyDescent="0.25">
      <c r="A18" s="27"/>
      <c r="B18" s="27"/>
      <c r="C18" s="27"/>
      <c r="D18" s="27"/>
      <c r="E18" s="5"/>
      <c r="F18" s="5"/>
      <c r="G18" s="5"/>
      <c r="H18" s="5"/>
      <c r="I18" s="5"/>
      <c r="J18" s="5"/>
      <c r="K18" s="5"/>
      <c r="L18" s="5"/>
      <c r="M18" s="5"/>
      <c r="N18" s="28">
        <v>216</v>
      </c>
      <c r="O18" s="28">
        <f>+IFERROR(VLOOKUP($O$17,Sheet1!J:L,2,0),0)</f>
        <v>0</v>
      </c>
      <c r="P18" s="28">
        <f>+IFERROR(VLOOKUP($P$17,Sheet1!J:M,2,0),0)</f>
        <v>0</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v>878</v>
      </c>
      <c r="Z18" s="29">
        <f>+IFERROR(VLOOKUP($Z$17,Sheet1!F:I,2,0),0)</f>
        <v>0</v>
      </c>
      <c r="AA18" s="29">
        <f>+IFERROR(VLOOKUP($AA$17,Sheet1!F:I,2,0),0)</f>
        <v>0</v>
      </c>
      <c r="AB18" s="29">
        <f>+IFERROR(VLOOKUP($AB$17,Sheet1!F:I,2,0),0)</f>
        <v>0</v>
      </c>
      <c r="AC18" s="29">
        <v>195</v>
      </c>
      <c r="AD18" s="29">
        <f>+IFERROR(VLOOKUP($AD$17,Sheet1!R:U,2,0),0)</f>
        <v>0</v>
      </c>
      <c r="AE18" s="29">
        <v>155</v>
      </c>
      <c r="AF18" s="29">
        <f>+IFERROR(VLOOKUP($AF$17,Sheet1!V:Y,2,0),0)</f>
        <v>0</v>
      </c>
      <c r="AG18" s="29">
        <f>+IFERROR(VLOOKUP($AG$17,Sheet1!V:Y,2,0),0)</f>
        <v>0</v>
      </c>
      <c r="AH18" s="29">
        <f>+IFERROR(VLOOKUP($AH$17,Sheet1!V:Y,2,0),0)</f>
        <v>0</v>
      </c>
      <c r="AI18" s="29">
        <f>+IFERROR(VLOOKUP($AI$17,Sheet1!V:Y,2,0),0)</f>
        <v>0</v>
      </c>
      <c r="AJ18" s="29">
        <f>+IFERROR(VLOOKUP($AJ$17,Sheet1!V:Y,2,0),0)</f>
        <v>0</v>
      </c>
      <c r="AK18" s="30">
        <v>123</v>
      </c>
      <c r="AL18" s="29">
        <f>+IFERROR(VLOOKUP($AL$17,Sheet1!AD2:AG840,2,0),0)</f>
        <v>0</v>
      </c>
      <c r="AM18" s="29">
        <f>+IFERROR(VLOOKUP($AM$17,Sheet1!AD2:AG840,2,0),0)</f>
        <v>0</v>
      </c>
      <c r="AN18" s="29">
        <f>+IFERROR(VLOOKUP($AN$17,Sheet1!AD2:AG840,2,0),0)</f>
        <v>0</v>
      </c>
      <c r="AO18" s="29">
        <f>+IFERROR(VLOOKUP($AO$17,Sheet1!AD2:AG840,2,0),0)</f>
        <v>0</v>
      </c>
      <c r="AP18" s="29">
        <f>+IFERROR(VLOOKUP($AP$17,Sheet1!AD2:AG840,2,0),0)</f>
        <v>0</v>
      </c>
      <c r="AQ18" s="29">
        <v>61</v>
      </c>
      <c r="AR18" s="29">
        <v>88</v>
      </c>
      <c r="AS18" s="29">
        <f>+IFERROR(VLOOKUP($AS$17,Sheet1!AH2:AK840,2,0),0)</f>
        <v>0</v>
      </c>
      <c r="AT18" s="29">
        <f>+IFERROR(VLOOKUP($AT$17,Sheet1!AH2:AK840,2,0),0)</f>
        <v>0</v>
      </c>
      <c r="AU18" s="29">
        <f>+IFERROR(VLOOKUP($AU$17,Sheet1!AH2:AK840,2,0),0)</f>
        <v>0</v>
      </c>
      <c r="AV18" s="29">
        <v>219</v>
      </c>
      <c r="AW18" s="29">
        <f>+IFERROR(VLOOKUP($AW$17,Sheet1!AH2:AK840,2,0),0)</f>
        <v>0</v>
      </c>
      <c r="AX18" s="29">
        <f>+IFERROR(VLOOKUP($AX$17,Sheet1!AH2:AK840,2,0),0)</f>
        <v>0</v>
      </c>
      <c r="AY18" s="29">
        <f>+IFERROR(VLOOKUP($AY$17,Sheet1!AH2:AK840,2,0),0)</f>
        <v>0</v>
      </c>
      <c r="AZ18" s="29">
        <f>+IFERROR(VLOOKUP($AZ$17,Sheet1!AH2:AK840,2,0),0)</f>
        <v>0</v>
      </c>
      <c r="BA18" s="29">
        <v>87</v>
      </c>
      <c r="BB18" s="29">
        <f>+IFERROR(VLOOKUP($BB$17,Sheet1!AH2:AK840,2,0),0)</f>
        <v>0</v>
      </c>
      <c r="BC18" s="29">
        <f>+IFERROR(VLOOKUP($BC$17,Sheet1!AL2:AO840,2,0),0)</f>
        <v>0</v>
      </c>
      <c r="BD18" s="29">
        <f>+IFERROR(VLOOKUP($BD$17,Sheet1!AL2:AO840,2,0),0)</f>
        <v>0</v>
      </c>
      <c r="BE18" s="29">
        <f>+IFERROR(VLOOKUP($BE$17,Sheet1!AL2:AO840,2,0),0)</f>
        <v>0</v>
      </c>
      <c r="BF18" s="29">
        <v>94</v>
      </c>
      <c r="BG18" s="68">
        <v>65</v>
      </c>
      <c r="BH18" s="29">
        <f>+IFERROR(VLOOKUP($BH$17,Sheet1!AL2:AO840,2,0),0)</f>
        <v>0</v>
      </c>
      <c r="BI18" s="29">
        <f>+IFERROR(VLOOKUP($BI$17,Sheet1!AL2:AO840,2,0),0)</f>
        <v>0</v>
      </c>
      <c r="BJ18" s="29">
        <f>+IFERROR(VLOOKUP($BJ$17,Sheet1!AL2:AO840,2,0),0)</f>
        <v>0</v>
      </c>
      <c r="BK18" s="29">
        <f>+IFERROR(VLOOKUP($BK$17,Sheet1!AL2:AO840,2,0),0)</f>
        <v>0</v>
      </c>
      <c r="BL18" s="29">
        <f>+IFERROR(VLOOKUP($BL$17,Sheet1!AL2:AO840,2,0),0)</f>
        <v>0</v>
      </c>
      <c r="BM18" s="30"/>
      <c r="BN18" s="30">
        <f>+IFERROR(VLOOKUP($BN$17,Sheet1!AT2:AW840,2,0),0)</f>
        <v>0</v>
      </c>
      <c r="BO18" s="69">
        <v>350</v>
      </c>
      <c r="BP18" s="32">
        <f>+IFERROR(VLOOKUP($BP$17,Sheet1!BB2:BE840,2,0),0)</f>
        <v>510</v>
      </c>
      <c r="BQ18" s="31">
        <f>+IFERROR(VLOOKUP($BQ$17,Sheet1!BF2:BI840,2,0),0)</f>
        <v>0</v>
      </c>
      <c r="BR18" s="31">
        <f>+IFERROR(VLOOKUP($BR$17,Sheet1!BJ2:BM840,2,0),0)</f>
        <v>0</v>
      </c>
      <c r="BS18" s="31">
        <f>+IFERROR(VLOOKUP($BS$17,Sheet1!BN2:BQ840,2,0),0)</f>
        <v>0</v>
      </c>
      <c r="BT18" s="32">
        <f>+IFERROR(VLOOKUP($BT$17,Sheet1!BR2:BU840,2,0),0)</f>
        <v>440</v>
      </c>
      <c r="BU18" s="31">
        <f>+IFERROR(VLOOKUP($BU$17,Sheet1!BV2:BY840,2,0),0)</f>
        <v>0</v>
      </c>
      <c r="BV18" s="52"/>
      <c r="BW18" s="52"/>
      <c r="BX18" s="52"/>
      <c r="BY18" s="52"/>
      <c r="CD18" s="5"/>
      <c r="CE18" s="5"/>
      <c r="CF18" s="5"/>
      <c r="CG18" s="5"/>
      <c r="CH18" s="5"/>
      <c r="CI18" s="5"/>
      <c r="CJ18" s="5"/>
      <c r="CK18" s="5"/>
      <c r="CL18" s="5"/>
    </row>
    <row r="19" spans="1:90" ht="51" x14ac:dyDescent="0.25">
      <c r="A19" s="1" t="str">
        <f>Sheet1!A13</f>
        <v>ENQ-10773-22-23</v>
      </c>
      <c r="B19" s="51">
        <f>Sheet1!B13</f>
        <v>45135</v>
      </c>
      <c r="C19" s="1" t="str">
        <f>Sheet1!C13</f>
        <v>FA1300083</v>
      </c>
      <c r="D19" s="73" t="str">
        <f>Sheet1!D13</f>
        <v>3 CORE X 400 SQ. MM. AL/ARM - WIRE (XLPE) - 11 KV</v>
      </c>
      <c r="E19" s="74">
        <f t="shared" ref="E19:E32" si="0">CH19+CJ19+CL19</f>
        <v>3241791.6150000002</v>
      </c>
      <c r="F19" s="77">
        <f>ROUNDUP(M35,0)</f>
        <v>90998</v>
      </c>
      <c r="G19" s="75">
        <f t="shared" ref="G19:G32" si="1">E19+F19</f>
        <v>3332789.6150000002</v>
      </c>
      <c r="H19" s="76">
        <f>Sheet1!CP13</f>
        <v>0.18</v>
      </c>
      <c r="I19" s="75">
        <f t="shared" ref="I19:I32" si="2">G19*H19</f>
        <v>599902.13069999998</v>
      </c>
      <c r="J19" s="75">
        <f t="shared" ref="J19:J32" si="3">G19+I19</f>
        <v>3932691.7457000003</v>
      </c>
      <c r="K19" s="73">
        <f>12.6+28.5</f>
        <v>41.1</v>
      </c>
      <c r="L19" s="73" t="str">
        <f>Sheet1!CT13</f>
        <v>KMS</v>
      </c>
      <c r="M19" s="74">
        <f t="shared" ref="M19:M32" si="4">J19*K19</f>
        <v>161633630.74827</v>
      </c>
      <c r="N19" s="78">
        <v>3243</v>
      </c>
      <c r="O19" s="41">
        <f>+IFERROR(VLOOKUP($O$17,Sheet1!J13:L13,3,0),0)</f>
        <v>0</v>
      </c>
      <c r="P19" s="41">
        <f>+IFERROR(VLOOKUP($P$17,Sheet1!J13:M13,3,0),0)</f>
        <v>0</v>
      </c>
      <c r="Q19" s="41">
        <f>+IFERROR(VLOOKUP($Q$17,Sheet1!J13:M13,3,0),0)</f>
        <v>0</v>
      </c>
      <c r="R19" s="41">
        <f>+IFERROR(VLOOKUP($R$17,Sheet1!J13:M13,3,0),0)</f>
        <v>0</v>
      </c>
      <c r="S19" s="41">
        <f>+IFERROR(VLOOKUP($S$17,Sheet1!N13:Q13,3,0),0)</f>
        <v>0</v>
      </c>
      <c r="T19" s="41">
        <f>+IFERROR(VLOOKUP($T$17,Sheet1!N13:Q13,3,0),0)</f>
        <v>0</v>
      </c>
      <c r="U19" s="41">
        <f>+IFERROR(VLOOKUP($U$17,Sheet1!F13:I13,3,0),0)</f>
        <v>0</v>
      </c>
      <c r="V19" s="41">
        <f>+IFERROR(VLOOKUP($V$17,Sheet1!F13:I13,3,0),0)</f>
        <v>0</v>
      </c>
      <c r="W19" s="41">
        <f>+IFERROR(VLOOKUP($W$17,Sheet1!F13:I13,3,0),0)</f>
        <v>0</v>
      </c>
      <c r="X19" s="41">
        <f>+IFERROR(VLOOKUP($X$17,Sheet1!F13:I13,3,0),0)</f>
        <v>0</v>
      </c>
      <c r="Y19" s="78">
        <v>158</v>
      </c>
      <c r="Z19" s="41">
        <f>+IFERROR(VLOOKUP($Z$17,Sheet1!F13:I13,3,0),0)</f>
        <v>0</v>
      </c>
      <c r="AA19" s="41">
        <f>+IFERROR(VLOOKUP($AA$17,Sheet1!F13:I13,3,0),0)</f>
        <v>0</v>
      </c>
      <c r="AB19" s="41">
        <f>+IFERROR(VLOOKUP($AB$17,Sheet1!F13:I13,3,0),0)</f>
        <v>0</v>
      </c>
      <c r="AC19" s="78">
        <v>414</v>
      </c>
      <c r="AD19" s="72">
        <f>+IFERROR(VLOOKUP($AD$17,Sheet1!R13:U13,2,0),0)</f>
        <v>0</v>
      </c>
      <c r="AE19" s="78">
        <v>938</v>
      </c>
      <c r="AF19" s="72">
        <f>+IFERROR(VLOOKUP($AF$17,Sheet1!V13:Y13,3,0),0)</f>
        <v>0</v>
      </c>
      <c r="AG19" s="72">
        <f>+IFERROR(VLOOKUP($AG$17,Sheet1!V13:Y13,3,0),0)</f>
        <v>0</v>
      </c>
      <c r="AH19" s="72">
        <f>+IFERROR(VLOOKUP($AH$17,Sheet1!V13:Y13,3,0),0)</f>
        <v>0</v>
      </c>
      <c r="AI19" s="72">
        <f>+IFERROR(VLOOKUP($AI$17,Sheet1!V13:Y13,3,0),0)</f>
        <v>0</v>
      </c>
      <c r="AJ19" s="72">
        <f>+IFERROR(VLOOKUP($AJ$17,Sheet1!V13:Y13,3,0),0)</f>
        <v>0</v>
      </c>
      <c r="AK19" s="72">
        <f>+IFERROR(VLOOKUP($AK$17,Sheet1!Z13:AB13,3,0),0)</f>
        <v>0</v>
      </c>
      <c r="AL19" s="72">
        <f>+IFERROR(VLOOKUP($AL$17,Sheet1!AD13:AG13,3,0),0)</f>
        <v>0</v>
      </c>
      <c r="AM19" s="72">
        <f>+IFERROR(VLOOKUP($AM$17,Sheet1!AD13:AG13,3,0),0)</f>
        <v>0</v>
      </c>
      <c r="AN19" s="72">
        <f>+IFERROR(VLOOKUP($AN$17,Sheet1!AD13:AG13,3,0),0)</f>
        <v>0</v>
      </c>
      <c r="AO19" s="72">
        <f>+IFERROR(VLOOKUP($AO$17,Sheet1!AD13:AG13,3,0),0)</f>
        <v>0</v>
      </c>
      <c r="AP19" s="72">
        <f>+IFERROR(VLOOKUP($AP$17,Sheet1!AD13:AG13,3,0),0)</f>
        <v>0</v>
      </c>
      <c r="AQ19" s="72">
        <f>+IFERROR(VLOOKUP($AQ$17,Sheet1!AD13:AG13,3,0),0)</f>
        <v>0</v>
      </c>
      <c r="AR19" s="79">
        <v>980</v>
      </c>
      <c r="AS19" s="72">
        <f>+IFERROR(VLOOKUP($AS$17,Sheet1!AH13:AK13,3,0),0)</f>
        <v>0</v>
      </c>
      <c r="AT19" s="72">
        <f>+IFERROR(VLOOKUP($AT$17,Sheet1!AH13:AK13,3,0),0)</f>
        <v>0</v>
      </c>
      <c r="AU19" s="72">
        <f>+IFERROR(VLOOKUP($AU$17,Sheet1!AH13:AK13,3,0),0)</f>
        <v>0</v>
      </c>
      <c r="AV19" s="72">
        <f>+IFERROR(VLOOKUP($AV$17,Sheet1!AH13:AK13,3,0),0)</f>
        <v>0</v>
      </c>
      <c r="AW19" s="72">
        <f>+IFERROR(VLOOKUP($AW$17,Sheet1!AH13:AK13,3,0),0)</f>
        <v>0</v>
      </c>
      <c r="AX19" s="72">
        <f>+IFERROR(VLOOKUP($AX$17,Sheet1!AH13:AK13,3,0),0)</f>
        <v>0</v>
      </c>
      <c r="AY19" s="72">
        <f>+IFERROR(VLOOKUP($AY$17,Sheet1!AH13:AK13,3,0),0)</f>
        <v>0</v>
      </c>
      <c r="AZ19" s="72">
        <f>+IFERROR(VLOOKUP($AZ$17,Sheet1!AH13:AK13,3,0),0)</f>
        <v>0</v>
      </c>
      <c r="BA19" s="79">
        <v>5540</v>
      </c>
      <c r="BB19" s="72">
        <f>+IFERROR(VLOOKUP($BB$17,Sheet1!AH13:AK13,3,0),0)</f>
        <v>0</v>
      </c>
      <c r="BC19" s="72">
        <f>+IFERROR(VLOOKUP($BC$17,Sheet1!AL13:AO13,3,0),0)</f>
        <v>0</v>
      </c>
      <c r="BD19" s="72">
        <f>+IFERROR(VLOOKUP($BD$17,Sheet1!AL13:AO13,3,0),0)</f>
        <v>0</v>
      </c>
      <c r="BE19" s="72">
        <f>+IFERROR(VLOOKUP($BE$17,Sheet1!AL13:AO13,3,0),0)</f>
        <v>0</v>
      </c>
      <c r="BF19" s="79">
        <v>1355</v>
      </c>
      <c r="BG19" s="79">
        <v>997</v>
      </c>
      <c r="BH19" s="72">
        <f>+IFERROR(VLOOKUP($BH$17,Sheet1!AL13:AO13,3,0),0)</f>
        <v>0</v>
      </c>
      <c r="BI19" s="72">
        <f>+IFERROR(VLOOKUP($BI$17,Sheet1!AL13:AO13,3,0),0)</f>
        <v>0</v>
      </c>
      <c r="BJ19" s="72">
        <f>+IFERROR(VLOOKUP($BJ$17,Sheet1!AL13:AO13,3,0),0)</f>
        <v>0</v>
      </c>
      <c r="BK19" s="72">
        <f>+IFERROR(VLOOKUP($BK$17,Sheet1!AL13:AO13,3,0),0)</f>
        <v>0</v>
      </c>
      <c r="BL19" s="72">
        <f>+IFERROR(VLOOKUP($BL$17,Sheet1!AL13:AO13,3,0),0)</f>
        <v>0</v>
      </c>
      <c r="BM19" s="72">
        <f>+IFERROR(VLOOKUP($BM$17,Sheet1!AP13:AS13,3,0),0)</f>
        <v>0</v>
      </c>
      <c r="BN19" s="72">
        <f>+IFERROR(VLOOKUP($BN$17,Sheet1!AT13:AW13,3,0),0)</f>
        <v>0</v>
      </c>
      <c r="BO19" s="79">
        <v>58</v>
      </c>
      <c r="BP19" s="79">
        <v>86</v>
      </c>
      <c r="BQ19" s="72">
        <f>+IFERROR(VLOOKUP($BQ$17,Sheet1!BF13:BI13,3,0),0)</f>
        <v>0</v>
      </c>
      <c r="BR19" s="72">
        <f>+IFERROR(VLOOKUP($BR$17,Sheet1!BJ13:BM13,3,0),0)</f>
        <v>0</v>
      </c>
      <c r="BS19" s="72">
        <f>+IFERROR(VLOOKUP($BS$17,Sheet1!BN13:BQ13,3,0),0)</f>
        <v>0</v>
      </c>
      <c r="BT19" s="79">
        <v>59</v>
      </c>
      <c r="BU19" s="11">
        <f>+IFERROR(VLOOKUP($BU$17,Sheet1!BV13:BY13,3,0),0)</f>
        <v>0</v>
      </c>
      <c r="BV19" s="11" t="str">
        <f>Sheet1!E13</f>
        <v>STEEL</v>
      </c>
      <c r="BW19" s="11" t="str">
        <f>Sheet1!CV13</f>
        <v>SP0400105</v>
      </c>
      <c r="BX19" s="11" t="str">
        <f>Sheet1!CW13</f>
        <v>CORRUGATED DISPATCH STEEL DRUM 2500 X 1500 X 1400</v>
      </c>
      <c r="BY19" s="11">
        <f>Sheet1!CX13</f>
        <v>250</v>
      </c>
      <c r="BZ19" s="3">
        <f>Sheet1!BZ13</f>
        <v>182400</v>
      </c>
      <c r="CA19" s="3">
        <f t="shared" ref="CA19:CA32" si="5">SUMPRODUCT($N$18:$BU$18,N19:BU19)+BZ19</f>
        <v>2098247</v>
      </c>
      <c r="CB19" s="23">
        <f>Sheet1!CB13</f>
        <v>0</v>
      </c>
      <c r="CC19" s="3">
        <f t="shared" ref="CC19:CC32" si="6">CA19*CB19</f>
        <v>0</v>
      </c>
      <c r="CD19" s="47">
        <v>0.5</v>
      </c>
      <c r="CE19" s="3">
        <f t="shared" ref="CE19:CE32" si="7">CA19*CD19</f>
        <v>1049123.5</v>
      </c>
      <c r="CF19" s="47">
        <v>0</v>
      </c>
      <c r="CG19" s="3">
        <f t="shared" ref="CG19:CG32" si="8">CA19*CF19</f>
        <v>0</v>
      </c>
      <c r="CH19" s="3">
        <f t="shared" ref="CH19:CH32" si="9">CA19+CC19+CE19+CG19</f>
        <v>3147370.5</v>
      </c>
      <c r="CI19" s="47">
        <v>0.02</v>
      </c>
      <c r="CJ19" s="80">
        <f t="shared" ref="CJ19:CJ32" si="10">CH19*CI19</f>
        <v>62947.41</v>
      </c>
      <c r="CK19" s="47">
        <v>0.01</v>
      </c>
      <c r="CL19" s="80">
        <f t="shared" ref="CL19:CL32" si="11">CH19*CK19</f>
        <v>31473.705000000002</v>
      </c>
    </row>
    <row r="20" spans="1:90" ht="51" x14ac:dyDescent="0.25">
      <c r="A20" s="1" t="str">
        <f>Sheet1!A15</f>
        <v>ENQ-10773-22-23</v>
      </c>
      <c r="B20" s="51">
        <f>Sheet1!B15</f>
        <v>45135</v>
      </c>
      <c r="C20" s="1" t="str">
        <f>Sheet1!C15</f>
        <v>FA1300091</v>
      </c>
      <c r="D20" s="73" t="str">
        <f>Sheet1!D15</f>
        <v>3 CORE X 300 SQ. MM. AL/ARM - WIRE (XLPE) - 11 KV</v>
      </c>
      <c r="E20" s="74">
        <f t="shared" si="0"/>
        <v>2598299.1150000002</v>
      </c>
      <c r="F20" s="77">
        <f t="shared" ref="F20:F32" si="12">ROUNDUP(M36,0)</f>
        <v>68375</v>
      </c>
      <c r="G20" s="75">
        <f t="shared" si="1"/>
        <v>2666674.1150000002</v>
      </c>
      <c r="H20" s="76">
        <f>Sheet1!CP15</f>
        <v>0.18</v>
      </c>
      <c r="I20" s="75">
        <f t="shared" si="2"/>
        <v>480001.3407</v>
      </c>
      <c r="J20" s="75">
        <f t="shared" si="3"/>
        <v>3146675.4557000003</v>
      </c>
      <c r="K20" s="73">
        <f>38.4+114+1.75</f>
        <v>154.15</v>
      </c>
      <c r="L20" s="73" t="str">
        <f>Sheet1!CT15</f>
        <v>KMS</v>
      </c>
      <c r="M20" s="74">
        <f t="shared" si="4"/>
        <v>485060021.49615508</v>
      </c>
      <c r="N20" s="41">
        <f>+IFERROR(VLOOKUP($N$17,Sheet1!J15:L15,3,0),0)</f>
        <v>2430</v>
      </c>
      <c r="O20" s="41">
        <f>+IFERROR(VLOOKUP($O$17,Sheet1!J15:L15,3,0),0)</f>
        <v>0</v>
      </c>
      <c r="P20" s="41">
        <f>+IFERROR(VLOOKUP($P$17,Sheet1!J15:M15,3,0),0)</f>
        <v>0</v>
      </c>
      <c r="Q20" s="41">
        <f>+IFERROR(VLOOKUP($Q$17,Sheet1!J15:M15,3,0),0)</f>
        <v>0</v>
      </c>
      <c r="R20" s="41">
        <f>+IFERROR(VLOOKUP($R$17,Sheet1!J15:M15,3,0),0)</f>
        <v>0</v>
      </c>
      <c r="S20" s="41">
        <f>+IFERROR(VLOOKUP($S$17,Sheet1!N15:Q15,3,0),0)</f>
        <v>0</v>
      </c>
      <c r="T20" s="41">
        <f>+IFERROR(VLOOKUP($T$17,Sheet1!N15:Q15,3,0),0)</f>
        <v>0</v>
      </c>
      <c r="U20" s="41">
        <f>+IFERROR(VLOOKUP($U$17,Sheet1!F15:I15,3,0),0)</f>
        <v>0</v>
      </c>
      <c r="V20" s="41">
        <f>+IFERROR(VLOOKUP($V$17,Sheet1!F15:I15,3,0),0)</f>
        <v>0</v>
      </c>
      <c r="W20" s="41">
        <f>+IFERROR(VLOOKUP($W$17,Sheet1!F15:I15,3,0),0)</f>
        <v>0</v>
      </c>
      <c r="X20" s="41">
        <f>+IFERROR(VLOOKUP($X$17,Sheet1!F15:I15,3,0),0)</f>
        <v>0</v>
      </c>
      <c r="Y20" s="78">
        <v>144</v>
      </c>
      <c r="Z20" s="41">
        <f>+IFERROR(VLOOKUP($Z$17,Sheet1!F15:I15,3,0),0)</f>
        <v>0</v>
      </c>
      <c r="AA20" s="41">
        <f>+IFERROR(VLOOKUP($AA$17,Sheet1!F15:I15,3,0),0)</f>
        <v>0</v>
      </c>
      <c r="AB20" s="41">
        <f>+IFERROR(VLOOKUP($AB$17,Sheet1!F15:I15,3,0),0)</f>
        <v>0</v>
      </c>
      <c r="AC20" s="78">
        <v>370</v>
      </c>
      <c r="AD20" s="72">
        <f>+IFERROR(VLOOKUP($AD$17,Sheet1!R15:U15,2,0),0)</f>
        <v>0</v>
      </c>
      <c r="AE20" s="78">
        <v>838</v>
      </c>
      <c r="AF20" s="72">
        <f>+IFERROR(VLOOKUP($AF$17,Sheet1!V15:Y15,3,0),0)</f>
        <v>0</v>
      </c>
      <c r="AG20" s="72">
        <f>+IFERROR(VLOOKUP($AG$17,Sheet1!V15:Y15,3,0),0)</f>
        <v>0</v>
      </c>
      <c r="AH20" s="72">
        <f>+IFERROR(VLOOKUP($AH$17,Sheet1!V15:Y15,3,0),0)</f>
        <v>0</v>
      </c>
      <c r="AI20" s="72">
        <f>+IFERROR(VLOOKUP($AI$17,Sheet1!V15:Y15,3,0),0)</f>
        <v>0</v>
      </c>
      <c r="AJ20" s="72">
        <f>+IFERROR(VLOOKUP($AJ$17,Sheet1!V15:Y15,3,0),0)</f>
        <v>0</v>
      </c>
      <c r="AK20" s="72">
        <f>+IFERROR(VLOOKUP($AK$17,Sheet1!Z15:AB15,3,0),0)</f>
        <v>0</v>
      </c>
      <c r="AL20" s="72">
        <f>+IFERROR(VLOOKUP($AL$17,Sheet1!AD15:AG15,3,0),0)</f>
        <v>0</v>
      </c>
      <c r="AM20" s="72">
        <f>+IFERROR(VLOOKUP($AM$17,Sheet1!AD15:AG15,3,0),0)</f>
        <v>0</v>
      </c>
      <c r="AN20" s="72">
        <f>+IFERROR(VLOOKUP($AN$17,Sheet1!AD15:AG15,3,0),0)</f>
        <v>0</v>
      </c>
      <c r="AO20" s="72">
        <f>+IFERROR(VLOOKUP($AO$17,Sheet1!AD15:AG15,3,0),0)</f>
        <v>0</v>
      </c>
      <c r="AP20" s="72">
        <f>+IFERROR(VLOOKUP($AP$17,Sheet1!AD15:AG15,3,0),0)</f>
        <v>0</v>
      </c>
      <c r="AQ20" s="72">
        <f>+IFERROR(VLOOKUP($AQ$17,Sheet1!AD15:AG15,3,0),0)</f>
        <v>0</v>
      </c>
      <c r="AR20" s="79">
        <v>840</v>
      </c>
      <c r="AS20" s="72">
        <f>+IFERROR(VLOOKUP($AS$17,Sheet1!AH15:AK15,3,0),0)</f>
        <v>0</v>
      </c>
      <c r="AT20" s="72">
        <f>+IFERROR(VLOOKUP($AT$17,Sheet1!AH15:AK15,3,0),0)</f>
        <v>0</v>
      </c>
      <c r="AU20" s="72">
        <f>+IFERROR(VLOOKUP($AU$17,Sheet1!AH15:AK15,3,0),0)</f>
        <v>0</v>
      </c>
      <c r="AV20" s="72">
        <f>+IFERROR(VLOOKUP($AV$17,Sheet1!AH15:AK15,3,0),0)</f>
        <v>0</v>
      </c>
      <c r="AW20" s="72">
        <f>+IFERROR(VLOOKUP($AW$17,Sheet1!AH15:AK15,3,0),0)</f>
        <v>0</v>
      </c>
      <c r="AX20" s="72">
        <f>+IFERROR(VLOOKUP($AX$17,Sheet1!AH15:AK15,3,0),0)</f>
        <v>0</v>
      </c>
      <c r="AY20" s="72">
        <f>+IFERROR(VLOOKUP($AY$17,Sheet1!AH15:AK15,3,0),0)</f>
        <v>0</v>
      </c>
      <c r="AZ20" s="72">
        <f>+IFERROR(VLOOKUP($AZ$17,Sheet1!AH15:AK15,3,0),0)</f>
        <v>0</v>
      </c>
      <c r="BA20" s="79">
        <v>3945</v>
      </c>
      <c r="BB20" s="72">
        <f>+IFERROR(VLOOKUP($BB$17,Sheet1!AH15:AK15,3,0),0)</f>
        <v>0</v>
      </c>
      <c r="BC20" s="72">
        <f>+IFERROR(VLOOKUP($BC$17,Sheet1!AL15:AO15,3,0),0)</f>
        <v>0</v>
      </c>
      <c r="BD20" s="72">
        <f>+IFERROR(VLOOKUP($BD$17,Sheet1!AL15:AO15,3,0),0)</f>
        <v>0</v>
      </c>
      <c r="BE20" s="72">
        <f>+IFERROR(VLOOKUP($BE$17,Sheet1!AL15:AO15,3,0),0)</f>
        <v>0</v>
      </c>
      <c r="BF20" s="79">
        <v>1170</v>
      </c>
      <c r="BG20" s="79">
        <v>830</v>
      </c>
      <c r="BH20" s="72">
        <f>+IFERROR(VLOOKUP($BH$17,Sheet1!AL15:AO15,3,0),0)</f>
        <v>0</v>
      </c>
      <c r="BI20" s="72">
        <f>+IFERROR(VLOOKUP($BI$17,Sheet1!AL15:AO15,3,0),0)</f>
        <v>0</v>
      </c>
      <c r="BJ20" s="72">
        <f>+IFERROR(VLOOKUP($BJ$17,Sheet1!AL15:AO15,3,0),0)</f>
        <v>0</v>
      </c>
      <c r="BK20" s="72">
        <f>+IFERROR(VLOOKUP($BK$17,Sheet1!AL15:AO15,3,0),0)</f>
        <v>0</v>
      </c>
      <c r="BL20" s="72">
        <f>+IFERROR(VLOOKUP($BL$17,Sheet1!AL15:AO15,3,0),0)</f>
        <v>0</v>
      </c>
      <c r="BM20" s="72">
        <f>+IFERROR(VLOOKUP($BM$17,Sheet1!AP15:AS15,3,0),0)</f>
        <v>0</v>
      </c>
      <c r="BN20" s="72">
        <f>+IFERROR(VLOOKUP($BN$17,Sheet1!AT15:AW15,3,0),0)</f>
        <v>0</v>
      </c>
      <c r="BO20" s="79">
        <v>38</v>
      </c>
      <c r="BP20" s="79">
        <v>77</v>
      </c>
      <c r="BQ20" s="72">
        <f>+IFERROR(VLOOKUP($BQ$17,Sheet1!BF15:BI15,3,0),0)</f>
        <v>0</v>
      </c>
      <c r="BR20" s="72">
        <f>+IFERROR(VLOOKUP($BR$17,Sheet1!BJ15:BM15,3,0),0)</f>
        <v>0</v>
      </c>
      <c r="BS20" s="72">
        <f>+IFERROR(VLOOKUP($BS$17,Sheet1!BN15:BQ15,3,0),0)</f>
        <v>0</v>
      </c>
      <c r="BT20" s="79">
        <v>54</v>
      </c>
      <c r="BU20" s="11">
        <f>+IFERROR(VLOOKUP($BU$17,Sheet1!BV15:BY15,3,0),0)</f>
        <v>0</v>
      </c>
      <c r="BV20" s="11" t="str">
        <f>Sheet1!E15</f>
        <v>STEEL</v>
      </c>
      <c r="BW20" s="11" t="str">
        <f>Sheet1!CV15</f>
        <v>SP0400136</v>
      </c>
      <c r="BX20" s="11" t="str">
        <f>Sheet1!CW15</f>
        <v>CORRUGATED DISPATCH STEEL DRUM 2200 X 1300 X 1200 MM</v>
      </c>
      <c r="BY20" s="11">
        <f>Sheet1!CX15</f>
        <v>250</v>
      </c>
      <c r="BZ20" s="3">
        <f>Sheet1!BZ15</f>
        <v>171000</v>
      </c>
      <c r="CA20" s="3">
        <f t="shared" si="5"/>
        <v>1681747</v>
      </c>
      <c r="CB20" s="23">
        <f>Sheet1!CB15</f>
        <v>0</v>
      </c>
      <c r="CC20" s="3">
        <f t="shared" si="6"/>
        <v>0</v>
      </c>
      <c r="CD20" s="47">
        <v>0.5</v>
      </c>
      <c r="CE20" s="3">
        <f t="shared" si="7"/>
        <v>840873.5</v>
      </c>
      <c r="CF20" s="47">
        <v>0</v>
      </c>
      <c r="CG20" s="3">
        <f t="shared" si="8"/>
        <v>0</v>
      </c>
      <c r="CH20" s="3">
        <f t="shared" si="9"/>
        <v>2522620.5</v>
      </c>
      <c r="CI20" s="47">
        <v>0.02</v>
      </c>
      <c r="CJ20" s="80">
        <f t="shared" si="10"/>
        <v>50452.41</v>
      </c>
      <c r="CK20" s="47">
        <v>0.01</v>
      </c>
      <c r="CL20" s="80">
        <f t="shared" si="11"/>
        <v>25226.205000000002</v>
      </c>
    </row>
    <row r="21" spans="1:90" ht="51" x14ac:dyDescent="0.25">
      <c r="A21" s="1" t="str">
        <f>Sheet1!A3</f>
        <v>ENQ-10773-22-23</v>
      </c>
      <c r="B21" s="51">
        <f>Sheet1!B3</f>
        <v>45135</v>
      </c>
      <c r="C21" s="1" t="str">
        <f>Sheet1!C3</f>
        <v>FA1300176</v>
      </c>
      <c r="D21" s="73" t="str">
        <f>Sheet1!D3</f>
        <v>3 CORE X 150 SQ. MM. AL/ARM - WIRE (XLPE) - 11 KV</v>
      </c>
      <c r="E21" s="74">
        <f t="shared" si="0"/>
        <v>1671588.03</v>
      </c>
      <c r="F21" s="77">
        <f t="shared" si="12"/>
        <v>68000</v>
      </c>
      <c r="G21" s="75">
        <f t="shared" si="1"/>
        <v>1739588.03</v>
      </c>
      <c r="H21" s="76">
        <f>Sheet1!CP3</f>
        <v>0.18</v>
      </c>
      <c r="I21" s="75">
        <f t="shared" si="2"/>
        <v>313125.84539999999</v>
      </c>
      <c r="J21" s="75">
        <f t="shared" si="3"/>
        <v>2052713.8754</v>
      </c>
      <c r="K21" s="73">
        <f>1</f>
        <v>1</v>
      </c>
      <c r="L21" s="73" t="str">
        <f>Sheet1!CT3</f>
        <v>KMS</v>
      </c>
      <c r="M21" s="74">
        <f t="shared" si="4"/>
        <v>2052713.8754</v>
      </c>
      <c r="N21" s="41">
        <f>+IFERROR(VLOOKUP($N$17,Sheet1!J3:L3,3,0),0)</f>
        <v>1215</v>
      </c>
      <c r="O21" s="41">
        <f>+IFERROR(VLOOKUP($O$17,Sheet1!J3:L3,3,0),0)</f>
        <v>0</v>
      </c>
      <c r="P21" s="41">
        <f>+IFERROR(VLOOKUP($P$17,Sheet1!J3:M3,3,0),0)</f>
        <v>0</v>
      </c>
      <c r="Q21" s="41">
        <f>+IFERROR(VLOOKUP($Q$17,Sheet1!J3:M3,3,0),0)</f>
        <v>0</v>
      </c>
      <c r="R21" s="41">
        <f>+IFERROR(VLOOKUP($R$17,Sheet1!J3:M3,3,0),0)</f>
        <v>0</v>
      </c>
      <c r="S21" s="41">
        <f>+IFERROR(VLOOKUP($S$17,Sheet1!N3:Q3,3,0),0)</f>
        <v>0</v>
      </c>
      <c r="T21" s="41">
        <f>+IFERROR(VLOOKUP($T$17,Sheet1!N3:Q3,3,0),0)</f>
        <v>0</v>
      </c>
      <c r="U21" s="41">
        <f>+IFERROR(VLOOKUP($U$17,Sheet1!F3:I3,3,0),0)</f>
        <v>0</v>
      </c>
      <c r="V21" s="41">
        <f>+IFERROR(VLOOKUP($V$17,Sheet1!F3:I3,3,0),0)</f>
        <v>0</v>
      </c>
      <c r="W21" s="41">
        <f>+IFERROR(VLOOKUP($W$17,Sheet1!F3:I3,3,0),0)</f>
        <v>0</v>
      </c>
      <c r="X21" s="41">
        <f>+IFERROR(VLOOKUP($X$17,Sheet1!F3:I3,3,0),0)</f>
        <v>0</v>
      </c>
      <c r="Y21" s="78">
        <v>117</v>
      </c>
      <c r="Z21" s="41">
        <f>+IFERROR(VLOOKUP($Z$17,Sheet1!F3:I3,3,0),0)</f>
        <v>0</v>
      </c>
      <c r="AA21" s="41">
        <f>+IFERROR(VLOOKUP($AA$17,Sheet1!F3:I3,3,0),0)</f>
        <v>0</v>
      </c>
      <c r="AB21" s="41">
        <f>+IFERROR(VLOOKUP($AB$17,Sheet1!F3:I3,3,0),0)</f>
        <v>0</v>
      </c>
      <c r="AC21" s="78">
        <v>280</v>
      </c>
      <c r="AD21" s="72">
        <f>+IFERROR(VLOOKUP($AD$17,Sheet1!R3:U3,2,0),0)</f>
        <v>0</v>
      </c>
      <c r="AE21" s="78">
        <v>642</v>
      </c>
      <c r="AF21" s="72">
        <f>+IFERROR(VLOOKUP($AF$17,Sheet1!V3:Y3,3,0),0)</f>
        <v>0</v>
      </c>
      <c r="AG21" s="72">
        <f>+IFERROR(VLOOKUP($AG$17,Sheet1!V3:Y3,3,0),0)</f>
        <v>0</v>
      </c>
      <c r="AH21" s="72">
        <f>+IFERROR(VLOOKUP($AH$17,Sheet1!V3:Y3,3,0),0)</f>
        <v>0</v>
      </c>
      <c r="AI21" s="72">
        <f>+IFERROR(VLOOKUP($AI$17,Sheet1!V3:Y3,3,0),0)</f>
        <v>0</v>
      </c>
      <c r="AJ21" s="72">
        <f>+IFERROR(VLOOKUP($AJ$17,Sheet1!V3:Y3,3,0),0)</f>
        <v>0</v>
      </c>
      <c r="AK21" s="72">
        <f>+IFERROR(VLOOKUP($AK$17,Sheet1!Z3:AB3,3,0),0)</f>
        <v>0</v>
      </c>
      <c r="AL21" s="72">
        <f>+IFERROR(VLOOKUP($AL$17,Sheet1!AD3:AG3,3,0),0)</f>
        <v>0</v>
      </c>
      <c r="AM21" s="72">
        <f>+IFERROR(VLOOKUP($AM$17,Sheet1!AD3:AG3,3,0),0)</f>
        <v>0</v>
      </c>
      <c r="AN21" s="72">
        <f>+IFERROR(VLOOKUP($AN$17,Sheet1!AD3:AG3,3,0),0)</f>
        <v>0</v>
      </c>
      <c r="AO21" s="72">
        <f>+IFERROR(VLOOKUP($AO$17,Sheet1!AD3:AG3,3,0),0)</f>
        <v>0</v>
      </c>
      <c r="AP21" s="72">
        <f>+IFERROR(VLOOKUP($AP$17,Sheet1!AD3:AG3,3,0),0)</f>
        <v>0</v>
      </c>
      <c r="AQ21" s="72">
        <f>+IFERROR(VLOOKUP($AQ$17,Sheet1!AD3:AG3,3,0),0)</f>
        <v>0</v>
      </c>
      <c r="AR21" s="79">
        <v>621</v>
      </c>
      <c r="AS21" s="72">
        <f>+IFERROR(VLOOKUP($AS$17,Sheet1!AH3:AK3,3,0),0)</f>
        <v>0</v>
      </c>
      <c r="AT21" s="72">
        <f>+IFERROR(VLOOKUP($AT$17,Sheet1!AH3:AK3,3,0),0)</f>
        <v>0</v>
      </c>
      <c r="AU21" s="72">
        <f>+IFERROR(VLOOKUP($AU$17,Sheet1!AH3:AK3,3,0),0)</f>
        <v>0</v>
      </c>
      <c r="AV21" s="72">
        <f>+IFERROR(VLOOKUP($AV$17,Sheet1!AH3:AK3,3,0),0)</f>
        <v>0</v>
      </c>
      <c r="AW21" s="72">
        <f>+IFERROR(VLOOKUP($AW$17,Sheet1!AH3:AK3,3,0),0)</f>
        <v>0</v>
      </c>
      <c r="AX21" s="72">
        <f>+IFERROR(VLOOKUP($AX$17,Sheet1!AH3:AK3,3,0),0)</f>
        <v>0</v>
      </c>
      <c r="AY21" s="72">
        <f>+IFERROR(VLOOKUP($AY$17,Sheet1!AH3:AK3,3,0),0)</f>
        <v>0</v>
      </c>
      <c r="AZ21" s="72">
        <f>+IFERROR(VLOOKUP($AZ$17,Sheet1!AH3:AK3,3,0),0)</f>
        <v>0</v>
      </c>
      <c r="BA21" s="79">
        <v>2685</v>
      </c>
      <c r="BB21" s="72">
        <f>+IFERROR(VLOOKUP($BB$17,Sheet1!AH3:AK3,3,0),0)</f>
        <v>0</v>
      </c>
      <c r="BC21" s="72">
        <f>+IFERROR(VLOOKUP($BC$17,Sheet1!AL3:AO3,3,0),0)</f>
        <v>0</v>
      </c>
      <c r="BD21" s="72">
        <f>+IFERROR(VLOOKUP($BD$17,Sheet1!AL3:AO3,3,0),0)</f>
        <v>0</v>
      </c>
      <c r="BE21" s="72">
        <f>+IFERROR(VLOOKUP($BE$17,Sheet1!AL3:AO3,3,0),0)</f>
        <v>0</v>
      </c>
      <c r="BF21" s="79">
        <v>800</v>
      </c>
      <c r="BG21" s="79">
        <v>541</v>
      </c>
      <c r="BH21" s="72">
        <f>+IFERROR(VLOOKUP($BH$17,Sheet1!AL3:AO3,3,0),0)</f>
        <v>0</v>
      </c>
      <c r="BI21" s="72">
        <f>+IFERROR(VLOOKUP($BI$17,Sheet1!AL3:AO3,3,0),0)</f>
        <v>0</v>
      </c>
      <c r="BJ21" s="72">
        <f>+IFERROR(VLOOKUP($BJ$17,Sheet1!AL3:AO3,3,0),0)</f>
        <v>0</v>
      </c>
      <c r="BK21" s="72">
        <f>+IFERROR(VLOOKUP($BK$17,Sheet1!AL3:AO3,3,0),0)</f>
        <v>0</v>
      </c>
      <c r="BL21" s="72">
        <f>+IFERROR(VLOOKUP($BL$17,Sheet1!AL3:AO3,3,0),0)</f>
        <v>0</v>
      </c>
      <c r="BM21" s="72">
        <f>+IFERROR(VLOOKUP($BM$17,Sheet1!AP3:AS3,3,0),0)</f>
        <v>0</v>
      </c>
      <c r="BN21" s="72">
        <f>+IFERROR(VLOOKUP($BN$17,Sheet1!AT3:AW3,3,0),0)</f>
        <v>0</v>
      </c>
      <c r="BO21" s="79">
        <v>18</v>
      </c>
      <c r="BP21" s="79">
        <v>59</v>
      </c>
      <c r="BQ21" s="72">
        <f>+IFERROR(VLOOKUP($BQ$17,Sheet1!BF3:BI3,3,0),0)</f>
        <v>0</v>
      </c>
      <c r="BR21" s="72">
        <f>+IFERROR(VLOOKUP($BR$17,Sheet1!BJ3:BM3,3,0),0)</f>
        <v>0</v>
      </c>
      <c r="BS21" s="72">
        <f>+IFERROR(VLOOKUP($BS$17,Sheet1!BN3:BQ3,3,0),0)</f>
        <v>0</v>
      </c>
      <c r="BT21" s="79">
        <v>44</v>
      </c>
      <c r="BU21" s="11">
        <f>+IFERROR(VLOOKUP($BU$17,Sheet1!BV3:BY3,3,0),0)</f>
        <v>0</v>
      </c>
      <c r="BV21" s="11" t="str">
        <f>Sheet1!E3</f>
        <v>STEEL</v>
      </c>
      <c r="BW21" s="11" t="str">
        <f>Sheet1!CV3</f>
        <v>SP0400111</v>
      </c>
      <c r="BX21" s="11" t="str">
        <f>Sheet1!CW3</f>
        <v>CORRUGATED DISPATCH STEEL DRUM 1900 X 1000 X 1000 MM</v>
      </c>
      <c r="BY21" s="11">
        <f>Sheet1!CX3</f>
        <v>250</v>
      </c>
      <c r="BZ21" s="3">
        <f>Sheet1!BZ3</f>
        <v>108300</v>
      </c>
      <c r="CA21" s="3">
        <f t="shared" si="5"/>
        <v>1081934</v>
      </c>
      <c r="CB21" s="23">
        <f>Sheet1!CB3</f>
        <v>0</v>
      </c>
      <c r="CC21" s="3">
        <f t="shared" si="6"/>
        <v>0</v>
      </c>
      <c r="CD21" s="47">
        <v>0.5</v>
      </c>
      <c r="CE21" s="3">
        <f t="shared" si="7"/>
        <v>540967</v>
      </c>
      <c r="CF21" s="47">
        <v>0</v>
      </c>
      <c r="CG21" s="3">
        <f t="shared" si="8"/>
        <v>0</v>
      </c>
      <c r="CH21" s="3">
        <f t="shared" si="9"/>
        <v>1622901</v>
      </c>
      <c r="CI21" s="47">
        <v>0.02</v>
      </c>
      <c r="CJ21" s="80">
        <f t="shared" si="10"/>
        <v>32458.02</v>
      </c>
      <c r="CK21" s="47">
        <v>0.01</v>
      </c>
      <c r="CL21" s="80">
        <f t="shared" si="11"/>
        <v>16229.01</v>
      </c>
    </row>
    <row r="22" spans="1:90" ht="51" x14ac:dyDescent="0.25">
      <c r="A22" s="1" t="str">
        <f>Sheet1!A6</f>
        <v>ENQ-10773-22-23</v>
      </c>
      <c r="B22" s="51">
        <f>Sheet1!B6</f>
        <v>45135</v>
      </c>
      <c r="C22" s="1" t="str">
        <f>Sheet1!C6</f>
        <v>FA1300197</v>
      </c>
      <c r="D22" s="73" t="str">
        <f>Sheet1!D6</f>
        <v>3 CORE X 120 SQ. MM. AL/ARM - WIRE (XLPE) - 11 KV</v>
      </c>
      <c r="E22" s="74">
        <f t="shared" si="0"/>
        <v>1462048.95</v>
      </c>
      <c r="F22" s="77">
        <f t="shared" si="12"/>
        <v>54400</v>
      </c>
      <c r="G22" s="75">
        <f t="shared" si="1"/>
        <v>1516448.95</v>
      </c>
      <c r="H22" s="76">
        <f>Sheet1!CP6</f>
        <v>0.18</v>
      </c>
      <c r="I22" s="75">
        <f t="shared" si="2"/>
        <v>272960.81099999999</v>
      </c>
      <c r="J22" s="75">
        <f t="shared" si="3"/>
        <v>1789409.7609999999</v>
      </c>
      <c r="K22" s="73">
        <f>1+6.5</f>
        <v>7.5</v>
      </c>
      <c r="L22" s="73" t="str">
        <f>Sheet1!CT6</f>
        <v>KMS</v>
      </c>
      <c r="M22" s="74">
        <f t="shared" si="4"/>
        <v>13420573.2075</v>
      </c>
      <c r="N22" s="41">
        <f>+IFERROR(VLOOKUP($N$17,Sheet1!J6:L6,3,0),0)</f>
        <v>972</v>
      </c>
      <c r="O22" s="41">
        <f>+IFERROR(VLOOKUP($O$17,Sheet1!J6:L6,3,0),0)</f>
        <v>0</v>
      </c>
      <c r="P22" s="41">
        <f>+IFERROR(VLOOKUP($P$17,Sheet1!J6:M6,3,0),0)</f>
        <v>0</v>
      </c>
      <c r="Q22" s="41">
        <f>+IFERROR(VLOOKUP($Q$17,Sheet1!J6:M6,3,0),0)</f>
        <v>0</v>
      </c>
      <c r="R22" s="41">
        <f>+IFERROR(VLOOKUP($R$17,Sheet1!J6:M6,3,0),0)</f>
        <v>0</v>
      </c>
      <c r="S22" s="41">
        <f>+IFERROR(VLOOKUP($S$17,Sheet1!N6:Q6,3,0),0)</f>
        <v>0</v>
      </c>
      <c r="T22" s="41">
        <f>+IFERROR(VLOOKUP($T$17,Sheet1!N6:Q6,3,0),0)</f>
        <v>0</v>
      </c>
      <c r="U22" s="41">
        <f>+IFERROR(VLOOKUP($U$17,Sheet1!F6:I6,3,0),0)</f>
        <v>0</v>
      </c>
      <c r="V22" s="41">
        <f>+IFERROR(VLOOKUP($V$17,Sheet1!F6:I6,3,0),0)</f>
        <v>0</v>
      </c>
      <c r="W22" s="41">
        <f>+IFERROR(VLOOKUP($W$17,Sheet1!F6:I6,3,0),0)</f>
        <v>0</v>
      </c>
      <c r="X22" s="41">
        <f>+IFERROR(VLOOKUP($X$17,Sheet1!F6:I6,3,0),0)</f>
        <v>0</v>
      </c>
      <c r="Y22" s="78">
        <v>110</v>
      </c>
      <c r="Z22" s="41">
        <f>+IFERROR(VLOOKUP($Z$17,Sheet1!F6:I6,3,0),0)</f>
        <v>0</v>
      </c>
      <c r="AA22" s="41">
        <f>+IFERROR(VLOOKUP($AA$17,Sheet1!F6:I6,3,0),0)</f>
        <v>0</v>
      </c>
      <c r="AB22" s="41">
        <f>+IFERROR(VLOOKUP($AB$17,Sheet1!F6:I6,3,0),0)</f>
        <v>0</v>
      </c>
      <c r="AC22" s="78">
        <v>258</v>
      </c>
      <c r="AD22" s="72">
        <f>+IFERROR(VLOOKUP($AD$17,Sheet1!R6:U6,2,0),0)</f>
        <v>0</v>
      </c>
      <c r="AE22" s="78">
        <v>596</v>
      </c>
      <c r="AF22" s="72">
        <f>+IFERROR(VLOOKUP($AF$17,Sheet1!V6:Y6,3,0),0)</f>
        <v>0</v>
      </c>
      <c r="AG22" s="72">
        <f>+IFERROR(VLOOKUP($AG$17,Sheet1!V6:Y6,3,0),0)</f>
        <v>0</v>
      </c>
      <c r="AH22" s="72">
        <f>+IFERROR(VLOOKUP($AH$17,Sheet1!V6:Y6,3,0),0)</f>
        <v>0</v>
      </c>
      <c r="AI22" s="72">
        <f>+IFERROR(VLOOKUP($AI$17,Sheet1!V6:Y6,3,0),0)</f>
        <v>0</v>
      </c>
      <c r="AJ22" s="72">
        <f>+IFERROR(VLOOKUP($AJ$17,Sheet1!V6:Y6,3,0),0)</f>
        <v>0</v>
      </c>
      <c r="AK22" s="72">
        <f>+IFERROR(VLOOKUP($AK$17,Sheet1!Z6:AB6,3,0),0)</f>
        <v>0</v>
      </c>
      <c r="AL22" s="72">
        <f>+IFERROR(VLOOKUP($AL$17,Sheet1!AD6:AG6,3,0),0)</f>
        <v>0</v>
      </c>
      <c r="AM22" s="72">
        <f>+IFERROR(VLOOKUP($AM$17,Sheet1!AD6:AG6,3,0),0)</f>
        <v>0</v>
      </c>
      <c r="AN22" s="72">
        <f>+IFERROR(VLOOKUP($AN$17,Sheet1!AD6:AG6,3,0),0)</f>
        <v>0</v>
      </c>
      <c r="AO22" s="72">
        <f>+IFERROR(VLOOKUP($AO$17,Sheet1!AD6:AG6,3,0),0)</f>
        <v>0</v>
      </c>
      <c r="AP22" s="72">
        <f>+IFERROR(VLOOKUP($AP$17,Sheet1!AD6:AG6,3,0),0)</f>
        <v>0</v>
      </c>
      <c r="AQ22" s="72">
        <f>+IFERROR(VLOOKUP($AQ$17,Sheet1!AD6:AG6,3,0),0)</f>
        <v>0</v>
      </c>
      <c r="AR22" s="79">
        <v>513</v>
      </c>
      <c r="AS22" s="72">
        <f>+IFERROR(VLOOKUP($AS$17,Sheet1!AH6:AK6,3,0),0)</f>
        <v>0</v>
      </c>
      <c r="AT22" s="72">
        <f>+IFERROR(VLOOKUP($AT$17,Sheet1!AH6:AK6,3,0),0)</f>
        <v>0</v>
      </c>
      <c r="AU22" s="72">
        <f>+IFERROR(VLOOKUP($AU$17,Sheet1!AH6:AK6,3,0),0)</f>
        <v>0</v>
      </c>
      <c r="AV22" s="72">
        <f>+IFERROR(VLOOKUP($AV$17,Sheet1!AH6:AK6,3,0),0)</f>
        <v>0</v>
      </c>
      <c r="AW22" s="72">
        <f>+IFERROR(VLOOKUP($AW$17,Sheet1!AH6:AK6,3,0),0)</f>
        <v>0</v>
      </c>
      <c r="AX22" s="72">
        <f>+IFERROR(VLOOKUP($AX$17,Sheet1!AH6:AK6,3,0),0)</f>
        <v>0</v>
      </c>
      <c r="AY22" s="72">
        <f>+IFERROR(VLOOKUP($AY$17,Sheet1!AH6:AK6,3,0),0)</f>
        <v>0</v>
      </c>
      <c r="AZ22" s="72">
        <f>+IFERROR(VLOOKUP($AZ$17,Sheet1!AH6:AK6,3,0),0)</f>
        <v>0</v>
      </c>
      <c r="BA22" s="79">
        <v>2404</v>
      </c>
      <c r="BB22" s="72">
        <f>+IFERROR(VLOOKUP($BB$17,Sheet1!AH6:AK6,3,0),0)</f>
        <v>0</v>
      </c>
      <c r="BC22" s="72">
        <f>+IFERROR(VLOOKUP($BC$17,Sheet1!AL6:AO6,3,0),0)</f>
        <v>0</v>
      </c>
      <c r="BD22" s="72">
        <f>+IFERROR(VLOOKUP($BD$17,Sheet1!AL6:AO6,3,0),0)</f>
        <v>0</v>
      </c>
      <c r="BE22" s="72">
        <f>+IFERROR(VLOOKUP($BE$17,Sheet1!AL6:AO6,3,0),0)</f>
        <v>0</v>
      </c>
      <c r="BF22" s="79">
        <v>694</v>
      </c>
      <c r="BG22" s="79">
        <v>479</v>
      </c>
      <c r="BH22" s="72">
        <f>+IFERROR(VLOOKUP($BH$17,Sheet1!AL6:AO6,3,0),0)</f>
        <v>0</v>
      </c>
      <c r="BI22" s="72">
        <f>+IFERROR(VLOOKUP($BI$17,Sheet1!AL6:AO6,3,0),0)</f>
        <v>0</v>
      </c>
      <c r="BJ22" s="72">
        <f>+IFERROR(VLOOKUP($BJ$17,Sheet1!AL6:AO6,3,0),0)</f>
        <v>0</v>
      </c>
      <c r="BK22" s="72">
        <f>+IFERROR(VLOOKUP($BK$17,Sheet1!AL6:AO6,3,0),0)</f>
        <v>0</v>
      </c>
      <c r="BL22" s="72">
        <f>+IFERROR(VLOOKUP($BL$17,Sheet1!AL6:AO6,3,0),0)</f>
        <v>0</v>
      </c>
      <c r="BM22" s="72">
        <f>+IFERROR(VLOOKUP($BM$17,Sheet1!AP6:AS6,3,0),0)</f>
        <v>0</v>
      </c>
      <c r="BN22" s="72">
        <f>+IFERROR(VLOOKUP($BN$17,Sheet1!AT6:AW6,3,0),0)</f>
        <v>0</v>
      </c>
      <c r="BO22" s="79">
        <v>16.5</v>
      </c>
      <c r="BP22" s="79">
        <v>55</v>
      </c>
      <c r="BQ22" s="72">
        <f>+IFERROR(VLOOKUP($BQ$17,Sheet1!BF6:BI6,3,0),0)</f>
        <v>0</v>
      </c>
      <c r="BR22" s="72">
        <f>+IFERROR(VLOOKUP($BR$17,Sheet1!BJ6:BM6,3,0),0)</f>
        <v>0</v>
      </c>
      <c r="BS22" s="72">
        <f>+IFERROR(VLOOKUP($BS$17,Sheet1!BN6:BQ6,3,0),0)</f>
        <v>0</v>
      </c>
      <c r="BT22" s="79">
        <v>40</v>
      </c>
      <c r="BU22" s="11">
        <f>+IFERROR(VLOOKUP($BU$17,Sheet1!BV6:BY6,3,0),0)</f>
        <v>0</v>
      </c>
      <c r="BV22" s="11" t="str">
        <f>Sheet1!E6</f>
        <v>STEEL</v>
      </c>
      <c r="BW22" s="11" t="str">
        <f>Sheet1!CV6</f>
        <v>SP0400118</v>
      </c>
      <c r="BX22" s="11" t="str">
        <f>Sheet1!CW6</f>
        <v>CORRUGATED DISPATCH STEEL DRUM 1700 X 1000 X 1200</v>
      </c>
      <c r="BY22" s="11">
        <f>Sheet1!CX6</f>
        <v>250</v>
      </c>
      <c r="BZ22" s="3">
        <f>Sheet1!BZ6</f>
        <v>95000</v>
      </c>
      <c r="CA22" s="3">
        <f t="shared" si="5"/>
        <v>946310</v>
      </c>
      <c r="CB22" s="23">
        <f>Sheet1!CB6</f>
        <v>0</v>
      </c>
      <c r="CC22" s="3">
        <f t="shared" si="6"/>
        <v>0</v>
      </c>
      <c r="CD22" s="47">
        <v>0.5</v>
      </c>
      <c r="CE22" s="3">
        <f t="shared" si="7"/>
        <v>473155</v>
      </c>
      <c r="CF22" s="47">
        <v>0</v>
      </c>
      <c r="CG22" s="3">
        <f t="shared" si="8"/>
        <v>0</v>
      </c>
      <c r="CH22" s="3">
        <f t="shared" si="9"/>
        <v>1419465</v>
      </c>
      <c r="CI22" s="47">
        <v>0.02</v>
      </c>
      <c r="CJ22" s="80">
        <f t="shared" si="10"/>
        <v>28389.3</v>
      </c>
      <c r="CK22" s="47">
        <v>0.01</v>
      </c>
      <c r="CL22" s="80">
        <f t="shared" si="11"/>
        <v>14194.65</v>
      </c>
    </row>
    <row r="23" spans="1:90" ht="51" x14ac:dyDescent="0.25">
      <c r="A23" s="1" t="str">
        <f>Sheet1!A4</f>
        <v>ENQ-10773-22-23</v>
      </c>
      <c r="B23" s="51">
        <f>Sheet1!B4</f>
        <v>45135</v>
      </c>
      <c r="C23" s="66" t="s">
        <v>233</v>
      </c>
      <c r="D23" s="73" t="s">
        <v>234</v>
      </c>
      <c r="E23" s="74">
        <f t="shared" si="0"/>
        <v>1316664.45</v>
      </c>
      <c r="F23" s="77">
        <f t="shared" si="12"/>
        <v>54400</v>
      </c>
      <c r="G23" s="75">
        <f t="shared" si="1"/>
        <v>1371064.45</v>
      </c>
      <c r="H23" s="76">
        <f>Sheet1!CP4</f>
        <v>0.18</v>
      </c>
      <c r="I23" s="75">
        <f t="shared" si="2"/>
        <v>246791.601</v>
      </c>
      <c r="J23" s="75">
        <f t="shared" si="3"/>
        <v>1617856.051</v>
      </c>
      <c r="K23" s="73">
        <f>Sheet1!CS4</f>
        <v>2.5</v>
      </c>
      <c r="L23" s="73" t="str">
        <f>Sheet1!CT4</f>
        <v>KMS</v>
      </c>
      <c r="M23" s="74">
        <f t="shared" si="4"/>
        <v>4044640.1274999999</v>
      </c>
      <c r="N23" s="41">
        <f>+IFERROR(VLOOKUP($N$17,Sheet1!J4:L4,3,0),0)</f>
        <v>769.5</v>
      </c>
      <c r="O23" s="41">
        <f>+IFERROR(VLOOKUP($O$17,Sheet1!J4:L4,3,0),0)</f>
        <v>0</v>
      </c>
      <c r="P23" s="41">
        <f>+IFERROR(VLOOKUP($P$17,Sheet1!J4:M4,3,0),0)</f>
        <v>0</v>
      </c>
      <c r="Q23" s="41">
        <f>+IFERROR(VLOOKUP($Q$17,Sheet1!J4:M4,3,0),0)</f>
        <v>0</v>
      </c>
      <c r="R23" s="41">
        <f>+IFERROR(VLOOKUP($R$17,Sheet1!J4:M4,3,0),0)</f>
        <v>0</v>
      </c>
      <c r="S23" s="41">
        <f>+IFERROR(VLOOKUP($S$17,Sheet1!N4:Q4,3,0),0)</f>
        <v>0</v>
      </c>
      <c r="T23" s="41">
        <f>+IFERROR(VLOOKUP($T$17,Sheet1!N4:Q4,3,0),0)</f>
        <v>0</v>
      </c>
      <c r="U23" s="41">
        <f>+IFERROR(VLOOKUP($U$17,Sheet1!F4:I4,3,0),0)</f>
        <v>0</v>
      </c>
      <c r="V23" s="41">
        <f>+IFERROR(VLOOKUP($V$17,Sheet1!F4:I4,3,0),0)</f>
        <v>0</v>
      </c>
      <c r="W23" s="41">
        <f>+IFERROR(VLOOKUP($W$17,Sheet1!F4:I4,3,0),0)</f>
        <v>0</v>
      </c>
      <c r="X23" s="41">
        <f>+IFERROR(VLOOKUP($X$17,Sheet1!F4:I4,3,0),0)</f>
        <v>0</v>
      </c>
      <c r="Y23" s="78">
        <v>102</v>
      </c>
      <c r="Z23" s="41">
        <f>+IFERROR(VLOOKUP($Z$17,Sheet1!F4:I4,3,0),0)</f>
        <v>0</v>
      </c>
      <c r="AA23" s="41">
        <f>+IFERROR(VLOOKUP($AA$17,Sheet1!F4:I4,3,0),0)</f>
        <v>0</v>
      </c>
      <c r="AB23" s="41">
        <f>+IFERROR(VLOOKUP($AB$17,Sheet1!F4:I4,3,0),0)</f>
        <v>0</v>
      </c>
      <c r="AC23" s="78">
        <v>232</v>
      </c>
      <c r="AD23" s="72">
        <f>+IFERROR(VLOOKUP($AD$17,Sheet1!R4:U4,2,0),0)</f>
        <v>0</v>
      </c>
      <c r="AE23" s="78">
        <v>544</v>
      </c>
      <c r="AF23" s="72">
        <f>+IFERROR(VLOOKUP($AF$17,Sheet1!V4:Y4,3,0),0)</f>
        <v>0</v>
      </c>
      <c r="AG23" s="72">
        <f>+IFERROR(VLOOKUP($AG$17,Sheet1!V4:Y4,3,0),0)</f>
        <v>0</v>
      </c>
      <c r="AH23" s="72">
        <f>+IFERROR(VLOOKUP($AH$17,Sheet1!V4:Y4,3,0),0)</f>
        <v>0</v>
      </c>
      <c r="AI23" s="72">
        <f>+IFERROR(VLOOKUP($AI$17,Sheet1!V4:Y4,3,0),0)</f>
        <v>0</v>
      </c>
      <c r="AJ23" s="72">
        <f>+IFERROR(VLOOKUP($AJ$17,Sheet1!V4:Y4,3,0),0)</f>
        <v>0</v>
      </c>
      <c r="AK23" s="72">
        <f>+IFERROR(VLOOKUP($AK$17,Sheet1!Z4:AB4,3,0),0)</f>
        <v>0</v>
      </c>
      <c r="AL23" s="72">
        <f>+IFERROR(VLOOKUP($AL$17,Sheet1!AD4:AG4,3,0),0)</f>
        <v>0</v>
      </c>
      <c r="AM23" s="72">
        <f>+IFERROR(VLOOKUP($AM$17,Sheet1!AD4:AG4,3,0),0)</f>
        <v>0</v>
      </c>
      <c r="AN23" s="72">
        <f>+IFERROR(VLOOKUP($AN$17,Sheet1!AD4:AG4,3,0),0)</f>
        <v>0</v>
      </c>
      <c r="AO23" s="72">
        <f>+IFERROR(VLOOKUP($AO$17,Sheet1!AD4:AG4,3,0),0)</f>
        <v>0</v>
      </c>
      <c r="AP23" s="72">
        <f>+IFERROR(VLOOKUP($AP$17,Sheet1!AD4:AG4,3,0),0)</f>
        <v>0</v>
      </c>
      <c r="AQ23" s="72">
        <f>+IFERROR(VLOOKUP($AQ$17,Sheet1!AD4:AG4,3,0),0)</f>
        <v>0</v>
      </c>
      <c r="AR23" s="79">
        <v>460</v>
      </c>
      <c r="AS23" s="72">
        <f>+IFERROR(VLOOKUP($AS$17,Sheet1!AH4:AK4,3,0),0)</f>
        <v>0</v>
      </c>
      <c r="AT23" s="72">
        <f>+IFERROR(VLOOKUP($AT$17,Sheet1!AH4:AK4,3,0),0)</f>
        <v>0</v>
      </c>
      <c r="AU23" s="72">
        <f>+IFERROR(VLOOKUP($AU$17,Sheet1!AH4:AK4,3,0),0)</f>
        <v>0</v>
      </c>
      <c r="AV23" s="72">
        <f>+IFERROR(VLOOKUP($AV$17,Sheet1!AH4:AK4,3,0),0)</f>
        <v>0</v>
      </c>
      <c r="AW23" s="72">
        <f>+IFERROR(VLOOKUP($AW$17,Sheet1!AH4:AK4,3,0),0)</f>
        <v>0</v>
      </c>
      <c r="AX23" s="72">
        <f>+IFERROR(VLOOKUP($AX$17,Sheet1!AH4:AK4,3,0),0)</f>
        <v>0</v>
      </c>
      <c r="AY23" s="72">
        <f>+IFERROR(VLOOKUP($AY$17,Sheet1!AH4:AK4,3,0),0)</f>
        <v>0</v>
      </c>
      <c r="AZ23" s="72">
        <f>+IFERROR(VLOOKUP($AZ$17,Sheet1!AH4:AK4,3,0),0)</f>
        <v>0</v>
      </c>
      <c r="BA23" s="79">
        <v>2244</v>
      </c>
      <c r="BB23" s="72">
        <f>+IFERROR(VLOOKUP($BB$17,Sheet1!AH4:AK4,3,0),0)</f>
        <v>0</v>
      </c>
      <c r="BC23" s="72">
        <f>+IFERROR(VLOOKUP($BC$17,Sheet1!AL4:AO4,3,0),0)</f>
        <v>0</v>
      </c>
      <c r="BD23" s="72">
        <f>+IFERROR(VLOOKUP($BD$17,Sheet1!AL4:AO4,3,0),0)</f>
        <v>0</v>
      </c>
      <c r="BE23" s="72">
        <f>+IFERROR(VLOOKUP($BE$17,Sheet1!AL4:AO4,3,0),0)</f>
        <v>0</v>
      </c>
      <c r="BF23" s="79">
        <v>656</v>
      </c>
      <c r="BG23" s="79">
        <v>416</v>
      </c>
      <c r="BH23" s="72">
        <f>+IFERROR(VLOOKUP($BH$17,Sheet1!AL4:AO4,3,0),0)</f>
        <v>0</v>
      </c>
      <c r="BI23" s="72">
        <f>+IFERROR(VLOOKUP($BI$17,Sheet1!AL4:AO4,3,0),0)</f>
        <v>0</v>
      </c>
      <c r="BJ23" s="72">
        <f>+IFERROR(VLOOKUP($BJ$17,Sheet1!AL4:AO4,3,0),0)</f>
        <v>0</v>
      </c>
      <c r="BK23" s="72">
        <f>+IFERROR(VLOOKUP($BK$17,Sheet1!AL4:AO4,3,0),0)</f>
        <v>0</v>
      </c>
      <c r="BL23" s="72">
        <f>+IFERROR(VLOOKUP($BL$17,Sheet1!AL4:AO4,3,0),0)</f>
        <v>0</v>
      </c>
      <c r="BM23" s="72"/>
      <c r="BN23" s="72">
        <f>+IFERROR(VLOOKUP($BN$17,Sheet1!AT4:AW4,3,0),0)</f>
        <v>0</v>
      </c>
      <c r="BO23" s="79">
        <v>15</v>
      </c>
      <c r="BP23" s="79">
        <v>50</v>
      </c>
      <c r="BQ23" s="72">
        <f>+IFERROR(VLOOKUP($BQ$17,Sheet1!BF4:BI4,3,0),0)</f>
        <v>0</v>
      </c>
      <c r="BR23" s="72">
        <f>+IFERROR(VLOOKUP($BR$17,Sheet1!BJ4:BM4,3,0),0)</f>
        <v>0</v>
      </c>
      <c r="BS23" s="72">
        <f>+IFERROR(VLOOKUP($BS$17,Sheet1!BN4:BQ4,3,0),0)</f>
        <v>0</v>
      </c>
      <c r="BT23" s="79">
        <v>38</v>
      </c>
      <c r="BU23" s="11">
        <f>+IFERROR(VLOOKUP($BU$17,Sheet1!BV4:BY4,3,0),0)</f>
        <v>0</v>
      </c>
      <c r="BV23" s="11" t="str">
        <f>Sheet1!E4</f>
        <v>STEEL</v>
      </c>
      <c r="BW23" s="11" t="s">
        <v>189</v>
      </c>
      <c r="BX23" s="11" t="s">
        <v>190</v>
      </c>
      <c r="BY23" s="11">
        <f>Sheet1!CX4</f>
        <v>250</v>
      </c>
      <c r="BZ23" s="3">
        <v>95000</v>
      </c>
      <c r="CA23" s="3">
        <f t="shared" si="5"/>
        <v>852210</v>
      </c>
      <c r="CB23" s="23">
        <f>Sheet1!CB4</f>
        <v>0</v>
      </c>
      <c r="CC23" s="3">
        <f t="shared" si="6"/>
        <v>0</v>
      </c>
      <c r="CD23" s="47">
        <v>0.5</v>
      </c>
      <c r="CE23" s="3">
        <f t="shared" si="7"/>
        <v>426105</v>
      </c>
      <c r="CF23" s="47">
        <v>0</v>
      </c>
      <c r="CG23" s="3">
        <f t="shared" si="8"/>
        <v>0</v>
      </c>
      <c r="CH23" s="3">
        <f t="shared" si="9"/>
        <v>1278315</v>
      </c>
      <c r="CI23" s="47">
        <v>0.02</v>
      </c>
      <c r="CJ23" s="80">
        <f t="shared" si="10"/>
        <v>25566.3</v>
      </c>
      <c r="CK23" s="47">
        <v>0.01</v>
      </c>
      <c r="CL23" s="80">
        <f t="shared" si="11"/>
        <v>12783.15</v>
      </c>
    </row>
    <row r="24" spans="1:90" ht="51" x14ac:dyDescent="0.25">
      <c r="A24" s="1" t="str">
        <f>Sheet1!A8</f>
        <v>ENQ-10773-22-23</v>
      </c>
      <c r="B24" s="51">
        <f>Sheet1!B8</f>
        <v>45135</v>
      </c>
      <c r="C24" s="1" t="str">
        <f>Sheet1!C8</f>
        <v>FA1300066</v>
      </c>
      <c r="D24" s="73" t="str">
        <f>Sheet1!D8</f>
        <v>1 CORE X 1000 SQ. MM. AL/ARM (XLPE) - 11 KV</v>
      </c>
      <c r="E24" s="74">
        <f t="shared" si="0"/>
        <v>1852703.7450000001</v>
      </c>
      <c r="F24" s="77">
        <f t="shared" si="12"/>
        <v>36267</v>
      </c>
      <c r="G24" s="75">
        <f t="shared" si="1"/>
        <v>1888970.7450000001</v>
      </c>
      <c r="H24" s="76">
        <f>Sheet1!CP8</f>
        <v>0.18</v>
      </c>
      <c r="I24" s="75">
        <f t="shared" si="2"/>
        <v>340014.7341</v>
      </c>
      <c r="J24" s="75">
        <f t="shared" si="3"/>
        <v>2228985.4791000001</v>
      </c>
      <c r="K24" s="73">
        <f>Sheet1!CS8</f>
        <v>15</v>
      </c>
      <c r="L24" s="73" t="str">
        <f>Sheet1!CT8</f>
        <v>KMS</v>
      </c>
      <c r="M24" s="74">
        <f t="shared" si="4"/>
        <v>33434782.186500002</v>
      </c>
      <c r="N24" s="78">
        <v>2732</v>
      </c>
      <c r="O24" s="41">
        <f>+IFERROR(VLOOKUP($O$17,Sheet1!J8:L8,3,0),0)</f>
        <v>0</v>
      </c>
      <c r="P24" s="41">
        <f>+IFERROR(VLOOKUP($P$17,Sheet1!J8:M8,3,0),0)</f>
        <v>0</v>
      </c>
      <c r="Q24" s="41">
        <f>+IFERROR(VLOOKUP($Q$17,Sheet1!J8:M8,3,0),0)</f>
        <v>0</v>
      </c>
      <c r="R24" s="41">
        <f>+IFERROR(VLOOKUP($R$17,Sheet1!J8:M8,3,0),0)</f>
        <v>0</v>
      </c>
      <c r="S24" s="41">
        <f>+IFERROR(VLOOKUP($S$17,Sheet1!N8:Q8,3,0),0)</f>
        <v>0</v>
      </c>
      <c r="T24" s="41">
        <f>+IFERROR(VLOOKUP($T$17,Sheet1!N8:Q8,3,0),0)</f>
        <v>0</v>
      </c>
      <c r="U24" s="41">
        <f>+IFERROR(VLOOKUP($U$17,Sheet1!F8:I8,3,0),0)</f>
        <v>0</v>
      </c>
      <c r="V24" s="41">
        <f>+IFERROR(VLOOKUP($V$17,Sheet1!F8:I8,3,0),0)</f>
        <v>0</v>
      </c>
      <c r="W24" s="41">
        <f>+IFERROR(VLOOKUP($W$17,Sheet1!F8:I8,3,0),0)</f>
        <v>0</v>
      </c>
      <c r="X24" s="41">
        <f>+IFERROR(VLOOKUP($X$17,Sheet1!F8:I8,3,0),0)</f>
        <v>0</v>
      </c>
      <c r="Y24" s="78">
        <v>77</v>
      </c>
      <c r="Z24" s="41">
        <f>+IFERROR(VLOOKUP($Z$17,Sheet1!F8:I8,3,0),0)</f>
        <v>0</v>
      </c>
      <c r="AA24" s="41">
        <f>+IFERROR(VLOOKUP($AA$17,Sheet1!F8:I8,3,0),0)</f>
        <v>0</v>
      </c>
      <c r="AB24" s="41">
        <f>+IFERROR(VLOOKUP($AB$17,Sheet1!F8:I8,3,0),0)</f>
        <v>0</v>
      </c>
      <c r="AC24" s="78">
        <v>230</v>
      </c>
      <c r="AD24" s="72">
        <f>+IFERROR(VLOOKUP($AD$17,Sheet1!R8:U8,2,0),0)</f>
        <v>0</v>
      </c>
      <c r="AE24" s="78">
        <v>476</v>
      </c>
      <c r="AF24" s="72">
        <f>+IFERROR(VLOOKUP($AF$17,Sheet1!V8:Y8,3,0),0)</f>
        <v>0</v>
      </c>
      <c r="AG24" s="72">
        <f>+IFERROR(VLOOKUP($AG$17,Sheet1!V8:Y8,3,0),0)</f>
        <v>0</v>
      </c>
      <c r="AH24" s="72">
        <f>+IFERROR(VLOOKUP($AH$17,Sheet1!V8:Y8,3,0),0)</f>
        <v>0</v>
      </c>
      <c r="AI24" s="72">
        <f>+IFERROR(VLOOKUP($AI$17,Sheet1!V8:Y8,3,0),0)</f>
        <v>0</v>
      </c>
      <c r="AJ24" s="72">
        <f>+IFERROR(VLOOKUP($AJ$17,Sheet1!V8:Y8,3,0),0)</f>
        <v>0</v>
      </c>
      <c r="AK24" s="79">
        <v>19</v>
      </c>
      <c r="AL24" s="72">
        <f>+IFERROR(VLOOKUP($AL$17,Sheet1!AD8:AG8,3,0),0)</f>
        <v>0</v>
      </c>
      <c r="AM24" s="72">
        <f>+IFERROR(VLOOKUP($AM$17,Sheet1!AD8:AG8,3,0),0)</f>
        <v>0</v>
      </c>
      <c r="AN24" s="72">
        <f>+IFERROR(VLOOKUP($AN$17,Sheet1!AD8:AG8,3,0),0)</f>
        <v>0</v>
      </c>
      <c r="AO24" s="72">
        <f>+IFERROR(VLOOKUP($AO$17,Sheet1!AD8:AG8,3,0),0)</f>
        <v>0</v>
      </c>
      <c r="AP24" s="72">
        <f>+IFERROR(VLOOKUP($AP$17,Sheet1!AD8:AG8,3,0),0)</f>
        <v>0</v>
      </c>
      <c r="AQ24" s="79">
        <v>194</v>
      </c>
      <c r="AR24" s="72">
        <f>+IFERROR(VLOOKUP($AR$17,Sheet1!AD8:AG8,3,0),0)</f>
        <v>0</v>
      </c>
      <c r="AS24" s="72">
        <f>+IFERROR(VLOOKUP($AS$17,Sheet1!AH8:AK8,3,0),0)</f>
        <v>0</v>
      </c>
      <c r="AT24" s="72">
        <f>+IFERROR(VLOOKUP($AT$17,Sheet1!AH8:AK8,3,0),0)</f>
        <v>0</v>
      </c>
      <c r="AU24" s="72">
        <f>+IFERROR(VLOOKUP($AU$17,Sheet1!AH8:AK8,3,0),0)</f>
        <v>0</v>
      </c>
      <c r="AV24" s="79">
        <v>1008</v>
      </c>
      <c r="AW24" s="72">
        <f>+IFERROR(VLOOKUP($AW$17,Sheet1!AH8:AK8,3,0),0)</f>
        <v>0</v>
      </c>
      <c r="AX24" s="72">
        <f>+IFERROR(VLOOKUP($AX$17,Sheet1!AH8:AK8,3,0),0)</f>
        <v>0</v>
      </c>
      <c r="AY24" s="72">
        <f>+IFERROR(VLOOKUP($AY$17,Sheet1!AH8:AK8,3,0),0)</f>
        <v>0</v>
      </c>
      <c r="AZ24" s="72">
        <f>+IFERROR(VLOOKUP($AZ$17,Sheet1!AH8:AK8,3,0),0)</f>
        <v>0</v>
      </c>
      <c r="BA24" s="72">
        <f>+IFERROR(VLOOKUP($BA$17,Sheet1!AH8:AK8,3,0),0)</f>
        <v>0</v>
      </c>
      <c r="BB24" s="72">
        <f>+IFERROR(VLOOKUP($BB$17,Sheet1!AH8:AK8,3,0),0)</f>
        <v>0</v>
      </c>
      <c r="BC24" s="72">
        <f>+IFERROR(VLOOKUP($BC$17,Sheet1!AL8:AO8,3,0),0)</f>
        <v>0</v>
      </c>
      <c r="BD24" s="72">
        <f>+IFERROR(VLOOKUP($BD$17,Sheet1!AL8:AO8,3,0),0)</f>
        <v>0</v>
      </c>
      <c r="BE24" s="72">
        <f>+IFERROR(VLOOKUP($BE$17,Sheet1!AL8:AO8,3,0),0)</f>
        <v>0</v>
      </c>
      <c r="BF24" s="79">
        <v>700</v>
      </c>
      <c r="BG24" s="72">
        <f>+IFERROR(VLOOKUP($BG$17,Sheet1!AL8:AO8,3,0),0)</f>
        <v>0</v>
      </c>
      <c r="BH24" s="72">
        <f>+IFERROR(VLOOKUP($BH$17,Sheet1!AL8:AO8,3,0),0)</f>
        <v>0</v>
      </c>
      <c r="BI24" s="72">
        <f>+IFERROR(VLOOKUP($BI$17,Sheet1!AL8:AO8,3,0),0)</f>
        <v>0</v>
      </c>
      <c r="BJ24" s="72">
        <f>+IFERROR(VLOOKUP($BJ$17,Sheet1!AL8:AO8,3,0),0)</f>
        <v>0</v>
      </c>
      <c r="BK24" s="72">
        <f>+IFERROR(VLOOKUP($BK$17,Sheet1!AL8:AO8,3,0),0)</f>
        <v>0</v>
      </c>
      <c r="BL24" s="72">
        <f>+IFERROR(VLOOKUP($BL$17,Sheet1!AL8:AO8,3,0),0)</f>
        <v>0</v>
      </c>
      <c r="BM24" s="72">
        <f>+IFERROR(VLOOKUP($BM$17,Sheet1!AP8:AS8,3,0),0)</f>
        <v>0</v>
      </c>
      <c r="BN24" s="72">
        <f>+IFERROR(VLOOKUP($BN$17,Sheet1!AT8:AW8,3,0),0)</f>
        <v>0</v>
      </c>
      <c r="BO24" s="79">
        <v>39</v>
      </c>
      <c r="BP24" s="79">
        <v>46</v>
      </c>
      <c r="BQ24" s="72">
        <f>+IFERROR(VLOOKUP($BQ$17,Sheet1!BF8:BI8,3,0),0)</f>
        <v>0</v>
      </c>
      <c r="BR24" s="72">
        <f>+IFERROR(VLOOKUP($BR$17,Sheet1!BJ8:BM8,3,0),0)</f>
        <v>0</v>
      </c>
      <c r="BS24" s="72">
        <f>+IFERROR(VLOOKUP($BS$17,Sheet1!BN8:BQ8,3,0),0)</f>
        <v>0</v>
      </c>
      <c r="BT24" s="79">
        <v>42</v>
      </c>
      <c r="BU24" s="11">
        <f>+IFERROR(VLOOKUP($BU$17,Sheet1!BV8:BY8,3,0),0)</f>
        <v>0</v>
      </c>
      <c r="BV24" s="11" t="str">
        <f>Sheet1!E8</f>
        <v>STEEL</v>
      </c>
      <c r="BW24" s="11" t="str">
        <f>Sheet1!CV8</f>
        <v>SP0400107</v>
      </c>
      <c r="BX24" s="11" t="str">
        <f>Sheet1!CW8</f>
        <v>CORRUGATED DISPATCH STEEL DRUM 2150 X 1080 X 1240 MM</v>
      </c>
      <c r="BY24" s="11">
        <f>Sheet1!CX8</f>
        <v>500</v>
      </c>
      <c r="BZ24" s="3">
        <f>Sheet1!BZ8</f>
        <v>66500</v>
      </c>
      <c r="CA24" s="3">
        <f t="shared" si="5"/>
        <v>1199161</v>
      </c>
      <c r="CB24" s="23">
        <f>Sheet1!CB8</f>
        <v>0</v>
      </c>
      <c r="CC24" s="3">
        <f t="shared" si="6"/>
        <v>0</v>
      </c>
      <c r="CD24" s="47">
        <v>0.5</v>
      </c>
      <c r="CE24" s="3">
        <f t="shared" si="7"/>
        <v>599580.5</v>
      </c>
      <c r="CF24" s="47">
        <v>0</v>
      </c>
      <c r="CG24" s="3">
        <f t="shared" si="8"/>
        <v>0</v>
      </c>
      <c r="CH24" s="3">
        <f t="shared" si="9"/>
        <v>1798741.5</v>
      </c>
      <c r="CI24" s="47">
        <v>0.02</v>
      </c>
      <c r="CJ24" s="80">
        <f t="shared" si="10"/>
        <v>35974.83</v>
      </c>
      <c r="CK24" s="47">
        <v>0.01</v>
      </c>
      <c r="CL24" s="80">
        <f t="shared" si="11"/>
        <v>17987.415000000001</v>
      </c>
    </row>
    <row r="25" spans="1:90" ht="51" x14ac:dyDescent="0.25">
      <c r="A25" s="1" t="str">
        <f>Sheet1!A5</f>
        <v>ENQ-10773-22-23</v>
      </c>
      <c r="B25" s="51">
        <f>Sheet1!B5</f>
        <v>45135</v>
      </c>
      <c r="C25" s="1" t="str">
        <f>Sheet1!C5</f>
        <v>FA1300016</v>
      </c>
      <c r="D25" s="73" t="str">
        <f>Sheet1!D5</f>
        <v>1 CORE X 630 SQ. MM. AL/ARM (XLPE)  - 11 KV</v>
      </c>
      <c r="E25" s="74">
        <f t="shared" si="0"/>
        <v>1201875.585</v>
      </c>
      <c r="F25" s="77">
        <f t="shared" si="12"/>
        <v>27200</v>
      </c>
      <c r="G25" s="75">
        <f t="shared" si="1"/>
        <v>1229075.585</v>
      </c>
      <c r="H25" s="76">
        <f>Sheet1!CP5</f>
        <v>0.18</v>
      </c>
      <c r="I25" s="75">
        <f t="shared" si="2"/>
        <v>221233.6053</v>
      </c>
      <c r="J25" s="75">
        <f t="shared" si="3"/>
        <v>1450309.1902999999</v>
      </c>
      <c r="K25" s="73">
        <f>Sheet1!CS5</f>
        <v>5</v>
      </c>
      <c r="L25" s="73" t="str">
        <f>Sheet1!CT5</f>
        <v>KMS</v>
      </c>
      <c r="M25" s="74">
        <f t="shared" si="4"/>
        <v>7251545.9514999995</v>
      </c>
      <c r="N25" s="78">
        <f>+IFERROR(VLOOKUP($N$17,Sheet1!J5:L5,3,0),0)</f>
        <v>1701</v>
      </c>
      <c r="O25" s="41">
        <f>+IFERROR(VLOOKUP($O$17,Sheet1!J5:L5,3,0),0)</f>
        <v>0</v>
      </c>
      <c r="P25" s="41">
        <f>+IFERROR(VLOOKUP($P$17,Sheet1!J5:M5,3,0),0)</f>
        <v>0</v>
      </c>
      <c r="Q25" s="41">
        <f>+IFERROR(VLOOKUP($Q$17,Sheet1!J5:M5,3,0),0)</f>
        <v>0</v>
      </c>
      <c r="R25" s="41">
        <f>+IFERROR(VLOOKUP($R$17,Sheet1!J5:M5,3,0),0)</f>
        <v>0</v>
      </c>
      <c r="S25" s="41">
        <f>+IFERROR(VLOOKUP($S$17,Sheet1!N5:Q5,3,0),0)</f>
        <v>0</v>
      </c>
      <c r="T25" s="41">
        <f>+IFERROR(VLOOKUP($T$17,Sheet1!N5:Q5,3,0),0)</f>
        <v>0</v>
      </c>
      <c r="U25" s="41">
        <f>+IFERROR(VLOOKUP($U$17,Sheet1!F5:I5,3,0),0)</f>
        <v>0</v>
      </c>
      <c r="V25" s="41">
        <f>+IFERROR(VLOOKUP($V$17,Sheet1!F5:I5,3,0),0)</f>
        <v>0</v>
      </c>
      <c r="W25" s="41">
        <f>+IFERROR(VLOOKUP($W$17,Sheet1!F5:I5,3,0),0)</f>
        <v>0</v>
      </c>
      <c r="X25" s="41">
        <f>+IFERROR(VLOOKUP($X$17,Sheet1!F5:I5,3,0),0)</f>
        <v>0</v>
      </c>
      <c r="Y25" s="78">
        <v>63</v>
      </c>
      <c r="Z25" s="41">
        <f>+IFERROR(VLOOKUP($Z$17,Sheet1!F5:I5,3,0),0)</f>
        <v>0</v>
      </c>
      <c r="AA25" s="41">
        <f>+IFERROR(VLOOKUP($AA$17,Sheet1!F5:I5,3,0),0)</f>
        <v>0</v>
      </c>
      <c r="AB25" s="41">
        <f>+IFERROR(VLOOKUP($AB$17,Sheet1!F5:I5,3,0),0)</f>
        <v>0</v>
      </c>
      <c r="AC25" s="78">
        <v>170</v>
      </c>
      <c r="AD25" s="72">
        <f>+IFERROR(VLOOKUP($AD$17,Sheet1!R5:U5,2,0),0)</f>
        <v>0</v>
      </c>
      <c r="AE25" s="78">
        <v>380</v>
      </c>
      <c r="AF25" s="72">
        <f>+IFERROR(VLOOKUP($AF$17,Sheet1!V5:Y5,3,0),0)</f>
        <v>0</v>
      </c>
      <c r="AG25" s="72">
        <f>+IFERROR(VLOOKUP($AG$17,Sheet1!V5:Y5,3,0),0)</f>
        <v>0</v>
      </c>
      <c r="AH25" s="72">
        <f>+IFERROR(VLOOKUP($AH$17,Sheet1!V5:Y5,3,0),0)</f>
        <v>0</v>
      </c>
      <c r="AI25" s="72">
        <f>+IFERROR(VLOOKUP($AI$17,Sheet1!V5:Y5,3,0),0)</f>
        <v>0</v>
      </c>
      <c r="AJ25" s="72">
        <f>+IFERROR(VLOOKUP($AJ$17,Sheet1!V5:Y5,3,0),0)</f>
        <v>0</v>
      </c>
      <c r="AK25" s="79">
        <v>15</v>
      </c>
      <c r="AL25" s="72">
        <f>+IFERROR(VLOOKUP($AL$17,Sheet1!AD5:AG5,3,0),0)</f>
        <v>0</v>
      </c>
      <c r="AM25" s="72">
        <f>+IFERROR(VLOOKUP($AM$17,Sheet1!AD5:AG5,3,0),0)</f>
        <v>0</v>
      </c>
      <c r="AN25" s="72">
        <f>+IFERROR(VLOOKUP($AN$17,Sheet1!AD5:AG5,3,0),0)</f>
        <v>0</v>
      </c>
      <c r="AO25" s="72">
        <f>+IFERROR(VLOOKUP($AO$17,Sheet1!AD5:AG5,3,0),0)</f>
        <v>0</v>
      </c>
      <c r="AP25" s="72">
        <f>+IFERROR(VLOOKUP($AP$17,Sheet1!AD5:AG5,3,0),0)</f>
        <v>0</v>
      </c>
      <c r="AQ25" s="79">
        <v>140</v>
      </c>
      <c r="AR25" s="72">
        <f>+IFERROR(VLOOKUP($AR$17,Sheet1!AD5:AG5,3,0),0)</f>
        <v>0</v>
      </c>
      <c r="AS25" s="72">
        <f>+IFERROR(VLOOKUP($AS$17,Sheet1!AH5:AK5,3,0),0)</f>
        <v>0</v>
      </c>
      <c r="AT25" s="72">
        <f>+IFERROR(VLOOKUP($AT$17,Sheet1!AH5:AK5,3,0),0)</f>
        <v>0</v>
      </c>
      <c r="AU25" s="72">
        <f>+IFERROR(VLOOKUP($AU$17,Sheet1!AH5:AK5,3,0),0)</f>
        <v>0</v>
      </c>
      <c r="AV25" s="79">
        <v>530</v>
      </c>
      <c r="AW25" s="72">
        <f>+IFERROR(VLOOKUP($AW$17,Sheet1!AH5:AK5,3,0),0)</f>
        <v>0</v>
      </c>
      <c r="AX25" s="72">
        <f>+IFERROR(VLOOKUP($AX$17,Sheet1!AH5:AK5,3,0),0)</f>
        <v>0</v>
      </c>
      <c r="AY25" s="72">
        <f>+IFERROR(VLOOKUP($AY$17,Sheet1!AH5:AK5,3,0),0)</f>
        <v>0</v>
      </c>
      <c r="AZ25" s="72">
        <f>+IFERROR(VLOOKUP($AZ$17,Sheet1!AH5:AK5,3,0),0)</f>
        <v>0</v>
      </c>
      <c r="BA25" s="72">
        <f>+IFERROR(VLOOKUP($BA$17,Sheet1!AH5:AK5,3,0),0)</f>
        <v>0</v>
      </c>
      <c r="BB25" s="72">
        <f>+IFERROR(VLOOKUP($BB$17,Sheet1!AH5:AK5,3,0),0)</f>
        <v>0</v>
      </c>
      <c r="BC25" s="72">
        <f>+IFERROR(VLOOKUP($BC$17,Sheet1!AL5:AO5,3,0),0)</f>
        <v>0</v>
      </c>
      <c r="BD25" s="72">
        <f>+IFERROR(VLOOKUP($BD$17,Sheet1!AL5:AO5,3,0),0)</f>
        <v>0</v>
      </c>
      <c r="BE25" s="72">
        <f>+IFERROR(VLOOKUP($BE$17,Sheet1!AL5:AO5,3,0),0)</f>
        <v>0</v>
      </c>
      <c r="BF25" s="79">
        <v>492</v>
      </c>
      <c r="BG25" s="72">
        <f>+IFERROR(VLOOKUP($BG$17,Sheet1!AL5:AO5,3,0),0)</f>
        <v>0</v>
      </c>
      <c r="BH25" s="72">
        <f>+IFERROR(VLOOKUP($BH$17,Sheet1!AL5:AO5,3,0),0)</f>
        <v>0</v>
      </c>
      <c r="BI25" s="72">
        <f>+IFERROR(VLOOKUP($BI$17,Sheet1!AL5:AO5,3,0),0)</f>
        <v>0</v>
      </c>
      <c r="BJ25" s="72">
        <f>+IFERROR(VLOOKUP($BJ$17,Sheet1!AL5:AO5,3,0),0)</f>
        <v>0</v>
      </c>
      <c r="BK25" s="72">
        <f>+IFERROR(VLOOKUP($BK$17,Sheet1!AL5:AO5,3,0),0)</f>
        <v>0</v>
      </c>
      <c r="BL25" s="72">
        <f>+IFERROR(VLOOKUP($BL$17,Sheet1!AL5:AO5,3,0),0)</f>
        <v>0</v>
      </c>
      <c r="BM25" s="72">
        <f>+IFERROR(VLOOKUP($BM$17,Sheet1!AP5:AS5,3,0),0)</f>
        <v>0</v>
      </c>
      <c r="BN25" s="72">
        <f>+IFERROR(VLOOKUP($BN$17,Sheet1!AT5:AW5,3,0),0)</f>
        <v>0</v>
      </c>
      <c r="BO25" s="79">
        <v>26</v>
      </c>
      <c r="BP25" s="79">
        <v>36</v>
      </c>
      <c r="BQ25" s="72">
        <f>+IFERROR(VLOOKUP($BQ$17,Sheet1!BF5:BI5,3,0),0)</f>
        <v>0</v>
      </c>
      <c r="BR25" s="72">
        <f>+IFERROR(VLOOKUP($BR$17,Sheet1!BJ5:BM5,3,0),0)</f>
        <v>0</v>
      </c>
      <c r="BS25" s="72">
        <f>+IFERROR(VLOOKUP($BS$17,Sheet1!BN5:BQ5,3,0),0)</f>
        <v>0</v>
      </c>
      <c r="BT25" s="79">
        <v>33</v>
      </c>
      <c r="BU25" s="11">
        <f>+IFERROR(VLOOKUP($BU$17,Sheet1!BV5:BY5,3,0),0)</f>
        <v>0</v>
      </c>
      <c r="BV25" s="11" t="str">
        <f>Sheet1!E5</f>
        <v>STEEL</v>
      </c>
      <c r="BW25" s="11" t="str">
        <f>Sheet1!CV5</f>
        <v>SP0400091</v>
      </c>
      <c r="BX25" s="11" t="str">
        <f>Sheet1!CW5</f>
        <v>CORRUGATED DISPATCH STEEL DRUM 1800 X 900 X 1000</v>
      </c>
      <c r="BY25" s="11">
        <f>Sheet1!CX5</f>
        <v>500</v>
      </c>
      <c r="BZ25" s="3">
        <f>Sheet1!BZ5</f>
        <v>48450</v>
      </c>
      <c r="CA25" s="3">
        <f t="shared" si="5"/>
        <v>777913</v>
      </c>
      <c r="CB25" s="23">
        <f>Sheet1!CB5</f>
        <v>0</v>
      </c>
      <c r="CC25" s="3">
        <f t="shared" si="6"/>
        <v>0</v>
      </c>
      <c r="CD25" s="47">
        <v>0.5</v>
      </c>
      <c r="CE25" s="3">
        <f t="shared" si="7"/>
        <v>388956.5</v>
      </c>
      <c r="CF25" s="47">
        <v>0</v>
      </c>
      <c r="CG25" s="3">
        <f t="shared" si="8"/>
        <v>0</v>
      </c>
      <c r="CH25" s="3">
        <f t="shared" si="9"/>
        <v>1166869.5</v>
      </c>
      <c r="CI25" s="47">
        <v>0.02</v>
      </c>
      <c r="CJ25" s="80">
        <f t="shared" si="10"/>
        <v>23337.39</v>
      </c>
      <c r="CK25" s="47">
        <v>0.01</v>
      </c>
      <c r="CL25" s="80">
        <f t="shared" si="11"/>
        <v>11668.695</v>
      </c>
    </row>
    <row r="26" spans="1:90" ht="51" x14ac:dyDescent="0.25">
      <c r="A26" s="1" t="str">
        <f>Sheet1!A11</f>
        <v>ENQ-10773-22-23</v>
      </c>
      <c r="B26" s="51">
        <f>Sheet1!B11</f>
        <v>45135</v>
      </c>
      <c r="C26" s="1" t="str">
        <f>Sheet1!C11</f>
        <v>FA1300047</v>
      </c>
      <c r="D26" s="73" t="str">
        <f>Sheet1!D11</f>
        <v>1 CORE X 400 SQ. MM. AL/ARM (XLPE) - 11 KV</v>
      </c>
      <c r="E26" s="74">
        <f t="shared" si="0"/>
        <v>911866.72499999998</v>
      </c>
      <c r="F26" s="77">
        <f t="shared" si="12"/>
        <v>23800</v>
      </c>
      <c r="G26" s="75">
        <f t="shared" si="1"/>
        <v>935666.72499999998</v>
      </c>
      <c r="H26" s="76">
        <f>Sheet1!CP11</f>
        <v>0.18</v>
      </c>
      <c r="I26" s="75">
        <f t="shared" si="2"/>
        <v>168420.0105</v>
      </c>
      <c r="J26" s="75">
        <f t="shared" si="3"/>
        <v>1104086.7355</v>
      </c>
      <c r="K26" s="73">
        <f>Sheet1!CS11</f>
        <v>40</v>
      </c>
      <c r="L26" s="73" t="str">
        <f>Sheet1!CT11</f>
        <v>KMS</v>
      </c>
      <c r="M26" s="74">
        <f t="shared" si="4"/>
        <v>44163469.420000002</v>
      </c>
      <c r="N26" s="41">
        <f>+IFERROR(VLOOKUP($N$17,Sheet1!J11:L11,3,0),0)</f>
        <v>1080</v>
      </c>
      <c r="O26" s="41">
        <f>+IFERROR(VLOOKUP($O$17,Sheet1!J11:L11,3,0),0)</f>
        <v>0</v>
      </c>
      <c r="P26" s="41">
        <f>+IFERROR(VLOOKUP($P$17,Sheet1!J11:M11,3,0),0)</f>
        <v>0</v>
      </c>
      <c r="Q26" s="41">
        <f>+IFERROR(VLOOKUP($Q$17,Sheet1!J11:M11,3,0),0)</f>
        <v>0</v>
      </c>
      <c r="R26" s="41">
        <f>+IFERROR(VLOOKUP($R$17,Sheet1!J11:M11,3,0),0)</f>
        <v>0</v>
      </c>
      <c r="S26" s="41">
        <f>+IFERROR(VLOOKUP($S$17,Sheet1!N11:Q11,3,0),0)</f>
        <v>0</v>
      </c>
      <c r="T26" s="41">
        <f>+IFERROR(VLOOKUP($T$17,Sheet1!N11:Q11,3,0),0)</f>
        <v>0</v>
      </c>
      <c r="U26" s="41">
        <f>+IFERROR(VLOOKUP($U$17,Sheet1!F11:I11,3,0),0)</f>
        <v>0</v>
      </c>
      <c r="V26" s="41">
        <f>+IFERROR(VLOOKUP($V$17,Sheet1!F11:I11,3,0),0)</f>
        <v>0</v>
      </c>
      <c r="W26" s="41">
        <f>+IFERROR(VLOOKUP($W$17,Sheet1!F11:I11,3,0),0)</f>
        <v>0</v>
      </c>
      <c r="X26" s="41">
        <f>+IFERROR(VLOOKUP($X$17,Sheet1!F11:I11,3,0),0)</f>
        <v>0</v>
      </c>
      <c r="Y26" s="78">
        <v>53</v>
      </c>
      <c r="Z26" s="41">
        <f>+IFERROR(VLOOKUP($Z$17,Sheet1!F11:I11,3,0),0)</f>
        <v>0</v>
      </c>
      <c r="AA26" s="41">
        <f>+IFERROR(VLOOKUP($AA$17,Sheet1!F11:I11,3,0),0)</f>
        <v>0</v>
      </c>
      <c r="AB26" s="41">
        <f>+IFERROR(VLOOKUP($AB$17,Sheet1!F11:I11,3,0),0)</f>
        <v>0</v>
      </c>
      <c r="AC26" s="78">
        <v>138</v>
      </c>
      <c r="AD26" s="72">
        <f>+IFERROR(VLOOKUP($AD$17,Sheet1!R11:U11,2,0),0)</f>
        <v>0</v>
      </c>
      <c r="AE26" s="78">
        <v>310</v>
      </c>
      <c r="AF26" s="72">
        <f>+IFERROR(VLOOKUP($AF$17,Sheet1!V11:Y11,3,0),0)</f>
        <v>0</v>
      </c>
      <c r="AG26" s="72">
        <f>+IFERROR(VLOOKUP($AG$17,Sheet1!V11:Y11,3,0),0)</f>
        <v>0</v>
      </c>
      <c r="AH26" s="72">
        <f>+IFERROR(VLOOKUP($AH$17,Sheet1!V11:Y11,3,0),0)</f>
        <v>0</v>
      </c>
      <c r="AI26" s="72">
        <f>+IFERROR(VLOOKUP($AI$17,Sheet1!V11:Y11,3,0),0)</f>
        <v>0</v>
      </c>
      <c r="AJ26" s="72">
        <f>+IFERROR(VLOOKUP($AJ$17,Sheet1!V11:Y11,3,0),0)</f>
        <v>0</v>
      </c>
      <c r="AK26" s="79">
        <v>13</v>
      </c>
      <c r="AL26" s="72">
        <f>+IFERROR(VLOOKUP($AL$17,Sheet1!AD11:AG11,3,0),0)</f>
        <v>0</v>
      </c>
      <c r="AM26" s="72">
        <f>+IFERROR(VLOOKUP($AM$17,Sheet1!AD11:AG11,3,0),0)</f>
        <v>0</v>
      </c>
      <c r="AN26" s="72">
        <f>+IFERROR(VLOOKUP($AN$17,Sheet1!AD11:AG11,3,0),0)</f>
        <v>0</v>
      </c>
      <c r="AO26" s="72">
        <f>+IFERROR(VLOOKUP($AO$17,Sheet1!AD11:AG11,3,0),0)</f>
        <v>0</v>
      </c>
      <c r="AP26" s="72">
        <f>+IFERROR(VLOOKUP($AP$17,Sheet1!AD11:AG11,3,0),0)</f>
        <v>0</v>
      </c>
      <c r="AQ26" s="79">
        <v>102</v>
      </c>
      <c r="AR26" s="72">
        <f>+IFERROR(VLOOKUP($AR$17,Sheet1!AD11:AG11,3,0),0)</f>
        <v>0</v>
      </c>
      <c r="AS26" s="72">
        <f>+IFERROR(VLOOKUP($AS$17,Sheet1!AH11:AK11,3,0),0)</f>
        <v>0</v>
      </c>
      <c r="AT26" s="72">
        <f>+IFERROR(VLOOKUP($AT$17,Sheet1!AH11:AK11,3,0),0)</f>
        <v>0</v>
      </c>
      <c r="AU26" s="72">
        <f>+IFERROR(VLOOKUP($AU$17,Sheet1!AH11:AK11,3,0),0)</f>
        <v>0</v>
      </c>
      <c r="AV26" s="79">
        <v>552</v>
      </c>
      <c r="AW26" s="72">
        <f>+IFERROR(VLOOKUP($AW$17,Sheet1!AH11:AK11,3,0),0)</f>
        <v>0</v>
      </c>
      <c r="AX26" s="72">
        <f>+IFERROR(VLOOKUP($AX$17,Sheet1!AH11:AK11,3,0),0)</f>
        <v>0</v>
      </c>
      <c r="AY26" s="72">
        <f>+IFERROR(VLOOKUP($AY$17,Sheet1!AH11:AK11,3,0),0)</f>
        <v>0</v>
      </c>
      <c r="AZ26" s="72">
        <f>+IFERROR(VLOOKUP($AZ$17,Sheet1!AH11:AK11,3,0),0)</f>
        <v>0</v>
      </c>
      <c r="BA26" s="72">
        <f>+IFERROR(VLOOKUP($BA$17,Sheet1!AH11:AK11,3,0),0)</f>
        <v>0</v>
      </c>
      <c r="BB26" s="72">
        <f>+IFERROR(VLOOKUP($BB$17,Sheet1!AH11:AK11,3,0),0)</f>
        <v>0</v>
      </c>
      <c r="BC26" s="72">
        <f>+IFERROR(VLOOKUP($BC$17,Sheet1!AL11:AO11,3,0),0)</f>
        <v>0</v>
      </c>
      <c r="BD26" s="72">
        <f>+IFERROR(VLOOKUP($BD$17,Sheet1!AL11:AO11,3,0),0)</f>
        <v>0</v>
      </c>
      <c r="BE26" s="72">
        <f>+IFERROR(VLOOKUP($BE$17,Sheet1!AL11:AO11,3,0),0)</f>
        <v>0</v>
      </c>
      <c r="BF26" s="79">
        <v>403</v>
      </c>
      <c r="BG26" s="72">
        <f>+IFERROR(VLOOKUP($BG$17,Sheet1!AL11:AO11,3,0),0)</f>
        <v>0</v>
      </c>
      <c r="BH26" s="72">
        <f>+IFERROR(VLOOKUP($BH$17,Sheet1!AL11:AO11,3,0),0)</f>
        <v>0</v>
      </c>
      <c r="BI26" s="72">
        <f>+IFERROR(VLOOKUP($BI$17,Sheet1!AL11:AO11,3,0),0)</f>
        <v>0</v>
      </c>
      <c r="BJ26" s="72">
        <f>+IFERROR(VLOOKUP($BJ$17,Sheet1!AL11:AO11,3,0),0)</f>
        <v>0</v>
      </c>
      <c r="BK26" s="72">
        <f>+IFERROR(VLOOKUP($BK$17,Sheet1!AL11:AO11,3,0),0)</f>
        <v>0</v>
      </c>
      <c r="BL26" s="72">
        <f>+IFERROR(VLOOKUP($BL$17,Sheet1!AL11:AO11,3,0),0)</f>
        <v>0</v>
      </c>
      <c r="BM26" s="72">
        <f>+IFERROR(VLOOKUP($BM$17,Sheet1!AP11:AS11,3,0),0)</f>
        <v>0</v>
      </c>
      <c r="BN26" s="72">
        <f>+IFERROR(VLOOKUP($BN$17,Sheet1!AT11:AW11,3,0),0)</f>
        <v>0</v>
      </c>
      <c r="BO26" s="79">
        <v>19</v>
      </c>
      <c r="BP26" s="79">
        <v>29</v>
      </c>
      <c r="BQ26" s="72">
        <f>+IFERROR(VLOOKUP($BQ$17,Sheet1!BF11:BI11,3,0),0)</f>
        <v>0</v>
      </c>
      <c r="BR26" s="72">
        <f>+IFERROR(VLOOKUP($BR$17,Sheet1!BJ11:BM11,3,0),0)</f>
        <v>0</v>
      </c>
      <c r="BS26" s="72">
        <f>+IFERROR(VLOOKUP($BS$17,Sheet1!BN11:BQ11,3,0),0)</f>
        <v>0</v>
      </c>
      <c r="BT26" s="79">
        <v>30</v>
      </c>
      <c r="BU26" s="11">
        <f>+IFERROR(VLOOKUP($BU$17,Sheet1!BV11:BY11,3,0),0)</f>
        <v>0</v>
      </c>
      <c r="BV26" s="11" t="str">
        <f>Sheet1!E11</f>
        <v>STEEL</v>
      </c>
      <c r="BW26" s="11" t="str">
        <f>Sheet1!CV11</f>
        <v>SP0400125</v>
      </c>
      <c r="BX26" s="11" t="str">
        <f>Sheet1!CW11</f>
        <v>CORRUGATED DISPATCH STEEL DRUM 1600 X 700 X 915 MM</v>
      </c>
      <c r="BY26" s="11">
        <f>Sheet1!CX11</f>
        <v>500</v>
      </c>
      <c r="BZ26" s="3">
        <f>Sheet1!BZ11</f>
        <v>34200</v>
      </c>
      <c r="CA26" s="3">
        <f t="shared" si="5"/>
        <v>590205</v>
      </c>
      <c r="CB26" s="23">
        <f>Sheet1!CB11</f>
        <v>0</v>
      </c>
      <c r="CC26" s="3">
        <f t="shared" si="6"/>
        <v>0</v>
      </c>
      <c r="CD26" s="47">
        <v>0.5</v>
      </c>
      <c r="CE26" s="3">
        <f t="shared" si="7"/>
        <v>295102.5</v>
      </c>
      <c r="CF26" s="47">
        <v>0</v>
      </c>
      <c r="CG26" s="3">
        <f t="shared" si="8"/>
        <v>0</v>
      </c>
      <c r="CH26" s="3">
        <f t="shared" si="9"/>
        <v>885307.5</v>
      </c>
      <c r="CI26" s="47">
        <v>0.02</v>
      </c>
      <c r="CJ26" s="80">
        <f t="shared" si="10"/>
        <v>17706.150000000001</v>
      </c>
      <c r="CK26" s="47">
        <v>0.01</v>
      </c>
      <c r="CL26" s="80">
        <f t="shared" si="11"/>
        <v>8853.0750000000007</v>
      </c>
    </row>
    <row r="27" spans="1:90" ht="51" x14ac:dyDescent="0.25">
      <c r="A27" s="1" t="str">
        <f>Sheet1!A14</f>
        <v>ENQ-10773-22-23</v>
      </c>
      <c r="B27" s="51">
        <f>Sheet1!B14</f>
        <v>45135</v>
      </c>
      <c r="C27" s="1" t="str">
        <f>Sheet1!C14</f>
        <v>FA1300080</v>
      </c>
      <c r="D27" s="73" t="str">
        <f>Sheet1!D14</f>
        <v>3 CORE X 400 SQ. MM AL/ARM - WIRE (XLPE) - 33 KV</v>
      </c>
      <c r="E27" s="74">
        <f t="shared" si="0"/>
        <v>4221435.9450000003</v>
      </c>
      <c r="F27" s="77">
        <f t="shared" si="12"/>
        <v>136000</v>
      </c>
      <c r="G27" s="75">
        <f t="shared" si="1"/>
        <v>4357435.9450000003</v>
      </c>
      <c r="H27" s="76">
        <f>Sheet1!CP14</f>
        <v>0.18</v>
      </c>
      <c r="I27" s="75">
        <f t="shared" si="2"/>
        <v>784338.47010000004</v>
      </c>
      <c r="J27" s="75">
        <f t="shared" si="3"/>
        <v>5141774.4151000008</v>
      </c>
      <c r="K27" s="73">
        <f>36+60+7.5</f>
        <v>103.5</v>
      </c>
      <c r="L27" s="73" t="str">
        <f>Sheet1!CT14</f>
        <v>KMS</v>
      </c>
      <c r="M27" s="74">
        <f t="shared" si="4"/>
        <v>532173651.96285009</v>
      </c>
      <c r="N27" s="78">
        <v>3243</v>
      </c>
      <c r="O27" s="41">
        <f>+IFERROR(VLOOKUP($O$17,Sheet1!J14:L14,3,0),0)</f>
        <v>0</v>
      </c>
      <c r="P27" s="41">
        <f>+IFERROR(VLOOKUP($P$17,Sheet1!J14:M14,3,0),0)</f>
        <v>0</v>
      </c>
      <c r="Q27" s="41">
        <f>+IFERROR(VLOOKUP($Q$17,Sheet1!J14:M14,3,0),0)</f>
        <v>0</v>
      </c>
      <c r="R27" s="41">
        <f>+IFERROR(VLOOKUP($R$17,Sheet1!J14:M14,3,0),0)</f>
        <v>0</v>
      </c>
      <c r="S27" s="41">
        <f>+IFERROR(VLOOKUP($S$17,Sheet1!N14:Q14,3,0),0)</f>
        <v>0</v>
      </c>
      <c r="T27" s="41">
        <f>+IFERROR(VLOOKUP($T$17,Sheet1!N14:Q14,3,0),0)</f>
        <v>0</v>
      </c>
      <c r="U27" s="41">
        <f>+IFERROR(VLOOKUP($U$17,Sheet1!F14:I14,3,0),0)</f>
        <v>0</v>
      </c>
      <c r="V27" s="41">
        <f>+IFERROR(VLOOKUP($V$17,Sheet1!F14:I14,3,0),0)</f>
        <v>0</v>
      </c>
      <c r="W27" s="41">
        <f>+IFERROR(VLOOKUP($W$17,Sheet1!F14:I14,3,0),0)</f>
        <v>0</v>
      </c>
      <c r="X27" s="41">
        <f>+IFERROR(VLOOKUP($X$17,Sheet1!F14:I14,3,0),0)</f>
        <v>0</v>
      </c>
      <c r="Y27" s="78">
        <v>212</v>
      </c>
      <c r="Z27" s="41">
        <f>+IFERROR(VLOOKUP($Z$17,Sheet1!F14:I14,3,0),0)</f>
        <v>0</v>
      </c>
      <c r="AA27" s="41">
        <f>+IFERROR(VLOOKUP($AA$17,Sheet1!F14:I14,3,0),0)</f>
        <v>0</v>
      </c>
      <c r="AB27" s="41">
        <f>+IFERROR(VLOOKUP($AB$17,Sheet1!F14:I14,3,0),0)</f>
        <v>0</v>
      </c>
      <c r="AC27" s="78">
        <v>515</v>
      </c>
      <c r="AD27" s="72">
        <f>+IFERROR(VLOOKUP($AD$17,Sheet1!R14:U14,2,0),0)</f>
        <v>0</v>
      </c>
      <c r="AE27" s="78">
        <v>2670</v>
      </c>
      <c r="AF27" s="72">
        <f>+IFERROR(VLOOKUP($AF$17,Sheet1!V14:Y14,3,0),0)</f>
        <v>0</v>
      </c>
      <c r="AG27" s="72">
        <f>+IFERROR(VLOOKUP($AG$17,Sheet1!V14:Y14,3,0),0)</f>
        <v>0</v>
      </c>
      <c r="AH27" s="72">
        <f>+IFERROR(VLOOKUP($AH$17,Sheet1!V14:Y14,3,0),0)</f>
        <v>0</v>
      </c>
      <c r="AI27" s="72">
        <f>+IFERROR(VLOOKUP($AI$17,Sheet1!V14:Y14,3,0),0)</f>
        <v>0</v>
      </c>
      <c r="AJ27" s="72">
        <f>+IFERROR(VLOOKUP($AJ$17,Sheet1!V14:Y14,3,0),0)</f>
        <v>0</v>
      </c>
      <c r="AK27" s="72">
        <f>+IFERROR(VLOOKUP($AK$17,Sheet1!Z14:AB14,3,0),0)</f>
        <v>0</v>
      </c>
      <c r="AL27" s="72">
        <f>+IFERROR(VLOOKUP($AL$17,Sheet1!AD14:AG14,3,0),0)</f>
        <v>0</v>
      </c>
      <c r="AM27" s="72">
        <f>+IFERROR(VLOOKUP($AM$17,Sheet1!AD14:AG14,3,0),0)</f>
        <v>0</v>
      </c>
      <c r="AN27" s="72">
        <f>+IFERROR(VLOOKUP($AN$17,Sheet1!AD14:AG14,3,0),0)</f>
        <v>0</v>
      </c>
      <c r="AO27" s="72">
        <f>+IFERROR(VLOOKUP($AO$17,Sheet1!AD14:AG14,3,0),0)</f>
        <v>0</v>
      </c>
      <c r="AP27" s="72">
        <f>+IFERROR(VLOOKUP($AP$17,Sheet1!AD14:AG14,3,0),0)</f>
        <v>0</v>
      </c>
      <c r="AQ27" s="72">
        <f>+IFERROR(VLOOKUP($AQ$17,Sheet1!AD14:AG14,3,0),0)</f>
        <v>0</v>
      </c>
      <c r="AR27" s="79">
        <v>1561</v>
      </c>
      <c r="AS27" s="72">
        <f>+IFERROR(VLOOKUP($AS$17,Sheet1!AH14:AK14,3,0),0)</f>
        <v>0</v>
      </c>
      <c r="AT27" s="72">
        <f>+IFERROR(VLOOKUP($AT$17,Sheet1!AH14:AK14,3,0),0)</f>
        <v>0</v>
      </c>
      <c r="AU27" s="72">
        <f>+IFERROR(VLOOKUP($AU$17,Sheet1!AH14:AK14,3,0),0)</f>
        <v>0</v>
      </c>
      <c r="AV27" s="72">
        <f>+IFERROR(VLOOKUP($AV$17,Sheet1!AH14:AK14,3,0),0)</f>
        <v>0</v>
      </c>
      <c r="AW27" s="72">
        <f>+IFERROR(VLOOKUP($AW$17,Sheet1!AH14:AK14,3,0),0)</f>
        <v>0</v>
      </c>
      <c r="AX27" s="72">
        <f>+IFERROR(VLOOKUP($AX$17,Sheet1!AH14:AK14,3,0),0)</f>
        <v>0</v>
      </c>
      <c r="AY27" s="72">
        <f>+IFERROR(VLOOKUP($AY$17,Sheet1!AH14:AK14,3,0),0)</f>
        <v>0</v>
      </c>
      <c r="AZ27" s="72">
        <f>+IFERROR(VLOOKUP($AZ$17,Sheet1!AH14:AK14,3,0),0)</f>
        <v>0</v>
      </c>
      <c r="BA27" s="79">
        <v>7182</v>
      </c>
      <c r="BB27" s="72">
        <f>+IFERROR(VLOOKUP($BB$17,Sheet1!AH14:AK14,3,0),0)</f>
        <v>0</v>
      </c>
      <c r="BC27" s="72">
        <f>+IFERROR(VLOOKUP($BC$17,Sheet1!AL14:AO14,3,0),0)</f>
        <v>0</v>
      </c>
      <c r="BD27" s="72">
        <f>+IFERROR(VLOOKUP($BD$17,Sheet1!AL14:AO14,3,0),0)</f>
        <v>0</v>
      </c>
      <c r="BE27" s="72">
        <f>+IFERROR(VLOOKUP($BE$17,Sheet1!AL14:AO14,3,0),0)</f>
        <v>0</v>
      </c>
      <c r="BF27" s="79">
        <v>1715</v>
      </c>
      <c r="BG27" s="79">
        <v>1718</v>
      </c>
      <c r="BH27" s="72">
        <f>+IFERROR(VLOOKUP($BH$17,Sheet1!AL14:AO14,3,0),0)</f>
        <v>0</v>
      </c>
      <c r="BI27" s="72">
        <f>+IFERROR(VLOOKUP($BI$17,Sheet1!AL14:AO14,3,0),0)</f>
        <v>0</v>
      </c>
      <c r="BJ27" s="72">
        <f>+IFERROR(VLOOKUP($BJ$17,Sheet1!AL14:AO14,3,0),0)</f>
        <v>0</v>
      </c>
      <c r="BK27" s="72">
        <f>+IFERROR(VLOOKUP($BK$17,Sheet1!AL14:AO14,3,0),0)</f>
        <v>0</v>
      </c>
      <c r="BL27" s="72">
        <f>+IFERROR(VLOOKUP($BL$17,Sheet1!AL14:AO14,3,0),0)</f>
        <v>0</v>
      </c>
      <c r="BM27" s="72">
        <f>+IFERROR(VLOOKUP($BM$17,Sheet1!AP14:AS14,3,0),0)</f>
        <v>0</v>
      </c>
      <c r="BN27" s="72">
        <f>+IFERROR(VLOOKUP($BN$17,Sheet1!AT14:AW14,3,0),0)</f>
        <v>0</v>
      </c>
      <c r="BO27" s="79">
        <v>58</v>
      </c>
      <c r="BP27" s="79">
        <v>104</v>
      </c>
      <c r="BQ27" s="72">
        <f>+IFERROR(VLOOKUP($BQ$17,Sheet1!BF14:BI14,3,0),0)</f>
        <v>0</v>
      </c>
      <c r="BR27" s="72">
        <f>+IFERROR(VLOOKUP($BR$17,Sheet1!BJ14:BM14,3,0),0)</f>
        <v>0</v>
      </c>
      <c r="BS27" s="72">
        <f>+IFERROR(VLOOKUP($BS$17,Sheet1!BN14:BQ14,3,0),0)</f>
        <v>0</v>
      </c>
      <c r="BT27" s="79">
        <v>75</v>
      </c>
      <c r="BU27" s="11">
        <f>+IFERROR(VLOOKUP($BU$17,Sheet1!BV14:BY14,3,0),0)</f>
        <v>0</v>
      </c>
      <c r="BV27" s="11" t="str">
        <f>Sheet1!E14</f>
        <v>STEEL</v>
      </c>
      <c r="BW27" s="11" t="str">
        <f>Sheet1!CV14</f>
        <v>SP0400137</v>
      </c>
      <c r="BX27" s="11" t="str">
        <f>Sheet1!CW14</f>
        <v>CORRUGATED DISPATCH STEEL DRUM 2600 X 1600 X 1600 MM</v>
      </c>
      <c r="BY27" s="11">
        <f>Sheet1!CX14</f>
        <v>250</v>
      </c>
      <c r="BZ27" s="3">
        <f>Sheet1!BZ14</f>
        <v>190000</v>
      </c>
      <c r="CA27" s="3">
        <f t="shared" si="5"/>
        <v>2732321</v>
      </c>
      <c r="CB27" s="23">
        <f>Sheet1!CB14</f>
        <v>0</v>
      </c>
      <c r="CC27" s="3">
        <f t="shared" si="6"/>
        <v>0</v>
      </c>
      <c r="CD27" s="47">
        <v>0.5</v>
      </c>
      <c r="CE27" s="3">
        <f t="shared" si="7"/>
        <v>1366160.5</v>
      </c>
      <c r="CF27" s="47">
        <v>0</v>
      </c>
      <c r="CG27" s="3">
        <f t="shared" si="8"/>
        <v>0</v>
      </c>
      <c r="CH27" s="3">
        <f t="shared" si="9"/>
        <v>4098481.5</v>
      </c>
      <c r="CI27" s="47">
        <v>0.02</v>
      </c>
      <c r="CJ27" s="80">
        <f t="shared" si="10"/>
        <v>81969.63</v>
      </c>
      <c r="CK27" s="47">
        <v>0.01</v>
      </c>
      <c r="CL27" s="80">
        <f t="shared" si="11"/>
        <v>40984.815000000002</v>
      </c>
    </row>
    <row r="28" spans="1:90" ht="51" x14ac:dyDescent="0.25">
      <c r="A28" s="1" t="str">
        <f>Sheet1!A9</f>
        <v>ENQ-10773-22-23</v>
      </c>
      <c r="B28" s="51">
        <f>Sheet1!B9</f>
        <v>45135</v>
      </c>
      <c r="C28" s="1" t="str">
        <f>Sheet1!C9</f>
        <v>FA1300081</v>
      </c>
      <c r="D28" s="73" t="str">
        <f>Sheet1!D9</f>
        <v>3 CORE X 300 SQ. MM. AL/ARM - WIRE (XLPE) - 33 KV</v>
      </c>
      <c r="E28" s="74">
        <f t="shared" si="0"/>
        <v>3709171.1100000003</v>
      </c>
      <c r="F28" s="77">
        <f t="shared" si="12"/>
        <v>137403</v>
      </c>
      <c r="G28" s="75">
        <f t="shared" si="1"/>
        <v>3846574.1100000003</v>
      </c>
      <c r="H28" s="76">
        <f>Sheet1!CP9</f>
        <v>0.18</v>
      </c>
      <c r="I28" s="75">
        <f t="shared" si="2"/>
        <v>692383.33980000007</v>
      </c>
      <c r="J28" s="75">
        <f t="shared" si="3"/>
        <v>4538957.4498000005</v>
      </c>
      <c r="K28" s="73">
        <f>10+13+1.25</f>
        <v>24.25</v>
      </c>
      <c r="L28" s="73" t="str">
        <f>Sheet1!CT9</f>
        <v>KMS</v>
      </c>
      <c r="M28" s="74">
        <f t="shared" si="4"/>
        <v>110069718.15765001</v>
      </c>
      <c r="N28" s="41">
        <f>+IFERROR(VLOOKUP($N$17,Sheet1!J9:L9,3,0),0)</f>
        <v>2430</v>
      </c>
      <c r="O28" s="41">
        <f>+IFERROR(VLOOKUP($O$17,Sheet1!J9:L9,3,0),0)</f>
        <v>0</v>
      </c>
      <c r="P28" s="41">
        <f>+IFERROR(VLOOKUP($P$17,Sheet1!J9:M9,3,0),0)</f>
        <v>0</v>
      </c>
      <c r="Q28" s="41">
        <f>+IFERROR(VLOOKUP($Q$17,Sheet1!J9:M9,3,0),0)</f>
        <v>0</v>
      </c>
      <c r="R28" s="41">
        <f>+IFERROR(VLOOKUP($R$17,Sheet1!J9:M9,3,0),0)</f>
        <v>0</v>
      </c>
      <c r="S28" s="41">
        <f>+IFERROR(VLOOKUP($S$17,Sheet1!N9:Q9,3,0),0)</f>
        <v>0</v>
      </c>
      <c r="T28" s="41">
        <f>+IFERROR(VLOOKUP($T$17,Sheet1!N9:Q9,3,0),0)</f>
        <v>0</v>
      </c>
      <c r="U28" s="41">
        <f>+IFERROR(VLOOKUP($U$17,Sheet1!F9:I9,3,0),0)</f>
        <v>0</v>
      </c>
      <c r="V28" s="41">
        <f>+IFERROR(VLOOKUP($V$17,Sheet1!F9:I9,3,0),0)</f>
        <v>0</v>
      </c>
      <c r="W28" s="41">
        <f>+IFERROR(VLOOKUP($W$17,Sheet1!F9:I9,3,0),0)</f>
        <v>0</v>
      </c>
      <c r="X28" s="41">
        <f>+IFERROR(VLOOKUP($X$17,Sheet1!F9:I9,3,0),0)</f>
        <v>0</v>
      </c>
      <c r="Y28" s="78">
        <v>193</v>
      </c>
      <c r="Z28" s="41">
        <f>+IFERROR(VLOOKUP($Z$17,Sheet1!F9:I9,3,0),0)</f>
        <v>0</v>
      </c>
      <c r="AA28" s="41">
        <f>+IFERROR(VLOOKUP($AA$17,Sheet1!F9:I9,3,0),0)</f>
        <v>0</v>
      </c>
      <c r="AB28" s="41">
        <f>+IFERROR(VLOOKUP($AB$17,Sheet1!F9:I9,3,0),0)</f>
        <v>0</v>
      </c>
      <c r="AC28" s="78">
        <v>495</v>
      </c>
      <c r="AD28" s="72">
        <f>+IFERROR(VLOOKUP($AD$17,Sheet1!R9:U9,2,0),0)</f>
        <v>0</v>
      </c>
      <c r="AE28" s="78">
        <v>2434</v>
      </c>
      <c r="AF28" s="72">
        <f>+IFERROR(VLOOKUP($AF$17,Sheet1!V9:Y9,3,0),0)</f>
        <v>0</v>
      </c>
      <c r="AG28" s="72">
        <f>+IFERROR(VLOOKUP($AG$17,Sheet1!V9:Y9,3,0),0)</f>
        <v>0</v>
      </c>
      <c r="AH28" s="72">
        <f>+IFERROR(VLOOKUP($AH$17,Sheet1!V9:Y9,3,0),0)</f>
        <v>0</v>
      </c>
      <c r="AI28" s="72">
        <f>+IFERROR(VLOOKUP($AI$17,Sheet1!V9:Y9,3,0),0)</f>
        <v>0</v>
      </c>
      <c r="AJ28" s="72">
        <f>+IFERROR(VLOOKUP($AJ$17,Sheet1!V9:Y9,3,0),0)</f>
        <v>0</v>
      </c>
      <c r="AK28" s="72">
        <f>+IFERROR(VLOOKUP($AK$17,Sheet1!Z9:AB9,3,0),0)</f>
        <v>0</v>
      </c>
      <c r="AL28" s="72">
        <f>+IFERROR(VLOOKUP($AL$17,Sheet1!AD9:AG9,3,0),0)</f>
        <v>0</v>
      </c>
      <c r="AM28" s="72">
        <f>+IFERROR(VLOOKUP($AM$17,Sheet1!AD9:AG9,3,0),0)</f>
        <v>0</v>
      </c>
      <c r="AN28" s="72">
        <f>+IFERROR(VLOOKUP($AN$17,Sheet1!AD9:AG9,3,0),0)</f>
        <v>0</v>
      </c>
      <c r="AO28" s="72">
        <f>+IFERROR(VLOOKUP($AO$17,Sheet1!AD9:AG9,3,0),0)</f>
        <v>0</v>
      </c>
      <c r="AP28" s="72">
        <f>+IFERROR(VLOOKUP($AP$17,Sheet1!AD9:AG9,3,0),0)</f>
        <v>0</v>
      </c>
      <c r="AQ28" s="72">
        <f>+IFERROR(VLOOKUP($AQ$17,Sheet1!AD9:AG9,3,0),0)</f>
        <v>0</v>
      </c>
      <c r="AR28" s="79">
        <v>1382</v>
      </c>
      <c r="AS28" s="72">
        <f>+IFERROR(VLOOKUP($AS$17,Sheet1!AH9:AK9,3,0),0)</f>
        <v>0</v>
      </c>
      <c r="AT28" s="72">
        <f>+IFERROR(VLOOKUP($AT$17,Sheet1!AH9:AK9,3,0),0)</f>
        <v>0</v>
      </c>
      <c r="AU28" s="72">
        <f>+IFERROR(VLOOKUP($AU$17,Sheet1!AH9:AK9,3,0),0)</f>
        <v>0</v>
      </c>
      <c r="AV28" s="72">
        <f>+IFERROR(VLOOKUP($AV$17,Sheet1!AH9:AK9,3,0),0)</f>
        <v>0</v>
      </c>
      <c r="AW28" s="72">
        <f>+IFERROR(VLOOKUP($AW$17,Sheet1!AH9:AK9,3,0),0)</f>
        <v>0</v>
      </c>
      <c r="AX28" s="72">
        <f>+IFERROR(VLOOKUP($AX$17,Sheet1!AH9:AK9,3,0),0)</f>
        <v>0</v>
      </c>
      <c r="AY28" s="72">
        <f>+IFERROR(VLOOKUP($AY$17,Sheet1!AH9:AK9,3,0),0)</f>
        <v>0</v>
      </c>
      <c r="AZ28" s="72">
        <f>+IFERROR(VLOOKUP($AZ$17,Sheet1!AH9:AK9,3,0),0)</f>
        <v>0</v>
      </c>
      <c r="BA28" s="79">
        <v>6668</v>
      </c>
      <c r="BB28" s="72">
        <f>+IFERROR(VLOOKUP($BB$17,Sheet1!AH9:AK9,3,0),0)</f>
        <v>0</v>
      </c>
      <c r="BC28" s="72">
        <f>+IFERROR(VLOOKUP($BC$17,Sheet1!AL9:AO9,3,0),0)</f>
        <v>0</v>
      </c>
      <c r="BD28" s="72">
        <f>+IFERROR(VLOOKUP($BD$17,Sheet1!AL9:AO9,3,0),0)</f>
        <v>0</v>
      </c>
      <c r="BE28" s="72">
        <f>+IFERROR(VLOOKUP($BE$17,Sheet1!AL9:AO9,3,0),0)</f>
        <v>0</v>
      </c>
      <c r="BF28" s="79">
        <v>1613</v>
      </c>
      <c r="BG28" s="79">
        <v>1497</v>
      </c>
      <c r="BH28" s="72">
        <f>+IFERROR(VLOOKUP($BH$17,Sheet1!AL9:AO9,3,0),0)</f>
        <v>0</v>
      </c>
      <c r="BI28" s="72">
        <f>+IFERROR(VLOOKUP($BI$17,Sheet1!AL9:AO9,3,0),0)</f>
        <v>0</v>
      </c>
      <c r="BJ28" s="72">
        <f>+IFERROR(VLOOKUP($BJ$17,Sheet1!AL9:AO9,3,0),0)</f>
        <v>0</v>
      </c>
      <c r="BK28" s="72">
        <f>+IFERROR(VLOOKUP($BK$17,Sheet1!AL9:AO9,3,0),0)</f>
        <v>0</v>
      </c>
      <c r="BL28" s="72">
        <f>+IFERROR(VLOOKUP($BL$17,Sheet1!AL9:AO9,3,0),0)</f>
        <v>0</v>
      </c>
      <c r="BM28" s="72">
        <f>+IFERROR(VLOOKUP($BM$17,Sheet1!AP9:AS9,3,0),0)</f>
        <v>0</v>
      </c>
      <c r="BN28" s="72">
        <f>+IFERROR(VLOOKUP($BN$17,Sheet1!AT9:AW9,3,0),0)</f>
        <v>0</v>
      </c>
      <c r="BO28" s="79">
        <v>38</v>
      </c>
      <c r="BP28" s="79">
        <v>93</v>
      </c>
      <c r="BQ28" s="72">
        <f>+IFERROR(VLOOKUP($BQ$17,Sheet1!BF9:BI9,3,0),0)</f>
        <v>0</v>
      </c>
      <c r="BR28" s="72">
        <f>+IFERROR(VLOOKUP($BR$17,Sheet1!BJ9:BM9,3,0),0)</f>
        <v>0</v>
      </c>
      <c r="BS28" s="72">
        <f>+IFERROR(VLOOKUP($BS$17,Sheet1!BN9:BQ9,3,0),0)</f>
        <v>0</v>
      </c>
      <c r="BT28" s="79">
        <v>71</v>
      </c>
      <c r="BU28" s="11">
        <f>+IFERROR(VLOOKUP($BU$17,Sheet1!BV9:BY9,3,0),0)</f>
        <v>0</v>
      </c>
      <c r="BV28" s="11" t="str">
        <f>Sheet1!E9</f>
        <v>STEEL</v>
      </c>
      <c r="BW28" s="11" t="str">
        <f>Sheet1!CV9</f>
        <v>SP0400137</v>
      </c>
      <c r="BX28" s="11" t="str">
        <f>Sheet1!CW9</f>
        <v>CORRUGATED DISPATCH STEEL DRUM 2600 X 1600 X 1600</v>
      </c>
      <c r="BY28" s="11">
        <f>Sheet1!CX9</f>
        <v>250</v>
      </c>
      <c r="BZ28" s="3">
        <f>Sheet1!BZ9</f>
        <v>190000</v>
      </c>
      <c r="CA28" s="3">
        <f t="shared" si="5"/>
        <v>2400758</v>
      </c>
      <c r="CB28" s="23">
        <f>Sheet1!CB9</f>
        <v>0</v>
      </c>
      <c r="CC28" s="3">
        <f t="shared" si="6"/>
        <v>0</v>
      </c>
      <c r="CD28" s="47">
        <v>0.5</v>
      </c>
      <c r="CE28" s="3">
        <f t="shared" si="7"/>
        <v>1200379</v>
      </c>
      <c r="CF28" s="47">
        <v>0</v>
      </c>
      <c r="CG28" s="3">
        <f t="shared" si="8"/>
        <v>0</v>
      </c>
      <c r="CH28" s="3">
        <f t="shared" si="9"/>
        <v>3601137</v>
      </c>
      <c r="CI28" s="47">
        <v>0.02</v>
      </c>
      <c r="CJ28" s="80">
        <f t="shared" si="10"/>
        <v>72022.740000000005</v>
      </c>
      <c r="CK28" s="47">
        <v>0.01</v>
      </c>
      <c r="CL28" s="80">
        <f t="shared" si="11"/>
        <v>36011.370000000003</v>
      </c>
    </row>
    <row r="29" spans="1:90" ht="51" x14ac:dyDescent="0.25">
      <c r="A29" s="1" t="str">
        <f>Sheet1!A2</f>
        <v>ENQ-10773-22-23</v>
      </c>
      <c r="B29" s="51">
        <f>Sheet1!B2</f>
        <v>45135</v>
      </c>
      <c r="C29" s="1" t="str">
        <f>Sheet1!C2</f>
        <v>FA1300200</v>
      </c>
      <c r="D29" s="73" t="str">
        <f>Sheet1!D2</f>
        <v>3 CORE X 95 SQ. MM. AL/ARM  WIRE (XLPE) - 33 KV</v>
      </c>
      <c r="E29" s="74">
        <f t="shared" si="0"/>
        <v>2262621.6</v>
      </c>
      <c r="F29" s="77">
        <f t="shared" si="12"/>
        <v>136000</v>
      </c>
      <c r="G29" s="75">
        <f t="shared" si="1"/>
        <v>2398621.6</v>
      </c>
      <c r="H29" s="76">
        <f>Sheet1!CP2</f>
        <v>0.18</v>
      </c>
      <c r="I29" s="75">
        <f t="shared" si="2"/>
        <v>431751.88799999998</v>
      </c>
      <c r="J29" s="75">
        <f t="shared" si="3"/>
        <v>2830373.4879999999</v>
      </c>
      <c r="K29" s="73">
        <f>Sheet1!CS2</f>
        <v>0.5</v>
      </c>
      <c r="L29" s="73" t="str">
        <f>Sheet1!CT2</f>
        <v>KMS</v>
      </c>
      <c r="M29" s="74">
        <f t="shared" si="4"/>
        <v>1415186.7439999999</v>
      </c>
      <c r="N29" s="41">
        <f>+IFERROR(VLOOKUP($N$17,Sheet1!J2:L2,3,0),0)</f>
        <v>769.5</v>
      </c>
      <c r="O29" s="41">
        <f>+IFERROR(VLOOKUP($O$17,Sheet1!J2:L2,3,0),0)</f>
        <v>0</v>
      </c>
      <c r="P29" s="41">
        <f>+IFERROR(VLOOKUP($P$17,Sheet1!J2:M2,3,0),0)</f>
        <v>0</v>
      </c>
      <c r="Q29" s="41">
        <f>+IFERROR(VLOOKUP($Q$17,Sheet1!J2:M2,3,0),0)</f>
        <v>0</v>
      </c>
      <c r="R29" s="41">
        <f>+IFERROR(VLOOKUP($R$17,Sheet1!J2:M2,3,0),0)</f>
        <v>0</v>
      </c>
      <c r="S29" s="41">
        <f>+IFERROR(VLOOKUP($S$17,Sheet1!N2:Q2,3,0),0)</f>
        <v>0</v>
      </c>
      <c r="T29" s="41">
        <f>+IFERROR(VLOOKUP($T$17,Sheet1!N2:Q2,3,0),0)</f>
        <v>0</v>
      </c>
      <c r="U29" s="41">
        <f>+IFERROR(VLOOKUP($U$17,Sheet1!F2:I2,3,0),0)</f>
        <v>0</v>
      </c>
      <c r="V29" s="41">
        <f>+IFERROR(VLOOKUP($V$17,Sheet1!F2:I2,3,0),0)</f>
        <v>0</v>
      </c>
      <c r="W29" s="41">
        <f>+IFERROR(VLOOKUP($W$17,Sheet1!F2:I2,3,0),0)</f>
        <v>0</v>
      </c>
      <c r="X29" s="41">
        <f>+IFERROR(VLOOKUP($X$17,Sheet1!F2:I2,3,0),0)</f>
        <v>0</v>
      </c>
      <c r="Y29" s="78">
        <v>151</v>
      </c>
      <c r="Z29" s="41">
        <f>+IFERROR(VLOOKUP($Z$17,Sheet1!F2:I2,3,0),0)</f>
        <v>0</v>
      </c>
      <c r="AA29" s="41">
        <f>+IFERROR(VLOOKUP($AA$17,Sheet1!F2:I2,3,0),0)</f>
        <v>0</v>
      </c>
      <c r="AB29" s="41">
        <f>+IFERROR(VLOOKUP($AB$17,Sheet1!F2:I2,3,0),0)</f>
        <v>0</v>
      </c>
      <c r="AC29" s="78">
        <v>345</v>
      </c>
      <c r="AD29" s="72">
        <f>+IFERROR(VLOOKUP($AD$17,Sheet1!R2:U2,2,0),0)</f>
        <v>0</v>
      </c>
      <c r="AE29" s="78">
        <v>1725</v>
      </c>
      <c r="AF29" s="72">
        <f>+IFERROR(VLOOKUP($AF$17,Sheet1!V2:Y2,3,0),0)</f>
        <v>0</v>
      </c>
      <c r="AG29" s="72">
        <f>+IFERROR(VLOOKUP($AG$17,Sheet1!V2:Y2,3,0),0)</f>
        <v>0</v>
      </c>
      <c r="AH29" s="72">
        <f>+IFERROR(VLOOKUP($AH$17,Sheet1!V2:Y2,3,0),0)</f>
        <v>0</v>
      </c>
      <c r="AI29" s="72">
        <f>+IFERROR(VLOOKUP($AI$17,Sheet1!V2:Y2,3,0),0)</f>
        <v>0</v>
      </c>
      <c r="AJ29" s="72">
        <f>+IFERROR(VLOOKUP($AJ$17,Sheet1!V2:Y2,3,0),0)</f>
        <v>0</v>
      </c>
      <c r="AK29" s="72">
        <f>+IFERROR(VLOOKUP($AK$17,Sheet1!Z2:AB2,3,0),0)</f>
        <v>0</v>
      </c>
      <c r="AL29" s="72">
        <f>+IFERROR(VLOOKUP($AL$17,Sheet1!AD2:AG2,3,0),0)</f>
        <v>0</v>
      </c>
      <c r="AM29" s="72">
        <f>+IFERROR(VLOOKUP($AM$17,Sheet1!AD2:AG2,3,0),0)</f>
        <v>0</v>
      </c>
      <c r="AN29" s="72">
        <f>+IFERROR(VLOOKUP($AN$17,Sheet1!AD2:AG2,3,0),0)</f>
        <v>0</v>
      </c>
      <c r="AO29" s="72">
        <f>+IFERROR(VLOOKUP($AO$17,Sheet1!AD2:AG2,3,0),0)</f>
        <v>0</v>
      </c>
      <c r="AP29" s="72">
        <f>+IFERROR(VLOOKUP($AP$17,Sheet1!AD2:AG2,3,0),0)</f>
        <v>0</v>
      </c>
      <c r="AQ29" s="72">
        <f>+IFERROR(VLOOKUP($AQ$17,Sheet1!AD2:AG2,3,0),0)</f>
        <v>0</v>
      </c>
      <c r="AR29" s="79">
        <v>914</v>
      </c>
      <c r="AS29" s="72">
        <f>+IFERROR(VLOOKUP($AS$17,Sheet1!AH2:AK2,3,0),0)</f>
        <v>0</v>
      </c>
      <c r="AT29" s="72">
        <f>+IFERROR(VLOOKUP($AT$17,Sheet1!AH2:AK2,3,0),0)</f>
        <v>0</v>
      </c>
      <c r="AU29" s="72">
        <f>+IFERROR(VLOOKUP($AU$17,Sheet1!AH2:AK2,3,0),0)</f>
        <v>0</v>
      </c>
      <c r="AV29" s="72">
        <f>+IFERROR(VLOOKUP($AV$17,Sheet1!AH2:AK2,3,0),0)</f>
        <v>0</v>
      </c>
      <c r="AW29" s="72">
        <f>+IFERROR(VLOOKUP($AW$17,Sheet1!AH2:AK2,3,0),0)</f>
        <v>0</v>
      </c>
      <c r="AX29" s="72">
        <f>+IFERROR(VLOOKUP($AX$17,Sheet1!AH2:AK2,3,0),0)</f>
        <v>0</v>
      </c>
      <c r="AY29" s="72">
        <f>+IFERROR(VLOOKUP($AY$17,Sheet1!AH2:AK2,3,0),0)</f>
        <v>0</v>
      </c>
      <c r="AZ29" s="72">
        <f>+IFERROR(VLOOKUP($AZ$17,Sheet1!AH2:AK2,3,0),0)</f>
        <v>0</v>
      </c>
      <c r="BA29" s="79">
        <v>4135</v>
      </c>
      <c r="BB29" s="72">
        <f>+IFERROR(VLOOKUP($BB$17,Sheet1!AH2:AK2,3,0),0)</f>
        <v>0</v>
      </c>
      <c r="BC29" s="72">
        <f>+IFERROR(VLOOKUP($BC$17,Sheet1!AL2:AO2,3,0),0)</f>
        <v>0</v>
      </c>
      <c r="BD29" s="72">
        <f>+IFERROR(VLOOKUP($BD$17,Sheet1!AL2:AO2,3,0),0)</f>
        <v>0</v>
      </c>
      <c r="BE29" s="72">
        <f>+IFERROR(VLOOKUP($BE$17,Sheet1!AL2:AO2,3,0),0)</f>
        <v>0</v>
      </c>
      <c r="BF29" s="79">
        <v>1282</v>
      </c>
      <c r="BG29" s="79">
        <v>917</v>
      </c>
      <c r="BH29" s="72">
        <f>+IFERROR(VLOOKUP($BH$17,Sheet1!AL2:AO2,3,0),0)</f>
        <v>0</v>
      </c>
      <c r="BI29" s="72">
        <f>+IFERROR(VLOOKUP($BI$17,Sheet1!AL2:AO2,3,0),0)</f>
        <v>0</v>
      </c>
      <c r="BJ29" s="72">
        <f>+IFERROR(VLOOKUP($BJ$17,Sheet1!AL2:AO2,3,0),0)</f>
        <v>0</v>
      </c>
      <c r="BK29" s="72">
        <f>+IFERROR(VLOOKUP($BK$17,Sheet1!AL2:AO2,3,0),0)</f>
        <v>0</v>
      </c>
      <c r="BL29" s="72">
        <f>+IFERROR(VLOOKUP($BL$17,Sheet1!AL2:AO2,3,0),0)</f>
        <v>0</v>
      </c>
      <c r="BM29" s="72">
        <f>+IFERROR(VLOOKUP($BM$17,Sheet1!AP2:AS2,3,0),0)</f>
        <v>0</v>
      </c>
      <c r="BN29" s="72">
        <f>+IFERROR(VLOOKUP($BN$17,Sheet1!AT2:AW2,3,0),0)</f>
        <v>0</v>
      </c>
      <c r="BO29" s="79">
        <v>15</v>
      </c>
      <c r="BP29" s="79">
        <v>66</v>
      </c>
      <c r="BQ29" s="72">
        <f>+IFERROR(VLOOKUP($BQ$17,Sheet1!BF2:BI2,3,0),0)</f>
        <v>0</v>
      </c>
      <c r="BR29" s="72">
        <f>+IFERROR(VLOOKUP($BR$17,Sheet1!BJ2:BM2,3,0),0)</f>
        <v>0</v>
      </c>
      <c r="BS29" s="72">
        <f>+IFERROR(VLOOKUP($BS$17,Sheet1!BN2:BQ2,3,0),0)</f>
        <v>0</v>
      </c>
      <c r="BT29" s="79">
        <v>56</v>
      </c>
      <c r="BU29" s="11">
        <f>+IFERROR(VLOOKUP($BU$17,Sheet1!BV2:BY2,3,0),0)</f>
        <v>0</v>
      </c>
      <c r="BV29" s="11" t="str">
        <f>Sheet1!E2</f>
        <v>STEEL</v>
      </c>
      <c r="BW29" s="11" t="str">
        <f>Sheet1!CV2</f>
        <v>SP0400136</v>
      </c>
      <c r="BX29" s="11" t="str">
        <f>Sheet1!CW2</f>
        <v>CORRUGATED DISPATCH STEEL DRUM 2200 X 1300 X 1200 MM</v>
      </c>
      <c r="BY29" s="11">
        <f>Sheet1!CX2</f>
        <v>250</v>
      </c>
      <c r="BZ29" s="3">
        <f>Sheet1!BZ2</f>
        <v>147200</v>
      </c>
      <c r="CA29" s="3">
        <f t="shared" si="5"/>
        <v>1464480</v>
      </c>
      <c r="CB29" s="23">
        <f>Sheet1!CB2</f>
        <v>0</v>
      </c>
      <c r="CC29" s="3">
        <f t="shared" si="6"/>
        <v>0</v>
      </c>
      <c r="CD29" s="47">
        <v>0.5</v>
      </c>
      <c r="CE29" s="3">
        <f t="shared" si="7"/>
        <v>732240</v>
      </c>
      <c r="CF29" s="47">
        <v>0</v>
      </c>
      <c r="CG29" s="3">
        <f t="shared" si="8"/>
        <v>0</v>
      </c>
      <c r="CH29" s="3">
        <f t="shared" si="9"/>
        <v>2196720</v>
      </c>
      <c r="CI29" s="47">
        <v>0.02</v>
      </c>
      <c r="CJ29" s="80">
        <f t="shared" si="10"/>
        <v>43934.400000000001</v>
      </c>
      <c r="CK29" s="47">
        <v>0.01</v>
      </c>
      <c r="CL29" s="80">
        <f t="shared" si="11"/>
        <v>21967.200000000001</v>
      </c>
    </row>
    <row r="30" spans="1:90" ht="51" x14ac:dyDescent="0.25">
      <c r="A30" s="1" t="str">
        <f>Sheet1!A12</f>
        <v>ENQ-10773-22-23</v>
      </c>
      <c r="B30" s="51">
        <f>Sheet1!B12</f>
        <v>45135</v>
      </c>
      <c r="C30" s="1" t="str">
        <f>Sheet1!C12</f>
        <v>FA1300027</v>
      </c>
      <c r="D30" s="73" t="str">
        <f>Sheet1!D12</f>
        <v>1 CORE X 630 SQ. MM. AL/ARM (XLPE)  - 33 KV</v>
      </c>
      <c r="E30" s="74">
        <f t="shared" si="0"/>
        <v>1563059.5049999999</v>
      </c>
      <c r="F30" s="77">
        <f t="shared" si="12"/>
        <v>35031</v>
      </c>
      <c r="G30" s="75">
        <f t="shared" si="1"/>
        <v>1598090.5049999999</v>
      </c>
      <c r="H30" s="76">
        <f>Sheet1!CP12</f>
        <v>0.18</v>
      </c>
      <c r="I30" s="75">
        <f t="shared" si="2"/>
        <v>287656.29089999996</v>
      </c>
      <c r="J30" s="75">
        <f t="shared" si="3"/>
        <v>1885746.7958999998</v>
      </c>
      <c r="K30" s="73">
        <f>Sheet1!CS12</f>
        <v>33</v>
      </c>
      <c r="L30" s="73" t="str">
        <f>Sheet1!CT12</f>
        <v>KMS</v>
      </c>
      <c r="M30" s="74">
        <f t="shared" si="4"/>
        <v>62229644.264699996</v>
      </c>
      <c r="N30" s="78">
        <f>+IFERROR(VLOOKUP($N$17,Sheet1!J12:L12,3,0),0)</f>
        <v>1701</v>
      </c>
      <c r="O30" s="41">
        <f>+IFERROR(VLOOKUP($O$17,Sheet1!J12:L12,3,0),0)</f>
        <v>0</v>
      </c>
      <c r="P30" s="41">
        <f>+IFERROR(VLOOKUP($P$17,Sheet1!J12:M12,3,0),0)</f>
        <v>0</v>
      </c>
      <c r="Q30" s="41">
        <f>+IFERROR(VLOOKUP($Q$17,Sheet1!J12:M12,3,0),0)</f>
        <v>0</v>
      </c>
      <c r="R30" s="41">
        <f>+IFERROR(VLOOKUP($R$17,Sheet1!J12:M12,3,0),0)</f>
        <v>0</v>
      </c>
      <c r="S30" s="41">
        <f>+IFERROR(VLOOKUP($S$17,Sheet1!N12:Q12,3,0),0)</f>
        <v>0</v>
      </c>
      <c r="T30" s="41">
        <f>+IFERROR(VLOOKUP($T$17,Sheet1!N12:Q12,3,0),0)</f>
        <v>0</v>
      </c>
      <c r="U30" s="41">
        <f>+IFERROR(VLOOKUP($U$17,Sheet1!F12:I12,3,0),0)</f>
        <v>0</v>
      </c>
      <c r="V30" s="41">
        <f>+IFERROR(VLOOKUP($V$17,Sheet1!F12:I12,3,0),0)</f>
        <v>0</v>
      </c>
      <c r="W30" s="41">
        <f>+IFERROR(VLOOKUP($W$17,Sheet1!F12:I12,3,0),0)</f>
        <v>0</v>
      </c>
      <c r="X30" s="41">
        <f>+IFERROR(VLOOKUP($X$17,Sheet1!F12:I12,3,0),0)</f>
        <v>0</v>
      </c>
      <c r="Y30" s="78">
        <v>79</v>
      </c>
      <c r="Z30" s="41">
        <f>+IFERROR(VLOOKUP($Z$17,Sheet1!F12:I12,3,0),0)</f>
        <v>0</v>
      </c>
      <c r="AA30" s="41">
        <f>+IFERROR(VLOOKUP($AA$17,Sheet1!F12:I12,3,0),0)</f>
        <v>0</v>
      </c>
      <c r="AB30" s="41">
        <f>+IFERROR(VLOOKUP($AB$17,Sheet1!F12:I12,3,0),0)</f>
        <v>0</v>
      </c>
      <c r="AC30" s="78">
        <v>218</v>
      </c>
      <c r="AD30" s="72">
        <f>+IFERROR(VLOOKUP($AD$17,Sheet1!R12:U12,2,0),0)</f>
        <v>0</v>
      </c>
      <c r="AE30" s="78">
        <v>1055</v>
      </c>
      <c r="AF30" s="72">
        <f>+IFERROR(VLOOKUP($AF$17,Sheet1!V12:Y12,3,0),0)</f>
        <v>0</v>
      </c>
      <c r="AG30" s="72">
        <f>+IFERROR(VLOOKUP($AG$17,Sheet1!V12:Y12,3,0),0)</f>
        <v>0</v>
      </c>
      <c r="AH30" s="72">
        <f>+IFERROR(VLOOKUP($AH$17,Sheet1!V12:Y12,3,0),0)</f>
        <v>0</v>
      </c>
      <c r="AI30" s="72">
        <f>+IFERROR(VLOOKUP($AI$17,Sheet1!V12:Y12,3,0),0)</f>
        <v>0</v>
      </c>
      <c r="AJ30" s="72">
        <f>+IFERROR(VLOOKUP($AJ$17,Sheet1!V12:Y12,3,0),0)</f>
        <v>0</v>
      </c>
      <c r="AK30" s="79">
        <v>18</v>
      </c>
      <c r="AL30" s="72">
        <f>+IFERROR(VLOOKUP($AL$17,Sheet1!AD12:AG12,3,0),0)</f>
        <v>0</v>
      </c>
      <c r="AM30" s="72">
        <f>+IFERROR(VLOOKUP($AM$17,Sheet1!AD12:AG12,3,0),0)</f>
        <v>0</v>
      </c>
      <c r="AN30" s="72">
        <f>+IFERROR(VLOOKUP($AN$17,Sheet1!AD12:AG12,3,0),0)</f>
        <v>0</v>
      </c>
      <c r="AO30" s="72">
        <f>+IFERROR(VLOOKUP($AO$17,Sheet1!AD12:AG12,3,0),0)</f>
        <v>0</v>
      </c>
      <c r="AP30" s="72">
        <f>+IFERROR(VLOOKUP($AP$17,Sheet1!AD12:AG12,3,0),0)</f>
        <v>0</v>
      </c>
      <c r="AQ30" s="79">
        <v>200</v>
      </c>
      <c r="AR30" s="72">
        <f>+IFERROR(VLOOKUP($AR$17,Sheet1!AD12:AG12,3,0),0)</f>
        <v>0</v>
      </c>
      <c r="AS30" s="72">
        <f>+IFERROR(VLOOKUP($AS$17,Sheet1!AH12:AK12,3,0),0)</f>
        <v>0</v>
      </c>
      <c r="AT30" s="72">
        <f>+IFERROR(VLOOKUP($AT$17,Sheet1!AH12:AK12,3,0),0)</f>
        <v>0</v>
      </c>
      <c r="AU30" s="72">
        <f>+IFERROR(VLOOKUP($AU$17,Sheet1!AH12:AK12,3,0),0)</f>
        <v>0</v>
      </c>
      <c r="AV30" s="79">
        <v>828</v>
      </c>
      <c r="AW30" s="72">
        <f>+IFERROR(VLOOKUP($AW$17,Sheet1!AH12:AK12,3,0),0)</f>
        <v>0</v>
      </c>
      <c r="AX30" s="72">
        <f>+IFERROR(VLOOKUP($AX$17,Sheet1!AH12:AK12,3,0),0)</f>
        <v>0</v>
      </c>
      <c r="AY30" s="72">
        <f>+IFERROR(VLOOKUP($AY$17,Sheet1!AH12:AK12,3,0),0)</f>
        <v>0</v>
      </c>
      <c r="AZ30" s="72">
        <f>+IFERROR(VLOOKUP($AZ$17,Sheet1!AH12:AK12,3,0),0)</f>
        <v>0</v>
      </c>
      <c r="BA30" s="72">
        <f>+IFERROR(VLOOKUP($BA$17,Sheet1!AH12:AK12,3,0),0)</f>
        <v>0</v>
      </c>
      <c r="BB30" s="72">
        <f>+IFERROR(VLOOKUP($BB$17,Sheet1!AH12:AK12,3,0),0)</f>
        <v>0</v>
      </c>
      <c r="BC30" s="72">
        <f>+IFERROR(VLOOKUP($BC$17,Sheet1!AL12:AO12,3,0),0)</f>
        <v>0</v>
      </c>
      <c r="BD30" s="72">
        <f>+IFERROR(VLOOKUP($BD$17,Sheet1!AL12:AO12,3,0),0)</f>
        <v>0</v>
      </c>
      <c r="BE30" s="72">
        <f>+IFERROR(VLOOKUP($BE$17,Sheet1!AL12:AO12,3,0),0)</f>
        <v>0</v>
      </c>
      <c r="BF30" s="79">
        <v>760</v>
      </c>
      <c r="BG30" s="72">
        <f>+IFERROR(VLOOKUP($BG$17,Sheet1!AL12:AO12,3,0),0)</f>
        <v>0</v>
      </c>
      <c r="BH30" s="72">
        <f>+IFERROR(VLOOKUP($BH$17,Sheet1!AL12:AO12,3,0),0)</f>
        <v>0</v>
      </c>
      <c r="BI30" s="72">
        <f>+IFERROR(VLOOKUP($BI$17,Sheet1!AL12:AO12,3,0),0)</f>
        <v>0</v>
      </c>
      <c r="BJ30" s="72">
        <f>+IFERROR(VLOOKUP($BJ$17,Sheet1!AL12:AO12,3,0),0)</f>
        <v>0</v>
      </c>
      <c r="BK30" s="72">
        <f>+IFERROR(VLOOKUP($BK$17,Sheet1!AL12:AO12,3,0),0)</f>
        <v>0</v>
      </c>
      <c r="BL30" s="72">
        <f>+IFERROR(VLOOKUP($BL$17,Sheet1!AL12:AO12,3,0),0)</f>
        <v>0</v>
      </c>
      <c r="BM30" s="72">
        <f>+IFERROR(VLOOKUP($BM$17,Sheet1!AP12:AS12,3,0),0)</f>
        <v>0</v>
      </c>
      <c r="BN30" s="72">
        <f>+IFERROR(VLOOKUP($BN$17,Sheet1!AT12:AW12,3,0),0)</f>
        <v>0</v>
      </c>
      <c r="BO30" s="79">
        <v>26</v>
      </c>
      <c r="BP30" s="79">
        <v>41</v>
      </c>
      <c r="BQ30" s="72">
        <f>+IFERROR(VLOOKUP($BQ$17,Sheet1!BF12:BI12,3,0),0)</f>
        <v>0</v>
      </c>
      <c r="BR30" s="72">
        <f>+IFERROR(VLOOKUP($BR$17,Sheet1!BJ12:BM12,3,0),0)</f>
        <v>0</v>
      </c>
      <c r="BS30" s="72">
        <f>+IFERROR(VLOOKUP($BS$17,Sheet1!BN12:BQ12,3,0),0)</f>
        <v>0</v>
      </c>
      <c r="BT30" s="79">
        <v>42</v>
      </c>
      <c r="BU30" s="11">
        <f>+IFERROR(VLOOKUP($BU$17,Sheet1!BV12:BY12,3,0),0)</f>
        <v>0</v>
      </c>
      <c r="BV30" s="11" t="str">
        <f>Sheet1!E12</f>
        <v>STEEL</v>
      </c>
      <c r="BW30" s="11" t="str">
        <f>Sheet1!CV12</f>
        <v>SP0400123</v>
      </c>
      <c r="BX30" s="11" t="str">
        <f>Sheet1!CW12</f>
        <v>CORRUGATED DISPATCH STEEL DRUM 2000 X 1000 X 1200 MM</v>
      </c>
      <c r="BY30" s="11">
        <f>Sheet1!CX12</f>
        <v>500</v>
      </c>
      <c r="BZ30" s="3">
        <f>Sheet1!BZ12</f>
        <v>53200</v>
      </c>
      <c r="CA30" s="3">
        <f t="shared" si="5"/>
        <v>1011689</v>
      </c>
      <c r="CB30" s="23">
        <f>Sheet1!CB12</f>
        <v>0</v>
      </c>
      <c r="CC30" s="3">
        <f t="shared" si="6"/>
        <v>0</v>
      </c>
      <c r="CD30" s="47">
        <v>0.5</v>
      </c>
      <c r="CE30" s="3">
        <f t="shared" si="7"/>
        <v>505844.5</v>
      </c>
      <c r="CF30" s="47">
        <v>0</v>
      </c>
      <c r="CG30" s="3">
        <f t="shared" si="8"/>
        <v>0</v>
      </c>
      <c r="CH30" s="3">
        <f t="shared" si="9"/>
        <v>1517533.5</v>
      </c>
      <c r="CI30" s="47">
        <v>0.02</v>
      </c>
      <c r="CJ30" s="80">
        <f t="shared" si="10"/>
        <v>30350.670000000002</v>
      </c>
      <c r="CK30" s="47">
        <v>0.01</v>
      </c>
      <c r="CL30" s="80">
        <f t="shared" si="11"/>
        <v>15175.335000000001</v>
      </c>
    </row>
    <row r="31" spans="1:90" ht="51" x14ac:dyDescent="0.25">
      <c r="A31" s="1" t="str">
        <f>Sheet1!A10</f>
        <v>ENQ-10773-22-23</v>
      </c>
      <c r="B31" s="51">
        <f>Sheet1!B10</f>
        <v>45135</v>
      </c>
      <c r="C31" s="1" t="str">
        <f>Sheet1!C10</f>
        <v>FA1300018</v>
      </c>
      <c r="D31" s="73" t="str">
        <f>Sheet1!D10</f>
        <v>1 CORE X 400 SQ. MM. AL/ARM (XLPE) - 33 KV</v>
      </c>
      <c r="E31" s="74">
        <f t="shared" si="0"/>
        <v>1212522.1800000002</v>
      </c>
      <c r="F31" s="77">
        <f t="shared" si="12"/>
        <v>29334</v>
      </c>
      <c r="G31" s="75">
        <f t="shared" si="1"/>
        <v>1241856.1800000002</v>
      </c>
      <c r="H31" s="76">
        <f>Sheet1!CP10</f>
        <v>0.18</v>
      </c>
      <c r="I31" s="75">
        <f t="shared" si="2"/>
        <v>223534.11240000001</v>
      </c>
      <c r="J31" s="75">
        <f t="shared" si="3"/>
        <v>1465390.2924000002</v>
      </c>
      <c r="K31" s="73">
        <f>13+12.5</f>
        <v>25.5</v>
      </c>
      <c r="L31" s="73" t="str">
        <f>Sheet1!CT10</f>
        <v>KMS</v>
      </c>
      <c r="M31" s="74">
        <f t="shared" si="4"/>
        <v>37367452.456200004</v>
      </c>
      <c r="N31" s="78">
        <v>1081</v>
      </c>
      <c r="O31" s="41">
        <f>+IFERROR(VLOOKUP($O$17,Sheet1!J10:L10,3,0),0)</f>
        <v>0</v>
      </c>
      <c r="P31" s="41">
        <f>+IFERROR(VLOOKUP($P$17,Sheet1!J10:M10,3,0),0)</f>
        <v>0</v>
      </c>
      <c r="Q31" s="41">
        <f>+IFERROR(VLOOKUP($Q$17,Sheet1!J10:M10,3,0),0)</f>
        <v>0</v>
      </c>
      <c r="R31" s="41">
        <f>+IFERROR(VLOOKUP($R$17,Sheet1!J10:M10,3,0),0)</f>
        <v>0</v>
      </c>
      <c r="S31" s="41">
        <f>+IFERROR(VLOOKUP($S$17,Sheet1!N10:Q10,3,0),0)</f>
        <v>0</v>
      </c>
      <c r="T31" s="41">
        <f>+IFERROR(VLOOKUP($T$17,Sheet1!N10:Q10,3,0),0)</f>
        <v>0</v>
      </c>
      <c r="U31" s="41">
        <f>+IFERROR(VLOOKUP($U$17,Sheet1!F10:I10,3,0),0)</f>
        <v>0</v>
      </c>
      <c r="V31" s="41">
        <f>+IFERROR(VLOOKUP($V$17,Sheet1!F10:I10,3,0),0)</f>
        <v>0</v>
      </c>
      <c r="W31" s="41">
        <f>+IFERROR(VLOOKUP($W$17,Sheet1!F10:I10,3,0),0)</f>
        <v>0</v>
      </c>
      <c r="X31" s="41">
        <f>+IFERROR(VLOOKUP($X$17,Sheet1!F10:I10,3,0),0)</f>
        <v>0</v>
      </c>
      <c r="Y31" s="78">
        <v>70</v>
      </c>
      <c r="Z31" s="41">
        <f>+IFERROR(VLOOKUP($Z$17,Sheet1!F10:I10,3,0),0)</f>
        <v>0</v>
      </c>
      <c r="AA31" s="41">
        <f>+IFERROR(VLOOKUP($AA$17,Sheet1!F10:I10,3,0),0)</f>
        <v>0</v>
      </c>
      <c r="AB31" s="41">
        <f>+IFERROR(VLOOKUP($AB$17,Sheet1!F10:I10,3,0),0)</f>
        <v>0</v>
      </c>
      <c r="AC31" s="78">
        <v>171</v>
      </c>
      <c r="AD31" s="72">
        <f>+IFERROR(VLOOKUP($AD$17,Sheet1!R10:U10,2,0),0)</f>
        <v>0</v>
      </c>
      <c r="AE31" s="78">
        <v>885</v>
      </c>
      <c r="AF31" s="72">
        <f>+IFERROR(VLOOKUP($AF$17,Sheet1!V10:Y10,3,0),0)</f>
        <v>0</v>
      </c>
      <c r="AG31" s="72">
        <f>+IFERROR(VLOOKUP($AG$17,Sheet1!V10:Y10,3,0),0)</f>
        <v>0</v>
      </c>
      <c r="AH31" s="72">
        <f>+IFERROR(VLOOKUP($AH$17,Sheet1!V10:Y10,3,0),0)</f>
        <v>0</v>
      </c>
      <c r="AI31" s="72">
        <f>+IFERROR(VLOOKUP($AI$17,Sheet1!V10:Y10,3,0),0)</f>
        <v>0</v>
      </c>
      <c r="AJ31" s="72">
        <f>+IFERROR(VLOOKUP($AJ$17,Sheet1!V10:Y10,3,0),0)</f>
        <v>0</v>
      </c>
      <c r="AK31" s="79">
        <v>16</v>
      </c>
      <c r="AL31" s="72">
        <f>+IFERROR(VLOOKUP($AL$17,Sheet1!AD10:AG10,3,0),0)</f>
        <v>0</v>
      </c>
      <c r="AM31" s="72">
        <f>+IFERROR(VLOOKUP($AM$17,Sheet1!AD10:AG10,3,0),0)</f>
        <v>0</v>
      </c>
      <c r="AN31" s="72">
        <f>+IFERROR(VLOOKUP($AN$17,Sheet1!AD10:AG10,3,0),0)</f>
        <v>0</v>
      </c>
      <c r="AO31" s="72">
        <f>+IFERROR(VLOOKUP($AO$17,Sheet1!AD10:AG10,3,0),0)</f>
        <v>0</v>
      </c>
      <c r="AP31" s="72">
        <f>+IFERROR(VLOOKUP($AP$17,Sheet1!AD10:AG10,3,0),0)</f>
        <v>0</v>
      </c>
      <c r="AQ31" s="79">
        <v>151</v>
      </c>
      <c r="AR31" s="72">
        <f>+IFERROR(VLOOKUP($AR$17,Sheet1!AD10:AG10,3,0),0)</f>
        <v>0</v>
      </c>
      <c r="AS31" s="72">
        <f>+IFERROR(VLOOKUP($AS$17,Sheet1!AH10:AK10,3,0),0)</f>
        <v>0</v>
      </c>
      <c r="AT31" s="72">
        <f>+IFERROR(VLOOKUP($AT$17,Sheet1!AH10:AK10,3,0),0)</f>
        <v>0</v>
      </c>
      <c r="AU31" s="72">
        <f>+IFERROR(VLOOKUP($AU$17,Sheet1!AH10:AK10,3,0),0)</f>
        <v>0</v>
      </c>
      <c r="AV31" s="79">
        <v>731</v>
      </c>
      <c r="AW31" s="72">
        <f>+IFERROR(VLOOKUP($AW$17,Sheet1!AH10:AK10,3,0),0)</f>
        <v>0</v>
      </c>
      <c r="AX31" s="72">
        <f>+IFERROR(VLOOKUP($AX$17,Sheet1!AH10:AK10,3,0),0)</f>
        <v>0</v>
      </c>
      <c r="AY31" s="72">
        <f>+IFERROR(VLOOKUP($AY$17,Sheet1!AH10:AK10,3,0),0)</f>
        <v>0</v>
      </c>
      <c r="AZ31" s="72">
        <f>+IFERROR(VLOOKUP($AZ$17,Sheet1!AH10:AK10,3,0),0)</f>
        <v>0</v>
      </c>
      <c r="BA31" s="72">
        <f>+IFERROR(VLOOKUP($BA$17,Sheet1!AH10:AK10,3,0),0)</f>
        <v>0</v>
      </c>
      <c r="BB31" s="72">
        <f>+IFERROR(VLOOKUP($BB$17,Sheet1!AH10:AK10,3,0),0)</f>
        <v>0</v>
      </c>
      <c r="BC31" s="72">
        <f>+IFERROR(VLOOKUP($BC$17,Sheet1!AL10:AO10,3,0),0)</f>
        <v>0</v>
      </c>
      <c r="BD31" s="72">
        <f>+IFERROR(VLOOKUP($BD$17,Sheet1!AL10:AO10,3,0),0)</f>
        <v>0</v>
      </c>
      <c r="BE31" s="72">
        <f>+IFERROR(VLOOKUP($BE$17,Sheet1!AL10:AO10,3,0),0)</f>
        <v>0</v>
      </c>
      <c r="BF31" s="79">
        <v>580</v>
      </c>
      <c r="BG31" s="72">
        <f>+IFERROR(VLOOKUP($BG$17,Sheet1!AL10:AO10,3,0),0)</f>
        <v>0</v>
      </c>
      <c r="BH31" s="72">
        <f>+IFERROR(VLOOKUP($BH$17,Sheet1!AL10:AO10,3,0),0)</f>
        <v>0</v>
      </c>
      <c r="BI31" s="72">
        <f>+IFERROR(VLOOKUP($BI$17,Sheet1!AL10:AO10,3,0),0)</f>
        <v>0</v>
      </c>
      <c r="BJ31" s="72">
        <f>+IFERROR(VLOOKUP($BJ$17,Sheet1!AL10:AO10,3,0),0)</f>
        <v>0</v>
      </c>
      <c r="BK31" s="72">
        <f>+IFERROR(VLOOKUP($BK$17,Sheet1!AL10:AO10,3,0),0)</f>
        <v>0</v>
      </c>
      <c r="BL31" s="72">
        <f>+IFERROR(VLOOKUP($BL$17,Sheet1!AL10:AO10,3,0),0)</f>
        <v>0</v>
      </c>
      <c r="BM31" s="72">
        <f>+IFERROR(VLOOKUP($BM$17,Sheet1!AP10:AS10,3,0),0)</f>
        <v>0</v>
      </c>
      <c r="BN31" s="72">
        <f>+IFERROR(VLOOKUP($BN$17,Sheet1!AT10:AW10,3,0),0)</f>
        <v>0</v>
      </c>
      <c r="BO31" s="79">
        <v>19</v>
      </c>
      <c r="BP31" s="79">
        <v>35</v>
      </c>
      <c r="BQ31" s="72">
        <f>+IFERROR(VLOOKUP($BQ$17,Sheet1!BF10:BI10,3,0),0)</f>
        <v>0</v>
      </c>
      <c r="BR31" s="72">
        <f>+IFERROR(VLOOKUP($BR$17,Sheet1!BJ10:BM10,3,0),0)</f>
        <v>0</v>
      </c>
      <c r="BS31" s="72">
        <f>+IFERROR(VLOOKUP($BS$17,Sheet1!BN10:BQ10,3,0),0)</f>
        <v>0</v>
      </c>
      <c r="BT31" s="79">
        <v>36</v>
      </c>
      <c r="BU31" s="11">
        <f>+IFERROR(VLOOKUP($BU$17,Sheet1!BV10:BY10,3,0),0)</f>
        <v>0</v>
      </c>
      <c r="BV31" s="11" t="str">
        <f>Sheet1!E10</f>
        <v>STEEL</v>
      </c>
      <c r="BW31" s="11" t="str">
        <f>Sheet1!CV10</f>
        <v>SP0400112</v>
      </c>
      <c r="BX31" s="11" t="str">
        <f>Sheet1!CW10</f>
        <v>CORRUGATED DISPATCH STEEL DRUM 2000 X 1000 X 1000 MM</v>
      </c>
      <c r="BY31" s="11">
        <f>Sheet1!CX10</f>
        <v>500</v>
      </c>
      <c r="BZ31" s="3">
        <f>Sheet1!BZ10</f>
        <v>53200</v>
      </c>
      <c r="CA31" s="3">
        <f t="shared" si="5"/>
        <v>784804</v>
      </c>
      <c r="CB31" s="23">
        <f>Sheet1!CB10</f>
        <v>0</v>
      </c>
      <c r="CC31" s="3">
        <f t="shared" si="6"/>
        <v>0</v>
      </c>
      <c r="CD31" s="47">
        <v>0.5</v>
      </c>
      <c r="CE31" s="3">
        <f t="shared" si="7"/>
        <v>392402</v>
      </c>
      <c r="CF31" s="47">
        <v>0</v>
      </c>
      <c r="CG31" s="3">
        <f t="shared" si="8"/>
        <v>0</v>
      </c>
      <c r="CH31" s="3">
        <f t="shared" si="9"/>
        <v>1177206</v>
      </c>
      <c r="CI31" s="47">
        <v>0.02</v>
      </c>
      <c r="CJ31" s="80">
        <f t="shared" si="10"/>
        <v>23544.12</v>
      </c>
      <c r="CK31" s="47">
        <v>0.01</v>
      </c>
      <c r="CL31" s="80">
        <f t="shared" si="11"/>
        <v>11772.06</v>
      </c>
    </row>
    <row r="32" spans="1:90" ht="51" x14ac:dyDescent="0.25">
      <c r="A32" s="1" t="str">
        <f>Sheet1!A7</f>
        <v>ENQ-10773-22-23</v>
      </c>
      <c r="B32" s="51">
        <f>Sheet1!B7</f>
        <v>45135</v>
      </c>
      <c r="C32" s="1" t="str">
        <f>Sheet1!C7</f>
        <v>FA1300019</v>
      </c>
      <c r="D32" s="73" t="str">
        <f>Sheet1!D7</f>
        <v>1 CORE X 300 SQ. MM. AL/ARM (XLPE)  - 33 KV</v>
      </c>
      <c r="E32" s="74">
        <f t="shared" si="0"/>
        <v>1056143.46</v>
      </c>
      <c r="F32" s="77">
        <f t="shared" si="12"/>
        <v>26154</v>
      </c>
      <c r="G32" s="75">
        <f t="shared" si="1"/>
        <v>1082297.46</v>
      </c>
      <c r="H32" s="76">
        <f>Sheet1!CP7</f>
        <v>0.18</v>
      </c>
      <c r="I32" s="75">
        <f t="shared" si="2"/>
        <v>194813.5428</v>
      </c>
      <c r="J32" s="75">
        <f t="shared" si="3"/>
        <v>1277111.0027999999</v>
      </c>
      <c r="K32" s="73">
        <f>Sheet1!CS7</f>
        <v>13</v>
      </c>
      <c r="L32" s="73" t="str">
        <f>Sheet1!CT7</f>
        <v>KMS</v>
      </c>
      <c r="M32" s="74">
        <f t="shared" si="4"/>
        <v>16602443.036399998</v>
      </c>
      <c r="N32" s="41">
        <f>+IFERROR(VLOOKUP($N$17,Sheet1!J7:L7,3,0),0)</f>
        <v>810</v>
      </c>
      <c r="O32" s="41">
        <f>+IFERROR(VLOOKUP($O$17,Sheet1!J7:L7,3,0),0)</f>
        <v>0</v>
      </c>
      <c r="P32" s="41">
        <f>+IFERROR(VLOOKUP($P$17,Sheet1!J7:M7,3,0),0)</f>
        <v>0</v>
      </c>
      <c r="Q32" s="41">
        <f>+IFERROR(VLOOKUP($Q$17,Sheet1!J7:M7,3,0),0)</f>
        <v>0</v>
      </c>
      <c r="R32" s="41">
        <f>+IFERROR(VLOOKUP($R$17,Sheet1!J7:M7,3,0),0)</f>
        <v>0</v>
      </c>
      <c r="S32" s="41">
        <f>+IFERROR(VLOOKUP($S$17,Sheet1!N7:Q7,3,0),0)</f>
        <v>0</v>
      </c>
      <c r="T32" s="41">
        <f>+IFERROR(VLOOKUP($T$17,Sheet1!N7:Q7,3,0),0)</f>
        <v>0</v>
      </c>
      <c r="U32" s="41">
        <f>+IFERROR(VLOOKUP($U$17,Sheet1!F7:I7,3,0),0)</f>
        <v>0</v>
      </c>
      <c r="V32" s="41">
        <f>+IFERROR(VLOOKUP($V$17,Sheet1!F7:I7,3,0),0)</f>
        <v>0</v>
      </c>
      <c r="W32" s="41">
        <f>+IFERROR(VLOOKUP($W$17,Sheet1!F7:I7,3,0),0)</f>
        <v>0</v>
      </c>
      <c r="X32" s="41">
        <f>+IFERROR(VLOOKUP($X$17,Sheet1!F7:I7,3,0),0)</f>
        <v>0</v>
      </c>
      <c r="Y32" s="78">
        <v>65</v>
      </c>
      <c r="Z32" s="41">
        <f>+IFERROR(VLOOKUP($Z$17,Sheet1!F7:I7,3,0),0)</f>
        <v>0</v>
      </c>
      <c r="AA32" s="41">
        <f>+IFERROR(VLOOKUP($AA$17,Sheet1!F7:I7,3,0),0)</f>
        <v>0</v>
      </c>
      <c r="AB32" s="41">
        <f>+IFERROR(VLOOKUP($AB$17,Sheet1!F7:I7,3,0),0)</f>
        <v>0</v>
      </c>
      <c r="AC32" s="78">
        <v>164</v>
      </c>
      <c r="AD32" s="72">
        <f>+IFERROR(VLOOKUP($AD$17,Sheet1!R7:U7,2,0),0)</f>
        <v>0</v>
      </c>
      <c r="AE32" s="78">
        <v>808</v>
      </c>
      <c r="AF32" s="72">
        <f>+IFERROR(VLOOKUP($AF$17,Sheet1!V7:Y7,3,0),0)</f>
        <v>0</v>
      </c>
      <c r="AG32" s="72">
        <f>+IFERROR(VLOOKUP($AG$17,Sheet1!V7:Y7,3,0),0)</f>
        <v>0</v>
      </c>
      <c r="AH32" s="72">
        <f>+IFERROR(VLOOKUP($AH$17,Sheet1!V7:Y7,3,0),0)</f>
        <v>0</v>
      </c>
      <c r="AI32" s="72">
        <f>+IFERROR(VLOOKUP($AI$17,Sheet1!V7:Y7,3,0),0)</f>
        <v>0</v>
      </c>
      <c r="AJ32" s="72">
        <f>+IFERROR(VLOOKUP($AJ$17,Sheet1!V7:Y7,3,0),0)</f>
        <v>0</v>
      </c>
      <c r="AK32" s="79">
        <v>12</v>
      </c>
      <c r="AL32" s="72">
        <f>+IFERROR(VLOOKUP($AL$17,Sheet1!AD7:AG7,3,0),0)</f>
        <v>0</v>
      </c>
      <c r="AM32" s="72">
        <f>+IFERROR(VLOOKUP($AM$17,Sheet1!AD7:AG7,3,0),0)</f>
        <v>0</v>
      </c>
      <c r="AN32" s="72">
        <f>+IFERROR(VLOOKUP($AN$17,Sheet1!AD7:AG7,3,0),0)</f>
        <v>0</v>
      </c>
      <c r="AO32" s="72">
        <f>+IFERROR(VLOOKUP($AO$17,Sheet1!AD7:AG7,3,0),0)</f>
        <v>0</v>
      </c>
      <c r="AP32" s="72">
        <f>+IFERROR(VLOOKUP($AP$17,Sheet1!AD7:AG7,3,0),0)</f>
        <v>0</v>
      </c>
      <c r="AQ32" s="79">
        <v>144</v>
      </c>
      <c r="AR32" s="72">
        <f>+IFERROR(VLOOKUP($AR$17,Sheet1!AD7:AG7,3,0),0)</f>
        <v>0</v>
      </c>
      <c r="AS32" s="72">
        <f>+IFERROR(VLOOKUP($AS$17,Sheet1!AH7:AK7,3,0),0)</f>
        <v>0</v>
      </c>
      <c r="AT32" s="72">
        <f>+IFERROR(VLOOKUP($AT$17,Sheet1!AH7:AK7,3,0),0)</f>
        <v>0</v>
      </c>
      <c r="AU32" s="72">
        <f>+IFERROR(VLOOKUP($AU$17,Sheet1!AH7:AK7,3,0),0)</f>
        <v>0</v>
      </c>
      <c r="AV32" s="79">
        <v>676</v>
      </c>
      <c r="AW32" s="72">
        <f>+IFERROR(VLOOKUP($AW$17,Sheet1!AH7:AK7,3,0),0)</f>
        <v>0</v>
      </c>
      <c r="AX32" s="72">
        <f>+IFERROR(VLOOKUP($AX$17,Sheet1!AH7:AK7,3,0),0)</f>
        <v>0</v>
      </c>
      <c r="AY32" s="72">
        <f>+IFERROR(VLOOKUP($AY$17,Sheet1!AH7:AK7,3,0),0)</f>
        <v>0</v>
      </c>
      <c r="AZ32" s="72">
        <f>+IFERROR(VLOOKUP($AZ$17,Sheet1!AH7:AK7,3,0),0)</f>
        <v>0</v>
      </c>
      <c r="BA32" s="72">
        <f>+IFERROR(VLOOKUP($BA$17,Sheet1!AH7:AK7,3,0),0)</f>
        <v>0</v>
      </c>
      <c r="BB32" s="72">
        <f>+IFERROR(VLOOKUP($BB$17,Sheet1!AH7:AK7,3,0),0)</f>
        <v>0</v>
      </c>
      <c r="BC32" s="72">
        <f>+IFERROR(VLOOKUP($BC$17,Sheet1!AL7:AO7,3,0),0)</f>
        <v>0</v>
      </c>
      <c r="BD32" s="72">
        <f>+IFERROR(VLOOKUP($BD$17,Sheet1!AL7:AO7,3,0),0)</f>
        <v>0</v>
      </c>
      <c r="BE32" s="72">
        <f>+IFERROR(VLOOKUP($BE$17,Sheet1!AL7:AO7,3,0),0)</f>
        <v>0</v>
      </c>
      <c r="BF32" s="79">
        <v>556</v>
      </c>
      <c r="BG32" s="72">
        <f>+IFERROR(VLOOKUP($BG$17,Sheet1!AL7:AO7,3,0),0)</f>
        <v>0</v>
      </c>
      <c r="BH32" s="72">
        <f>+IFERROR(VLOOKUP($BH$17,Sheet1!AL7:AO7,3,0),0)</f>
        <v>0</v>
      </c>
      <c r="BI32" s="72">
        <f>+IFERROR(VLOOKUP($BI$17,Sheet1!AL7:AO7,3,0),0)</f>
        <v>0</v>
      </c>
      <c r="BJ32" s="72">
        <f>+IFERROR(VLOOKUP($BJ$17,Sheet1!AL7:AO7,3,0),0)</f>
        <v>0</v>
      </c>
      <c r="BK32" s="72">
        <f>+IFERROR(VLOOKUP($BK$17,Sheet1!AL7:AO7,3,0),0)</f>
        <v>0</v>
      </c>
      <c r="BL32" s="72">
        <f>+IFERROR(VLOOKUP($BL$17,Sheet1!AL7:AO7,3,0),0)</f>
        <v>0</v>
      </c>
      <c r="BM32" s="72">
        <f>+IFERROR(VLOOKUP($BM$17,Sheet1!AP7:AS7,3,0),0)</f>
        <v>0</v>
      </c>
      <c r="BN32" s="72">
        <f>+IFERROR(VLOOKUP($BN$17,Sheet1!AT7:AW7,3,0),0)</f>
        <v>0</v>
      </c>
      <c r="BO32" s="79">
        <v>13</v>
      </c>
      <c r="BP32" s="79">
        <v>32</v>
      </c>
      <c r="BQ32" s="72">
        <f>+IFERROR(VLOOKUP($BQ$17,Sheet1!BF7:BI7,3,0),0)</f>
        <v>0</v>
      </c>
      <c r="BR32" s="72">
        <f>+IFERROR(VLOOKUP($BR$17,Sheet1!BJ7:BM7,3,0),0)</f>
        <v>0</v>
      </c>
      <c r="BS32" s="72">
        <f>+IFERROR(VLOOKUP($BS$17,Sheet1!BN7:BQ7,3,0),0)</f>
        <v>0</v>
      </c>
      <c r="BT32" s="79">
        <v>35</v>
      </c>
      <c r="BU32" s="11">
        <f>+IFERROR(VLOOKUP($BU$17,Sheet1!BV7:BY7,3,0),0)</f>
        <v>0</v>
      </c>
      <c r="BV32" s="11" t="str">
        <f>Sheet1!E7</f>
        <v>STEEL</v>
      </c>
      <c r="BW32" s="11" t="str">
        <f>Sheet1!CV7</f>
        <v>SP0400110</v>
      </c>
      <c r="BX32" s="11" t="str">
        <f>Sheet1!CW7</f>
        <v>CORRUGATED DISPATCH STEEL DRUM 1600 X 900 X 1000 MM</v>
      </c>
      <c r="BY32" s="11">
        <f>Sheet1!CX7</f>
        <v>500</v>
      </c>
      <c r="BZ32" s="3">
        <f>Sheet1!BZ7</f>
        <v>47500</v>
      </c>
      <c r="CA32" s="3">
        <f t="shared" si="5"/>
        <v>683588</v>
      </c>
      <c r="CB32" s="23">
        <f>Sheet1!CB7</f>
        <v>0</v>
      </c>
      <c r="CC32" s="3">
        <f t="shared" si="6"/>
        <v>0</v>
      </c>
      <c r="CD32" s="47">
        <v>0.5</v>
      </c>
      <c r="CE32" s="3">
        <f t="shared" si="7"/>
        <v>341794</v>
      </c>
      <c r="CF32" s="47">
        <v>0</v>
      </c>
      <c r="CG32" s="3">
        <f t="shared" si="8"/>
        <v>0</v>
      </c>
      <c r="CH32" s="3">
        <f t="shared" si="9"/>
        <v>1025382</v>
      </c>
      <c r="CI32" s="47">
        <v>0.02</v>
      </c>
      <c r="CJ32" s="80">
        <f t="shared" si="10"/>
        <v>20507.64</v>
      </c>
      <c r="CK32" s="47">
        <v>0.01</v>
      </c>
      <c r="CL32" s="80">
        <f t="shared" si="11"/>
        <v>10253.82</v>
      </c>
    </row>
    <row r="34" spans="4:13" ht="30" x14ac:dyDescent="0.25">
      <c r="E34" s="2" t="s">
        <v>224</v>
      </c>
      <c r="F34" s="2" t="s">
        <v>225</v>
      </c>
      <c r="G34" s="61" t="s">
        <v>226</v>
      </c>
      <c r="H34" s="41" t="s">
        <v>227</v>
      </c>
      <c r="I34" s="2" t="s">
        <v>228</v>
      </c>
      <c r="J34" s="2" t="s">
        <v>229</v>
      </c>
      <c r="K34" s="2" t="s">
        <v>230</v>
      </c>
      <c r="L34" s="2" t="s">
        <v>231</v>
      </c>
      <c r="M34" s="62" t="s">
        <v>232</v>
      </c>
    </row>
    <row r="35" spans="4:13" ht="30" x14ac:dyDescent="0.25">
      <c r="D35" s="26" t="str">
        <f>D19</f>
        <v>3 CORE X 400 SQ. MM. AL/ARM - WIRE (XLPE) - 11 KV</v>
      </c>
      <c r="E35" s="61">
        <f>K19</f>
        <v>41.1</v>
      </c>
      <c r="F35" s="63">
        <f>BY19/1000</f>
        <v>0.25</v>
      </c>
      <c r="G35" s="61" t="s">
        <v>237</v>
      </c>
      <c r="H35" s="64">
        <v>68000</v>
      </c>
      <c r="I35" s="63">
        <v>3</v>
      </c>
      <c r="J35" s="61">
        <f>F35*I35</f>
        <v>0.75</v>
      </c>
      <c r="K35" s="61">
        <f>ROUNDUP((E35/J35),0)</f>
        <v>55</v>
      </c>
      <c r="L35" s="61">
        <f>M35*E35</f>
        <v>3740000</v>
      </c>
      <c r="M35" s="65">
        <f>(H35*K35)/E35</f>
        <v>90997.566909975663</v>
      </c>
    </row>
    <row r="36" spans="4:13" ht="30" x14ac:dyDescent="0.25">
      <c r="D36" s="26" t="str">
        <f t="shared" ref="D36:D48" si="13">D20</f>
        <v>3 CORE X 300 SQ. MM. AL/ARM - WIRE (XLPE) - 11 KV</v>
      </c>
      <c r="E36" s="61">
        <f t="shared" ref="E36:E48" si="14">K20</f>
        <v>154.15</v>
      </c>
      <c r="F36" s="63">
        <f t="shared" ref="F36:F48" si="15">BY20/1000</f>
        <v>0.25</v>
      </c>
      <c r="G36" s="61" t="s">
        <v>237</v>
      </c>
      <c r="H36" s="64">
        <v>68000</v>
      </c>
      <c r="I36" s="63">
        <v>4</v>
      </c>
      <c r="J36" s="61">
        <f t="shared" ref="J36:J48" si="16">F36*I36</f>
        <v>1</v>
      </c>
      <c r="K36" s="61">
        <f t="shared" ref="K36:K48" si="17">ROUNDUP((E36/J36),0)</f>
        <v>155</v>
      </c>
      <c r="L36" s="61">
        <f t="shared" ref="L36:L48" si="18">M36*E36</f>
        <v>10540000</v>
      </c>
      <c r="M36" s="65">
        <f t="shared" ref="M36:M48" si="19">(H36*K36)/E36</f>
        <v>68374.959455076227</v>
      </c>
    </row>
    <row r="37" spans="4:13" ht="30" x14ac:dyDescent="0.25">
      <c r="D37" s="26" t="str">
        <f t="shared" si="13"/>
        <v>3 CORE X 150 SQ. MM. AL/ARM - WIRE (XLPE) - 11 KV</v>
      </c>
      <c r="E37" s="61">
        <f t="shared" si="14"/>
        <v>1</v>
      </c>
      <c r="F37" s="63">
        <f t="shared" si="15"/>
        <v>0.25</v>
      </c>
      <c r="G37" s="61" t="s">
        <v>237</v>
      </c>
      <c r="H37" s="64">
        <v>68000</v>
      </c>
      <c r="I37" s="63">
        <v>5</v>
      </c>
      <c r="J37" s="61">
        <f t="shared" si="16"/>
        <v>1.25</v>
      </c>
      <c r="K37" s="61">
        <f t="shared" si="17"/>
        <v>1</v>
      </c>
      <c r="L37" s="61">
        <f t="shared" si="18"/>
        <v>68000</v>
      </c>
      <c r="M37" s="65">
        <f t="shared" si="19"/>
        <v>68000</v>
      </c>
    </row>
    <row r="38" spans="4:13" ht="30" x14ac:dyDescent="0.25">
      <c r="D38" s="26" t="str">
        <f t="shared" si="13"/>
        <v>3 CORE X 120 SQ. MM. AL/ARM - WIRE (XLPE) - 11 KV</v>
      </c>
      <c r="E38" s="61">
        <f t="shared" si="14"/>
        <v>7.5</v>
      </c>
      <c r="F38" s="63">
        <f t="shared" si="15"/>
        <v>0.25</v>
      </c>
      <c r="G38" s="61" t="s">
        <v>237</v>
      </c>
      <c r="H38" s="64">
        <v>68000</v>
      </c>
      <c r="I38" s="63">
        <v>5</v>
      </c>
      <c r="J38" s="61">
        <f t="shared" si="16"/>
        <v>1.25</v>
      </c>
      <c r="K38" s="61">
        <f t="shared" si="17"/>
        <v>6</v>
      </c>
      <c r="L38" s="61">
        <f t="shared" si="18"/>
        <v>408000</v>
      </c>
      <c r="M38" s="65">
        <f t="shared" si="19"/>
        <v>54400</v>
      </c>
    </row>
    <row r="39" spans="4:13" ht="30" x14ac:dyDescent="0.25">
      <c r="D39" s="26" t="str">
        <f t="shared" si="13"/>
        <v>3 CORE X 95 SQ. MM. AL/ARM - WIRE (XLPE) - 11 KV</v>
      </c>
      <c r="E39" s="61">
        <f t="shared" si="14"/>
        <v>2.5</v>
      </c>
      <c r="F39" s="63">
        <f t="shared" si="15"/>
        <v>0.25</v>
      </c>
      <c r="G39" s="61" t="s">
        <v>237</v>
      </c>
      <c r="H39" s="64">
        <v>68000</v>
      </c>
      <c r="I39" s="63">
        <v>5</v>
      </c>
      <c r="J39" s="61">
        <f t="shared" si="16"/>
        <v>1.25</v>
      </c>
      <c r="K39" s="61">
        <f t="shared" si="17"/>
        <v>2</v>
      </c>
      <c r="L39" s="61">
        <f t="shared" si="18"/>
        <v>136000</v>
      </c>
      <c r="M39" s="65">
        <f t="shared" si="19"/>
        <v>54400</v>
      </c>
    </row>
    <row r="40" spans="4:13" ht="30" x14ac:dyDescent="0.25">
      <c r="D40" s="26" t="str">
        <f t="shared" si="13"/>
        <v>1 CORE X 1000 SQ. MM. AL/ARM (XLPE) - 11 KV</v>
      </c>
      <c r="E40" s="61">
        <f t="shared" si="14"/>
        <v>15</v>
      </c>
      <c r="F40" s="63">
        <f t="shared" si="15"/>
        <v>0.5</v>
      </c>
      <c r="G40" s="61" t="s">
        <v>237</v>
      </c>
      <c r="H40" s="64">
        <v>68000</v>
      </c>
      <c r="I40" s="63">
        <v>4</v>
      </c>
      <c r="J40" s="61">
        <f t="shared" si="16"/>
        <v>2</v>
      </c>
      <c r="K40" s="61">
        <f t="shared" si="17"/>
        <v>8</v>
      </c>
      <c r="L40" s="61">
        <f t="shared" si="18"/>
        <v>544000</v>
      </c>
      <c r="M40" s="65">
        <f t="shared" si="19"/>
        <v>36266.666666666664</v>
      </c>
    </row>
    <row r="41" spans="4:13" ht="30" x14ac:dyDescent="0.25">
      <c r="D41" s="26" t="str">
        <f t="shared" si="13"/>
        <v>1 CORE X 630 SQ. MM. AL/ARM (XLPE)  - 11 KV</v>
      </c>
      <c r="E41" s="61">
        <f t="shared" si="14"/>
        <v>5</v>
      </c>
      <c r="F41" s="63">
        <f t="shared" si="15"/>
        <v>0.5</v>
      </c>
      <c r="G41" s="61" t="s">
        <v>237</v>
      </c>
      <c r="H41" s="64">
        <v>68000</v>
      </c>
      <c r="I41" s="63">
        <v>5</v>
      </c>
      <c r="J41" s="61">
        <f t="shared" si="16"/>
        <v>2.5</v>
      </c>
      <c r="K41" s="61">
        <f t="shared" si="17"/>
        <v>2</v>
      </c>
      <c r="L41" s="61">
        <f t="shared" si="18"/>
        <v>136000</v>
      </c>
      <c r="M41" s="65">
        <f t="shared" si="19"/>
        <v>27200</v>
      </c>
    </row>
    <row r="42" spans="4:13" ht="30" x14ac:dyDescent="0.25">
      <c r="D42" s="26" t="str">
        <f t="shared" si="13"/>
        <v>1 CORE X 400 SQ. MM. AL/ARM (XLPE) - 11 KV</v>
      </c>
      <c r="E42" s="61">
        <f t="shared" si="14"/>
        <v>40</v>
      </c>
      <c r="F42" s="63">
        <f t="shared" si="15"/>
        <v>0.5</v>
      </c>
      <c r="G42" s="61" t="s">
        <v>237</v>
      </c>
      <c r="H42" s="64">
        <v>68000</v>
      </c>
      <c r="I42" s="63">
        <v>6</v>
      </c>
      <c r="J42" s="61">
        <f t="shared" si="16"/>
        <v>3</v>
      </c>
      <c r="K42" s="61">
        <f t="shared" si="17"/>
        <v>14</v>
      </c>
      <c r="L42" s="61">
        <f t="shared" si="18"/>
        <v>952000</v>
      </c>
      <c r="M42" s="65">
        <f t="shared" si="19"/>
        <v>23800</v>
      </c>
    </row>
    <row r="43" spans="4:13" ht="30" x14ac:dyDescent="0.25">
      <c r="D43" s="26" t="str">
        <f t="shared" si="13"/>
        <v>3 CORE X 400 SQ. MM AL/ARM - WIRE (XLPE) - 33 KV</v>
      </c>
      <c r="E43" s="61">
        <f t="shared" si="14"/>
        <v>103.5</v>
      </c>
      <c r="F43" s="63">
        <f t="shared" si="15"/>
        <v>0.25</v>
      </c>
      <c r="G43" s="61" t="s">
        <v>237</v>
      </c>
      <c r="H43" s="64">
        <v>68000</v>
      </c>
      <c r="I43" s="63">
        <v>2</v>
      </c>
      <c r="J43" s="61">
        <f t="shared" si="16"/>
        <v>0.5</v>
      </c>
      <c r="K43" s="61">
        <f t="shared" si="17"/>
        <v>207</v>
      </c>
      <c r="L43" s="61">
        <f t="shared" si="18"/>
        <v>14076000</v>
      </c>
      <c r="M43" s="65">
        <f t="shared" si="19"/>
        <v>136000</v>
      </c>
    </row>
    <row r="44" spans="4:13" ht="30" x14ac:dyDescent="0.25">
      <c r="D44" s="26" t="str">
        <f t="shared" si="13"/>
        <v>3 CORE X 300 SQ. MM. AL/ARM - WIRE (XLPE) - 33 KV</v>
      </c>
      <c r="E44" s="61">
        <f t="shared" si="14"/>
        <v>24.25</v>
      </c>
      <c r="F44" s="63">
        <f t="shared" si="15"/>
        <v>0.25</v>
      </c>
      <c r="G44" s="61" t="s">
        <v>237</v>
      </c>
      <c r="H44" s="64">
        <v>68000</v>
      </c>
      <c r="I44" s="63">
        <v>2</v>
      </c>
      <c r="J44" s="61">
        <f t="shared" si="16"/>
        <v>0.5</v>
      </c>
      <c r="K44" s="61">
        <f t="shared" si="17"/>
        <v>49</v>
      </c>
      <c r="L44" s="61">
        <f t="shared" si="18"/>
        <v>3332000</v>
      </c>
      <c r="M44" s="65">
        <f t="shared" si="19"/>
        <v>137402.06185567009</v>
      </c>
    </row>
    <row r="45" spans="4:13" ht="30" x14ac:dyDescent="0.25">
      <c r="D45" s="26" t="str">
        <f t="shared" si="13"/>
        <v>3 CORE X 95 SQ. MM. AL/ARM  WIRE (XLPE) - 33 KV</v>
      </c>
      <c r="E45" s="61">
        <f t="shared" si="14"/>
        <v>0.5</v>
      </c>
      <c r="F45" s="63">
        <f t="shared" si="15"/>
        <v>0.25</v>
      </c>
      <c r="G45" s="61" t="s">
        <v>237</v>
      </c>
      <c r="H45" s="64">
        <v>68000</v>
      </c>
      <c r="I45" s="63">
        <v>4</v>
      </c>
      <c r="J45" s="61">
        <f t="shared" si="16"/>
        <v>1</v>
      </c>
      <c r="K45" s="61">
        <f t="shared" si="17"/>
        <v>1</v>
      </c>
      <c r="L45" s="61">
        <f t="shared" si="18"/>
        <v>68000</v>
      </c>
      <c r="M45" s="65">
        <f t="shared" si="19"/>
        <v>136000</v>
      </c>
    </row>
    <row r="46" spans="4:13" ht="30" x14ac:dyDescent="0.25">
      <c r="D46" s="26" t="str">
        <f t="shared" si="13"/>
        <v>1 CORE X 630 SQ. MM. AL/ARM (XLPE)  - 33 KV</v>
      </c>
      <c r="E46" s="61">
        <f t="shared" si="14"/>
        <v>33</v>
      </c>
      <c r="F46" s="63">
        <f t="shared" si="15"/>
        <v>0.5</v>
      </c>
      <c r="G46" s="61" t="s">
        <v>237</v>
      </c>
      <c r="H46" s="64">
        <v>68000</v>
      </c>
      <c r="I46" s="63">
        <v>4</v>
      </c>
      <c r="J46" s="61">
        <f t="shared" si="16"/>
        <v>2</v>
      </c>
      <c r="K46" s="61">
        <f t="shared" si="17"/>
        <v>17</v>
      </c>
      <c r="L46" s="61">
        <f t="shared" si="18"/>
        <v>1156000</v>
      </c>
      <c r="M46" s="65">
        <f t="shared" si="19"/>
        <v>35030.303030303032</v>
      </c>
    </row>
    <row r="47" spans="4:13" ht="30" x14ac:dyDescent="0.25">
      <c r="D47" s="26" t="str">
        <f t="shared" si="13"/>
        <v>1 CORE X 400 SQ. MM. AL/ARM (XLPE) - 33 KV</v>
      </c>
      <c r="E47" s="61">
        <f t="shared" si="14"/>
        <v>25.5</v>
      </c>
      <c r="F47" s="63">
        <f t="shared" si="15"/>
        <v>0.5</v>
      </c>
      <c r="G47" s="61" t="s">
        <v>237</v>
      </c>
      <c r="H47" s="64">
        <v>68000</v>
      </c>
      <c r="I47" s="63">
        <v>5</v>
      </c>
      <c r="J47" s="61">
        <f t="shared" si="16"/>
        <v>2.5</v>
      </c>
      <c r="K47" s="61">
        <f t="shared" si="17"/>
        <v>11</v>
      </c>
      <c r="L47" s="61">
        <f t="shared" si="18"/>
        <v>748000</v>
      </c>
      <c r="M47" s="65">
        <f t="shared" si="19"/>
        <v>29333.333333333332</v>
      </c>
    </row>
    <row r="48" spans="4:13" ht="30" x14ac:dyDescent="0.25">
      <c r="D48" s="26" t="str">
        <f t="shared" si="13"/>
        <v>1 CORE X 300 SQ. MM. AL/ARM (XLPE)  - 33 KV</v>
      </c>
      <c r="E48" s="61">
        <f t="shared" si="14"/>
        <v>13</v>
      </c>
      <c r="F48" s="63">
        <f t="shared" si="15"/>
        <v>0.5</v>
      </c>
      <c r="G48" s="61" t="s">
        <v>237</v>
      </c>
      <c r="H48" s="64">
        <v>68000</v>
      </c>
      <c r="I48" s="63">
        <v>6</v>
      </c>
      <c r="J48" s="61">
        <f t="shared" si="16"/>
        <v>3</v>
      </c>
      <c r="K48" s="61">
        <f t="shared" si="17"/>
        <v>5</v>
      </c>
      <c r="L48" s="61">
        <f t="shared" si="18"/>
        <v>340000</v>
      </c>
      <c r="M48" s="65">
        <f t="shared" si="19"/>
        <v>26153.846153846152</v>
      </c>
    </row>
    <row r="51" spans="1:13" ht="51" x14ac:dyDescent="0.25">
      <c r="A51" s="18" t="s">
        <v>0</v>
      </c>
      <c r="B51" s="18" t="s">
        <v>134</v>
      </c>
      <c r="C51" s="18" t="s">
        <v>1</v>
      </c>
      <c r="D51" s="18" t="s">
        <v>2</v>
      </c>
      <c r="E51" s="5" t="s">
        <v>238</v>
      </c>
      <c r="F51" s="11" t="s">
        <v>239</v>
      </c>
      <c r="G51" s="11" t="s">
        <v>240</v>
      </c>
      <c r="H51" s="6" t="s">
        <v>73</v>
      </c>
      <c r="I51" s="11" t="s">
        <v>74</v>
      </c>
      <c r="J51" s="11" t="s">
        <v>241</v>
      </c>
      <c r="K51" s="11" t="s">
        <v>76</v>
      </c>
      <c r="L51" s="11" t="s">
        <v>77</v>
      </c>
      <c r="M51" s="11" t="s">
        <v>78</v>
      </c>
    </row>
    <row r="52" spans="1:13" x14ac:dyDescent="0.25">
      <c r="A52" s="27"/>
      <c r="B52" s="27"/>
      <c r="C52" s="27"/>
      <c r="D52" s="27"/>
      <c r="E52" s="5"/>
      <c r="F52" s="5"/>
      <c r="G52" s="5"/>
      <c r="H52" s="5"/>
      <c r="I52" s="5"/>
      <c r="J52" s="5"/>
      <c r="K52" s="5"/>
      <c r="L52" s="5"/>
      <c r="M52" s="5"/>
    </row>
    <row r="53" spans="1:13" ht="30" x14ac:dyDescent="0.25">
      <c r="A53" s="1" t="str">
        <f>A19</f>
        <v>ENQ-10773-22-23</v>
      </c>
      <c r="B53" s="51">
        <f>B19</f>
        <v>45135</v>
      </c>
      <c r="C53" s="1" t="str">
        <f>C19</f>
        <v>FA1300083</v>
      </c>
      <c r="D53" s="73" t="str">
        <f>D19</f>
        <v>3 CORE X 400 SQ. MM. AL/ARM - WIRE (XLPE) - 11 KV</v>
      </c>
      <c r="E53" s="74">
        <f>ROUNDUP(E19/1000,2)</f>
        <v>3241.8</v>
      </c>
      <c r="F53" s="77">
        <f>ROUNDUP(F19/1000,2)</f>
        <v>91</v>
      </c>
      <c r="G53" s="75">
        <f t="shared" ref="G53:G66" si="20">E53+F53</f>
        <v>3332.8</v>
      </c>
      <c r="H53" s="76">
        <f>H19</f>
        <v>0.18</v>
      </c>
      <c r="I53" s="75">
        <f>ROUND(G53*H53,2)</f>
        <v>599.9</v>
      </c>
      <c r="J53" s="75">
        <f>ROUND(G53+I53,2)</f>
        <v>3932.7</v>
      </c>
      <c r="K53" s="73">
        <f>K19*1000</f>
        <v>41100</v>
      </c>
      <c r="L53" s="73">
        <f>Sheet1!CT47</f>
        <v>0</v>
      </c>
      <c r="M53" s="74">
        <f t="shared" ref="M53:M66" si="21">J53*K53</f>
        <v>161633970</v>
      </c>
    </row>
    <row r="54" spans="1:13" ht="30" x14ac:dyDescent="0.25">
      <c r="A54" s="1" t="str">
        <f t="shared" ref="A54:D66" si="22">A20</f>
        <v>ENQ-10773-22-23</v>
      </c>
      <c r="B54" s="51">
        <f t="shared" si="22"/>
        <v>45135</v>
      </c>
      <c r="C54" s="1" t="str">
        <f t="shared" si="22"/>
        <v>FA1300091</v>
      </c>
      <c r="D54" s="73" t="str">
        <f t="shared" si="22"/>
        <v>3 CORE X 300 SQ. MM. AL/ARM - WIRE (XLPE) - 11 KV</v>
      </c>
      <c r="E54" s="74">
        <f t="shared" ref="E54:F66" si="23">ROUNDUP(E20/1000,2)</f>
        <v>2598.3000000000002</v>
      </c>
      <c r="F54" s="77">
        <f t="shared" si="23"/>
        <v>68.38000000000001</v>
      </c>
      <c r="G54" s="75">
        <f t="shared" si="20"/>
        <v>2666.6800000000003</v>
      </c>
      <c r="H54" s="76">
        <f t="shared" ref="H54:H66" si="24">H20</f>
        <v>0.18</v>
      </c>
      <c r="I54" s="75">
        <f t="shared" ref="I54:I66" si="25">ROUND(G54*H54,2)</f>
        <v>480</v>
      </c>
      <c r="J54" s="75">
        <f t="shared" ref="J54:J66" si="26">ROUND(G54+I54,2)</f>
        <v>3146.68</v>
      </c>
      <c r="K54" s="73">
        <f t="shared" ref="K54:K66" si="27">K20*1000</f>
        <v>154150</v>
      </c>
      <c r="L54" s="73" t="s">
        <v>242</v>
      </c>
      <c r="M54" s="74">
        <f t="shared" si="21"/>
        <v>485060722</v>
      </c>
    </row>
    <row r="55" spans="1:13" ht="30" x14ac:dyDescent="0.25">
      <c r="A55" s="1" t="str">
        <f t="shared" si="22"/>
        <v>ENQ-10773-22-23</v>
      </c>
      <c r="B55" s="51">
        <f t="shared" si="22"/>
        <v>45135</v>
      </c>
      <c r="C55" s="1" t="str">
        <f t="shared" si="22"/>
        <v>FA1300176</v>
      </c>
      <c r="D55" s="73" t="str">
        <f t="shared" si="22"/>
        <v>3 CORE X 150 SQ. MM. AL/ARM - WIRE (XLPE) - 11 KV</v>
      </c>
      <c r="E55" s="74">
        <f t="shared" si="23"/>
        <v>1671.59</v>
      </c>
      <c r="F55" s="77">
        <f t="shared" si="23"/>
        <v>68</v>
      </c>
      <c r="G55" s="75">
        <f t="shared" si="20"/>
        <v>1739.59</v>
      </c>
      <c r="H55" s="76">
        <f t="shared" si="24"/>
        <v>0.18</v>
      </c>
      <c r="I55" s="75">
        <f t="shared" si="25"/>
        <v>313.13</v>
      </c>
      <c r="J55" s="75">
        <f t="shared" si="26"/>
        <v>2052.7199999999998</v>
      </c>
      <c r="K55" s="73">
        <f t="shared" si="27"/>
        <v>1000</v>
      </c>
      <c r="L55" s="73" t="s">
        <v>242</v>
      </c>
      <c r="M55" s="74">
        <f t="shared" si="21"/>
        <v>2052719.9999999998</v>
      </c>
    </row>
    <row r="56" spans="1:13" ht="30" x14ac:dyDescent="0.25">
      <c r="A56" s="1" t="str">
        <f t="shared" si="22"/>
        <v>ENQ-10773-22-23</v>
      </c>
      <c r="B56" s="51">
        <f t="shared" si="22"/>
        <v>45135</v>
      </c>
      <c r="C56" s="1" t="str">
        <f t="shared" si="22"/>
        <v>FA1300197</v>
      </c>
      <c r="D56" s="73" t="str">
        <f t="shared" si="22"/>
        <v>3 CORE X 120 SQ. MM. AL/ARM - WIRE (XLPE) - 11 KV</v>
      </c>
      <c r="E56" s="74">
        <f t="shared" si="23"/>
        <v>1462.05</v>
      </c>
      <c r="F56" s="77">
        <f t="shared" si="23"/>
        <v>54.4</v>
      </c>
      <c r="G56" s="75">
        <f t="shared" si="20"/>
        <v>1516.45</v>
      </c>
      <c r="H56" s="76">
        <f t="shared" si="24"/>
        <v>0.18</v>
      </c>
      <c r="I56" s="75">
        <f t="shared" si="25"/>
        <v>272.95999999999998</v>
      </c>
      <c r="J56" s="75">
        <f t="shared" si="26"/>
        <v>1789.41</v>
      </c>
      <c r="K56" s="73">
        <f t="shared" si="27"/>
        <v>7500</v>
      </c>
      <c r="L56" s="73" t="s">
        <v>242</v>
      </c>
      <c r="M56" s="74">
        <f t="shared" si="21"/>
        <v>13420575</v>
      </c>
    </row>
    <row r="57" spans="1:13" ht="30" x14ac:dyDescent="0.25">
      <c r="A57" s="1" t="str">
        <f t="shared" si="22"/>
        <v>ENQ-10773-22-23</v>
      </c>
      <c r="B57" s="51">
        <f t="shared" si="22"/>
        <v>45135</v>
      </c>
      <c r="C57" s="1" t="str">
        <f t="shared" si="22"/>
        <v>FA1300098</v>
      </c>
      <c r="D57" s="73" t="str">
        <f t="shared" si="22"/>
        <v>3 CORE X 95 SQ. MM. AL/ARM - WIRE (XLPE) - 11 KV</v>
      </c>
      <c r="E57" s="74">
        <f t="shared" si="23"/>
        <v>1316.67</v>
      </c>
      <c r="F57" s="77">
        <f t="shared" si="23"/>
        <v>54.4</v>
      </c>
      <c r="G57" s="75">
        <f t="shared" si="20"/>
        <v>1371.0700000000002</v>
      </c>
      <c r="H57" s="76">
        <f t="shared" si="24"/>
        <v>0.18</v>
      </c>
      <c r="I57" s="75">
        <f t="shared" si="25"/>
        <v>246.79</v>
      </c>
      <c r="J57" s="75">
        <f t="shared" si="26"/>
        <v>1617.86</v>
      </c>
      <c r="K57" s="73">
        <f t="shared" si="27"/>
        <v>2500</v>
      </c>
      <c r="L57" s="73" t="s">
        <v>242</v>
      </c>
      <c r="M57" s="74">
        <f t="shared" si="21"/>
        <v>4044649.9999999995</v>
      </c>
    </row>
    <row r="58" spans="1:13" ht="30" x14ac:dyDescent="0.25">
      <c r="A58" s="1" t="str">
        <f t="shared" si="22"/>
        <v>ENQ-10773-22-23</v>
      </c>
      <c r="B58" s="51">
        <f t="shared" si="22"/>
        <v>45135</v>
      </c>
      <c r="C58" s="1" t="str">
        <f t="shared" si="22"/>
        <v>FA1300066</v>
      </c>
      <c r="D58" s="73" t="str">
        <f t="shared" si="22"/>
        <v>1 CORE X 1000 SQ. MM. AL/ARM (XLPE) - 11 KV</v>
      </c>
      <c r="E58" s="74">
        <f t="shared" si="23"/>
        <v>1852.71</v>
      </c>
      <c r="F58" s="77">
        <f t="shared" si="23"/>
        <v>36.269999999999996</v>
      </c>
      <c r="G58" s="75">
        <f t="shared" si="20"/>
        <v>1888.98</v>
      </c>
      <c r="H58" s="76">
        <f t="shared" si="24"/>
        <v>0.18</v>
      </c>
      <c r="I58" s="75">
        <f t="shared" si="25"/>
        <v>340.02</v>
      </c>
      <c r="J58" s="75">
        <f t="shared" si="26"/>
        <v>2229</v>
      </c>
      <c r="K58" s="73">
        <f t="shared" si="27"/>
        <v>15000</v>
      </c>
      <c r="L58" s="73" t="s">
        <v>242</v>
      </c>
      <c r="M58" s="74">
        <f t="shared" si="21"/>
        <v>33435000</v>
      </c>
    </row>
    <row r="59" spans="1:13" ht="30" x14ac:dyDescent="0.25">
      <c r="A59" s="1" t="str">
        <f t="shared" si="22"/>
        <v>ENQ-10773-22-23</v>
      </c>
      <c r="B59" s="51">
        <f t="shared" si="22"/>
        <v>45135</v>
      </c>
      <c r="C59" s="1" t="str">
        <f t="shared" si="22"/>
        <v>FA1300016</v>
      </c>
      <c r="D59" s="73" t="str">
        <f t="shared" si="22"/>
        <v>1 CORE X 630 SQ. MM. AL/ARM (XLPE)  - 11 KV</v>
      </c>
      <c r="E59" s="74">
        <f t="shared" si="23"/>
        <v>1201.8799999999999</v>
      </c>
      <c r="F59" s="77">
        <f t="shared" si="23"/>
        <v>27.2</v>
      </c>
      <c r="G59" s="75">
        <f t="shared" si="20"/>
        <v>1229.08</v>
      </c>
      <c r="H59" s="76">
        <f t="shared" si="24"/>
        <v>0.18</v>
      </c>
      <c r="I59" s="75">
        <f t="shared" si="25"/>
        <v>221.23</v>
      </c>
      <c r="J59" s="75">
        <f t="shared" si="26"/>
        <v>1450.31</v>
      </c>
      <c r="K59" s="73">
        <f t="shared" si="27"/>
        <v>5000</v>
      </c>
      <c r="L59" s="73" t="s">
        <v>242</v>
      </c>
      <c r="M59" s="74">
        <f t="shared" si="21"/>
        <v>7251550</v>
      </c>
    </row>
    <row r="60" spans="1:13" ht="30" x14ac:dyDescent="0.25">
      <c r="A60" s="1" t="str">
        <f t="shared" si="22"/>
        <v>ENQ-10773-22-23</v>
      </c>
      <c r="B60" s="51">
        <f t="shared" si="22"/>
        <v>45135</v>
      </c>
      <c r="C60" s="1" t="str">
        <f t="shared" si="22"/>
        <v>FA1300047</v>
      </c>
      <c r="D60" s="73" t="str">
        <f t="shared" si="22"/>
        <v>1 CORE X 400 SQ. MM. AL/ARM (XLPE) - 11 KV</v>
      </c>
      <c r="E60" s="74">
        <f t="shared" si="23"/>
        <v>911.87</v>
      </c>
      <c r="F60" s="77">
        <f t="shared" si="23"/>
        <v>23.8</v>
      </c>
      <c r="G60" s="75">
        <f t="shared" si="20"/>
        <v>935.67</v>
      </c>
      <c r="H60" s="76">
        <f t="shared" si="24"/>
        <v>0.18</v>
      </c>
      <c r="I60" s="75">
        <f t="shared" si="25"/>
        <v>168.42</v>
      </c>
      <c r="J60" s="75">
        <f t="shared" si="26"/>
        <v>1104.0899999999999</v>
      </c>
      <c r="K60" s="73">
        <f t="shared" si="27"/>
        <v>40000</v>
      </c>
      <c r="L60" s="73" t="s">
        <v>242</v>
      </c>
      <c r="M60" s="74">
        <f t="shared" si="21"/>
        <v>44163600</v>
      </c>
    </row>
    <row r="61" spans="1:13" ht="30" x14ac:dyDescent="0.25">
      <c r="A61" s="1" t="str">
        <f t="shared" si="22"/>
        <v>ENQ-10773-22-23</v>
      </c>
      <c r="B61" s="51">
        <f t="shared" si="22"/>
        <v>45135</v>
      </c>
      <c r="C61" s="1" t="str">
        <f t="shared" si="22"/>
        <v>FA1300080</v>
      </c>
      <c r="D61" s="73" t="str">
        <f t="shared" si="22"/>
        <v>3 CORE X 400 SQ. MM AL/ARM - WIRE (XLPE) - 33 KV</v>
      </c>
      <c r="E61" s="74">
        <f t="shared" si="23"/>
        <v>4221.4400000000005</v>
      </c>
      <c r="F61" s="77">
        <f t="shared" si="23"/>
        <v>136</v>
      </c>
      <c r="G61" s="75">
        <f t="shared" si="20"/>
        <v>4357.4400000000005</v>
      </c>
      <c r="H61" s="76">
        <f t="shared" si="24"/>
        <v>0.18</v>
      </c>
      <c r="I61" s="75">
        <f t="shared" si="25"/>
        <v>784.34</v>
      </c>
      <c r="J61" s="75">
        <f t="shared" si="26"/>
        <v>5141.78</v>
      </c>
      <c r="K61" s="73">
        <f t="shared" si="27"/>
        <v>103500</v>
      </c>
      <c r="L61" s="73" t="s">
        <v>242</v>
      </c>
      <c r="M61" s="74">
        <f t="shared" si="21"/>
        <v>532174230</v>
      </c>
    </row>
    <row r="62" spans="1:13" ht="30" x14ac:dyDescent="0.25">
      <c r="A62" s="1" t="str">
        <f t="shared" si="22"/>
        <v>ENQ-10773-22-23</v>
      </c>
      <c r="B62" s="51">
        <f t="shared" si="22"/>
        <v>45135</v>
      </c>
      <c r="C62" s="1" t="str">
        <f t="shared" si="22"/>
        <v>FA1300081</v>
      </c>
      <c r="D62" s="73" t="str">
        <f t="shared" si="22"/>
        <v>3 CORE X 300 SQ. MM. AL/ARM - WIRE (XLPE) - 33 KV</v>
      </c>
      <c r="E62" s="74">
        <f t="shared" si="23"/>
        <v>3709.1800000000003</v>
      </c>
      <c r="F62" s="77">
        <f t="shared" si="23"/>
        <v>137.41</v>
      </c>
      <c r="G62" s="75">
        <f t="shared" si="20"/>
        <v>3846.59</v>
      </c>
      <c r="H62" s="76">
        <f t="shared" si="24"/>
        <v>0.18</v>
      </c>
      <c r="I62" s="75">
        <f t="shared" si="25"/>
        <v>692.39</v>
      </c>
      <c r="J62" s="75">
        <f t="shared" si="26"/>
        <v>4538.9799999999996</v>
      </c>
      <c r="K62" s="73">
        <f t="shared" si="27"/>
        <v>24250</v>
      </c>
      <c r="L62" s="73" t="s">
        <v>242</v>
      </c>
      <c r="M62" s="74">
        <f t="shared" si="21"/>
        <v>110070264.99999999</v>
      </c>
    </row>
    <row r="63" spans="1:13" ht="30" x14ac:dyDescent="0.25">
      <c r="A63" s="1" t="str">
        <f t="shared" si="22"/>
        <v>ENQ-10773-22-23</v>
      </c>
      <c r="B63" s="51">
        <f t="shared" si="22"/>
        <v>45135</v>
      </c>
      <c r="C63" s="1" t="str">
        <f t="shared" si="22"/>
        <v>FA1300200</v>
      </c>
      <c r="D63" s="73" t="str">
        <f t="shared" si="22"/>
        <v>3 CORE X 95 SQ. MM. AL/ARM  WIRE (XLPE) - 33 KV</v>
      </c>
      <c r="E63" s="74">
        <f t="shared" si="23"/>
        <v>2262.63</v>
      </c>
      <c r="F63" s="77">
        <f t="shared" si="23"/>
        <v>136</v>
      </c>
      <c r="G63" s="75">
        <f t="shared" si="20"/>
        <v>2398.63</v>
      </c>
      <c r="H63" s="76">
        <f t="shared" si="24"/>
        <v>0.18</v>
      </c>
      <c r="I63" s="75">
        <f t="shared" si="25"/>
        <v>431.75</v>
      </c>
      <c r="J63" s="75">
        <f t="shared" si="26"/>
        <v>2830.38</v>
      </c>
      <c r="K63" s="73">
        <f t="shared" si="27"/>
        <v>500</v>
      </c>
      <c r="L63" s="73" t="s">
        <v>242</v>
      </c>
      <c r="M63" s="74">
        <f t="shared" si="21"/>
        <v>1415190</v>
      </c>
    </row>
    <row r="64" spans="1:13" ht="30" x14ac:dyDescent="0.25">
      <c r="A64" s="1" t="str">
        <f t="shared" si="22"/>
        <v>ENQ-10773-22-23</v>
      </c>
      <c r="B64" s="51">
        <f t="shared" si="22"/>
        <v>45135</v>
      </c>
      <c r="C64" s="1" t="str">
        <f t="shared" si="22"/>
        <v>FA1300027</v>
      </c>
      <c r="D64" s="73" t="str">
        <f t="shared" si="22"/>
        <v>1 CORE X 630 SQ. MM. AL/ARM (XLPE)  - 33 KV</v>
      </c>
      <c r="E64" s="74">
        <f t="shared" si="23"/>
        <v>1563.06</v>
      </c>
      <c r="F64" s="77">
        <f t="shared" si="23"/>
        <v>35.04</v>
      </c>
      <c r="G64" s="75">
        <f t="shared" si="20"/>
        <v>1598.1</v>
      </c>
      <c r="H64" s="76">
        <f t="shared" si="24"/>
        <v>0.18</v>
      </c>
      <c r="I64" s="75">
        <f t="shared" si="25"/>
        <v>287.66000000000003</v>
      </c>
      <c r="J64" s="75">
        <f t="shared" si="26"/>
        <v>1885.76</v>
      </c>
      <c r="K64" s="73">
        <f t="shared" si="27"/>
        <v>33000</v>
      </c>
      <c r="L64" s="73" t="s">
        <v>242</v>
      </c>
      <c r="M64" s="74">
        <f t="shared" si="21"/>
        <v>62230080</v>
      </c>
    </row>
    <row r="65" spans="1:13" ht="30" x14ac:dyDescent="0.25">
      <c r="A65" s="1" t="str">
        <f t="shared" si="22"/>
        <v>ENQ-10773-22-23</v>
      </c>
      <c r="B65" s="51">
        <f t="shared" si="22"/>
        <v>45135</v>
      </c>
      <c r="C65" s="1" t="str">
        <f t="shared" si="22"/>
        <v>FA1300018</v>
      </c>
      <c r="D65" s="73" t="str">
        <f t="shared" si="22"/>
        <v>1 CORE X 400 SQ. MM. AL/ARM (XLPE) - 33 KV</v>
      </c>
      <c r="E65" s="74">
        <f t="shared" si="23"/>
        <v>1212.53</v>
      </c>
      <c r="F65" s="77">
        <f t="shared" si="23"/>
        <v>29.34</v>
      </c>
      <c r="G65" s="75">
        <f t="shared" si="20"/>
        <v>1241.8699999999999</v>
      </c>
      <c r="H65" s="76">
        <f t="shared" si="24"/>
        <v>0.18</v>
      </c>
      <c r="I65" s="75">
        <f t="shared" si="25"/>
        <v>223.54</v>
      </c>
      <c r="J65" s="75">
        <f t="shared" si="26"/>
        <v>1465.41</v>
      </c>
      <c r="K65" s="73">
        <f t="shared" si="27"/>
        <v>25500</v>
      </c>
      <c r="L65" s="73" t="s">
        <v>242</v>
      </c>
      <c r="M65" s="74">
        <f t="shared" si="21"/>
        <v>37367955</v>
      </c>
    </row>
    <row r="66" spans="1:13" ht="30" x14ac:dyDescent="0.25">
      <c r="A66" s="1" t="str">
        <f t="shared" si="22"/>
        <v>ENQ-10773-22-23</v>
      </c>
      <c r="B66" s="51">
        <f t="shared" si="22"/>
        <v>45135</v>
      </c>
      <c r="C66" s="1" t="str">
        <f t="shared" si="22"/>
        <v>FA1300019</v>
      </c>
      <c r="D66" s="73" t="str">
        <f t="shared" si="22"/>
        <v>1 CORE X 300 SQ. MM. AL/ARM (XLPE)  - 33 KV</v>
      </c>
      <c r="E66" s="74">
        <f t="shared" si="23"/>
        <v>1056.1500000000001</v>
      </c>
      <c r="F66" s="77">
        <f t="shared" si="23"/>
        <v>26.16</v>
      </c>
      <c r="G66" s="75">
        <f t="shared" si="20"/>
        <v>1082.3100000000002</v>
      </c>
      <c r="H66" s="76">
        <f t="shared" si="24"/>
        <v>0.18</v>
      </c>
      <c r="I66" s="75">
        <f t="shared" si="25"/>
        <v>194.82</v>
      </c>
      <c r="J66" s="75">
        <f t="shared" si="26"/>
        <v>1277.1300000000001</v>
      </c>
      <c r="K66" s="73">
        <f t="shared" si="27"/>
        <v>13000</v>
      </c>
      <c r="L66" s="73" t="s">
        <v>242</v>
      </c>
      <c r="M66" s="74">
        <f t="shared" si="21"/>
        <v>16602690.000000002</v>
      </c>
    </row>
  </sheetData>
  <mergeCells count="19">
    <mergeCell ref="B8:R8"/>
    <mergeCell ref="B9:R9"/>
    <mergeCell ref="B10:R10"/>
    <mergeCell ref="A2:R2"/>
    <mergeCell ref="AL16:AR16"/>
    <mergeCell ref="B11:R11"/>
    <mergeCell ref="B12:R12"/>
    <mergeCell ref="B13:R13"/>
    <mergeCell ref="B14:R14"/>
    <mergeCell ref="B4:R4"/>
    <mergeCell ref="B5:R5"/>
    <mergeCell ref="B6:R6"/>
    <mergeCell ref="B7:R7"/>
    <mergeCell ref="AS16:BB16"/>
    <mergeCell ref="N16:R16"/>
    <mergeCell ref="S16:T16"/>
    <mergeCell ref="U16:AB16"/>
    <mergeCell ref="AC16:AD16"/>
    <mergeCell ref="AE16:AJ1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66"/>
  <sheetViews>
    <sheetView showZeros="0" topLeftCell="A15" workbookViewId="0">
      <pane ySplit="4" topLeftCell="A39" activePane="bottomLeft" state="frozen"/>
      <selection activeCell="A15" sqref="A15"/>
      <selection pane="bottomLeft" activeCell="N18" sqref="N18:BT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customWidth="1"/>
    <col min="6" max="6" width="11.5703125" customWidth="1"/>
    <col min="7" max="7" width="14.5703125" customWidth="1"/>
    <col min="8" max="8" width="11" style="7" customWidth="1"/>
    <col min="9" max="9" width="12.28515625" customWidth="1"/>
    <col min="10" max="10" width="13.85546875" customWidth="1"/>
    <col min="11" max="12" width="9.140625" customWidth="1"/>
    <col min="13" max="13" width="15.28515625" customWidth="1"/>
    <col min="14" max="14" width="7.85546875" style="26" customWidth="1"/>
    <col min="15" max="24" width="7.85546875" style="26" hidden="1" customWidth="1"/>
    <col min="25" max="25" width="7.85546875" style="26" customWidth="1"/>
    <col min="26" max="28" width="7.85546875" style="26" hidden="1" customWidth="1"/>
    <col min="29" max="29" width="7.85546875" style="26" customWidth="1"/>
    <col min="30" max="30" width="7.85546875" style="26" hidden="1" customWidth="1"/>
    <col min="31" max="31" width="7.85546875" style="26" customWidth="1"/>
    <col min="32" max="36" width="7.85546875" style="26" hidden="1" customWidth="1"/>
    <col min="37" max="37" width="7.85546875" style="26" customWidth="1"/>
    <col min="38" max="42" width="7.85546875" style="26" hidden="1" customWidth="1"/>
    <col min="43" max="44" width="7.85546875" style="26" customWidth="1"/>
    <col min="45" max="47" width="7.85546875" style="26" hidden="1" customWidth="1"/>
    <col min="48" max="48" width="7.85546875" style="26" customWidth="1"/>
    <col min="49" max="52" width="7.85546875" style="26" hidden="1" customWidth="1"/>
    <col min="53" max="53" width="7.85546875" style="26" customWidth="1"/>
    <col min="54" max="57" width="7.85546875" style="26" hidden="1" customWidth="1"/>
    <col min="58" max="58" width="11.28515625" style="26" customWidth="1"/>
    <col min="59" max="59" width="7.85546875" style="26" customWidth="1"/>
    <col min="60" max="66" width="7.85546875" style="26" hidden="1" customWidth="1"/>
    <col min="67" max="68" width="7.85546875" style="26" customWidth="1"/>
    <col min="69" max="71" width="7.85546875" style="26" hidden="1" customWidth="1"/>
    <col min="72" max="72" width="7.85546875" style="26" customWidth="1"/>
    <col min="73" max="73" width="7.85546875" style="26" hidden="1" customWidth="1"/>
    <col min="74" max="74" width="7.85546875" style="26" customWidth="1"/>
    <col min="75" max="75" width="11.140625" style="26" customWidth="1"/>
    <col min="76" max="76" width="18" style="26" customWidth="1"/>
    <col min="77" max="77" width="9.140625" style="26" customWidth="1"/>
    <col min="78" max="78" width="13.28515625" style="4" customWidth="1"/>
    <col min="79" max="79" width="13.85546875" style="4" bestFit="1" customWidth="1"/>
    <col min="80" max="80" width="9.140625" style="24" hidden="1" customWidth="1"/>
    <col min="81" max="81" width="9.140625" style="4" hidden="1" customWidth="1"/>
    <col min="82" max="82" width="9.140625" style="10" customWidth="1"/>
    <col min="83" max="83" width="12.5703125"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10" bestFit="1" customWidth="1"/>
  </cols>
  <sheetData>
    <row r="1" spans="1:89" s="42" customFormat="1" ht="15.75" thickBot="1" x14ac:dyDescent="0.3"/>
    <row r="2" spans="1:89" s="42" customFormat="1" ht="23.25" thickBot="1" x14ac:dyDescent="0.5">
      <c r="A2" s="92" t="s">
        <v>157</v>
      </c>
      <c r="B2" s="93"/>
      <c r="C2" s="93"/>
      <c r="D2" s="93"/>
      <c r="E2" s="93"/>
      <c r="F2" s="93"/>
      <c r="G2" s="93"/>
      <c r="H2" s="93"/>
      <c r="I2" s="93"/>
      <c r="J2" s="93"/>
      <c r="K2" s="93"/>
      <c r="L2" s="93"/>
      <c r="M2" s="93"/>
      <c r="N2" s="93"/>
      <c r="O2" s="93"/>
      <c r="P2" s="93"/>
      <c r="Q2" s="93"/>
      <c r="R2" s="94"/>
      <c r="S2" s="48"/>
      <c r="T2" s="45"/>
    </row>
    <row r="3" spans="1:89" s="42" customFormat="1" ht="15.75" thickBot="1" x14ac:dyDescent="0.3">
      <c r="A3"/>
      <c r="B3"/>
      <c r="C3"/>
      <c r="D3"/>
      <c r="E3"/>
      <c r="F3"/>
      <c r="G3"/>
      <c r="H3"/>
      <c r="I3"/>
      <c r="J3"/>
      <c r="K3"/>
      <c r="L3"/>
      <c r="M3"/>
      <c r="N3"/>
      <c r="O3"/>
      <c r="P3"/>
      <c r="Q3"/>
      <c r="R3"/>
      <c r="S3"/>
    </row>
    <row r="4" spans="1:89" s="42" customFormat="1" ht="51.75" customHeight="1" thickBot="1" x14ac:dyDescent="0.3">
      <c r="A4" s="43" t="s">
        <v>124</v>
      </c>
      <c r="B4" s="101" t="s">
        <v>158</v>
      </c>
      <c r="C4" s="101"/>
      <c r="D4" s="101"/>
      <c r="E4" s="101"/>
      <c r="F4" s="101"/>
      <c r="G4" s="101"/>
      <c r="H4" s="101"/>
      <c r="I4" s="101"/>
      <c r="J4" s="101"/>
      <c r="K4" s="101"/>
      <c r="L4" s="101"/>
      <c r="M4" s="101"/>
      <c r="N4" s="101"/>
      <c r="O4" s="101"/>
      <c r="P4" s="101"/>
      <c r="Q4" s="101"/>
      <c r="R4" s="101"/>
      <c r="S4"/>
    </row>
    <row r="5" spans="1:89" s="42" customFormat="1" ht="34.5" customHeight="1" x14ac:dyDescent="0.25">
      <c r="A5" s="43" t="s">
        <v>125</v>
      </c>
      <c r="B5" s="101" t="s">
        <v>156</v>
      </c>
      <c r="C5" s="101"/>
      <c r="D5" s="101"/>
      <c r="E5" s="101"/>
      <c r="F5" s="101"/>
      <c r="G5" s="101"/>
      <c r="H5" s="101"/>
      <c r="I5" s="101"/>
      <c r="J5" s="101"/>
      <c r="K5" s="101"/>
      <c r="L5" s="101"/>
      <c r="M5" s="101"/>
      <c r="N5" s="101"/>
      <c r="O5" s="101"/>
      <c r="P5" s="101"/>
      <c r="Q5" s="101"/>
      <c r="R5" s="101"/>
      <c r="S5"/>
    </row>
    <row r="6" spans="1:89" s="42" customFormat="1" ht="45" customHeight="1" x14ac:dyDescent="0.25">
      <c r="A6" s="44" t="s">
        <v>126</v>
      </c>
      <c r="B6" s="88" t="s">
        <v>159</v>
      </c>
      <c r="C6" s="101"/>
      <c r="D6" s="101"/>
      <c r="E6" s="101"/>
      <c r="F6" s="101"/>
      <c r="G6" s="101"/>
      <c r="H6" s="101"/>
      <c r="I6" s="101"/>
      <c r="J6" s="101"/>
      <c r="K6" s="101"/>
      <c r="L6" s="101"/>
      <c r="M6" s="101"/>
      <c r="N6" s="101"/>
      <c r="O6" s="101"/>
      <c r="P6" s="101"/>
      <c r="Q6" s="101"/>
      <c r="R6" s="101"/>
      <c r="S6"/>
    </row>
    <row r="7" spans="1:89" s="42" customFormat="1" ht="47.25" customHeight="1" x14ac:dyDescent="0.25">
      <c r="A7" s="44" t="s">
        <v>123</v>
      </c>
      <c r="B7" s="88" t="s">
        <v>160</v>
      </c>
      <c r="C7" s="101"/>
      <c r="D7" s="101"/>
      <c r="E7" s="101"/>
      <c r="F7" s="101"/>
      <c r="G7" s="101"/>
      <c r="H7" s="101"/>
      <c r="I7" s="101"/>
      <c r="J7" s="101"/>
      <c r="K7" s="101"/>
      <c r="L7" s="101"/>
      <c r="M7" s="101"/>
      <c r="N7" s="101"/>
      <c r="O7" s="101"/>
      <c r="P7" s="101"/>
      <c r="Q7" s="101"/>
      <c r="R7" s="101"/>
      <c r="S7"/>
    </row>
    <row r="8" spans="1:89" s="42" customFormat="1" ht="23.25" customHeight="1" x14ac:dyDescent="0.25">
      <c r="A8" s="44" t="s">
        <v>127</v>
      </c>
      <c r="B8" s="88" t="s">
        <v>162</v>
      </c>
      <c r="C8" s="88"/>
      <c r="D8" s="88"/>
      <c r="E8" s="88"/>
      <c r="F8" s="88"/>
      <c r="G8" s="88"/>
      <c r="H8" s="88"/>
      <c r="I8" s="88"/>
      <c r="J8" s="88"/>
      <c r="K8" s="88"/>
      <c r="L8" s="88"/>
      <c r="M8" s="88"/>
      <c r="N8" s="88"/>
      <c r="O8" s="88"/>
      <c r="P8" s="88"/>
      <c r="Q8" s="88"/>
      <c r="R8" s="88"/>
      <c r="S8"/>
    </row>
    <row r="9" spans="1:89" s="42" customFormat="1" ht="34.5" customHeight="1" x14ac:dyDescent="0.25">
      <c r="A9" s="44" t="s">
        <v>128</v>
      </c>
      <c r="B9" s="89" t="s">
        <v>163</v>
      </c>
      <c r="C9" s="90"/>
      <c r="D9" s="90"/>
      <c r="E9" s="90"/>
      <c r="F9" s="90"/>
      <c r="G9" s="90"/>
      <c r="H9" s="90"/>
      <c r="I9" s="90"/>
      <c r="J9" s="90"/>
      <c r="K9" s="90"/>
      <c r="L9" s="90"/>
      <c r="M9" s="90"/>
      <c r="N9" s="90"/>
      <c r="O9" s="90"/>
      <c r="P9" s="90"/>
      <c r="Q9" s="90"/>
      <c r="R9" s="91"/>
    </row>
    <row r="10" spans="1:89" s="42" customFormat="1" ht="33.75" customHeight="1" x14ac:dyDescent="0.25">
      <c r="A10" s="44" t="s">
        <v>129</v>
      </c>
      <c r="B10" s="88" t="s">
        <v>161</v>
      </c>
      <c r="C10" s="88"/>
      <c r="D10" s="88"/>
      <c r="E10" s="88"/>
      <c r="F10" s="88"/>
      <c r="G10" s="88"/>
      <c r="H10" s="88"/>
      <c r="I10" s="88"/>
      <c r="J10" s="88"/>
      <c r="K10" s="88"/>
      <c r="L10" s="88"/>
      <c r="M10" s="88"/>
      <c r="N10" s="88"/>
      <c r="O10" s="88"/>
      <c r="P10" s="88"/>
      <c r="Q10" s="88"/>
      <c r="R10" s="88"/>
      <c r="S10"/>
    </row>
    <row r="11" spans="1:89" s="42" customFormat="1" ht="34.5" customHeight="1" x14ac:dyDescent="0.25">
      <c r="A11" s="44" t="s">
        <v>130</v>
      </c>
      <c r="B11" s="97" t="s">
        <v>164</v>
      </c>
      <c r="C11" s="98"/>
      <c r="D11" s="98"/>
      <c r="E11" s="98"/>
      <c r="F11" s="98"/>
      <c r="G11" s="98"/>
      <c r="H11" s="98"/>
      <c r="I11" s="98"/>
      <c r="J11" s="98"/>
      <c r="K11" s="98"/>
      <c r="L11" s="98"/>
      <c r="M11" s="98"/>
      <c r="N11" s="98"/>
      <c r="O11" s="98"/>
      <c r="P11" s="98"/>
      <c r="Q11" s="98"/>
      <c r="R11" s="99"/>
      <c r="S11"/>
    </row>
    <row r="12" spans="1:89" s="42" customFormat="1" ht="30" x14ac:dyDescent="0.25">
      <c r="A12" s="49" t="s">
        <v>131</v>
      </c>
      <c r="B12" s="100" t="s">
        <v>166</v>
      </c>
      <c r="C12" s="100"/>
      <c r="D12" s="100"/>
      <c r="E12" s="100"/>
      <c r="F12" s="100"/>
      <c r="G12" s="100"/>
      <c r="H12" s="100"/>
      <c r="I12" s="100"/>
      <c r="J12" s="100"/>
      <c r="K12" s="100"/>
      <c r="L12" s="100"/>
      <c r="M12" s="100"/>
      <c r="N12" s="100"/>
      <c r="O12" s="100"/>
      <c r="P12" s="100"/>
      <c r="Q12" s="100"/>
      <c r="R12" s="100"/>
    </row>
    <row r="13" spans="1:89" s="42" customFormat="1" ht="37.5" customHeight="1" x14ac:dyDescent="0.25">
      <c r="A13" s="49" t="s">
        <v>132</v>
      </c>
      <c r="B13" s="100" t="s">
        <v>165</v>
      </c>
      <c r="C13" s="100"/>
      <c r="D13" s="100"/>
      <c r="E13" s="100"/>
      <c r="F13" s="100"/>
      <c r="G13" s="100"/>
      <c r="H13" s="100"/>
      <c r="I13" s="100"/>
      <c r="J13" s="100"/>
      <c r="K13" s="100"/>
      <c r="L13" s="100"/>
      <c r="M13" s="100"/>
      <c r="N13" s="100"/>
      <c r="O13" s="100"/>
      <c r="P13" s="100"/>
      <c r="Q13" s="100"/>
      <c r="R13" s="100"/>
    </row>
    <row r="14" spans="1:89" s="42" customFormat="1" ht="13.5" customHeight="1" x14ac:dyDescent="0.25">
      <c r="A14" s="50" t="s">
        <v>133</v>
      </c>
      <c r="B14" s="100"/>
      <c r="C14" s="100"/>
      <c r="D14" s="100"/>
      <c r="E14" s="100"/>
      <c r="F14" s="100"/>
      <c r="G14" s="100"/>
      <c r="H14" s="100"/>
      <c r="I14" s="100"/>
      <c r="J14" s="100"/>
      <c r="K14" s="100"/>
      <c r="L14" s="100"/>
      <c r="M14" s="100"/>
      <c r="N14" s="100"/>
      <c r="O14" s="100"/>
      <c r="P14" s="100"/>
      <c r="Q14" s="100"/>
      <c r="R14" s="100"/>
    </row>
    <row r="15" spans="1:89" ht="9" customHeight="1" x14ac:dyDescent="0.25"/>
    <row r="16" spans="1:89" s="33" customFormat="1" ht="55.5" customHeight="1" x14ac:dyDescent="0.25">
      <c r="E16" s="39"/>
      <c r="H16" s="40"/>
      <c r="N16" s="87" t="str">
        <f>Sheet1!J1</f>
        <v>Conductor</v>
      </c>
      <c r="O16" s="87"/>
      <c r="P16" s="87"/>
      <c r="Q16" s="87"/>
      <c r="R16" s="87"/>
      <c r="S16" s="87" t="s">
        <v>9</v>
      </c>
      <c r="T16" s="87"/>
      <c r="U16" s="87" t="s">
        <v>3</v>
      </c>
      <c r="V16" s="87"/>
      <c r="W16" s="87"/>
      <c r="X16" s="87"/>
      <c r="Y16" s="87"/>
      <c r="Z16" s="87"/>
      <c r="AA16" s="87"/>
      <c r="AB16" s="87"/>
      <c r="AC16" s="87" t="s">
        <v>12</v>
      </c>
      <c r="AD16" s="87"/>
      <c r="AE16" s="87" t="s">
        <v>15</v>
      </c>
      <c r="AF16" s="87"/>
      <c r="AG16" s="87"/>
      <c r="AH16" s="87"/>
      <c r="AI16" s="87"/>
      <c r="AJ16" s="87"/>
      <c r="AK16" s="55" t="s">
        <v>18</v>
      </c>
      <c r="AL16" s="95" t="s">
        <v>21</v>
      </c>
      <c r="AM16" s="96"/>
      <c r="AN16" s="96"/>
      <c r="AO16" s="96"/>
      <c r="AP16" s="96"/>
      <c r="AQ16" s="96"/>
      <c r="AR16" s="96"/>
      <c r="AS16" s="87" t="s">
        <v>24</v>
      </c>
      <c r="AT16" s="87"/>
      <c r="AU16" s="87"/>
      <c r="AV16" s="87"/>
      <c r="AW16" s="87"/>
      <c r="AX16" s="87"/>
      <c r="AY16" s="87"/>
      <c r="AZ16" s="87"/>
      <c r="BA16" s="87"/>
      <c r="BB16" s="87"/>
      <c r="BC16" s="70" t="s">
        <v>27</v>
      </c>
      <c r="BD16" s="70"/>
      <c r="BE16" s="70"/>
      <c r="BF16" s="71" t="s">
        <v>236</v>
      </c>
      <c r="BG16" s="70"/>
      <c r="BH16" s="70"/>
      <c r="BI16" s="70"/>
      <c r="BJ16" s="70"/>
      <c r="BK16" s="70"/>
      <c r="BL16" s="70"/>
      <c r="BM16" s="35" t="s">
        <v>30</v>
      </c>
      <c r="BN16" s="55" t="s">
        <v>33</v>
      </c>
      <c r="BO16" s="55" t="s">
        <v>36</v>
      </c>
      <c r="BP16" s="55" t="s">
        <v>39</v>
      </c>
      <c r="BQ16" s="55" t="s">
        <v>42</v>
      </c>
      <c r="BR16" s="55" t="s">
        <v>45</v>
      </c>
      <c r="BS16" s="55" t="s">
        <v>48</v>
      </c>
      <c r="BT16" s="55" t="s">
        <v>51</v>
      </c>
      <c r="BU16" s="55" t="s">
        <v>54</v>
      </c>
      <c r="BV16" s="55"/>
      <c r="BW16" s="55"/>
      <c r="BX16" s="55"/>
      <c r="BY16" s="55"/>
      <c r="BZ16" s="36" t="s">
        <v>57</v>
      </c>
      <c r="CA16" s="36" t="s">
        <v>58</v>
      </c>
      <c r="CB16" s="37" t="s">
        <v>79</v>
      </c>
      <c r="CC16" s="36" t="s">
        <v>122</v>
      </c>
      <c r="CD16" s="38"/>
      <c r="CE16" s="39"/>
      <c r="CF16" s="40"/>
      <c r="CG16" s="39"/>
      <c r="CH16" s="39"/>
      <c r="CI16" s="40"/>
      <c r="CK16" s="40"/>
    </row>
    <row r="17" spans="1:90" s="15" customFormat="1" ht="89.25" x14ac:dyDescent="0.25">
      <c r="A17" s="18" t="s">
        <v>0</v>
      </c>
      <c r="B17" s="18" t="str">
        <f>Sheet1!B1</f>
        <v>Base Date</v>
      </c>
      <c r="C17" s="18" t="s">
        <v>1</v>
      </c>
      <c r="D17" s="18" t="s">
        <v>2</v>
      </c>
      <c r="E17" s="5" t="s">
        <v>70</v>
      </c>
      <c r="F17" s="11" t="s">
        <v>71</v>
      </c>
      <c r="G17" s="11" t="s">
        <v>72</v>
      </c>
      <c r="H17" s="6" t="s">
        <v>73</v>
      </c>
      <c r="I17" s="11" t="s">
        <v>74</v>
      </c>
      <c r="J17" s="11" t="s">
        <v>75</v>
      </c>
      <c r="K17" s="11" t="s">
        <v>76</v>
      </c>
      <c r="L17" s="11" t="s">
        <v>77</v>
      </c>
      <c r="M17" s="11" t="s">
        <v>78</v>
      </c>
      <c r="N17" s="19" t="s">
        <v>80</v>
      </c>
      <c r="O17" s="19" t="s">
        <v>85</v>
      </c>
      <c r="P17" s="19" t="s">
        <v>82</v>
      </c>
      <c r="Q17" s="19" t="s">
        <v>83</v>
      </c>
      <c r="R17" s="19" t="s">
        <v>84</v>
      </c>
      <c r="S17" s="19" t="s">
        <v>80</v>
      </c>
      <c r="T17" s="19" t="s">
        <v>85</v>
      </c>
      <c r="U17" s="20" t="s">
        <v>92</v>
      </c>
      <c r="V17" s="20" t="s">
        <v>96</v>
      </c>
      <c r="W17" s="20" t="s">
        <v>99</v>
      </c>
      <c r="X17" s="20" t="s">
        <v>104</v>
      </c>
      <c r="Y17" s="20" t="s">
        <v>108</v>
      </c>
      <c r="Z17" s="20" t="s">
        <v>111</v>
      </c>
      <c r="AA17" s="20" t="s">
        <v>114</v>
      </c>
      <c r="AB17" s="20" t="s">
        <v>116</v>
      </c>
      <c r="AC17" s="20" t="s">
        <v>91</v>
      </c>
      <c r="AD17" s="20" t="s">
        <v>95</v>
      </c>
      <c r="AE17" s="20" t="s">
        <v>90</v>
      </c>
      <c r="AF17" s="20" t="s">
        <v>86</v>
      </c>
      <c r="AG17" s="20" t="s">
        <v>98</v>
      </c>
      <c r="AH17" s="20" t="s">
        <v>103</v>
      </c>
      <c r="AI17" s="20" t="s">
        <v>107</v>
      </c>
      <c r="AJ17" s="20" t="s">
        <v>110</v>
      </c>
      <c r="AK17" s="16" t="s">
        <v>18</v>
      </c>
      <c r="AL17" s="20" t="s">
        <v>93</v>
      </c>
      <c r="AM17" s="20" t="s">
        <v>97</v>
      </c>
      <c r="AN17" s="20" t="s">
        <v>100</v>
      </c>
      <c r="AO17" s="20" t="s">
        <v>105</v>
      </c>
      <c r="AP17" s="20" t="s">
        <v>109</v>
      </c>
      <c r="AQ17" s="20" t="s">
        <v>87</v>
      </c>
      <c r="AR17" s="20" t="s">
        <v>115</v>
      </c>
      <c r="AS17" s="20" t="s">
        <v>94</v>
      </c>
      <c r="AT17" s="20" t="s">
        <v>81</v>
      </c>
      <c r="AU17" s="20" t="s">
        <v>101</v>
      </c>
      <c r="AV17" s="20" t="s">
        <v>106</v>
      </c>
      <c r="AW17" s="20" t="s">
        <v>112</v>
      </c>
      <c r="AX17" s="20" t="s">
        <v>88</v>
      </c>
      <c r="AY17" s="20" t="s">
        <v>117</v>
      </c>
      <c r="AZ17" s="20" t="s">
        <v>118</v>
      </c>
      <c r="BA17" s="20" t="s">
        <v>119</v>
      </c>
      <c r="BB17" s="20" t="s">
        <v>121</v>
      </c>
      <c r="BC17" s="20" t="s">
        <v>93</v>
      </c>
      <c r="BD17" s="20" t="s">
        <v>97</v>
      </c>
      <c r="BE17" s="20" t="s">
        <v>102</v>
      </c>
      <c r="BF17" s="20" t="s">
        <v>100</v>
      </c>
      <c r="BG17" s="20" t="s">
        <v>173</v>
      </c>
      <c r="BH17" s="20" t="s">
        <v>113</v>
      </c>
      <c r="BI17" s="20" t="s">
        <v>105</v>
      </c>
      <c r="BJ17" s="20" t="s">
        <v>87</v>
      </c>
      <c r="BK17" s="20" t="s">
        <v>115</v>
      </c>
      <c r="BL17" s="20" t="s">
        <v>120</v>
      </c>
      <c r="BM17" s="16" t="s">
        <v>30</v>
      </c>
      <c r="BN17" s="16" t="s">
        <v>89</v>
      </c>
      <c r="BO17" s="67" t="s">
        <v>235</v>
      </c>
      <c r="BP17" s="21" t="s">
        <v>39</v>
      </c>
      <c r="BQ17" s="17" t="s">
        <v>42</v>
      </c>
      <c r="BR17" s="17" t="s">
        <v>45</v>
      </c>
      <c r="BS17" s="17" t="s">
        <v>48</v>
      </c>
      <c r="BT17" s="21" t="s">
        <v>51</v>
      </c>
      <c r="BU17" s="17" t="s">
        <v>54</v>
      </c>
      <c r="BV17" s="17" t="str">
        <f>Sheet1!E1</f>
        <v>PROPOSE DRUM TYPE</v>
      </c>
      <c r="BW17" s="53" t="str">
        <f>Sheet1!CV1</f>
        <v>DRUM CODE</v>
      </c>
      <c r="BX17" s="53" t="str">
        <f>Sheet1!CW1</f>
        <v>DRUM SIZE (FxbXtx Ft)</v>
      </c>
      <c r="BY17" s="60" t="str">
        <f>Sheet1!CX1</f>
        <v xml:space="preserve">PARTY STANDARD LENGTH (MTR) </v>
      </c>
      <c r="BZ17" s="25"/>
      <c r="CA17" s="25"/>
      <c r="CB17" s="22"/>
      <c r="CC17" s="25"/>
      <c r="CD17" s="9" t="s">
        <v>61</v>
      </c>
      <c r="CE17" s="5" t="s">
        <v>62</v>
      </c>
      <c r="CF17" s="6" t="s">
        <v>63</v>
      </c>
      <c r="CG17" s="5" t="s">
        <v>64</v>
      </c>
      <c r="CH17" s="5" t="s">
        <v>65</v>
      </c>
      <c r="CI17" s="6" t="s">
        <v>66</v>
      </c>
      <c r="CJ17" s="11" t="s">
        <v>67</v>
      </c>
      <c r="CK17" s="6" t="s">
        <v>68</v>
      </c>
      <c r="CL17" s="11" t="s">
        <v>69</v>
      </c>
    </row>
    <row r="18" spans="1:90" s="25" customFormat="1" x14ac:dyDescent="0.25">
      <c r="A18" s="27"/>
      <c r="B18" s="27"/>
      <c r="C18" s="27"/>
      <c r="D18" s="27"/>
      <c r="E18" s="5"/>
      <c r="F18" s="5"/>
      <c r="G18" s="5"/>
      <c r="H18" s="5"/>
      <c r="I18" s="5"/>
      <c r="J18" s="5"/>
      <c r="K18" s="5"/>
      <c r="L18" s="5"/>
      <c r="M18" s="5"/>
      <c r="N18" s="28">
        <v>216</v>
      </c>
      <c r="O18" s="28">
        <f>+IFERROR(VLOOKUP($O$17,Sheet1!J:L,2,0),0)</f>
        <v>0</v>
      </c>
      <c r="P18" s="28">
        <f>+IFERROR(VLOOKUP($P$17,Sheet1!J:M,2,0),0)</f>
        <v>0</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v>878</v>
      </c>
      <c r="Z18" s="29">
        <f>+IFERROR(VLOOKUP($Z$17,Sheet1!F:I,2,0),0)</f>
        <v>0</v>
      </c>
      <c r="AA18" s="29">
        <f>+IFERROR(VLOOKUP($AA$17,Sheet1!F:I,2,0),0)</f>
        <v>0</v>
      </c>
      <c r="AB18" s="29">
        <f>+IFERROR(VLOOKUP($AB$17,Sheet1!F:I,2,0),0)</f>
        <v>0</v>
      </c>
      <c r="AC18" s="29">
        <v>195</v>
      </c>
      <c r="AD18" s="29">
        <f>+IFERROR(VLOOKUP($AD$17,Sheet1!R:U,2,0),0)</f>
        <v>0</v>
      </c>
      <c r="AE18" s="29">
        <v>155</v>
      </c>
      <c r="AF18" s="29">
        <f>+IFERROR(VLOOKUP($AF$17,Sheet1!V:Y,2,0),0)</f>
        <v>0</v>
      </c>
      <c r="AG18" s="29">
        <f>+IFERROR(VLOOKUP($AG$17,Sheet1!V:Y,2,0),0)</f>
        <v>0</v>
      </c>
      <c r="AH18" s="29">
        <f>+IFERROR(VLOOKUP($AH$17,Sheet1!V:Y,2,0),0)</f>
        <v>0</v>
      </c>
      <c r="AI18" s="29">
        <f>+IFERROR(VLOOKUP($AI$17,Sheet1!V:Y,2,0),0)</f>
        <v>0</v>
      </c>
      <c r="AJ18" s="29">
        <f>+IFERROR(VLOOKUP($AJ$17,Sheet1!V:Y,2,0),0)</f>
        <v>0</v>
      </c>
      <c r="AK18" s="30">
        <v>123</v>
      </c>
      <c r="AL18" s="29">
        <f>+IFERROR(VLOOKUP($AL$17,Sheet1!AD2:AG840,2,0),0)</f>
        <v>0</v>
      </c>
      <c r="AM18" s="29">
        <f>+IFERROR(VLOOKUP($AM$17,Sheet1!AD2:AG840,2,0),0)</f>
        <v>0</v>
      </c>
      <c r="AN18" s="29">
        <f>+IFERROR(VLOOKUP($AN$17,Sheet1!AD2:AG840,2,0),0)</f>
        <v>0</v>
      </c>
      <c r="AO18" s="29">
        <f>+IFERROR(VLOOKUP($AO$17,Sheet1!AD2:AG840,2,0),0)</f>
        <v>0</v>
      </c>
      <c r="AP18" s="29">
        <f>+IFERROR(VLOOKUP($AP$17,Sheet1!AD2:AG840,2,0),0)</f>
        <v>0</v>
      </c>
      <c r="AQ18" s="29">
        <v>61</v>
      </c>
      <c r="AR18" s="29">
        <v>88</v>
      </c>
      <c r="AS18" s="29">
        <f>+IFERROR(VLOOKUP($AS$17,Sheet1!AH2:AK840,2,0),0)</f>
        <v>0</v>
      </c>
      <c r="AT18" s="29">
        <f>+IFERROR(VLOOKUP($AT$17,Sheet1!AH2:AK840,2,0),0)</f>
        <v>0</v>
      </c>
      <c r="AU18" s="29">
        <f>+IFERROR(VLOOKUP($AU$17,Sheet1!AH2:AK840,2,0),0)</f>
        <v>0</v>
      </c>
      <c r="AV18" s="29">
        <v>219</v>
      </c>
      <c r="AW18" s="29">
        <f>+IFERROR(VLOOKUP($AW$17,Sheet1!AH2:AK840,2,0),0)</f>
        <v>0</v>
      </c>
      <c r="AX18" s="29">
        <f>+IFERROR(VLOOKUP($AX$17,Sheet1!AH2:AK840,2,0),0)</f>
        <v>0</v>
      </c>
      <c r="AY18" s="29">
        <f>+IFERROR(VLOOKUP($AY$17,Sheet1!AH2:AK840,2,0),0)</f>
        <v>0</v>
      </c>
      <c r="AZ18" s="29">
        <f>+IFERROR(VLOOKUP($AZ$17,Sheet1!AH2:AK840,2,0),0)</f>
        <v>0</v>
      </c>
      <c r="BA18" s="29">
        <v>87</v>
      </c>
      <c r="BB18" s="29">
        <f>+IFERROR(VLOOKUP($BB$17,Sheet1!AH2:AK840,2,0),0)</f>
        <v>0</v>
      </c>
      <c r="BC18" s="29">
        <f>+IFERROR(VLOOKUP($BC$17,Sheet1!AL2:AO840,2,0),0)</f>
        <v>0</v>
      </c>
      <c r="BD18" s="29">
        <f>+IFERROR(VLOOKUP($BD$17,Sheet1!AL2:AO840,2,0),0)</f>
        <v>0</v>
      </c>
      <c r="BE18" s="29">
        <f>+IFERROR(VLOOKUP($BE$17,Sheet1!AL2:AO840,2,0),0)</f>
        <v>0</v>
      </c>
      <c r="BF18" s="29">
        <v>94</v>
      </c>
      <c r="BG18" s="68">
        <v>65</v>
      </c>
      <c r="BH18" s="29">
        <f>+IFERROR(VLOOKUP($BH$17,Sheet1!AL2:AO840,2,0),0)</f>
        <v>0</v>
      </c>
      <c r="BI18" s="29">
        <f>+IFERROR(VLOOKUP($BI$17,Sheet1!AL2:AO840,2,0),0)</f>
        <v>0</v>
      </c>
      <c r="BJ18" s="29">
        <f>+IFERROR(VLOOKUP($BJ$17,Sheet1!AL2:AO840,2,0),0)</f>
        <v>0</v>
      </c>
      <c r="BK18" s="29">
        <f>+IFERROR(VLOOKUP($BK$17,Sheet1!AL2:AO840,2,0),0)</f>
        <v>0</v>
      </c>
      <c r="BL18" s="29">
        <f>+IFERROR(VLOOKUP($BL$17,Sheet1!AL2:AO840,2,0),0)</f>
        <v>0</v>
      </c>
      <c r="BM18" s="30"/>
      <c r="BN18" s="30">
        <f>+IFERROR(VLOOKUP($BN$17,Sheet1!AT2:AW840,2,0),0)</f>
        <v>0</v>
      </c>
      <c r="BO18" s="69">
        <v>350</v>
      </c>
      <c r="BP18" s="32">
        <f>+IFERROR(VLOOKUP($BP$17,Sheet1!BB2:BE840,2,0),0)</f>
        <v>510</v>
      </c>
      <c r="BQ18" s="31">
        <f>+IFERROR(VLOOKUP($BQ$17,Sheet1!BF2:BI840,2,0),0)</f>
        <v>0</v>
      </c>
      <c r="BR18" s="31">
        <f>+IFERROR(VLOOKUP($BR$17,Sheet1!BJ2:BM840,2,0),0)</f>
        <v>0</v>
      </c>
      <c r="BS18" s="31">
        <f>+IFERROR(VLOOKUP($BS$17,Sheet1!BN2:BQ840,2,0),0)</f>
        <v>0</v>
      </c>
      <c r="BT18" s="32">
        <f>+IFERROR(VLOOKUP($BT$17,Sheet1!BR2:BU840,2,0),0)</f>
        <v>440</v>
      </c>
      <c r="BU18" s="31">
        <f>+IFERROR(VLOOKUP($BU$17,Sheet1!BV2:BY840,2,0),0)</f>
        <v>0</v>
      </c>
      <c r="BV18" s="52"/>
      <c r="BW18" s="52"/>
      <c r="BX18" s="52"/>
      <c r="BY18" s="52"/>
      <c r="CD18" s="5"/>
      <c r="CE18" s="5"/>
      <c r="CF18" s="5"/>
      <c r="CG18" s="5"/>
      <c r="CH18" s="5"/>
      <c r="CI18" s="5"/>
      <c r="CJ18" s="5"/>
      <c r="CK18" s="5"/>
      <c r="CL18" s="5"/>
    </row>
    <row r="19" spans="1:90" ht="51" x14ac:dyDescent="0.25">
      <c r="A19" s="1" t="str">
        <f>Sheet1!A13</f>
        <v>ENQ-10773-22-23</v>
      </c>
      <c r="B19" s="51">
        <f>Sheet1!B13</f>
        <v>45135</v>
      </c>
      <c r="C19" s="1" t="str">
        <f>Sheet1!C13</f>
        <v>FA1300083</v>
      </c>
      <c r="D19" s="73" t="str">
        <f>Sheet1!D13</f>
        <v>3 CORE X 400 SQ. MM. AL/ARM - WIRE (XLPE) - 11 KV</v>
      </c>
      <c r="E19" s="74">
        <f t="shared" ref="E19:E32" si="0">CH19+CJ19+CL19</f>
        <v>3241791.6150000002</v>
      </c>
      <c r="F19" s="77">
        <f>ROUNDUP(M35,0)</f>
        <v>94445</v>
      </c>
      <c r="G19" s="75">
        <f t="shared" ref="G19:G32" si="1">E19+F19</f>
        <v>3336236.6150000002</v>
      </c>
      <c r="H19" s="76">
        <f>Sheet1!CP13</f>
        <v>0.18</v>
      </c>
      <c r="I19" s="75">
        <f t="shared" ref="I19:I32" si="2">G19*H19</f>
        <v>600522.59070000006</v>
      </c>
      <c r="J19" s="75">
        <f t="shared" ref="J19:J32" si="3">G19+I19</f>
        <v>3936759.2057000003</v>
      </c>
      <c r="K19" s="73">
        <v>12.6</v>
      </c>
      <c r="L19" s="73" t="str">
        <f>Sheet1!CT13</f>
        <v>KMS</v>
      </c>
      <c r="M19" s="74">
        <f t="shared" ref="M19:M32" si="4">J19*K19</f>
        <v>49603165.99182</v>
      </c>
      <c r="N19" s="78">
        <v>3243</v>
      </c>
      <c r="O19" s="41">
        <f>+IFERROR(VLOOKUP($O$17,Sheet1!J13:L13,3,0),0)</f>
        <v>0</v>
      </c>
      <c r="P19" s="41">
        <f>+IFERROR(VLOOKUP($P$17,Sheet1!J13:M13,3,0),0)</f>
        <v>0</v>
      </c>
      <c r="Q19" s="41">
        <f>+IFERROR(VLOOKUP($Q$17,Sheet1!J13:M13,3,0),0)</f>
        <v>0</v>
      </c>
      <c r="R19" s="41">
        <f>+IFERROR(VLOOKUP($R$17,Sheet1!J13:M13,3,0),0)</f>
        <v>0</v>
      </c>
      <c r="S19" s="41">
        <f>+IFERROR(VLOOKUP($S$17,Sheet1!N13:Q13,3,0),0)</f>
        <v>0</v>
      </c>
      <c r="T19" s="41">
        <f>+IFERROR(VLOOKUP($T$17,Sheet1!N13:Q13,3,0),0)</f>
        <v>0</v>
      </c>
      <c r="U19" s="41">
        <f>+IFERROR(VLOOKUP($U$17,Sheet1!F13:I13,3,0),0)</f>
        <v>0</v>
      </c>
      <c r="V19" s="41">
        <f>+IFERROR(VLOOKUP($V$17,Sheet1!F13:I13,3,0),0)</f>
        <v>0</v>
      </c>
      <c r="W19" s="41">
        <f>+IFERROR(VLOOKUP($W$17,Sheet1!F13:I13,3,0),0)</f>
        <v>0</v>
      </c>
      <c r="X19" s="41">
        <f>+IFERROR(VLOOKUP($X$17,Sheet1!F13:I13,3,0),0)</f>
        <v>0</v>
      </c>
      <c r="Y19" s="78">
        <v>158</v>
      </c>
      <c r="Z19" s="41">
        <f>+IFERROR(VLOOKUP($Z$17,Sheet1!F13:I13,3,0),0)</f>
        <v>0</v>
      </c>
      <c r="AA19" s="41">
        <f>+IFERROR(VLOOKUP($AA$17,Sheet1!F13:I13,3,0),0)</f>
        <v>0</v>
      </c>
      <c r="AB19" s="41">
        <f>+IFERROR(VLOOKUP($AB$17,Sheet1!F13:I13,3,0),0)</f>
        <v>0</v>
      </c>
      <c r="AC19" s="78">
        <v>414</v>
      </c>
      <c r="AD19" s="72">
        <f>+IFERROR(VLOOKUP($AD$17,Sheet1!R13:U13,2,0),0)</f>
        <v>0</v>
      </c>
      <c r="AE19" s="78">
        <v>938</v>
      </c>
      <c r="AF19" s="72">
        <f>+IFERROR(VLOOKUP($AF$17,Sheet1!V13:Y13,3,0),0)</f>
        <v>0</v>
      </c>
      <c r="AG19" s="72">
        <f>+IFERROR(VLOOKUP($AG$17,Sheet1!V13:Y13,3,0),0)</f>
        <v>0</v>
      </c>
      <c r="AH19" s="72">
        <f>+IFERROR(VLOOKUP($AH$17,Sheet1!V13:Y13,3,0),0)</f>
        <v>0</v>
      </c>
      <c r="AI19" s="72">
        <f>+IFERROR(VLOOKUP($AI$17,Sheet1!V13:Y13,3,0),0)</f>
        <v>0</v>
      </c>
      <c r="AJ19" s="72">
        <f>+IFERROR(VLOOKUP($AJ$17,Sheet1!V13:Y13,3,0),0)</f>
        <v>0</v>
      </c>
      <c r="AK19" s="72">
        <f>+IFERROR(VLOOKUP($AK$17,Sheet1!Z13:AB13,3,0),0)</f>
        <v>0</v>
      </c>
      <c r="AL19" s="72">
        <f>+IFERROR(VLOOKUP($AL$17,Sheet1!AD13:AG13,3,0),0)</f>
        <v>0</v>
      </c>
      <c r="AM19" s="72">
        <f>+IFERROR(VLOOKUP($AM$17,Sheet1!AD13:AG13,3,0),0)</f>
        <v>0</v>
      </c>
      <c r="AN19" s="72">
        <f>+IFERROR(VLOOKUP($AN$17,Sheet1!AD13:AG13,3,0),0)</f>
        <v>0</v>
      </c>
      <c r="AO19" s="72">
        <f>+IFERROR(VLOOKUP($AO$17,Sheet1!AD13:AG13,3,0),0)</f>
        <v>0</v>
      </c>
      <c r="AP19" s="72">
        <f>+IFERROR(VLOOKUP($AP$17,Sheet1!AD13:AG13,3,0),0)</f>
        <v>0</v>
      </c>
      <c r="AQ19" s="72">
        <f>+IFERROR(VLOOKUP($AQ$17,Sheet1!AD13:AG13,3,0),0)</f>
        <v>0</v>
      </c>
      <c r="AR19" s="79">
        <v>980</v>
      </c>
      <c r="AS19" s="72">
        <f>+IFERROR(VLOOKUP($AS$17,Sheet1!AH13:AK13,3,0),0)</f>
        <v>0</v>
      </c>
      <c r="AT19" s="72">
        <f>+IFERROR(VLOOKUP($AT$17,Sheet1!AH13:AK13,3,0),0)</f>
        <v>0</v>
      </c>
      <c r="AU19" s="72">
        <f>+IFERROR(VLOOKUP($AU$17,Sheet1!AH13:AK13,3,0),0)</f>
        <v>0</v>
      </c>
      <c r="AV19" s="72">
        <f>+IFERROR(VLOOKUP($AV$17,Sheet1!AH13:AK13,3,0),0)</f>
        <v>0</v>
      </c>
      <c r="AW19" s="72">
        <f>+IFERROR(VLOOKUP($AW$17,Sheet1!AH13:AK13,3,0),0)</f>
        <v>0</v>
      </c>
      <c r="AX19" s="72">
        <f>+IFERROR(VLOOKUP($AX$17,Sheet1!AH13:AK13,3,0),0)</f>
        <v>0</v>
      </c>
      <c r="AY19" s="72">
        <f>+IFERROR(VLOOKUP($AY$17,Sheet1!AH13:AK13,3,0),0)</f>
        <v>0</v>
      </c>
      <c r="AZ19" s="72">
        <f>+IFERROR(VLOOKUP($AZ$17,Sheet1!AH13:AK13,3,0),0)</f>
        <v>0</v>
      </c>
      <c r="BA19" s="79">
        <v>5540</v>
      </c>
      <c r="BB19" s="72">
        <f>+IFERROR(VLOOKUP($BB$17,Sheet1!AH13:AK13,3,0),0)</f>
        <v>0</v>
      </c>
      <c r="BC19" s="72">
        <f>+IFERROR(VLOOKUP($BC$17,Sheet1!AL13:AO13,3,0),0)</f>
        <v>0</v>
      </c>
      <c r="BD19" s="72">
        <f>+IFERROR(VLOOKUP($BD$17,Sheet1!AL13:AO13,3,0),0)</f>
        <v>0</v>
      </c>
      <c r="BE19" s="72">
        <f>+IFERROR(VLOOKUP($BE$17,Sheet1!AL13:AO13,3,0),0)</f>
        <v>0</v>
      </c>
      <c r="BF19" s="79">
        <v>1355</v>
      </c>
      <c r="BG19" s="79">
        <v>997</v>
      </c>
      <c r="BH19" s="72">
        <f>+IFERROR(VLOOKUP($BH$17,Sheet1!AL13:AO13,3,0),0)</f>
        <v>0</v>
      </c>
      <c r="BI19" s="72">
        <f>+IFERROR(VLOOKUP($BI$17,Sheet1!AL13:AO13,3,0),0)</f>
        <v>0</v>
      </c>
      <c r="BJ19" s="72">
        <f>+IFERROR(VLOOKUP($BJ$17,Sheet1!AL13:AO13,3,0),0)</f>
        <v>0</v>
      </c>
      <c r="BK19" s="72">
        <f>+IFERROR(VLOOKUP($BK$17,Sheet1!AL13:AO13,3,0),0)</f>
        <v>0</v>
      </c>
      <c r="BL19" s="72">
        <f>+IFERROR(VLOOKUP($BL$17,Sheet1!AL13:AO13,3,0),0)</f>
        <v>0</v>
      </c>
      <c r="BM19" s="72">
        <f>+IFERROR(VLOOKUP($BM$17,Sheet1!AP13:AS13,3,0),0)</f>
        <v>0</v>
      </c>
      <c r="BN19" s="72">
        <f>+IFERROR(VLOOKUP($BN$17,Sheet1!AT13:AW13,3,0),0)</f>
        <v>0</v>
      </c>
      <c r="BO19" s="79">
        <v>58</v>
      </c>
      <c r="BP19" s="79">
        <v>86</v>
      </c>
      <c r="BQ19" s="72">
        <f>+IFERROR(VLOOKUP($BQ$17,Sheet1!BF13:BI13,3,0),0)</f>
        <v>0</v>
      </c>
      <c r="BR19" s="72">
        <f>+IFERROR(VLOOKUP($BR$17,Sheet1!BJ13:BM13,3,0),0)</f>
        <v>0</v>
      </c>
      <c r="BS19" s="72">
        <f>+IFERROR(VLOOKUP($BS$17,Sheet1!BN13:BQ13,3,0),0)</f>
        <v>0</v>
      </c>
      <c r="BT19" s="79">
        <v>59</v>
      </c>
      <c r="BU19" s="11">
        <f>+IFERROR(VLOOKUP($BU$17,Sheet1!BV13:BY13,3,0),0)</f>
        <v>0</v>
      </c>
      <c r="BV19" s="11" t="str">
        <f>Sheet1!E13</f>
        <v>STEEL</v>
      </c>
      <c r="BW19" s="11" t="str">
        <f>Sheet1!CV13</f>
        <v>SP0400105</v>
      </c>
      <c r="BX19" s="11" t="str">
        <f>Sheet1!CW13</f>
        <v>CORRUGATED DISPATCH STEEL DRUM 2500 X 1500 X 1400</v>
      </c>
      <c r="BY19" s="11">
        <f>Sheet1!CX13</f>
        <v>250</v>
      </c>
      <c r="BZ19" s="3">
        <f>Sheet1!BZ13</f>
        <v>182400</v>
      </c>
      <c r="CA19" s="3">
        <f t="shared" ref="CA19:CA32" si="5">SUMPRODUCT($N$18:$BU$18,N19:BU19)+BZ19</f>
        <v>2098247</v>
      </c>
      <c r="CB19" s="23">
        <f>Sheet1!CB13</f>
        <v>0</v>
      </c>
      <c r="CC19" s="3">
        <f t="shared" ref="CC19:CC32" si="6">CA19*CB19</f>
        <v>0</v>
      </c>
      <c r="CD19" s="47">
        <v>0.5</v>
      </c>
      <c r="CE19" s="3">
        <f t="shared" ref="CE19:CE32" si="7">CA19*CD19</f>
        <v>1049123.5</v>
      </c>
      <c r="CF19" s="47">
        <v>0</v>
      </c>
      <c r="CG19" s="3">
        <f t="shared" ref="CG19:CG32" si="8">CA19*CF19</f>
        <v>0</v>
      </c>
      <c r="CH19" s="3">
        <f t="shared" ref="CH19:CH32" si="9">CA19+CC19+CE19+CG19</f>
        <v>3147370.5</v>
      </c>
      <c r="CI19" s="47">
        <v>0.02</v>
      </c>
      <c r="CJ19" s="80">
        <f t="shared" ref="CJ19:CJ32" si="10">CH19*CI19</f>
        <v>62947.41</v>
      </c>
      <c r="CK19" s="47">
        <v>0.01</v>
      </c>
      <c r="CL19" s="80">
        <f t="shared" ref="CL19:CL32" si="11">CH19*CK19</f>
        <v>31473.705000000002</v>
      </c>
    </row>
    <row r="20" spans="1:90" ht="51" x14ac:dyDescent="0.25">
      <c r="A20" s="1" t="str">
        <f>Sheet1!A15</f>
        <v>ENQ-10773-22-23</v>
      </c>
      <c r="B20" s="51">
        <f>Sheet1!B15</f>
        <v>45135</v>
      </c>
      <c r="C20" s="1" t="str">
        <f>Sheet1!C15</f>
        <v>FA1300091</v>
      </c>
      <c r="D20" s="73" t="str">
        <f>Sheet1!D15</f>
        <v>3 CORE X 300 SQ. MM. AL/ARM - WIRE (XLPE) - 11 KV</v>
      </c>
      <c r="E20" s="74">
        <f t="shared" si="0"/>
        <v>2598299.1150000002</v>
      </c>
      <c r="F20" s="77">
        <f t="shared" ref="F20:F32" si="12">ROUNDUP(M36,0)</f>
        <v>71094</v>
      </c>
      <c r="G20" s="75">
        <f t="shared" si="1"/>
        <v>2669393.1150000002</v>
      </c>
      <c r="H20" s="76">
        <f>Sheet1!CP15</f>
        <v>0.18</v>
      </c>
      <c r="I20" s="75">
        <f t="shared" si="2"/>
        <v>480490.76070000004</v>
      </c>
      <c r="J20" s="75">
        <f t="shared" si="3"/>
        <v>3149883.8757000002</v>
      </c>
      <c r="K20" s="73">
        <v>38.4</v>
      </c>
      <c r="L20" s="73" t="str">
        <f>Sheet1!CT15</f>
        <v>KMS</v>
      </c>
      <c r="M20" s="74">
        <f t="shared" si="4"/>
        <v>120955540.82688001</v>
      </c>
      <c r="N20" s="41">
        <f>+IFERROR(VLOOKUP($N$17,Sheet1!J15:L15,3,0),0)</f>
        <v>2430</v>
      </c>
      <c r="O20" s="41">
        <f>+IFERROR(VLOOKUP($O$17,Sheet1!J15:L15,3,0),0)</f>
        <v>0</v>
      </c>
      <c r="P20" s="41">
        <f>+IFERROR(VLOOKUP($P$17,Sheet1!J15:M15,3,0),0)</f>
        <v>0</v>
      </c>
      <c r="Q20" s="41">
        <f>+IFERROR(VLOOKUP($Q$17,Sheet1!J15:M15,3,0),0)</f>
        <v>0</v>
      </c>
      <c r="R20" s="41">
        <f>+IFERROR(VLOOKUP($R$17,Sheet1!J15:M15,3,0),0)</f>
        <v>0</v>
      </c>
      <c r="S20" s="41">
        <f>+IFERROR(VLOOKUP($S$17,Sheet1!N15:Q15,3,0),0)</f>
        <v>0</v>
      </c>
      <c r="T20" s="41">
        <f>+IFERROR(VLOOKUP($T$17,Sheet1!N15:Q15,3,0),0)</f>
        <v>0</v>
      </c>
      <c r="U20" s="41">
        <f>+IFERROR(VLOOKUP($U$17,Sheet1!F15:I15,3,0),0)</f>
        <v>0</v>
      </c>
      <c r="V20" s="41">
        <f>+IFERROR(VLOOKUP($V$17,Sheet1!F15:I15,3,0),0)</f>
        <v>0</v>
      </c>
      <c r="W20" s="41">
        <f>+IFERROR(VLOOKUP($W$17,Sheet1!F15:I15,3,0),0)</f>
        <v>0</v>
      </c>
      <c r="X20" s="41">
        <f>+IFERROR(VLOOKUP($X$17,Sheet1!F15:I15,3,0),0)</f>
        <v>0</v>
      </c>
      <c r="Y20" s="78">
        <v>144</v>
      </c>
      <c r="Z20" s="41">
        <f>+IFERROR(VLOOKUP($Z$17,Sheet1!F15:I15,3,0),0)</f>
        <v>0</v>
      </c>
      <c r="AA20" s="41">
        <f>+IFERROR(VLOOKUP($AA$17,Sheet1!F15:I15,3,0),0)</f>
        <v>0</v>
      </c>
      <c r="AB20" s="41">
        <f>+IFERROR(VLOOKUP($AB$17,Sheet1!F15:I15,3,0),0)</f>
        <v>0</v>
      </c>
      <c r="AC20" s="78">
        <v>370</v>
      </c>
      <c r="AD20" s="72">
        <f>+IFERROR(VLOOKUP($AD$17,Sheet1!R15:U15,2,0),0)</f>
        <v>0</v>
      </c>
      <c r="AE20" s="78">
        <v>838</v>
      </c>
      <c r="AF20" s="72">
        <f>+IFERROR(VLOOKUP($AF$17,Sheet1!V15:Y15,3,0),0)</f>
        <v>0</v>
      </c>
      <c r="AG20" s="72">
        <f>+IFERROR(VLOOKUP($AG$17,Sheet1!V15:Y15,3,0),0)</f>
        <v>0</v>
      </c>
      <c r="AH20" s="72">
        <f>+IFERROR(VLOOKUP($AH$17,Sheet1!V15:Y15,3,0),0)</f>
        <v>0</v>
      </c>
      <c r="AI20" s="72">
        <f>+IFERROR(VLOOKUP($AI$17,Sheet1!V15:Y15,3,0),0)</f>
        <v>0</v>
      </c>
      <c r="AJ20" s="72">
        <f>+IFERROR(VLOOKUP($AJ$17,Sheet1!V15:Y15,3,0),0)</f>
        <v>0</v>
      </c>
      <c r="AK20" s="72">
        <f>+IFERROR(VLOOKUP($AK$17,Sheet1!Z15:AB15,3,0),0)</f>
        <v>0</v>
      </c>
      <c r="AL20" s="72">
        <f>+IFERROR(VLOOKUP($AL$17,Sheet1!AD15:AG15,3,0),0)</f>
        <v>0</v>
      </c>
      <c r="AM20" s="72">
        <f>+IFERROR(VLOOKUP($AM$17,Sheet1!AD15:AG15,3,0),0)</f>
        <v>0</v>
      </c>
      <c r="AN20" s="72">
        <f>+IFERROR(VLOOKUP($AN$17,Sheet1!AD15:AG15,3,0),0)</f>
        <v>0</v>
      </c>
      <c r="AO20" s="72">
        <f>+IFERROR(VLOOKUP($AO$17,Sheet1!AD15:AG15,3,0),0)</f>
        <v>0</v>
      </c>
      <c r="AP20" s="72">
        <f>+IFERROR(VLOOKUP($AP$17,Sheet1!AD15:AG15,3,0),0)</f>
        <v>0</v>
      </c>
      <c r="AQ20" s="72">
        <f>+IFERROR(VLOOKUP($AQ$17,Sheet1!AD15:AG15,3,0),0)</f>
        <v>0</v>
      </c>
      <c r="AR20" s="79">
        <v>840</v>
      </c>
      <c r="AS20" s="72">
        <f>+IFERROR(VLOOKUP($AS$17,Sheet1!AH15:AK15,3,0),0)</f>
        <v>0</v>
      </c>
      <c r="AT20" s="72">
        <f>+IFERROR(VLOOKUP($AT$17,Sheet1!AH15:AK15,3,0),0)</f>
        <v>0</v>
      </c>
      <c r="AU20" s="72">
        <f>+IFERROR(VLOOKUP($AU$17,Sheet1!AH15:AK15,3,0),0)</f>
        <v>0</v>
      </c>
      <c r="AV20" s="72">
        <f>+IFERROR(VLOOKUP($AV$17,Sheet1!AH15:AK15,3,0),0)</f>
        <v>0</v>
      </c>
      <c r="AW20" s="72">
        <f>+IFERROR(VLOOKUP($AW$17,Sheet1!AH15:AK15,3,0),0)</f>
        <v>0</v>
      </c>
      <c r="AX20" s="72">
        <f>+IFERROR(VLOOKUP($AX$17,Sheet1!AH15:AK15,3,0),0)</f>
        <v>0</v>
      </c>
      <c r="AY20" s="72">
        <f>+IFERROR(VLOOKUP($AY$17,Sheet1!AH15:AK15,3,0),0)</f>
        <v>0</v>
      </c>
      <c r="AZ20" s="72">
        <f>+IFERROR(VLOOKUP($AZ$17,Sheet1!AH15:AK15,3,0),0)</f>
        <v>0</v>
      </c>
      <c r="BA20" s="79">
        <v>3945</v>
      </c>
      <c r="BB20" s="72">
        <f>+IFERROR(VLOOKUP($BB$17,Sheet1!AH15:AK15,3,0),0)</f>
        <v>0</v>
      </c>
      <c r="BC20" s="72">
        <f>+IFERROR(VLOOKUP($BC$17,Sheet1!AL15:AO15,3,0),0)</f>
        <v>0</v>
      </c>
      <c r="BD20" s="72">
        <f>+IFERROR(VLOOKUP($BD$17,Sheet1!AL15:AO15,3,0),0)</f>
        <v>0</v>
      </c>
      <c r="BE20" s="72">
        <f>+IFERROR(VLOOKUP($BE$17,Sheet1!AL15:AO15,3,0),0)</f>
        <v>0</v>
      </c>
      <c r="BF20" s="79">
        <v>1170</v>
      </c>
      <c r="BG20" s="79">
        <v>830</v>
      </c>
      <c r="BH20" s="72">
        <f>+IFERROR(VLOOKUP($BH$17,Sheet1!AL15:AO15,3,0),0)</f>
        <v>0</v>
      </c>
      <c r="BI20" s="72">
        <f>+IFERROR(VLOOKUP($BI$17,Sheet1!AL15:AO15,3,0),0)</f>
        <v>0</v>
      </c>
      <c r="BJ20" s="72">
        <f>+IFERROR(VLOOKUP($BJ$17,Sheet1!AL15:AO15,3,0),0)</f>
        <v>0</v>
      </c>
      <c r="BK20" s="72">
        <f>+IFERROR(VLOOKUP($BK$17,Sheet1!AL15:AO15,3,0),0)</f>
        <v>0</v>
      </c>
      <c r="BL20" s="72">
        <f>+IFERROR(VLOOKUP($BL$17,Sheet1!AL15:AO15,3,0),0)</f>
        <v>0</v>
      </c>
      <c r="BM20" s="72">
        <f>+IFERROR(VLOOKUP($BM$17,Sheet1!AP15:AS15,3,0),0)</f>
        <v>0</v>
      </c>
      <c r="BN20" s="72">
        <f>+IFERROR(VLOOKUP($BN$17,Sheet1!AT15:AW15,3,0),0)</f>
        <v>0</v>
      </c>
      <c r="BO20" s="79">
        <v>38</v>
      </c>
      <c r="BP20" s="79">
        <v>77</v>
      </c>
      <c r="BQ20" s="72">
        <f>+IFERROR(VLOOKUP($BQ$17,Sheet1!BF15:BI15,3,0),0)</f>
        <v>0</v>
      </c>
      <c r="BR20" s="72">
        <f>+IFERROR(VLOOKUP($BR$17,Sheet1!BJ15:BM15,3,0),0)</f>
        <v>0</v>
      </c>
      <c r="BS20" s="72">
        <f>+IFERROR(VLOOKUP($BS$17,Sheet1!BN15:BQ15,3,0),0)</f>
        <v>0</v>
      </c>
      <c r="BT20" s="79">
        <v>54</v>
      </c>
      <c r="BU20" s="11">
        <f>+IFERROR(VLOOKUP($BU$17,Sheet1!BV15:BY15,3,0),0)</f>
        <v>0</v>
      </c>
      <c r="BV20" s="11" t="str">
        <f>Sheet1!E15</f>
        <v>STEEL</v>
      </c>
      <c r="BW20" s="11" t="str">
        <f>Sheet1!CV15</f>
        <v>SP0400136</v>
      </c>
      <c r="BX20" s="11" t="str">
        <f>Sheet1!CW15</f>
        <v>CORRUGATED DISPATCH STEEL DRUM 2200 X 1300 X 1200 MM</v>
      </c>
      <c r="BY20" s="11">
        <f>Sheet1!CX15</f>
        <v>250</v>
      </c>
      <c r="BZ20" s="3">
        <f>Sheet1!BZ15</f>
        <v>171000</v>
      </c>
      <c r="CA20" s="3">
        <f t="shared" si="5"/>
        <v>1681747</v>
      </c>
      <c r="CB20" s="23">
        <f>Sheet1!CB15</f>
        <v>0</v>
      </c>
      <c r="CC20" s="3">
        <f t="shared" si="6"/>
        <v>0</v>
      </c>
      <c r="CD20" s="47">
        <v>0.5</v>
      </c>
      <c r="CE20" s="3">
        <f t="shared" si="7"/>
        <v>840873.5</v>
      </c>
      <c r="CF20" s="47">
        <v>0</v>
      </c>
      <c r="CG20" s="3">
        <f t="shared" si="8"/>
        <v>0</v>
      </c>
      <c r="CH20" s="3">
        <f t="shared" si="9"/>
        <v>2522620.5</v>
      </c>
      <c r="CI20" s="47">
        <v>0.02</v>
      </c>
      <c r="CJ20" s="80">
        <f t="shared" si="10"/>
        <v>50452.41</v>
      </c>
      <c r="CK20" s="47">
        <v>0.01</v>
      </c>
      <c r="CL20" s="80">
        <f t="shared" si="11"/>
        <v>25226.205000000002</v>
      </c>
    </row>
    <row r="21" spans="1:90" ht="51" x14ac:dyDescent="0.25">
      <c r="A21" s="1" t="str">
        <f>Sheet1!A3</f>
        <v>ENQ-10773-22-23</v>
      </c>
      <c r="B21" s="51">
        <f>Sheet1!B3</f>
        <v>45135</v>
      </c>
      <c r="C21" s="1" t="str">
        <f>Sheet1!C3</f>
        <v>FA1300176</v>
      </c>
      <c r="D21" s="73" t="str">
        <f>Sheet1!D3</f>
        <v>3 CORE X 150 SQ. MM. AL/ARM - WIRE (XLPE) - 11 KV</v>
      </c>
      <c r="E21" s="74">
        <f t="shared" si="0"/>
        <v>1671588.03</v>
      </c>
      <c r="F21" s="77" t="e">
        <f t="shared" si="12"/>
        <v>#DIV/0!</v>
      </c>
      <c r="G21" s="75" t="e">
        <f t="shared" si="1"/>
        <v>#DIV/0!</v>
      </c>
      <c r="H21" s="76">
        <f>Sheet1!CP3</f>
        <v>0.18</v>
      </c>
      <c r="I21" s="75" t="e">
        <f t="shared" si="2"/>
        <v>#DIV/0!</v>
      </c>
      <c r="J21" s="75" t="e">
        <f t="shared" si="3"/>
        <v>#DIV/0!</v>
      </c>
      <c r="K21" s="73">
        <v>0</v>
      </c>
      <c r="L21" s="73" t="str">
        <f>Sheet1!CT3</f>
        <v>KMS</v>
      </c>
      <c r="M21" s="74" t="e">
        <f t="shared" si="4"/>
        <v>#DIV/0!</v>
      </c>
      <c r="N21" s="41">
        <f>+IFERROR(VLOOKUP($N$17,Sheet1!J3:L3,3,0),0)</f>
        <v>1215</v>
      </c>
      <c r="O21" s="41">
        <f>+IFERROR(VLOOKUP($O$17,Sheet1!J3:L3,3,0),0)</f>
        <v>0</v>
      </c>
      <c r="P21" s="41">
        <f>+IFERROR(VLOOKUP($P$17,Sheet1!J3:M3,3,0),0)</f>
        <v>0</v>
      </c>
      <c r="Q21" s="41">
        <f>+IFERROR(VLOOKUP($Q$17,Sheet1!J3:M3,3,0),0)</f>
        <v>0</v>
      </c>
      <c r="R21" s="41">
        <f>+IFERROR(VLOOKUP($R$17,Sheet1!J3:M3,3,0),0)</f>
        <v>0</v>
      </c>
      <c r="S21" s="41">
        <f>+IFERROR(VLOOKUP($S$17,Sheet1!N3:Q3,3,0),0)</f>
        <v>0</v>
      </c>
      <c r="T21" s="41">
        <f>+IFERROR(VLOOKUP($T$17,Sheet1!N3:Q3,3,0),0)</f>
        <v>0</v>
      </c>
      <c r="U21" s="41">
        <f>+IFERROR(VLOOKUP($U$17,Sheet1!F3:I3,3,0),0)</f>
        <v>0</v>
      </c>
      <c r="V21" s="41">
        <f>+IFERROR(VLOOKUP($V$17,Sheet1!F3:I3,3,0),0)</f>
        <v>0</v>
      </c>
      <c r="W21" s="41">
        <f>+IFERROR(VLOOKUP($W$17,Sheet1!F3:I3,3,0),0)</f>
        <v>0</v>
      </c>
      <c r="X21" s="41">
        <f>+IFERROR(VLOOKUP($X$17,Sheet1!F3:I3,3,0),0)</f>
        <v>0</v>
      </c>
      <c r="Y21" s="78">
        <v>117</v>
      </c>
      <c r="Z21" s="41">
        <f>+IFERROR(VLOOKUP($Z$17,Sheet1!F3:I3,3,0),0)</f>
        <v>0</v>
      </c>
      <c r="AA21" s="41">
        <f>+IFERROR(VLOOKUP($AA$17,Sheet1!F3:I3,3,0),0)</f>
        <v>0</v>
      </c>
      <c r="AB21" s="41">
        <f>+IFERROR(VLOOKUP($AB$17,Sheet1!F3:I3,3,0),0)</f>
        <v>0</v>
      </c>
      <c r="AC21" s="78">
        <v>280</v>
      </c>
      <c r="AD21" s="72">
        <f>+IFERROR(VLOOKUP($AD$17,Sheet1!R3:U3,2,0),0)</f>
        <v>0</v>
      </c>
      <c r="AE21" s="78">
        <v>642</v>
      </c>
      <c r="AF21" s="72">
        <f>+IFERROR(VLOOKUP($AF$17,Sheet1!V3:Y3,3,0),0)</f>
        <v>0</v>
      </c>
      <c r="AG21" s="72">
        <f>+IFERROR(VLOOKUP($AG$17,Sheet1!V3:Y3,3,0),0)</f>
        <v>0</v>
      </c>
      <c r="AH21" s="72">
        <f>+IFERROR(VLOOKUP($AH$17,Sheet1!V3:Y3,3,0),0)</f>
        <v>0</v>
      </c>
      <c r="AI21" s="72">
        <f>+IFERROR(VLOOKUP($AI$17,Sheet1!V3:Y3,3,0),0)</f>
        <v>0</v>
      </c>
      <c r="AJ21" s="72">
        <f>+IFERROR(VLOOKUP($AJ$17,Sheet1!V3:Y3,3,0),0)</f>
        <v>0</v>
      </c>
      <c r="AK21" s="72">
        <f>+IFERROR(VLOOKUP($AK$17,Sheet1!Z3:AB3,3,0),0)</f>
        <v>0</v>
      </c>
      <c r="AL21" s="72">
        <f>+IFERROR(VLOOKUP($AL$17,Sheet1!AD3:AG3,3,0),0)</f>
        <v>0</v>
      </c>
      <c r="AM21" s="72">
        <f>+IFERROR(VLOOKUP($AM$17,Sheet1!AD3:AG3,3,0),0)</f>
        <v>0</v>
      </c>
      <c r="AN21" s="72">
        <f>+IFERROR(VLOOKUP($AN$17,Sheet1!AD3:AG3,3,0),0)</f>
        <v>0</v>
      </c>
      <c r="AO21" s="72">
        <f>+IFERROR(VLOOKUP($AO$17,Sheet1!AD3:AG3,3,0),0)</f>
        <v>0</v>
      </c>
      <c r="AP21" s="72">
        <f>+IFERROR(VLOOKUP($AP$17,Sheet1!AD3:AG3,3,0),0)</f>
        <v>0</v>
      </c>
      <c r="AQ21" s="72">
        <f>+IFERROR(VLOOKUP($AQ$17,Sheet1!AD3:AG3,3,0),0)</f>
        <v>0</v>
      </c>
      <c r="AR21" s="79">
        <v>621</v>
      </c>
      <c r="AS21" s="72">
        <f>+IFERROR(VLOOKUP($AS$17,Sheet1!AH3:AK3,3,0),0)</f>
        <v>0</v>
      </c>
      <c r="AT21" s="72">
        <f>+IFERROR(VLOOKUP($AT$17,Sheet1!AH3:AK3,3,0),0)</f>
        <v>0</v>
      </c>
      <c r="AU21" s="72">
        <f>+IFERROR(VLOOKUP($AU$17,Sheet1!AH3:AK3,3,0),0)</f>
        <v>0</v>
      </c>
      <c r="AV21" s="72">
        <f>+IFERROR(VLOOKUP($AV$17,Sheet1!AH3:AK3,3,0),0)</f>
        <v>0</v>
      </c>
      <c r="AW21" s="72">
        <f>+IFERROR(VLOOKUP($AW$17,Sheet1!AH3:AK3,3,0),0)</f>
        <v>0</v>
      </c>
      <c r="AX21" s="72">
        <f>+IFERROR(VLOOKUP($AX$17,Sheet1!AH3:AK3,3,0),0)</f>
        <v>0</v>
      </c>
      <c r="AY21" s="72">
        <f>+IFERROR(VLOOKUP($AY$17,Sheet1!AH3:AK3,3,0),0)</f>
        <v>0</v>
      </c>
      <c r="AZ21" s="72">
        <f>+IFERROR(VLOOKUP($AZ$17,Sheet1!AH3:AK3,3,0),0)</f>
        <v>0</v>
      </c>
      <c r="BA21" s="79">
        <v>2685</v>
      </c>
      <c r="BB21" s="72">
        <f>+IFERROR(VLOOKUP($BB$17,Sheet1!AH3:AK3,3,0),0)</f>
        <v>0</v>
      </c>
      <c r="BC21" s="72">
        <f>+IFERROR(VLOOKUP($BC$17,Sheet1!AL3:AO3,3,0),0)</f>
        <v>0</v>
      </c>
      <c r="BD21" s="72">
        <f>+IFERROR(VLOOKUP($BD$17,Sheet1!AL3:AO3,3,0),0)</f>
        <v>0</v>
      </c>
      <c r="BE21" s="72">
        <f>+IFERROR(VLOOKUP($BE$17,Sheet1!AL3:AO3,3,0),0)</f>
        <v>0</v>
      </c>
      <c r="BF21" s="79">
        <v>800</v>
      </c>
      <c r="BG21" s="79">
        <v>541</v>
      </c>
      <c r="BH21" s="72">
        <f>+IFERROR(VLOOKUP($BH$17,Sheet1!AL3:AO3,3,0),0)</f>
        <v>0</v>
      </c>
      <c r="BI21" s="72">
        <f>+IFERROR(VLOOKUP($BI$17,Sheet1!AL3:AO3,3,0),0)</f>
        <v>0</v>
      </c>
      <c r="BJ21" s="72">
        <f>+IFERROR(VLOOKUP($BJ$17,Sheet1!AL3:AO3,3,0),0)</f>
        <v>0</v>
      </c>
      <c r="BK21" s="72">
        <f>+IFERROR(VLOOKUP($BK$17,Sheet1!AL3:AO3,3,0),0)</f>
        <v>0</v>
      </c>
      <c r="BL21" s="72">
        <f>+IFERROR(VLOOKUP($BL$17,Sheet1!AL3:AO3,3,0),0)</f>
        <v>0</v>
      </c>
      <c r="BM21" s="72">
        <f>+IFERROR(VLOOKUP($BM$17,Sheet1!AP3:AS3,3,0),0)</f>
        <v>0</v>
      </c>
      <c r="BN21" s="72">
        <f>+IFERROR(VLOOKUP($BN$17,Sheet1!AT3:AW3,3,0),0)</f>
        <v>0</v>
      </c>
      <c r="BO21" s="79">
        <v>18</v>
      </c>
      <c r="BP21" s="79">
        <v>59</v>
      </c>
      <c r="BQ21" s="72">
        <f>+IFERROR(VLOOKUP($BQ$17,Sheet1!BF3:BI3,3,0),0)</f>
        <v>0</v>
      </c>
      <c r="BR21" s="72">
        <f>+IFERROR(VLOOKUP($BR$17,Sheet1!BJ3:BM3,3,0),0)</f>
        <v>0</v>
      </c>
      <c r="BS21" s="72">
        <f>+IFERROR(VLOOKUP($BS$17,Sheet1!BN3:BQ3,3,0),0)</f>
        <v>0</v>
      </c>
      <c r="BT21" s="79">
        <v>44</v>
      </c>
      <c r="BU21" s="11">
        <f>+IFERROR(VLOOKUP($BU$17,Sheet1!BV3:BY3,3,0),0)</f>
        <v>0</v>
      </c>
      <c r="BV21" s="11" t="str">
        <f>Sheet1!E3</f>
        <v>STEEL</v>
      </c>
      <c r="BW21" s="11" t="str">
        <f>Sheet1!CV3</f>
        <v>SP0400111</v>
      </c>
      <c r="BX21" s="11" t="str">
        <f>Sheet1!CW3</f>
        <v>CORRUGATED DISPATCH STEEL DRUM 1900 X 1000 X 1000 MM</v>
      </c>
      <c r="BY21" s="11">
        <f>Sheet1!CX3</f>
        <v>250</v>
      </c>
      <c r="BZ21" s="3">
        <f>Sheet1!BZ3</f>
        <v>108300</v>
      </c>
      <c r="CA21" s="3">
        <f t="shared" si="5"/>
        <v>1081934</v>
      </c>
      <c r="CB21" s="23">
        <f>Sheet1!CB3</f>
        <v>0</v>
      </c>
      <c r="CC21" s="3">
        <f t="shared" si="6"/>
        <v>0</v>
      </c>
      <c r="CD21" s="47">
        <v>0.5</v>
      </c>
      <c r="CE21" s="3">
        <f t="shared" si="7"/>
        <v>540967</v>
      </c>
      <c r="CF21" s="47">
        <v>0</v>
      </c>
      <c r="CG21" s="3">
        <f t="shared" si="8"/>
        <v>0</v>
      </c>
      <c r="CH21" s="3">
        <f t="shared" si="9"/>
        <v>1622901</v>
      </c>
      <c r="CI21" s="47">
        <v>0.02</v>
      </c>
      <c r="CJ21" s="80">
        <f t="shared" si="10"/>
        <v>32458.02</v>
      </c>
      <c r="CK21" s="47">
        <v>0.01</v>
      </c>
      <c r="CL21" s="80">
        <f t="shared" si="11"/>
        <v>16229.01</v>
      </c>
    </row>
    <row r="22" spans="1:90" ht="51" x14ac:dyDescent="0.25">
      <c r="A22" s="1" t="str">
        <f>Sheet1!A6</f>
        <v>ENQ-10773-22-23</v>
      </c>
      <c r="B22" s="51">
        <f>Sheet1!B6</f>
        <v>45135</v>
      </c>
      <c r="C22" s="1" t="str">
        <f>Sheet1!C6</f>
        <v>FA1300197</v>
      </c>
      <c r="D22" s="73" t="str">
        <f>Sheet1!D6</f>
        <v>3 CORE X 120 SQ. MM. AL/ARM - WIRE (XLPE) - 11 KV</v>
      </c>
      <c r="E22" s="74">
        <f t="shared" si="0"/>
        <v>1462048.95</v>
      </c>
      <c r="F22" s="77">
        <f t="shared" si="12"/>
        <v>70000</v>
      </c>
      <c r="G22" s="75">
        <f t="shared" si="1"/>
        <v>1532048.95</v>
      </c>
      <c r="H22" s="76">
        <f>Sheet1!CP6</f>
        <v>0.18</v>
      </c>
      <c r="I22" s="75">
        <f t="shared" si="2"/>
        <v>275768.81099999999</v>
      </c>
      <c r="J22" s="75">
        <f t="shared" si="3"/>
        <v>1807817.7609999999</v>
      </c>
      <c r="K22" s="73">
        <v>1</v>
      </c>
      <c r="L22" s="73" t="str">
        <f>Sheet1!CT6</f>
        <v>KMS</v>
      </c>
      <c r="M22" s="74">
        <f t="shared" si="4"/>
        <v>1807817.7609999999</v>
      </c>
      <c r="N22" s="41">
        <f>+IFERROR(VLOOKUP($N$17,Sheet1!J6:L6,3,0),0)</f>
        <v>972</v>
      </c>
      <c r="O22" s="41">
        <f>+IFERROR(VLOOKUP($O$17,Sheet1!J6:L6,3,0),0)</f>
        <v>0</v>
      </c>
      <c r="P22" s="41">
        <f>+IFERROR(VLOOKUP($P$17,Sheet1!J6:M6,3,0),0)</f>
        <v>0</v>
      </c>
      <c r="Q22" s="41">
        <f>+IFERROR(VLOOKUP($Q$17,Sheet1!J6:M6,3,0),0)</f>
        <v>0</v>
      </c>
      <c r="R22" s="41">
        <f>+IFERROR(VLOOKUP($R$17,Sheet1!J6:M6,3,0),0)</f>
        <v>0</v>
      </c>
      <c r="S22" s="41">
        <f>+IFERROR(VLOOKUP($S$17,Sheet1!N6:Q6,3,0),0)</f>
        <v>0</v>
      </c>
      <c r="T22" s="41">
        <f>+IFERROR(VLOOKUP($T$17,Sheet1!N6:Q6,3,0),0)</f>
        <v>0</v>
      </c>
      <c r="U22" s="41">
        <f>+IFERROR(VLOOKUP($U$17,Sheet1!F6:I6,3,0),0)</f>
        <v>0</v>
      </c>
      <c r="V22" s="41">
        <f>+IFERROR(VLOOKUP($V$17,Sheet1!F6:I6,3,0),0)</f>
        <v>0</v>
      </c>
      <c r="W22" s="41">
        <f>+IFERROR(VLOOKUP($W$17,Sheet1!F6:I6,3,0),0)</f>
        <v>0</v>
      </c>
      <c r="X22" s="41">
        <f>+IFERROR(VLOOKUP($X$17,Sheet1!F6:I6,3,0),0)</f>
        <v>0</v>
      </c>
      <c r="Y22" s="78">
        <v>110</v>
      </c>
      <c r="Z22" s="41">
        <f>+IFERROR(VLOOKUP($Z$17,Sheet1!F6:I6,3,0),0)</f>
        <v>0</v>
      </c>
      <c r="AA22" s="41">
        <f>+IFERROR(VLOOKUP($AA$17,Sheet1!F6:I6,3,0),0)</f>
        <v>0</v>
      </c>
      <c r="AB22" s="41">
        <f>+IFERROR(VLOOKUP($AB$17,Sheet1!F6:I6,3,0),0)</f>
        <v>0</v>
      </c>
      <c r="AC22" s="78">
        <v>258</v>
      </c>
      <c r="AD22" s="72">
        <f>+IFERROR(VLOOKUP($AD$17,Sheet1!R6:U6,2,0),0)</f>
        <v>0</v>
      </c>
      <c r="AE22" s="78">
        <v>596</v>
      </c>
      <c r="AF22" s="72">
        <f>+IFERROR(VLOOKUP($AF$17,Sheet1!V6:Y6,3,0),0)</f>
        <v>0</v>
      </c>
      <c r="AG22" s="72">
        <f>+IFERROR(VLOOKUP($AG$17,Sheet1!V6:Y6,3,0),0)</f>
        <v>0</v>
      </c>
      <c r="AH22" s="72">
        <f>+IFERROR(VLOOKUP($AH$17,Sheet1!V6:Y6,3,0),0)</f>
        <v>0</v>
      </c>
      <c r="AI22" s="72">
        <f>+IFERROR(VLOOKUP($AI$17,Sheet1!V6:Y6,3,0),0)</f>
        <v>0</v>
      </c>
      <c r="AJ22" s="72">
        <f>+IFERROR(VLOOKUP($AJ$17,Sheet1!V6:Y6,3,0),0)</f>
        <v>0</v>
      </c>
      <c r="AK22" s="72">
        <f>+IFERROR(VLOOKUP($AK$17,Sheet1!Z6:AB6,3,0),0)</f>
        <v>0</v>
      </c>
      <c r="AL22" s="72">
        <f>+IFERROR(VLOOKUP($AL$17,Sheet1!AD6:AG6,3,0),0)</f>
        <v>0</v>
      </c>
      <c r="AM22" s="72">
        <f>+IFERROR(VLOOKUP($AM$17,Sheet1!AD6:AG6,3,0),0)</f>
        <v>0</v>
      </c>
      <c r="AN22" s="72">
        <f>+IFERROR(VLOOKUP($AN$17,Sheet1!AD6:AG6,3,0),0)</f>
        <v>0</v>
      </c>
      <c r="AO22" s="72">
        <f>+IFERROR(VLOOKUP($AO$17,Sheet1!AD6:AG6,3,0),0)</f>
        <v>0</v>
      </c>
      <c r="AP22" s="72">
        <f>+IFERROR(VLOOKUP($AP$17,Sheet1!AD6:AG6,3,0),0)</f>
        <v>0</v>
      </c>
      <c r="AQ22" s="72">
        <f>+IFERROR(VLOOKUP($AQ$17,Sheet1!AD6:AG6,3,0),0)</f>
        <v>0</v>
      </c>
      <c r="AR22" s="79">
        <v>513</v>
      </c>
      <c r="AS22" s="72">
        <f>+IFERROR(VLOOKUP($AS$17,Sheet1!AH6:AK6,3,0),0)</f>
        <v>0</v>
      </c>
      <c r="AT22" s="72">
        <f>+IFERROR(VLOOKUP($AT$17,Sheet1!AH6:AK6,3,0),0)</f>
        <v>0</v>
      </c>
      <c r="AU22" s="72">
        <f>+IFERROR(VLOOKUP($AU$17,Sheet1!AH6:AK6,3,0),0)</f>
        <v>0</v>
      </c>
      <c r="AV22" s="72">
        <f>+IFERROR(VLOOKUP($AV$17,Sheet1!AH6:AK6,3,0),0)</f>
        <v>0</v>
      </c>
      <c r="AW22" s="72">
        <f>+IFERROR(VLOOKUP($AW$17,Sheet1!AH6:AK6,3,0),0)</f>
        <v>0</v>
      </c>
      <c r="AX22" s="72">
        <f>+IFERROR(VLOOKUP($AX$17,Sheet1!AH6:AK6,3,0),0)</f>
        <v>0</v>
      </c>
      <c r="AY22" s="72">
        <f>+IFERROR(VLOOKUP($AY$17,Sheet1!AH6:AK6,3,0),0)</f>
        <v>0</v>
      </c>
      <c r="AZ22" s="72">
        <f>+IFERROR(VLOOKUP($AZ$17,Sheet1!AH6:AK6,3,0),0)</f>
        <v>0</v>
      </c>
      <c r="BA22" s="79">
        <v>2404</v>
      </c>
      <c r="BB22" s="72">
        <f>+IFERROR(VLOOKUP($BB$17,Sheet1!AH6:AK6,3,0),0)</f>
        <v>0</v>
      </c>
      <c r="BC22" s="72">
        <f>+IFERROR(VLOOKUP($BC$17,Sheet1!AL6:AO6,3,0),0)</f>
        <v>0</v>
      </c>
      <c r="BD22" s="72">
        <f>+IFERROR(VLOOKUP($BD$17,Sheet1!AL6:AO6,3,0),0)</f>
        <v>0</v>
      </c>
      <c r="BE22" s="72">
        <f>+IFERROR(VLOOKUP($BE$17,Sheet1!AL6:AO6,3,0),0)</f>
        <v>0</v>
      </c>
      <c r="BF22" s="79">
        <v>694</v>
      </c>
      <c r="BG22" s="79">
        <v>479</v>
      </c>
      <c r="BH22" s="72">
        <f>+IFERROR(VLOOKUP($BH$17,Sheet1!AL6:AO6,3,0),0)</f>
        <v>0</v>
      </c>
      <c r="BI22" s="72">
        <f>+IFERROR(VLOOKUP($BI$17,Sheet1!AL6:AO6,3,0),0)</f>
        <v>0</v>
      </c>
      <c r="BJ22" s="72">
        <f>+IFERROR(VLOOKUP($BJ$17,Sheet1!AL6:AO6,3,0),0)</f>
        <v>0</v>
      </c>
      <c r="BK22" s="72">
        <f>+IFERROR(VLOOKUP($BK$17,Sheet1!AL6:AO6,3,0),0)</f>
        <v>0</v>
      </c>
      <c r="BL22" s="72">
        <f>+IFERROR(VLOOKUP($BL$17,Sheet1!AL6:AO6,3,0),0)</f>
        <v>0</v>
      </c>
      <c r="BM22" s="72">
        <f>+IFERROR(VLOOKUP($BM$17,Sheet1!AP6:AS6,3,0),0)</f>
        <v>0</v>
      </c>
      <c r="BN22" s="72">
        <f>+IFERROR(VLOOKUP($BN$17,Sheet1!AT6:AW6,3,0),0)</f>
        <v>0</v>
      </c>
      <c r="BO22" s="79">
        <v>16.5</v>
      </c>
      <c r="BP22" s="79">
        <v>55</v>
      </c>
      <c r="BQ22" s="72">
        <f>+IFERROR(VLOOKUP($BQ$17,Sheet1!BF6:BI6,3,0),0)</f>
        <v>0</v>
      </c>
      <c r="BR22" s="72">
        <f>+IFERROR(VLOOKUP($BR$17,Sheet1!BJ6:BM6,3,0),0)</f>
        <v>0</v>
      </c>
      <c r="BS22" s="72">
        <f>+IFERROR(VLOOKUP($BS$17,Sheet1!BN6:BQ6,3,0),0)</f>
        <v>0</v>
      </c>
      <c r="BT22" s="79">
        <v>40</v>
      </c>
      <c r="BU22" s="11">
        <f>+IFERROR(VLOOKUP($BU$17,Sheet1!BV6:BY6,3,0),0)</f>
        <v>0</v>
      </c>
      <c r="BV22" s="11" t="str">
        <f>Sheet1!E6</f>
        <v>STEEL</v>
      </c>
      <c r="BW22" s="11" t="str">
        <f>Sheet1!CV6</f>
        <v>SP0400118</v>
      </c>
      <c r="BX22" s="11" t="str">
        <f>Sheet1!CW6</f>
        <v>CORRUGATED DISPATCH STEEL DRUM 1700 X 1000 X 1200</v>
      </c>
      <c r="BY22" s="11">
        <f>Sheet1!CX6</f>
        <v>250</v>
      </c>
      <c r="BZ22" s="3">
        <f>Sheet1!BZ6</f>
        <v>95000</v>
      </c>
      <c r="CA22" s="3">
        <f t="shared" si="5"/>
        <v>946310</v>
      </c>
      <c r="CB22" s="23">
        <f>Sheet1!CB6</f>
        <v>0</v>
      </c>
      <c r="CC22" s="3">
        <f t="shared" si="6"/>
        <v>0</v>
      </c>
      <c r="CD22" s="47">
        <v>0.5</v>
      </c>
      <c r="CE22" s="3">
        <f t="shared" si="7"/>
        <v>473155</v>
      </c>
      <c r="CF22" s="47">
        <v>0</v>
      </c>
      <c r="CG22" s="3">
        <f t="shared" si="8"/>
        <v>0</v>
      </c>
      <c r="CH22" s="3">
        <f t="shared" si="9"/>
        <v>1419465</v>
      </c>
      <c r="CI22" s="47">
        <v>0.02</v>
      </c>
      <c r="CJ22" s="80">
        <f t="shared" si="10"/>
        <v>28389.3</v>
      </c>
      <c r="CK22" s="47">
        <v>0.01</v>
      </c>
      <c r="CL22" s="80">
        <f t="shared" si="11"/>
        <v>14194.65</v>
      </c>
    </row>
    <row r="23" spans="1:90" ht="51" x14ac:dyDescent="0.25">
      <c r="A23" s="1" t="str">
        <f>Sheet1!A4</f>
        <v>ENQ-10773-22-23</v>
      </c>
      <c r="B23" s="51">
        <f>Sheet1!B4</f>
        <v>45135</v>
      </c>
      <c r="C23" s="66" t="s">
        <v>233</v>
      </c>
      <c r="D23" s="73" t="s">
        <v>234</v>
      </c>
      <c r="E23" s="74">
        <f t="shared" si="0"/>
        <v>1316664.45</v>
      </c>
      <c r="F23" s="77" t="e">
        <f t="shared" si="12"/>
        <v>#DIV/0!</v>
      </c>
      <c r="G23" s="75" t="e">
        <f t="shared" si="1"/>
        <v>#DIV/0!</v>
      </c>
      <c r="H23" s="76">
        <f>Sheet1!CP4</f>
        <v>0.18</v>
      </c>
      <c r="I23" s="75" t="e">
        <f t="shared" si="2"/>
        <v>#DIV/0!</v>
      </c>
      <c r="J23" s="75" t="e">
        <f t="shared" si="3"/>
        <v>#DIV/0!</v>
      </c>
      <c r="K23" s="73">
        <v>0</v>
      </c>
      <c r="L23" s="73" t="str">
        <f>Sheet1!CT4</f>
        <v>KMS</v>
      </c>
      <c r="M23" s="74" t="e">
        <f t="shared" si="4"/>
        <v>#DIV/0!</v>
      </c>
      <c r="N23" s="41">
        <f>+IFERROR(VLOOKUP($N$17,Sheet1!J4:L4,3,0),0)</f>
        <v>769.5</v>
      </c>
      <c r="O23" s="41">
        <f>+IFERROR(VLOOKUP($O$17,Sheet1!J4:L4,3,0),0)</f>
        <v>0</v>
      </c>
      <c r="P23" s="41">
        <f>+IFERROR(VLOOKUP($P$17,Sheet1!J4:M4,3,0),0)</f>
        <v>0</v>
      </c>
      <c r="Q23" s="41">
        <f>+IFERROR(VLOOKUP($Q$17,Sheet1!J4:M4,3,0),0)</f>
        <v>0</v>
      </c>
      <c r="R23" s="41">
        <f>+IFERROR(VLOOKUP($R$17,Sheet1!J4:M4,3,0),0)</f>
        <v>0</v>
      </c>
      <c r="S23" s="41">
        <f>+IFERROR(VLOOKUP($S$17,Sheet1!N4:Q4,3,0),0)</f>
        <v>0</v>
      </c>
      <c r="T23" s="41">
        <f>+IFERROR(VLOOKUP($T$17,Sheet1!N4:Q4,3,0),0)</f>
        <v>0</v>
      </c>
      <c r="U23" s="41">
        <f>+IFERROR(VLOOKUP($U$17,Sheet1!F4:I4,3,0),0)</f>
        <v>0</v>
      </c>
      <c r="V23" s="41">
        <f>+IFERROR(VLOOKUP($V$17,Sheet1!F4:I4,3,0),0)</f>
        <v>0</v>
      </c>
      <c r="W23" s="41">
        <f>+IFERROR(VLOOKUP($W$17,Sheet1!F4:I4,3,0),0)</f>
        <v>0</v>
      </c>
      <c r="X23" s="41">
        <f>+IFERROR(VLOOKUP($X$17,Sheet1!F4:I4,3,0),0)</f>
        <v>0</v>
      </c>
      <c r="Y23" s="78">
        <v>102</v>
      </c>
      <c r="Z23" s="41">
        <f>+IFERROR(VLOOKUP($Z$17,Sheet1!F4:I4,3,0),0)</f>
        <v>0</v>
      </c>
      <c r="AA23" s="41">
        <f>+IFERROR(VLOOKUP($AA$17,Sheet1!F4:I4,3,0),0)</f>
        <v>0</v>
      </c>
      <c r="AB23" s="41">
        <f>+IFERROR(VLOOKUP($AB$17,Sheet1!F4:I4,3,0),0)</f>
        <v>0</v>
      </c>
      <c r="AC23" s="78">
        <v>232</v>
      </c>
      <c r="AD23" s="72">
        <f>+IFERROR(VLOOKUP($AD$17,Sheet1!R4:U4,2,0),0)</f>
        <v>0</v>
      </c>
      <c r="AE23" s="78">
        <v>544</v>
      </c>
      <c r="AF23" s="72">
        <f>+IFERROR(VLOOKUP($AF$17,Sheet1!V4:Y4,3,0),0)</f>
        <v>0</v>
      </c>
      <c r="AG23" s="72">
        <f>+IFERROR(VLOOKUP($AG$17,Sheet1!V4:Y4,3,0),0)</f>
        <v>0</v>
      </c>
      <c r="AH23" s="72">
        <f>+IFERROR(VLOOKUP($AH$17,Sheet1!V4:Y4,3,0),0)</f>
        <v>0</v>
      </c>
      <c r="AI23" s="72">
        <f>+IFERROR(VLOOKUP($AI$17,Sheet1!V4:Y4,3,0),0)</f>
        <v>0</v>
      </c>
      <c r="AJ23" s="72">
        <f>+IFERROR(VLOOKUP($AJ$17,Sheet1!V4:Y4,3,0),0)</f>
        <v>0</v>
      </c>
      <c r="AK23" s="72">
        <f>+IFERROR(VLOOKUP($AK$17,Sheet1!Z4:AB4,3,0),0)</f>
        <v>0</v>
      </c>
      <c r="AL23" s="72">
        <f>+IFERROR(VLOOKUP($AL$17,Sheet1!AD4:AG4,3,0),0)</f>
        <v>0</v>
      </c>
      <c r="AM23" s="72">
        <f>+IFERROR(VLOOKUP($AM$17,Sheet1!AD4:AG4,3,0),0)</f>
        <v>0</v>
      </c>
      <c r="AN23" s="72">
        <f>+IFERROR(VLOOKUP($AN$17,Sheet1!AD4:AG4,3,0),0)</f>
        <v>0</v>
      </c>
      <c r="AO23" s="72">
        <f>+IFERROR(VLOOKUP($AO$17,Sheet1!AD4:AG4,3,0),0)</f>
        <v>0</v>
      </c>
      <c r="AP23" s="72">
        <f>+IFERROR(VLOOKUP($AP$17,Sheet1!AD4:AG4,3,0),0)</f>
        <v>0</v>
      </c>
      <c r="AQ23" s="72">
        <f>+IFERROR(VLOOKUP($AQ$17,Sheet1!AD4:AG4,3,0),0)</f>
        <v>0</v>
      </c>
      <c r="AR23" s="79">
        <v>460</v>
      </c>
      <c r="AS23" s="72">
        <f>+IFERROR(VLOOKUP($AS$17,Sheet1!AH4:AK4,3,0),0)</f>
        <v>0</v>
      </c>
      <c r="AT23" s="72">
        <f>+IFERROR(VLOOKUP($AT$17,Sheet1!AH4:AK4,3,0),0)</f>
        <v>0</v>
      </c>
      <c r="AU23" s="72">
        <f>+IFERROR(VLOOKUP($AU$17,Sheet1!AH4:AK4,3,0),0)</f>
        <v>0</v>
      </c>
      <c r="AV23" s="72">
        <f>+IFERROR(VLOOKUP($AV$17,Sheet1!AH4:AK4,3,0),0)</f>
        <v>0</v>
      </c>
      <c r="AW23" s="72">
        <f>+IFERROR(VLOOKUP($AW$17,Sheet1!AH4:AK4,3,0),0)</f>
        <v>0</v>
      </c>
      <c r="AX23" s="72">
        <f>+IFERROR(VLOOKUP($AX$17,Sheet1!AH4:AK4,3,0),0)</f>
        <v>0</v>
      </c>
      <c r="AY23" s="72">
        <f>+IFERROR(VLOOKUP($AY$17,Sheet1!AH4:AK4,3,0),0)</f>
        <v>0</v>
      </c>
      <c r="AZ23" s="72">
        <f>+IFERROR(VLOOKUP($AZ$17,Sheet1!AH4:AK4,3,0),0)</f>
        <v>0</v>
      </c>
      <c r="BA23" s="79">
        <v>2244</v>
      </c>
      <c r="BB23" s="72">
        <f>+IFERROR(VLOOKUP($BB$17,Sheet1!AH4:AK4,3,0),0)</f>
        <v>0</v>
      </c>
      <c r="BC23" s="72">
        <f>+IFERROR(VLOOKUP($BC$17,Sheet1!AL4:AO4,3,0),0)</f>
        <v>0</v>
      </c>
      <c r="BD23" s="72">
        <f>+IFERROR(VLOOKUP($BD$17,Sheet1!AL4:AO4,3,0),0)</f>
        <v>0</v>
      </c>
      <c r="BE23" s="72">
        <f>+IFERROR(VLOOKUP($BE$17,Sheet1!AL4:AO4,3,0),0)</f>
        <v>0</v>
      </c>
      <c r="BF23" s="79">
        <v>656</v>
      </c>
      <c r="BG23" s="79">
        <v>416</v>
      </c>
      <c r="BH23" s="72">
        <f>+IFERROR(VLOOKUP($BH$17,Sheet1!AL4:AO4,3,0),0)</f>
        <v>0</v>
      </c>
      <c r="BI23" s="72">
        <f>+IFERROR(VLOOKUP($BI$17,Sheet1!AL4:AO4,3,0),0)</f>
        <v>0</v>
      </c>
      <c r="BJ23" s="72">
        <f>+IFERROR(VLOOKUP($BJ$17,Sheet1!AL4:AO4,3,0),0)</f>
        <v>0</v>
      </c>
      <c r="BK23" s="72">
        <f>+IFERROR(VLOOKUP($BK$17,Sheet1!AL4:AO4,3,0),0)</f>
        <v>0</v>
      </c>
      <c r="BL23" s="72">
        <f>+IFERROR(VLOOKUP($BL$17,Sheet1!AL4:AO4,3,0),0)</f>
        <v>0</v>
      </c>
      <c r="BM23" s="72"/>
      <c r="BN23" s="72">
        <f>+IFERROR(VLOOKUP($BN$17,Sheet1!AT4:AW4,3,0),0)</f>
        <v>0</v>
      </c>
      <c r="BO23" s="79">
        <v>15</v>
      </c>
      <c r="BP23" s="79">
        <v>50</v>
      </c>
      <c r="BQ23" s="72">
        <f>+IFERROR(VLOOKUP($BQ$17,Sheet1!BF4:BI4,3,0),0)</f>
        <v>0</v>
      </c>
      <c r="BR23" s="72">
        <f>+IFERROR(VLOOKUP($BR$17,Sheet1!BJ4:BM4,3,0),0)</f>
        <v>0</v>
      </c>
      <c r="BS23" s="72">
        <f>+IFERROR(VLOOKUP($BS$17,Sheet1!BN4:BQ4,3,0),0)</f>
        <v>0</v>
      </c>
      <c r="BT23" s="79">
        <v>38</v>
      </c>
      <c r="BU23" s="11">
        <f>+IFERROR(VLOOKUP($BU$17,Sheet1!BV4:BY4,3,0),0)</f>
        <v>0</v>
      </c>
      <c r="BV23" s="11" t="str">
        <f>Sheet1!E4</f>
        <v>STEEL</v>
      </c>
      <c r="BW23" s="11" t="s">
        <v>189</v>
      </c>
      <c r="BX23" s="11" t="s">
        <v>190</v>
      </c>
      <c r="BY23" s="11">
        <f>Sheet1!CX4</f>
        <v>250</v>
      </c>
      <c r="BZ23" s="3">
        <v>95000</v>
      </c>
      <c r="CA23" s="3">
        <f t="shared" si="5"/>
        <v>852210</v>
      </c>
      <c r="CB23" s="23">
        <f>Sheet1!CB4</f>
        <v>0</v>
      </c>
      <c r="CC23" s="3">
        <f t="shared" si="6"/>
        <v>0</v>
      </c>
      <c r="CD23" s="47">
        <v>0.5</v>
      </c>
      <c r="CE23" s="3">
        <f t="shared" si="7"/>
        <v>426105</v>
      </c>
      <c r="CF23" s="47">
        <v>0</v>
      </c>
      <c r="CG23" s="3">
        <f t="shared" si="8"/>
        <v>0</v>
      </c>
      <c r="CH23" s="3">
        <f t="shared" si="9"/>
        <v>1278315</v>
      </c>
      <c r="CI23" s="47">
        <v>0.02</v>
      </c>
      <c r="CJ23" s="80">
        <f t="shared" si="10"/>
        <v>25566.3</v>
      </c>
      <c r="CK23" s="47">
        <v>0.01</v>
      </c>
      <c r="CL23" s="80">
        <f t="shared" si="11"/>
        <v>12783.15</v>
      </c>
    </row>
    <row r="24" spans="1:90" ht="51" x14ac:dyDescent="0.25">
      <c r="A24" s="1" t="str">
        <f>Sheet1!A8</f>
        <v>ENQ-10773-22-23</v>
      </c>
      <c r="B24" s="51">
        <f>Sheet1!B8</f>
        <v>45135</v>
      </c>
      <c r="C24" s="1" t="str">
        <f>Sheet1!C8</f>
        <v>FA1300066</v>
      </c>
      <c r="D24" s="73" t="str">
        <f>Sheet1!D8</f>
        <v>1 CORE X 1000 SQ. MM. AL/ARM (XLPE) - 11 KV</v>
      </c>
      <c r="E24" s="74">
        <f t="shared" si="0"/>
        <v>1852703.7450000001</v>
      </c>
      <c r="F24" s="77" t="e">
        <f t="shared" si="12"/>
        <v>#DIV/0!</v>
      </c>
      <c r="G24" s="75" t="e">
        <f t="shared" si="1"/>
        <v>#DIV/0!</v>
      </c>
      <c r="H24" s="76">
        <f>Sheet1!CP8</f>
        <v>0.18</v>
      </c>
      <c r="I24" s="75" t="e">
        <f t="shared" si="2"/>
        <v>#DIV/0!</v>
      </c>
      <c r="J24" s="75" t="e">
        <f t="shared" si="3"/>
        <v>#DIV/0!</v>
      </c>
      <c r="K24" s="73">
        <v>0</v>
      </c>
      <c r="L24" s="73" t="str">
        <f>Sheet1!CT8</f>
        <v>KMS</v>
      </c>
      <c r="M24" s="74" t="e">
        <f t="shared" si="4"/>
        <v>#DIV/0!</v>
      </c>
      <c r="N24" s="78">
        <v>2732</v>
      </c>
      <c r="O24" s="41">
        <f>+IFERROR(VLOOKUP($O$17,Sheet1!J8:L8,3,0),0)</f>
        <v>0</v>
      </c>
      <c r="P24" s="41">
        <f>+IFERROR(VLOOKUP($P$17,Sheet1!J8:M8,3,0),0)</f>
        <v>0</v>
      </c>
      <c r="Q24" s="41">
        <f>+IFERROR(VLOOKUP($Q$17,Sheet1!J8:M8,3,0),0)</f>
        <v>0</v>
      </c>
      <c r="R24" s="41">
        <f>+IFERROR(VLOOKUP($R$17,Sheet1!J8:M8,3,0),0)</f>
        <v>0</v>
      </c>
      <c r="S24" s="41">
        <f>+IFERROR(VLOOKUP($S$17,Sheet1!N8:Q8,3,0),0)</f>
        <v>0</v>
      </c>
      <c r="T24" s="41">
        <f>+IFERROR(VLOOKUP($T$17,Sheet1!N8:Q8,3,0),0)</f>
        <v>0</v>
      </c>
      <c r="U24" s="41">
        <f>+IFERROR(VLOOKUP($U$17,Sheet1!F8:I8,3,0),0)</f>
        <v>0</v>
      </c>
      <c r="V24" s="41">
        <f>+IFERROR(VLOOKUP($V$17,Sheet1!F8:I8,3,0),0)</f>
        <v>0</v>
      </c>
      <c r="W24" s="41">
        <f>+IFERROR(VLOOKUP($W$17,Sheet1!F8:I8,3,0),0)</f>
        <v>0</v>
      </c>
      <c r="X24" s="41">
        <f>+IFERROR(VLOOKUP($X$17,Sheet1!F8:I8,3,0),0)</f>
        <v>0</v>
      </c>
      <c r="Y24" s="78">
        <v>77</v>
      </c>
      <c r="Z24" s="41">
        <f>+IFERROR(VLOOKUP($Z$17,Sheet1!F8:I8,3,0),0)</f>
        <v>0</v>
      </c>
      <c r="AA24" s="41">
        <f>+IFERROR(VLOOKUP($AA$17,Sheet1!F8:I8,3,0),0)</f>
        <v>0</v>
      </c>
      <c r="AB24" s="41">
        <f>+IFERROR(VLOOKUP($AB$17,Sheet1!F8:I8,3,0),0)</f>
        <v>0</v>
      </c>
      <c r="AC24" s="78">
        <v>230</v>
      </c>
      <c r="AD24" s="72">
        <f>+IFERROR(VLOOKUP($AD$17,Sheet1!R8:U8,2,0),0)</f>
        <v>0</v>
      </c>
      <c r="AE24" s="78">
        <v>476</v>
      </c>
      <c r="AF24" s="72">
        <f>+IFERROR(VLOOKUP($AF$17,Sheet1!V8:Y8,3,0),0)</f>
        <v>0</v>
      </c>
      <c r="AG24" s="72">
        <f>+IFERROR(VLOOKUP($AG$17,Sheet1!V8:Y8,3,0),0)</f>
        <v>0</v>
      </c>
      <c r="AH24" s="72">
        <f>+IFERROR(VLOOKUP($AH$17,Sheet1!V8:Y8,3,0),0)</f>
        <v>0</v>
      </c>
      <c r="AI24" s="72">
        <f>+IFERROR(VLOOKUP($AI$17,Sheet1!V8:Y8,3,0),0)</f>
        <v>0</v>
      </c>
      <c r="AJ24" s="72">
        <f>+IFERROR(VLOOKUP($AJ$17,Sheet1!V8:Y8,3,0),0)</f>
        <v>0</v>
      </c>
      <c r="AK24" s="79">
        <v>19</v>
      </c>
      <c r="AL24" s="72">
        <f>+IFERROR(VLOOKUP($AL$17,Sheet1!AD8:AG8,3,0),0)</f>
        <v>0</v>
      </c>
      <c r="AM24" s="72">
        <f>+IFERROR(VLOOKUP($AM$17,Sheet1!AD8:AG8,3,0),0)</f>
        <v>0</v>
      </c>
      <c r="AN24" s="72">
        <f>+IFERROR(VLOOKUP($AN$17,Sheet1!AD8:AG8,3,0),0)</f>
        <v>0</v>
      </c>
      <c r="AO24" s="72">
        <f>+IFERROR(VLOOKUP($AO$17,Sheet1!AD8:AG8,3,0),0)</f>
        <v>0</v>
      </c>
      <c r="AP24" s="72">
        <f>+IFERROR(VLOOKUP($AP$17,Sheet1!AD8:AG8,3,0),0)</f>
        <v>0</v>
      </c>
      <c r="AQ24" s="79">
        <v>194</v>
      </c>
      <c r="AR24" s="72">
        <f>+IFERROR(VLOOKUP($AR$17,Sheet1!AD8:AG8,3,0),0)</f>
        <v>0</v>
      </c>
      <c r="AS24" s="72">
        <f>+IFERROR(VLOOKUP($AS$17,Sheet1!AH8:AK8,3,0),0)</f>
        <v>0</v>
      </c>
      <c r="AT24" s="72">
        <f>+IFERROR(VLOOKUP($AT$17,Sheet1!AH8:AK8,3,0),0)</f>
        <v>0</v>
      </c>
      <c r="AU24" s="72">
        <f>+IFERROR(VLOOKUP($AU$17,Sheet1!AH8:AK8,3,0),0)</f>
        <v>0</v>
      </c>
      <c r="AV24" s="79">
        <v>1008</v>
      </c>
      <c r="AW24" s="72">
        <f>+IFERROR(VLOOKUP($AW$17,Sheet1!AH8:AK8,3,0),0)</f>
        <v>0</v>
      </c>
      <c r="AX24" s="72">
        <f>+IFERROR(VLOOKUP($AX$17,Sheet1!AH8:AK8,3,0),0)</f>
        <v>0</v>
      </c>
      <c r="AY24" s="72">
        <f>+IFERROR(VLOOKUP($AY$17,Sheet1!AH8:AK8,3,0),0)</f>
        <v>0</v>
      </c>
      <c r="AZ24" s="72">
        <f>+IFERROR(VLOOKUP($AZ$17,Sheet1!AH8:AK8,3,0),0)</f>
        <v>0</v>
      </c>
      <c r="BA24" s="72">
        <f>+IFERROR(VLOOKUP($BA$17,Sheet1!AH8:AK8,3,0),0)</f>
        <v>0</v>
      </c>
      <c r="BB24" s="72">
        <f>+IFERROR(VLOOKUP($BB$17,Sheet1!AH8:AK8,3,0),0)</f>
        <v>0</v>
      </c>
      <c r="BC24" s="72">
        <f>+IFERROR(VLOOKUP($BC$17,Sheet1!AL8:AO8,3,0),0)</f>
        <v>0</v>
      </c>
      <c r="BD24" s="72">
        <f>+IFERROR(VLOOKUP($BD$17,Sheet1!AL8:AO8,3,0),0)</f>
        <v>0</v>
      </c>
      <c r="BE24" s="72">
        <f>+IFERROR(VLOOKUP($BE$17,Sheet1!AL8:AO8,3,0),0)</f>
        <v>0</v>
      </c>
      <c r="BF24" s="79">
        <v>700</v>
      </c>
      <c r="BG24" s="72">
        <f>+IFERROR(VLOOKUP($BG$17,Sheet1!AL8:AO8,3,0),0)</f>
        <v>0</v>
      </c>
      <c r="BH24" s="72">
        <f>+IFERROR(VLOOKUP($BH$17,Sheet1!AL8:AO8,3,0),0)</f>
        <v>0</v>
      </c>
      <c r="BI24" s="72">
        <f>+IFERROR(VLOOKUP($BI$17,Sheet1!AL8:AO8,3,0),0)</f>
        <v>0</v>
      </c>
      <c r="BJ24" s="72">
        <f>+IFERROR(VLOOKUP($BJ$17,Sheet1!AL8:AO8,3,0),0)</f>
        <v>0</v>
      </c>
      <c r="BK24" s="72">
        <f>+IFERROR(VLOOKUP($BK$17,Sheet1!AL8:AO8,3,0),0)</f>
        <v>0</v>
      </c>
      <c r="BL24" s="72">
        <f>+IFERROR(VLOOKUP($BL$17,Sheet1!AL8:AO8,3,0),0)</f>
        <v>0</v>
      </c>
      <c r="BM24" s="72">
        <f>+IFERROR(VLOOKUP($BM$17,Sheet1!AP8:AS8,3,0),0)</f>
        <v>0</v>
      </c>
      <c r="BN24" s="72">
        <f>+IFERROR(VLOOKUP($BN$17,Sheet1!AT8:AW8,3,0),0)</f>
        <v>0</v>
      </c>
      <c r="BO24" s="79">
        <v>39</v>
      </c>
      <c r="BP24" s="79">
        <v>46</v>
      </c>
      <c r="BQ24" s="72">
        <f>+IFERROR(VLOOKUP($BQ$17,Sheet1!BF8:BI8,3,0),0)</f>
        <v>0</v>
      </c>
      <c r="BR24" s="72">
        <f>+IFERROR(VLOOKUP($BR$17,Sheet1!BJ8:BM8,3,0),0)</f>
        <v>0</v>
      </c>
      <c r="BS24" s="72">
        <f>+IFERROR(VLOOKUP($BS$17,Sheet1!BN8:BQ8,3,0),0)</f>
        <v>0</v>
      </c>
      <c r="BT24" s="79">
        <v>42</v>
      </c>
      <c r="BU24" s="11">
        <f>+IFERROR(VLOOKUP($BU$17,Sheet1!BV8:BY8,3,0),0)</f>
        <v>0</v>
      </c>
      <c r="BV24" s="11" t="str">
        <f>Sheet1!E8</f>
        <v>STEEL</v>
      </c>
      <c r="BW24" s="11" t="str">
        <f>Sheet1!CV8</f>
        <v>SP0400107</v>
      </c>
      <c r="BX24" s="11" t="str">
        <f>Sheet1!CW8</f>
        <v>CORRUGATED DISPATCH STEEL DRUM 2150 X 1080 X 1240 MM</v>
      </c>
      <c r="BY24" s="11">
        <f>Sheet1!CX8</f>
        <v>500</v>
      </c>
      <c r="BZ24" s="3">
        <f>Sheet1!BZ8</f>
        <v>66500</v>
      </c>
      <c r="CA24" s="3">
        <f t="shared" si="5"/>
        <v>1199161</v>
      </c>
      <c r="CB24" s="23">
        <f>Sheet1!CB8</f>
        <v>0</v>
      </c>
      <c r="CC24" s="3">
        <f t="shared" si="6"/>
        <v>0</v>
      </c>
      <c r="CD24" s="47">
        <v>0.5</v>
      </c>
      <c r="CE24" s="3">
        <f t="shared" si="7"/>
        <v>599580.5</v>
      </c>
      <c r="CF24" s="47">
        <v>0</v>
      </c>
      <c r="CG24" s="3">
        <f t="shared" si="8"/>
        <v>0</v>
      </c>
      <c r="CH24" s="3">
        <f t="shared" si="9"/>
        <v>1798741.5</v>
      </c>
      <c r="CI24" s="47">
        <v>0.02</v>
      </c>
      <c r="CJ24" s="80">
        <f t="shared" si="10"/>
        <v>35974.83</v>
      </c>
      <c r="CK24" s="47">
        <v>0.01</v>
      </c>
      <c r="CL24" s="80">
        <f t="shared" si="11"/>
        <v>17987.415000000001</v>
      </c>
    </row>
    <row r="25" spans="1:90" ht="51" x14ac:dyDescent="0.25">
      <c r="A25" s="1" t="str">
        <f>Sheet1!A5</f>
        <v>ENQ-10773-22-23</v>
      </c>
      <c r="B25" s="51">
        <f>Sheet1!B5</f>
        <v>45135</v>
      </c>
      <c r="C25" s="1" t="str">
        <f>Sheet1!C5</f>
        <v>FA1300016</v>
      </c>
      <c r="D25" s="73" t="str">
        <f>Sheet1!D5</f>
        <v>1 CORE X 630 SQ. MM. AL/ARM (XLPE)  - 11 KV</v>
      </c>
      <c r="E25" s="74">
        <f t="shared" si="0"/>
        <v>1201875.585</v>
      </c>
      <c r="F25" s="77" t="e">
        <f t="shared" si="12"/>
        <v>#DIV/0!</v>
      </c>
      <c r="G25" s="75" t="e">
        <f t="shared" si="1"/>
        <v>#DIV/0!</v>
      </c>
      <c r="H25" s="76">
        <f>Sheet1!CP5</f>
        <v>0.18</v>
      </c>
      <c r="I25" s="75" t="e">
        <f t="shared" si="2"/>
        <v>#DIV/0!</v>
      </c>
      <c r="J25" s="75" t="e">
        <f t="shared" si="3"/>
        <v>#DIV/0!</v>
      </c>
      <c r="K25" s="73">
        <v>0</v>
      </c>
      <c r="L25" s="73" t="str">
        <f>Sheet1!CT5</f>
        <v>KMS</v>
      </c>
      <c r="M25" s="74" t="e">
        <f t="shared" si="4"/>
        <v>#DIV/0!</v>
      </c>
      <c r="N25" s="78">
        <f>+IFERROR(VLOOKUP($N$17,Sheet1!J5:L5,3,0),0)</f>
        <v>1701</v>
      </c>
      <c r="O25" s="41">
        <f>+IFERROR(VLOOKUP($O$17,Sheet1!J5:L5,3,0),0)</f>
        <v>0</v>
      </c>
      <c r="P25" s="41">
        <f>+IFERROR(VLOOKUP($P$17,Sheet1!J5:M5,3,0),0)</f>
        <v>0</v>
      </c>
      <c r="Q25" s="41">
        <f>+IFERROR(VLOOKUP($Q$17,Sheet1!J5:M5,3,0),0)</f>
        <v>0</v>
      </c>
      <c r="R25" s="41">
        <f>+IFERROR(VLOOKUP($R$17,Sheet1!J5:M5,3,0),0)</f>
        <v>0</v>
      </c>
      <c r="S25" s="41">
        <f>+IFERROR(VLOOKUP($S$17,Sheet1!N5:Q5,3,0),0)</f>
        <v>0</v>
      </c>
      <c r="T25" s="41">
        <f>+IFERROR(VLOOKUP($T$17,Sheet1!N5:Q5,3,0),0)</f>
        <v>0</v>
      </c>
      <c r="U25" s="41">
        <f>+IFERROR(VLOOKUP($U$17,Sheet1!F5:I5,3,0),0)</f>
        <v>0</v>
      </c>
      <c r="V25" s="41">
        <f>+IFERROR(VLOOKUP($V$17,Sheet1!F5:I5,3,0),0)</f>
        <v>0</v>
      </c>
      <c r="W25" s="41">
        <f>+IFERROR(VLOOKUP($W$17,Sheet1!F5:I5,3,0),0)</f>
        <v>0</v>
      </c>
      <c r="X25" s="41">
        <f>+IFERROR(VLOOKUP($X$17,Sheet1!F5:I5,3,0),0)</f>
        <v>0</v>
      </c>
      <c r="Y25" s="78">
        <v>63</v>
      </c>
      <c r="Z25" s="41">
        <f>+IFERROR(VLOOKUP($Z$17,Sheet1!F5:I5,3,0),0)</f>
        <v>0</v>
      </c>
      <c r="AA25" s="41">
        <f>+IFERROR(VLOOKUP($AA$17,Sheet1!F5:I5,3,0),0)</f>
        <v>0</v>
      </c>
      <c r="AB25" s="41">
        <f>+IFERROR(VLOOKUP($AB$17,Sheet1!F5:I5,3,0),0)</f>
        <v>0</v>
      </c>
      <c r="AC25" s="78">
        <v>170</v>
      </c>
      <c r="AD25" s="72">
        <f>+IFERROR(VLOOKUP($AD$17,Sheet1!R5:U5,2,0),0)</f>
        <v>0</v>
      </c>
      <c r="AE25" s="78">
        <v>380</v>
      </c>
      <c r="AF25" s="72">
        <f>+IFERROR(VLOOKUP($AF$17,Sheet1!V5:Y5,3,0),0)</f>
        <v>0</v>
      </c>
      <c r="AG25" s="72">
        <f>+IFERROR(VLOOKUP($AG$17,Sheet1!V5:Y5,3,0),0)</f>
        <v>0</v>
      </c>
      <c r="AH25" s="72">
        <f>+IFERROR(VLOOKUP($AH$17,Sheet1!V5:Y5,3,0),0)</f>
        <v>0</v>
      </c>
      <c r="AI25" s="72">
        <f>+IFERROR(VLOOKUP($AI$17,Sheet1!V5:Y5,3,0),0)</f>
        <v>0</v>
      </c>
      <c r="AJ25" s="72">
        <f>+IFERROR(VLOOKUP($AJ$17,Sheet1!V5:Y5,3,0),0)</f>
        <v>0</v>
      </c>
      <c r="AK25" s="79">
        <v>15</v>
      </c>
      <c r="AL25" s="72">
        <f>+IFERROR(VLOOKUP($AL$17,Sheet1!AD5:AG5,3,0),0)</f>
        <v>0</v>
      </c>
      <c r="AM25" s="72">
        <f>+IFERROR(VLOOKUP($AM$17,Sheet1!AD5:AG5,3,0),0)</f>
        <v>0</v>
      </c>
      <c r="AN25" s="72">
        <f>+IFERROR(VLOOKUP($AN$17,Sheet1!AD5:AG5,3,0),0)</f>
        <v>0</v>
      </c>
      <c r="AO25" s="72">
        <f>+IFERROR(VLOOKUP($AO$17,Sheet1!AD5:AG5,3,0),0)</f>
        <v>0</v>
      </c>
      <c r="AP25" s="72">
        <f>+IFERROR(VLOOKUP($AP$17,Sheet1!AD5:AG5,3,0),0)</f>
        <v>0</v>
      </c>
      <c r="AQ25" s="79">
        <v>140</v>
      </c>
      <c r="AR25" s="72">
        <f>+IFERROR(VLOOKUP($AR$17,Sheet1!AD5:AG5,3,0),0)</f>
        <v>0</v>
      </c>
      <c r="AS25" s="72">
        <f>+IFERROR(VLOOKUP($AS$17,Sheet1!AH5:AK5,3,0),0)</f>
        <v>0</v>
      </c>
      <c r="AT25" s="72">
        <f>+IFERROR(VLOOKUP($AT$17,Sheet1!AH5:AK5,3,0),0)</f>
        <v>0</v>
      </c>
      <c r="AU25" s="72">
        <f>+IFERROR(VLOOKUP($AU$17,Sheet1!AH5:AK5,3,0),0)</f>
        <v>0</v>
      </c>
      <c r="AV25" s="79">
        <v>530</v>
      </c>
      <c r="AW25" s="72">
        <f>+IFERROR(VLOOKUP($AW$17,Sheet1!AH5:AK5,3,0),0)</f>
        <v>0</v>
      </c>
      <c r="AX25" s="72">
        <f>+IFERROR(VLOOKUP($AX$17,Sheet1!AH5:AK5,3,0),0)</f>
        <v>0</v>
      </c>
      <c r="AY25" s="72">
        <f>+IFERROR(VLOOKUP($AY$17,Sheet1!AH5:AK5,3,0),0)</f>
        <v>0</v>
      </c>
      <c r="AZ25" s="72">
        <f>+IFERROR(VLOOKUP($AZ$17,Sheet1!AH5:AK5,3,0),0)</f>
        <v>0</v>
      </c>
      <c r="BA25" s="72">
        <f>+IFERROR(VLOOKUP($BA$17,Sheet1!AH5:AK5,3,0),0)</f>
        <v>0</v>
      </c>
      <c r="BB25" s="72">
        <f>+IFERROR(VLOOKUP($BB$17,Sheet1!AH5:AK5,3,0),0)</f>
        <v>0</v>
      </c>
      <c r="BC25" s="72">
        <f>+IFERROR(VLOOKUP($BC$17,Sheet1!AL5:AO5,3,0),0)</f>
        <v>0</v>
      </c>
      <c r="BD25" s="72">
        <f>+IFERROR(VLOOKUP($BD$17,Sheet1!AL5:AO5,3,0),0)</f>
        <v>0</v>
      </c>
      <c r="BE25" s="72">
        <f>+IFERROR(VLOOKUP($BE$17,Sheet1!AL5:AO5,3,0),0)</f>
        <v>0</v>
      </c>
      <c r="BF25" s="79">
        <v>492</v>
      </c>
      <c r="BG25" s="72">
        <f>+IFERROR(VLOOKUP($BG$17,Sheet1!AL5:AO5,3,0),0)</f>
        <v>0</v>
      </c>
      <c r="BH25" s="72">
        <f>+IFERROR(VLOOKUP($BH$17,Sheet1!AL5:AO5,3,0),0)</f>
        <v>0</v>
      </c>
      <c r="BI25" s="72">
        <f>+IFERROR(VLOOKUP($BI$17,Sheet1!AL5:AO5,3,0),0)</f>
        <v>0</v>
      </c>
      <c r="BJ25" s="72">
        <f>+IFERROR(VLOOKUP($BJ$17,Sheet1!AL5:AO5,3,0),0)</f>
        <v>0</v>
      </c>
      <c r="BK25" s="72">
        <f>+IFERROR(VLOOKUP($BK$17,Sheet1!AL5:AO5,3,0),0)</f>
        <v>0</v>
      </c>
      <c r="BL25" s="72">
        <f>+IFERROR(VLOOKUP($BL$17,Sheet1!AL5:AO5,3,0),0)</f>
        <v>0</v>
      </c>
      <c r="BM25" s="72">
        <f>+IFERROR(VLOOKUP($BM$17,Sheet1!AP5:AS5,3,0),0)</f>
        <v>0</v>
      </c>
      <c r="BN25" s="72">
        <f>+IFERROR(VLOOKUP($BN$17,Sheet1!AT5:AW5,3,0),0)</f>
        <v>0</v>
      </c>
      <c r="BO25" s="79">
        <v>26</v>
      </c>
      <c r="BP25" s="79">
        <v>36</v>
      </c>
      <c r="BQ25" s="72">
        <f>+IFERROR(VLOOKUP($BQ$17,Sheet1!BF5:BI5,3,0),0)</f>
        <v>0</v>
      </c>
      <c r="BR25" s="72">
        <f>+IFERROR(VLOOKUP($BR$17,Sheet1!BJ5:BM5,3,0),0)</f>
        <v>0</v>
      </c>
      <c r="BS25" s="72">
        <f>+IFERROR(VLOOKUP($BS$17,Sheet1!BN5:BQ5,3,0),0)</f>
        <v>0</v>
      </c>
      <c r="BT25" s="79">
        <v>33</v>
      </c>
      <c r="BU25" s="11">
        <f>+IFERROR(VLOOKUP($BU$17,Sheet1!BV5:BY5,3,0),0)</f>
        <v>0</v>
      </c>
      <c r="BV25" s="11" t="str">
        <f>Sheet1!E5</f>
        <v>STEEL</v>
      </c>
      <c r="BW25" s="11" t="str">
        <f>Sheet1!CV5</f>
        <v>SP0400091</v>
      </c>
      <c r="BX25" s="11" t="str">
        <f>Sheet1!CW5</f>
        <v>CORRUGATED DISPATCH STEEL DRUM 1800 X 900 X 1000</v>
      </c>
      <c r="BY25" s="11">
        <f>Sheet1!CX5</f>
        <v>500</v>
      </c>
      <c r="BZ25" s="3">
        <f>Sheet1!BZ5</f>
        <v>48450</v>
      </c>
      <c r="CA25" s="3">
        <f t="shared" si="5"/>
        <v>777913</v>
      </c>
      <c r="CB25" s="23">
        <f>Sheet1!CB5</f>
        <v>0</v>
      </c>
      <c r="CC25" s="3">
        <f t="shared" si="6"/>
        <v>0</v>
      </c>
      <c r="CD25" s="47">
        <v>0.5</v>
      </c>
      <c r="CE25" s="3">
        <f t="shared" si="7"/>
        <v>388956.5</v>
      </c>
      <c r="CF25" s="47">
        <v>0</v>
      </c>
      <c r="CG25" s="3">
        <f t="shared" si="8"/>
        <v>0</v>
      </c>
      <c r="CH25" s="3">
        <f t="shared" si="9"/>
        <v>1166869.5</v>
      </c>
      <c r="CI25" s="47">
        <v>0.02</v>
      </c>
      <c r="CJ25" s="80">
        <f t="shared" si="10"/>
        <v>23337.39</v>
      </c>
      <c r="CK25" s="47">
        <v>0.01</v>
      </c>
      <c r="CL25" s="80">
        <f t="shared" si="11"/>
        <v>11668.695</v>
      </c>
    </row>
    <row r="26" spans="1:90" ht="51" x14ac:dyDescent="0.25">
      <c r="A26" s="1" t="str">
        <f>Sheet1!A11</f>
        <v>ENQ-10773-22-23</v>
      </c>
      <c r="B26" s="51">
        <f>Sheet1!B11</f>
        <v>45135</v>
      </c>
      <c r="C26" s="1" t="str">
        <f>Sheet1!C11</f>
        <v>FA1300047</v>
      </c>
      <c r="D26" s="73" t="str">
        <f>Sheet1!D11</f>
        <v>1 CORE X 400 SQ. MM. AL/ARM (XLPE) - 11 KV</v>
      </c>
      <c r="E26" s="74">
        <f t="shared" si="0"/>
        <v>911866.72499999998</v>
      </c>
      <c r="F26" s="77" t="e">
        <f t="shared" si="12"/>
        <v>#DIV/0!</v>
      </c>
      <c r="G26" s="75" t="e">
        <f t="shared" si="1"/>
        <v>#DIV/0!</v>
      </c>
      <c r="H26" s="76">
        <f>Sheet1!CP11</f>
        <v>0.18</v>
      </c>
      <c r="I26" s="75" t="e">
        <f t="shared" si="2"/>
        <v>#DIV/0!</v>
      </c>
      <c r="J26" s="75" t="e">
        <f t="shared" si="3"/>
        <v>#DIV/0!</v>
      </c>
      <c r="K26" s="73">
        <v>0</v>
      </c>
      <c r="L26" s="73" t="str">
        <f>Sheet1!CT11</f>
        <v>KMS</v>
      </c>
      <c r="M26" s="74" t="e">
        <f t="shared" si="4"/>
        <v>#DIV/0!</v>
      </c>
      <c r="N26" s="41">
        <f>+IFERROR(VLOOKUP($N$17,Sheet1!J11:L11,3,0),0)</f>
        <v>1080</v>
      </c>
      <c r="O26" s="41">
        <f>+IFERROR(VLOOKUP($O$17,Sheet1!J11:L11,3,0),0)</f>
        <v>0</v>
      </c>
      <c r="P26" s="41">
        <f>+IFERROR(VLOOKUP($P$17,Sheet1!J11:M11,3,0),0)</f>
        <v>0</v>
      </c>
      <c r="Q26" s="41">
        <f>+IFERROR(VLOOKUP($Q$17,Sheet1!J11:M11,3,0),0)</f>
        <v>0</v>
      </c>
      <c r="R26" s="41">
        <f>+IFERROR(VLOOKUP($R$17,Sheet1!J11:M11,3,0),0)</f>
        <v>0</v>
      </c>
      <c r="S26" s="41">
        <f>+IFERROR(VLOOKUP($S$17,Sheet1!N11:Q11,3,0),0)</f>
        <v>0</v>
      </c>
      <c r="T26" s="41">
        <f>+IFERROR(VLOOKUP($T$17,Sheet1!N11:Q11,3,0),0)</f>
        <v>0</v>
      </c>
      <c r="U26" s="41">
        <f>+IFERROR(VLOOKUP($U$17,Sheet1!F11:I11,3,0),0)</f>
        <v>0</v>
      </c>
      <c r="V26" s="41">
        <f>+IFERROR(VLOOKUP($V$17,Sheet1!F11:I11,3,0),0)</f>
        <v>0</v>
      </c>
      <c r="W26" s="41">
        <f>+IFERROR(VLOOKUP($W$17,Sheet1!F11:I11,3,0),0)</f>
        <v>0</v>
      </c>
      <c r="X26" s="41">
        <f>+IFERROR(VLOOKUP($X$17,Sheet1!F11:I11,3,0),0)</f>
        <v>0</v>
      </c>
      <c r="Y26" s="78">
        <v>53</v>
      </c>
      <c r="Z26" s="41">
        <f>+IFERROR(VLOOKUP($Z$17,Sheet1!F11:I11,3,0),0)</f>
        <v>0</v>
      </c>
      <c r="AA26" s="41">
        <f>+IFERROR(VLOOKUP($AA$17,Sheet1!F11:I11,3,0),0)</f>
        <v>0</v>
      </c>
      <c r="AB26" s="41">
        <f>+IFERROR(VLOOKUP($AB$17,Sheet1!F11:I11,3,0),0)</f>
        <v>0</v>
      </c>
      <c r="AC26" s="78">
        <v>138</v>
      </c>
      <c r="AD26" s="72">
        <f>+IFERROR(VLOOKUP($AD$17,Sheet1!R11:U11,2,0),0)</f>
        <v>0</v>
      </c>
      <c r="AE26" s="78">
        <v>310</v>
      </c>
      <c r="AF26" s="72">
        <f>+IFERROR(VLOOKUP($AF$17,Sheet1!V11:Y11,3,0),0)</f>
        <v>0</v>
      </c>
      <c r="AG26" s="72">
        <f>+IFERROR(VLOOKUP($AG$17,Sheet1!V11:Y11,3,0),0)</f>
        <v>0</v>
      </c>
      <c r="AH26" s="72">
        <f>+IFERROR(VLOOKUP($AH$17,Sheet1!V11:Y11,3,0),0)</f>
        <v>0</v>
      </c>
      <c r="AI26" s="72">
        <f>+IFERROR(VLOOKUP($AI$17,Sheet1!V11:Y11,3,0),0)</f>
        <v>0</v>
      </c>
      <c r="AJ26" s="72">
        <f>+IFERROR(VLOOKUP($AJ$17,Sheet1!V11:Y11,3,0),0)</f>
        <v>0</v>
      </c>
      <c r="AK26" s="79">
        <v>13</v>
      </c>
      <c r="AL26" s="72">
        <f>+IFERROR(VLOOKUP($AL$17,Sheet1!AD11:AG11,3,0),0)</f>
        <v>0</v>
      </c>
      <c r="AM26" s="72">
        <f>+IFERROR(VLOOKUP($AM$17,Sheet1!AD11:AG11,3,0),0)</f>
        <v>0</v>
      </c>
      <c r="AN26" s="72">
        <f>+IFERROR(VLOOKUP($AN$17,Sheet1!AD11:AG11,3,0),0)</f>
        <v>0</v>
      </c>
      <c r="AO26" s="72">
        <f>+IFERROR(VLOOKUP($AO$17,Sheet1!AD11:AG11,3,0),0)</f>
        <v>0</v>
      </c>
      <c r="AP26" s="72">
        <f>+IFERROR(VLOOKUP($AP$17,Sheet1!AD11:AG11,3,0),0)</f>
        <v>0</v>
      </c>
      <c r="AQ26" s="79">
        <v>102</v>
      </c>
      <c r="AR26" s="72">
        <f>+IFERROR(VLOOKUP($AR$17,Sheet1!AD11:AG11,3,0),0)</f>
        <v>0</v>
      </c>
      <c r="AS26" s="72">
        <f>+IFERROR(VLOOKUP($AS$17,Sheet1!AH11:AK11,3,0),0)</f>
        <v>0</v>
      </c>
      <c r="AT26" s="72">
        <f>+IFERROR(VLOOKUP($AT$17,Sheet1!AH11:AK11,3,0),0)</f>
        <v>0</v>
      </c>
      <c r="AU26" s="72">
        <f>+IFERROR(VLOOKUP($AU$17,Sheet1!AH11:AK11,3,0),0)</f>
        <v>0</v>
      </c>
      <c r="AV26" s="79">
        <v>552</v>
      </c>
      <c r="AW26" s="72">
        <f>+IFERROR(VLOOKUP($AW$17,Sheet1!AH11:AK11,3,0),0)</f>
        <v>0</v>
      </c>
      <c r="AX26" s="72">
        <f>+IFERROR(VLOOKUP($AX$17,Sheet1!AH11:AK11,3,0),0)</f>
        <v>0</v>
      </c>
      <c r="AY26" s="72">
        <f>+IFERROR(VLOOKUP($AY$17,Sheet1!AH11:AK11,3,0),0)</f>
        <v>0</v>
      </c>
      <c r="AZ26" s="72">
        <f>+IFERROR(VLOOKUP($AZ$17,Sheet1!AH11:AK11,3,0),0)</f>
        <v>0</v>
      </c>
      <c r="BA26" s="72">
        <f>+IFERROR(VLOOKUP($BA$17,Sheet1!AH11:AK11,3,0),0)</f>
        <v>0</v>
      </c>
      <c r="BB26" s="72">
        <f>+IFERROR(VLOOKUP($BB$17,Sheet1!AH11:AK11,3,0),0)</f>
        <v>0</v>
      </c>
      <c r="BC26" s="72">
        <f>+IFERROR(VLOOKUP($BC$17,Sheet1!AL11:AO11,3,0),0)</f>
        <v>0</v>
      </c>
      <c r="BD26" s="72">
        <f>+IFERROR(VLOOKUP($BD$17,Sheet1!AL11:AO11,3,0),0)</f>
        <v>0</v>
      </c>
      <c r="BE26" s="72">
        <f>+IFERROR(VLOOKUP($BE$17,Sheet1!AL11:AO11,3,0),0)</f>
        <v>0</v>
      </c>
      <c r="BF26" s="79">
        <v>403</v>
      </c>
      <c r="BG26" s="72">
        <f>+IFERROR(VLOOKUP($BG$17,Sheet1!AL11:AO11,3,0),0)</f>
        <v>0</v>
      </c>
      <c r="BH26" s="72">
        <f>+IFERROR(VLOOKUP($BH$17,Sheet1!AL11:AO11,3,0),0)</f>
        <v>0</v>
      </c>
      <c r="BI26" s="72">
        <f>+IFERROR(VLOOKUP($BI$17,Sheet1!AL11:AO11,3,0),0)</f>
        <v>0</v>
      </c>
      <c r="BJ26" s="72">
        <f>+IFERROR(VLOOKUP($BJ$17,Sheet1!AL11:AO11,3,0),0)</f>
        <v>0</v>
      </c>
      <c r="BK26" s="72">
        <f>+IFERROR(VLOOKUP($BK$17,Sheet1!AL11:AO11,3,0),0)</f>
        <v>0</v>
      </c>
      <c r="BL26" s="72">
        <f>+IFERROR(VLOOKUP($BL$17,Sheet1!AL11:AO11,3,0),0)</f>
        <v>0</v>
      </c>
      <c r="BM26" s="72">
        <f>+IFERROR(VLOOKUP($BM$17,Sheet1!AP11:AS11,3,0),0)</f>
        <v>0</v>
      </c>
      <c r="BN26" s="72">
        <f>+IFERROR(VLOOKUP($BN$17,Sheet1!AT11:AW11,3,0),0)</f>
        <v>0</v>
      </c>
      <c r="BO26" s="79">
        <v>19</v>
      </c>
      <c r="BP26" s="79">
        <v>29</v>
      </c>
      <c r="BQ26" s="72">
        <f>+IFERROR(VLOOKUP($BQ$17,Sheet1!BF11:BI11,3,0),0)</f>
        <v>0</v>
      </c>
      <c r="BR26" s="72">
        <f>+IFERROR(VLOOKUP($BR$17,Sheet1!BJ11:BM11,3,0),0)</f>
        <v>0</v>
      </c>
      <c r="BS26" s="72">
        <f>+IFERROR(VLOOKUP($BS$17,Sheet1!BN11:BQ11,3,0),0)</f>
        <v>0</v>
      </c>
      <c r="BT26" s="79">
        <v>30</v>
      </c>
      <c r="BU26" s="11">
        <f>+IFERROR(VLOOKUP($BU$17,Sheet1!BV11:BY11,3,0),0)</f>
        <v>0</v>
      </c>
      <c r="BV26" s="11" t="str">
        <f>Sheet1!E11</f>
        <v>STEEL</v>
      </c>
      <c r="BW26" s="11" t="str">
        <f>Sheet1!CV11</f>
        <v>SP0400125</v>
      </c>
      <c r="BX26" s="11" t="str">
        <f>Sheet1!CW11</f>
        <v>CORRUGATED DISPATCH STEEL DRUM 1600 X 700 X 915 MM</v>
      </c>
      <c r="BY26" s="11">
        <f>Sheet1!CX11</f>
        <v>500</v>
      </c>
      <c r="BZ26" s="3">
        <f>Sheet1!BZ11</f>
        <v>34200</v>
      </c>
      <c r="CA26" s="3">
        <f t="shared" si="5"/>
        <v>590205</v>
      </c>
      <c r="CB26" s="23">
        <f>Sheet1!CB11</f>
        <v>0</v>
      </c>
      <c r="CC26" s="3">
        <f t="shared" si="6"/>
        <v>0</v>
      </c>
      <c r="CD26" s="47">
        <v>0.5</v>
      </c>
      <c r="CE26" s="3">
        <f t="shared" si="7"/>
        <v>295102.5</v>
      </c>
      <c r="CF26" s="47">
        <v>0</v>
      </c>
      <c r="CG26" s="3">
        <f t="shared" si="8"/>
        <v>0</v>
      </c>
      <c r="CH26" s="3">
        <f t="shared" si="9"/>
        <v>885307.5</v>
      </c>
      <c r="CI26" s="47">
        <v>0.02</v>
      </c>
      <c r="CJ26" s="80">
        <f t="shared" si="10"/>
        <v>17706.150000000001</v>
      </c>
      <c r="CK26" s="47">
        <v>0.01</v>
      </c>
      <c r="CL26" s="80">
        <f t="shared" si="11"/>
        <v>8853.0750000000007</v>
      </c>
    </row>
    <row r="27" spans="1:90" ht="51" x14ac:dyDescent="0.25">
      <c r="A27" s="1" t="str">
        <f>Sheet1!A14</f>
        <v>ENQ-10773-22-23</v>
      </c>
      <c r="B27" s="51">
        <f>Sheet1!B14</f>
        <v>45135</v>
      </c>
      <c r="C27" s="1" t="str">
        <f>Sheet1!C14</f>
        <v>FA1300080</v>
      </c>
      <c r="D27" s="73" t="str">
        <f>Sheet1!D14</f>
        <v>3 CORE X 400 SQ. MM AL/ARM - WIRE (XLPE) - 33 KV</v>
      </c>
      <c r="E27" s="74">
        <f t="shared" si="0"/>
        <v>4221435.9450000003</v>
      </c>
      <c r="F27" s="77">
        <f t="shared" si="12"/>
        <v>140000</v>
      </c>
      <c r="G27" s="75">
        <f t="shared" si="1"/>
        <v>4361435.9450000003</v>
      </c>
      <c r="H27" s="76">
        <f>Sheet1!CP14</f>
        <v>0.18</v>
      </c>
      <c r="I27" s="75">
        <f t="shared" si="2"/>
        <v>785058.47010000004</v>
      </c>
      <c r="J27" s="75">
        <f t="shared" si="3"/>
        <v>5146494.4151000008</v>
      </c>
      <c r="K27" s="73">
        <v>36</v>
      </c>
      <c r="L27" s="73" t="str">
        <f>Sheet1!CT14</f>
        <v>KMS</v>
      </c>
      <c r="M27" s="74">
        <f t="shared" si="4"/>
        <v>185273798.94360003</v>
      </c>
      <c r="N27" s="78">
        <v>3243</v>
      </c>
      <c r="O27" s="41">
        <f>+IFERROR(VLOOKUP($O$17,Sheet1!J14:L14,3,0),0)</f>
        <v>0</v>
      </c>
      <c r="P27" s="41">
        <f>+IFERROR(VLOOKUP($P$17,Sheet1!J14:M14,3,0),0)</f>
        <v>0</v>
      </c>
      <c r="Q27" s="41">
        <f>+IFERROR(VLOOKUP($Q$17,Sheet1!J14:M14,3,0),0)</f>
        <v>0</v>
      </c>
      <c r="R27" s="41">
        <f>+IFERROR(VLOOKUP($R$17,Sheet1!J14:M14,3,0),0)</f>
        <v>0</v>
      </c>
      <c r="S27" s="41">
        <f>+IFERROR(VLOOKUP($S$17,Sheet1!N14:Q14,3,0),0)</f>
        <v>0</v>
      </c>
      <c r="T27" s="41">
        <f>+IFERROR(VLOOKUP($T$17,Sheet1!N14:Q14,3,0),0)</f>
        <v>0</v>
      </c>
      <c r="U27" s="41">
        <f>+IFERROR(VLOOKUP($U$17,Sheet1!F14:I14,3,0),0)</f>
        <v>0</v>
      </c>
      <c r="V27" s="41">
        <f>+IFERROR(VLOOKUP($V$17,Sheet1!F14:I14,3,0),0)</f>
        <v>0</v>
      </c>
      <c r="W27" s="41">
        <f>+IFERROR(VLOOKUP($W$17,Sheet1!F14:I14,3,0),0)</f>
        <v>0</v>
      </c>
      <c r="X27" s="41">
        <f>+IFERROR(VLOOKUP($X$17,Sheet1!F14:I14,3,0),0)</f>
        <v>0</v>
      </c>
      <c r="Y27" s="78">
        <v>212</v>
      </c>
      <c r="Z27" s="41">
        <f>+IFERROR(VLOOKUP($Z$17,Sheet1!F14:I14,3,0),0)</f>
        <v>0</v>
      </c>
      <c r="AA27" s="41">
        <f>+IFERROR(VLOOKUP($AA$17,Sheet1!F14:I14,3,0),0)</f>
        <v>0</v>
      </c>
      <c r="AB27" s="41">
        <f>+IFERROR(VLOOKUP($AB$17,Sheet1!F14:I14,3,0),0)</f>
        <v>0</v>
      </c>
      <c r="AC27" s="78">
        <v>515</v>
      </c>
      <c r="AD27" s="72">
        <f>+IFERROR(VLOOKUP($AD$17,Sheet1!R14:U14,2,0),0)</f>
        <v>0</v>
      </c>
      <c r="AE27" s="78">
        <v>2670</v>
      </c>
      <c r="AF27" s="72">
        <f>+IFERROR(VLOOKUP($AF$17,Sheet1!V14:Y14,3,0),0)</f>
        <v>0</v>
      </c>
      <c r="AG27" s="72">
        <f>+IFERROR(VLOOKUP($AG$17,Sheet1!V14:Y14,3,0),0)</f>
        <v>0</v>
      </c>
      <c r="AH27" s="72">
        <f>+IFERROR(VLOOKUP($AH$17,Sheet1!V14:Y14,3,0),0)</f>
        <v>0</v>
      </c>
      <c r="AI27" s="72">
        <f>+IFERROR(VLOOKUP($AI$17,Sheet1!V14:Y14,3,0),0)</f>
        <v>0</v>
      </c>
      <c r="AJ27" s="72">
        <f>+IFERROR(VLOOKUP($AJ$17,Sheet1!V14:Y14,3,0),0)</f>
        <v>0</v>
      </c>
      <c r="AK27" s="72">
        <f>+IFERROR(VLOOKUP($AK$17,Sheet1!Z14:AB14,3,0),0)</f>
        <v>0</v>
      </c>
      <c r="AL27" s="72">
        <f>+IFERROR(VLOOKUP($AL$17,Sheet1!AD14:AG14,3,0),0)</f>
        <v>0</v>
      </c>
      <c r="AM27" s="72">
        <f>+IFERROR(VLOOKUP($AM$17,Sheet1!AD14:AG14,3,0),0)</f>
        <v>0</v>
      </c>
      <c r="AN27" s="72">
        <f>+IFERROR(VLOOKUP($AN$17,Sheet1!AD14:AG14,3,0),0)</f>
        <v>0</v>
      </c>
      <c r="AO27" s="72">
        <f>+IFERROR(VLOOKUP($AO$17,Sheet1!AD14:AG14,3,0),0)</f>
        <v>0</v>
      </c>
      <c r="AP27" s="72">
        <f>+IFERROR(VLOOKUP($AP$17,Sheet1!AD14:AG14,3,0),0)</f>
        <v>0</v>
      </c>
      <c r="AQ27" s="72">
        <f>+IFERROR(VLOOKUP($AQ$17,Sheet1!AD14:AG14,3,0),0)</f>
        <v>0</v>
      </c>
      <c r="AR27" s="79">
        <v>1561</v>
      </c>
      <c r="AS27" s="72">
        <f>+IFERROR(VLOOKUP($AS$17,Sheet1!AH14:AK14,3,0),0)</f>
        <v>0</v>
      </c>
      <c r="AT27" s="72">
        <f>+IFERROR(VLOOKUP($AT$17,Sheet1!AH14:AK14,3,0),0)</f>
        <v>0</v>
      </c>
      <c r="AU27" s="72">
        <f>+IFERROR(VLOOKUP($AU$17,Sheet1!AH14:AK14,3,0),0)</f>
        <v>0</v>
      </c>
      <c r="AV27" s="72">
        <f>+IFERROR(VLOOKUP($AV$17,Sheet1!AH14:AK14,3,0),0)</f>
        <v>0</v>
      </c>
      <c r="AW27" s="72">
        <f>+IFERROR(VLOOKUP($AW$17,Sheet1!AH14:AK14,3,0),0)</f>
        <v>0</v>
      </c>
      <c r="AX27" s="72">
        <f>+IFERROR(VLOOKUP($AX$17,Sheet1!AH14:AK14,3,0),0)</f>
        <v>0</v>
      </c>
      <c r="AY27" s="72">
        <f>+IFERROR(VLOOKUP($AY$17,Sheet1!AH14:AK14,3,0),0)</f>
        <v>0</v>
      </c>
      <c r="AZ27" s="72">
        <f>+IFERROR(VLOOKUP($AZ$17,Sheet1!AH14:AK14,3,0),0)</f>
        <v>0</v>
      </c>
      <c r="BA27" s="79">
        <v>7182</v>
      </c>
      <c r="BB27" s="72">
        <f>+IFERROR(VLOOKUP($BB$17,Sheet1!AH14:AK14,3,0),0)</f>
        <v>0</v>
      </c>
      <c r="BC27" s="72">
        <f>+IFERROR(VLOOKUP($BC$17,Sheet1!AL14:AO14,3,0),0)</f>
        <v>0</v>
      </c>
      <c r="BD27" s="72">
        <f>+IFERROR(VLOOKUP($BD$17,Sheet1!AL14:AO14,3,0),0)</f>
        <v>0</v>
      </c>
      <c r="BE27" s="72">
        <f>+IFERROR(VLOOKUP($BE$17,Sheet1!AL14:AO14,3,0),0)</f>
        <v>0</v>
      </c>
      <c r="BF27" s="79">
        <v>1715</v>
      </c>
      <c r="BG27" s="79">
        <v>1718</v>
      </c>
      <c r="BH27" s="72">
        <f>+IFERROR(VLOOKUP($BH$17,Sheet1!AL14:AO14,3,0),0)</f>
        <v>0</v>
      </c>
      <c r="BI27" s="72">
        <f>+IFERROR(VLOOKUP($BI$17,Sheet1!AL14:AO14,3,0),0)</f>
        <v>0</v>
      </c>
      <c r="BJ27" s="72">
        <f>+IFERROR(VLOOKUP($BJ$17,Sheet1!AL14:AO14,3,0),0)</f>
        <v>0</v>
      </c>
      <c r="BK27" s="72">
        <f>+IFERROR(VLOOKUP($BK$17,Sheet1!AL14:AO14,3,0),0)</f>
        <v>0</v>
      </c>
      <c r="BL27" s="72">
        <f>+IFERROR(VLOOKUP($BL$17,Sheet1!AL14:AO14,3,0),0)</f>
        <v>0</v>
      </c>
      <c r="BM27" s="72">
        <f>+IFERROR(VLOOKUP($BM$17,Sheet1!AP14:AS14,3,0),0)</f>
        <v>0</v>
      </c>
      <c r="BN27" s="72">
        <f>+IFERROR(VLOOKUP($BN$17,Sheet1!AT14:AW14,3,0),0)</f>
        <v>0</v>
      </c>
      <c r="BO27" s="79">
        <v>58</v>
      </c>
      <c r="BP27" s="79">
        <v>104</v>
      </c>
      <c r="BQ27" s="72">
        <f>+IFERROR(VLOOKUP($BQ$17,Sheet1!BF14:BI14,3,0),0)</f>
        <v>0</v>
      </c>
      <c r="BR27" s="72">
        <f>+IFERROR(VLOOKUP($BR$17,Sheet1!BJ14:BM14,3,0),0)</f>
        <v>0</v>
      </c>
      <c r="BS27" s="72">
        <f>+IFERROR(VLOOKUP($BS$17,Sheet1!BN14:BQ14,3,0),0)</f>
        <v>0</v>
      </c>
      <c r="BT27" s="79">
        <v>75</v>
      </c>
      <c r="BU27" s="11">
        <f>+IFERROR(VLOOKUP($BU$17,Sheet1!BV14:BY14,3,0),0)</f>
        <v>0</v>
      </c>
      <c r="BV27" s="11" t="str">
        <f>Sheet1!E14</f>
        <v>STEEL</v>
      </c>
      <c r="BW27" s="11" t="str">
        <f>Sheet1!CV14</f>
        <v>SP0400137</v>
      </c>
      <c r="BX27" s="11" t="str">
        <f>Sheet1!CW14</f>
        <v>CORRUGATED DISPATCH STEEL DRUM 2600 X 1600 X 1600 MM</v>
      </c>
      <c r="BY27" s="11">
        <f>Sheet1!CX14</f>
        <v>250</v>
      </c>
      <c r="BZ27" s="3">
        <f>Sheet1!BZ14</f>
        <v>190000</v>
      </c>
      <c r="CA27" s="3">
        <f t="shared" si="5"/>
        <v>2732321</v>
      </c>
      <c r="CB27" s="23">
        <f>Sheet1!CB14</f>
        <v>0</v>
      </c>
      <c r="CC27" s="3">
        <f t="shared" si="6"/>
        <v>0</v>
      </c>
      <c r="CD27" s="47">
        <v>0.5</v>
      </c>
      <c r="CE27" s="3">
        <f t="shared" si="7"/>
        <v>1366160.5</v>
      </c>
      <c r="CF27" s="47">
        <v>0</v>
      </c>
      <c r="CG27" s="3">
        <f t="shared" si="8"/>
        <v>0</v>
      </c>
      <c r="CH27" s="3">
        <f t="shared" si="9"/>
        <v>4098481.5</v>
      </c>
      <c r="CI27" s="47">
        <v>0.02</v>
      </c>
      <c r="CJ27" s="80">
        <f t="shared" si="10"/>
        <v>81969.63</v>
      </c>
      <c r="CK27" s="47">
        <v>0.01</v>
      </c>
      <c r="CL27" s="80">
        <f t="shared" si="11"/>
        <v>40984.815000000002</v>
      </c>
    </row>
    <row r="28" spans="1:90" ht="51" x14ac:dyDescent="0.25">
      <c r="A28" s="1" t="str">
        <f>Sheet1!A9</f>
        <v>ENQ-10773-22-23</v>
      </c>
      <c r="B28" s="51">
        <f>Sheet1!B9</f>
        <v>45135</v>
      </c>
      <c r="C28" s="1" t="str">
        <f>Sheet1!C9</f>
        <v>FA1300081</v>
      </c>
      <c r="D28" s="73" t="str">
        <f>Sheet1!D9</f>
        <v>3 CORE X 300 SQ. MM. AL/ARM - WIRE (XLPE) - 33 KV</v>
      </c>
      <c r="E28" s="74">
        <f t="shared" si="0"/>
        <v>3709171.1100000003</v>
      </c>
      <c r="F28" s="77">
        <f t="shared" si="12"/>
        <v>140000</v>
      </c>
      <c r="G28" s="75">
        <f t="shared" si="1"/>
        <v>3849171.1100000003</v>
      </c>
      <c r="H28" s="76">
        <f>Sheet1!CP9</f>
        <v>0.18</v>
      </c>
      <c r="I28" s="75">
        <f t="shared" si="2"/>
        <v>692850.79980000004</v>
      </c>
      <c r="J28" s="75">
        <f t="shared" si="3"/>
        <v>4542021.9098000005</v>
      </c>
      <c r="K28" s="73">
        <v>10</v>
      </c>
      <c r="L28" s="73" t="str">
        <f>Sheet1!CT9</f>
        <v>KMS</v>
      </c>
      <c r="M28" s="74">
        <f t="shared" si="4"/>
        <v>45420219.098000005</v>
      </c>
      <c r="N28" s="41">
        <f>+IFERROR(VLOOKUP($N$17,Sheet1!J9:L9,3,0),0)</f>
        <v>2430</v>
      </c>
      <c r="O28" s="41">
        <f>+IFERROR(VLOOKUP($O$17,Sheet1!J9:L9,3,0),0)</f>
        <v>0</v>
      </c>
      <c r="P28" s="41">
        <f>+IFERROR(VLOOKUP($P$17,Sheet1!J9:M9,3,0),0)</f>
        <v>0</v>
      </c>
      <c r="Q28" s="41">
        <f>+IFERROR(VLOOKUP($Q$17,Sheet1!J9:M9,3,0),0)</f>
        <v>0</v>
      </c>
      <c r="R28" s="41">
        <f>+IFERROR(VLOOKUP($R$17,Sheet1!J9:M9,3,0),0)</f>
        <v>0</v>
      </c>
      <c r="S28" s="41">
        <f>+IFERROR(VLOOKUP($S$17,Sheet1!N9:Q9,3,0),0)</f>
        <v>0</v>
      </c>
      <c r="T28" s="41">
        <f>+IFERROR(VLOOKUP($T$17,Sheet1!N9:Q9,3,0),0)</f>
        <v>0</v>
      </c>
      <c r="U28" s="41">
        <f>+IFERROR(VLOOKUP($U$17,Sheet1!F9:I9,3,0),0)</f>
        <v>0</v>
      </c>
      <c r="V28" s="41">
        <f>+IFERROR(VLOOKUP($V$17,Sheet1!F9:I9,3,0),0)</f>
        <v>0</v>
      </c>
      <c r="W28" s="41">
        <f>+IFERROR(VLOOKUP($W$17,Sheet1!F9:I9,3,0),0)</f>
        <v>0</v>
      </c>
      <c r="X28" s="41">
        <f>+IFERROR(VLOOKUP($X$17,Sheet1!F9:I9,3,0),0)</f>
        <v>0</v>
      </c>
      <c r="Y28" s="78">
        <v>193</v>
      </c>
      <c r="Z28" s="41">
        <f>+IFERROR(VLOOKUP($Z$17,Sheet1!F9:I9,3,0),0)</f>
        <v>0</v>
      </c>
      <c r="AA28" s="41">
        <f>+IFERROR(VLOOKUP($AA$17,Sheet1!F9:I9,3,0),0)</f>
        <v>0</v>
      </c>
      <c r="AB28" s="41">
        <f>+IFERROR(VLOOKUP($AB$17,Sheet1!F9:I9,3,0),0)</f>
        <v>0</v>
      </c>
      <c r="AC28" s="78">
        <v>495</v>
      </c>
      <c r="AD28" s="72">
        <f>+IFERROR(VLOOKUP($AD$17,Sheet1!R9:U9,2,0),0)</f>
        <v>0</v>
      </c>
      <c r="AE28" s="78">
        <v>2434</v>
      </c>
      <c r="AF28" s="72">
        <f>+IFERROR(VLOOKUP($AF$17,Sheet1!V9:Y9,3,0),0)</f>
        <v>0</v>
      </c>
      <c r="AG28" s="72">
        <f>+IFERROR(VLOOKUP($AG$17,Sheet1!V9:Y9,3,0),0)</f>
        <v>0</v>
      </c>
      <c r="AH28" s="72">
        <f>+IFERROR(VLOOKUP($AH$17,Sheet1!V9:Y9,3,0),0)</f>
        <v>0</v>
      </c>
      <c r="AI28" s="72">
        <f>+IFERROR(VLOOKUP($AI$17,Sheet1!V9:Y9,3,0),0)</f>
        <v>0</v>
      </c>
      <c r="AJ28" s="72">
        <f>+IFERROR(VLOOKUP($AJ$17,Sheet1!V9:Y9,3,0),0)</f>
        <v>0</v>
      </c>
      <c r="AK28" s="72">
        <f>+IFERROR(VLOOKUP($AK$17,Sheet1!Z9:AB9,3,0),0)</f>
        <v>0</v>
      </c>
      <c r="AL28" s="72">
        <f>+IFERROR(VLOOKUP($AL$17,Sheet1!AD9:AG9,3,0),0)</f>
        <v>0</v>
      </c>
      <c r="AM28" s="72">
        <f>+IFERROR(VLOOKUP($AM$17,Sheet1!AD9:AG9,3,0),0)</f>
        <v>0</v>
      </c>
      <c r="AN28" s="72">
        <f>+IFERROR(VLOOKUP($AN$17,Sheet1!AD9:AG9,3,0),0)</f>
        <v>0</v>
      </c>
      <c r="AO28" s="72">
        <f>+IFERROR(VLOOKUP($AO$17,Sheet1!AD9:AG9,3,0),0)</f>
        <v>0</v>
      </c>
      <c r="AP28" s="72">
        <f>+IFERROR(VLOOKUP($AP$17,Sheet1!AD9:AG9,3,0),0)</f>
        <v>0</v>
      </c>
      <c r="AQ28" s="72">
        <f>+IFERROR(VLOOKUP($AQ$17,Sheet1!AD9:AG9,3,0),0)</f>
        <v>0</v>
      </c>
      <c r="AR28" s="79">
        <v>1382</v>
      </c>
      <c r="AS28" s="72">
        <f>+IFERROR(VLOOKUP($AS$17,Sheet1!AH9:AK9,3,0),0)</f>
        <v>0</v>
      </c>
      <c r="AT28" s="72">
        <f>+IFERROR(VLOOKUP($AT$17,Sheet1!AH9:AK9,3,0),0)</f>
        <v>0</v>
      </c>
      <c r="AU28" s="72">
        <f>+IFERROR(VLOOKUP($AU$17,Sheet1!AH9:AK9,3,0),0)</f>
        <v>0</v>
      </c>
      <c r="AV28" s="72">
        <f>+IFERROR(VLOOKUP($AV$17,Sheet1!AH9:AK9,3,0),0)</f>
        <v>0</v>
      </c>
      <c r="AW28" s="72">
        <f>+IFERROR(VLOOKUP($AW$17,Sheet1!AH9:AK9,3,0),0)</f>
        <v>0</v>
      </c>
      <c r="AX28" s="72">
        <f>+IFERROR(VLOOKUP($AX$17,Sheet1!AH9:AK9,3,0),0)</f>
        <v>0</v>
      </c>
      <c r="AY28" s="72">
        <f>+IFERROR(VLOOKUP($AY$17,Sheet1!AH9:AK9,3,0),0)</f>
        <v>0</v>
      </c>
      <c r="AZ28" s="72">
        <f>+IFERROR(VLOOKUP($AZ$17,Sheet1!AH9:AK9,3,0),0)</f>
        <v>0</v>
      </c>
      <c r="BA28" s="79">
        <v>6668</v>
      </c>
      <c r="BB28" s="72">
        <f>+IFERROR(VLOOKUP($BB$17,Sheet1!AH9:AK9,3,0),0)</f>
        <v>0</v>
      </c>
      <c r="BC28" s="72">
        <f>+IFERROR(VLOOKUP($BC$17,Sheet1!AL9:AO9,3,0),0)</f>
        <v>0</v>
      </c>
      <c r="BD28" s="72">
        <f>+IFERROR(VLOOKUP($BD$17,Sheet1!AL9:AO9,3,0),0)</f>
        <v>0</v>
      </c>
      <c r="BE28" s="72">
        <f>+IFERROR(VLOOKUP($BE$17,Sheet1!AL9:AO9,3,0),0)</f>
        <v>0</v>
      </c>
      <c r="BF28" s="79">
        <v>1613</v>
      </c>
      <c r="BG28" s="79">
        <v>1497</v>
      </c>
      <c r="BH28" s="72">
        <f>+IFERROR(VLOOKUP($BH$17,Sheet1!AL9:AO9,3,0),0)</f>
        <v>0</v>
      </c>
      <c r="BI28" s="72">
        <f>+IFERROR(VLOOKUP($BI$17,Sheet1!AL9:AO9,3,0),0)</f>
        <v>0</v>
      </c>
      <c r="BJ28" s="72">
        <f>+IFERROR(VLOOKUP($BJ$17,Sheet1!AL9:AO9,3,0),0)</f>
        <v>0</v>
      </c>
      <c r="BK28" s="72">
        <f>+IFERROR(VLOOKUP($BK$17,Sheet1!AL9:AO9,3,0),0)</f>
        <v>0</v>
      </c>
      <c r="BL28" s="72">
        <f>+IFERROR(VLOOKUP($BL$17,Sheet1!AL9:AO9,3,0),0)</f>
        <v>0</v>
      </c>
      <c r="BM28" s="72">
        <f>+IFERROR(VLOOKUP($BM$17,Sheet1!AP9:AS9,3,0),0)</f>
        <v>0</v>
      </c>
      <c r="BN28" s="72">
        <f>+IFERROR(VLOOKUP($BN$17,Sheet1!AT9:AW9,3,0),0)</f>
        <v>0</v>
      </c>
      <c r="BO28" s="79">
        <v>38</v>
      </c>
      <c r="BP28" s="79">
        <v>93</v>
      </c>
      <c r="BQ28" s="72">
        <f>+IFERROR(VLOOKUP($BQ$17,Sheet1!BF9:BI9,3,0),0)</f>
        <v>0</v>
      </c>
      <c r="BR28" s="72">
        <f>+IFERROR(VLOOKUP($BR$17,Sheet1!BJ9:BM9,3,0),0)</f>
        <v>0</v>
      </c>
      <c r="BS28" s="72">
        <f>+IFERROR(VLOOKUP($BS$17,Sheet1!BN9:BQ9,3,0),0)</f>
        <v>0</v>
      </c>
      <c r="BT28" s="79">
        <v>71</v>
      </c>
      <c r="BU28" s="11">
        <f>+IFERROR(VLOOKUP($BU$17,Sheet1!BV9:BY9,3,0),0)</f>
        <v>0</v>
      </c>
      <c r="BV28" s="11" t="str">
        <f>Sheet1!E9</f>
        <v>STEEL</v>
      </c>
      <c r="BW28" s="11" t="str">
        <f>Sheet1!CV9</f>
        <v>SP0400137</v>
      </c>
      <c r="BX28" s="11" t="str">
        <f>Sheet1!CW9</f>
        <v>CORRUGATED DISPATCH STEEL DRUM 2600 X 1600 X 1600</v>
      </c>
      <c r="BY28" s="11">
        <f>Sheet1!CX9</f>
        <v>250</v>
      </c>
      <c r="BZ28" s="3">
        <f>Sheet1!BZ9</f>
        <v>190000</v>
      </c>
      <c r="CA28" s="3">
        <f t="shared" si="5"/>
        <v>2400758</v>
      </c>
      <c r="CB28" s="23">
        <f>Sheet1!CB9</f>
        <v>0</v>
      </c>
      <c r="CC28" s="3">
        <f t="shared" si="6"/>
        <v>0</v>
      </c>
      <c r="CD28" s="47">
        <v>0.5</v>
      </c>
      <c r="CE28" s="3">
        <f t="shared" si="7"/>
        <v>1200379</v>
      </c>
      <c r="CF28" s="47">
        <v>0</v>
      </c>
      <c r="CG28" s="3">
        <f t="shared" si="8"/>
        <v>0</v>
      </c>
      <c r="CH28" s="3">
        <f t="shared" si="9"/>
        <v>3601137</v>
      </c>
      <c r="CI28" s="47">
        <v>0.02</v>
      </c>
      <c r="CJ28" s="80">
        <f t="shared" si="10"/>
        <v>72022.740000000005</v>
      </c>
      <c r="CK28" s="47">
        <v>0.01</v>
      </c>
      <c r="CL28" s="80">
        <f t="shared" si="11"/>
        <v>36011.370000000003</v>
      </c>
    </row>
    <row r="29" spans="1:90" ht="51" x14ac:dyDescent="0.25">
      <c r="A29" s="1" t="str">
        <f>Sheet1!A2</f>
        <v>ENQ-10773-22-23</v>
      </c>
      <c r="B29" s="51">
        <f>Sheet1!B2</f>
        <v>45135</v>
      </c>
      <c r="C29" s="1" t="str">
        <f>Sheet1!C2</f>
        <v>FA1300200</v>
      </c>
      <c r="D29" s="73" t="str">
        <f>Sheet1!D2</f>
        <v>3 CORE X 95 SQ. MM. AL/ARM  WIRE (XLPE) - 33 KV</v>
      </c>
      <c r="E29" s="74">
        <f t="shared" si="0"/>
        <v>2262621.6</v>
      </c>
      <c r="F29" s="77" t="e">
        <f t="shared" si="12"/>
        <v>#DIV/0!</v>
      </c>
      <c r="G29" s="75" t="e">
        <f t="shared" si="1"/>
        <v>#DIV/0!</v>
      </c>
      <c r="H29" s="76">
        <f>Sheet1!CP2</f>
        <v>0.18</v>
      </c>
      <c r="I29" s="75" t="e">
        <f t="shared" si="2"/>
        <v>#DIV/0!</v>
      </c>
      <c r="J29" s="75" t="e">
        <f t="shared" si="3"/>
        <v>#DIV/0!</v>
      </c>
      <c r="K29" s="73">
        <v>0</v>
      </c>
      <c r="L29" s="73" t="str">
        <f>Sheet1!CT2</f>
        <v>KMS</v>
      </c>
      <c r="M29" s="74" t="e">
        <f t="shared" si="4"/>
        <v>#DIV/0!</v>
      </c>
      <c r="N29" s="41">
        <f>+IFERROR(VLOOKUP($N$17,Sheet1!J2:L2,3,0),0)</f>
        <v>769.5</v>
      </c>
      <c r="O29" s="41">
        <f>+IFERROR(VLOOKUP($O$17,Sheet1!J2:L2,3,0),0)</f>
        <v>0</v>
      </c>
      <c r="P29" s="41">
        <f>+IFERROR(VLOOKUP($P$17,Sheet1!J2:M2,3,0),0)</f>
        <v>0</v>
      </c>
      <c r="Q29" s="41">
        <f>+IFERROR(VLOOKUP($Q$17,Sheet1!J2:M2,3,0),0)</f>
        <v>0</v>
      </c>
      <c r="R29" s="41">
        <f>+IFERROR(VLOOKUP($R$17,Sheet1!J2:M2,3,0),0)</f>
        <v>0</v>
      </c>
      <c r="S29" s="41">
        <f>+IFERROR(VLOOKUP($S$17,Sheet1!N2:Q2,3,0),0)</f>
        <v>0</v>
      </c>
      <c r="T29" s="41">
        <f>+IFERROR(VLOOKUP($T$17,Sheet1!N2:Q2,3,0),0)</f>
        <v>0</v>
      </c>
      <c r="U29" s="41">
        <f>+IFERROR(VLOOKUP($U$17,Sheet1!F2:I2,3,0),0)</f>
        <v>0</v>
      </c>
      <c r="V29" s="41">
        <f>+IFERROR(VLOOKUP($V$17,Sheet1!F2:I2,3,0),0)</f>
        <v>0</v>
      </c>
      <c r="W29" s="41">
        <f>+IFERROR(VLOOKUP($W$17,Sheet1!F2:I2,3,0),0)</f>
        <v>0</v>
      </c>
      <c r="X29" s="41">
        <f>+IFERROR(VLOOKUP($X$17,Sheet1!F2:I2,3,0),0)</f>
        <v>0</v>
      </c>
      <c r="Y29" s="78">
        <v>151</v>
      </c>
      <c r="Z29" s="41">
        <f>+IFERROR(VLOOKUP($Z$17,Sheet1!F2:I2,3,0),0)</f>
        <v>0</v>
      </c>
      <c r="AA29" s="41">
        <f>+IFERROR(VLOOKUP($AA$17,Sheet1!F2:I2,3,0),0)</f>
        <v>0</v>
      </c>
      <c r="AB29" s="41">
        <f>+IFERROR(VLOOKUP($AB$17,Sheet1!F2:I2,3,0),0)</f>
        <v>0</v>
      </c>
      <c r="AC29" s="78">
        <v>345</v>
      </c>
      <c r="AD29" s="72">
        <f>+IFERROR(VLOOKUP($AD$17,Sheet1!R2:U2,2,0),0)</f>
        <v>0</v>
      </c>
      <c r="AE29" s="78">
        <v>1725</v>
      </c>
      <c r="AF29" s="72">
        <f>+IFERROR(VLOOKUP($AF$17,Sheet1!V2:Y2,3,0),0)</f>
        <v>0</v>
      </c>
      <c r="AG29" s="72">
        <f>+IFERROR(VLOOKUP($AG$17,Sheet1!V2:Y2,3,0),0)</f>
        <v>0</v>
      </c>
      <c r="AH29" s="72">
        <f>+IFERROR(VLOOKUP($AH$17,Sheet1!V2:Y2,3,0),0)</f>
        <v>0</v>
      </c>
      <c r="AI29" s="72">
        <f>+IFERROR(VLOOKUP($AI$17,Sheet1!V2:Y2,3,0),0)</f>
        <v>0</v>
      </c>
      <c r="AJ29" s="72">
        <f>+IFERROR(VLOOKUP($AJ$17,Sheet1!V2:Y2,3,0),0)</f>
        <v>0</v>
      </c>
      <c r="AK29" s="72">
        <f>+IFERROR(VLOOKUP($AK$17,Sheet1!Z2:AB2,3,0),0)</f>
        <v>0</v>
      </c>
      <c r="AL29" s="72">
        <f>+IFERROR(VLOOKUP($AL$17,Sheet1!AD2:AG2,3,0),0)</f>
        <v>0</v>
      </c>
      <c r="AM29" s="72">
        <f>+IFERROR(VLOOKUP($AM$17,Sheet1!AD2:AG2,3,0),0)</f>
        <v>0</v>
      </c>
      <c r="AN29" s="72">
        <f>+IFERROR(VLOOKUP($AN$17,Sheet1!AD2:AG2,3,0),0)</f>
        <v>0</v>
      </c>
      <c r="AO29" s="72">
        <f>+IFERROR(VLOOKUP($AO$17,Sheet1!AD2:AG2,3,0),0)</f>
        <v>0</v>
      </c>
      <c r="AP29" s="72">
        <f>+IFERROR(VLOOKUP($AP$17,Sheet1!AD2:AG2,3,0),0)</f>
        <v>0</v>
      </c>
      <c r="AQ29" s="72">
        <f>+IFERROR(VLOOKUP($AQ$17,Sheet1!AD2:AG2,3,0),0)</f>
        <v>0</v>
      </c>
      <c r="AR29" s="79">
        <v>914</v>
      </c>
      <c r="AS29" s="72">
        <f>+IFERROR(VLOOKUP($AS$17,Sheet1!AH2:AK2,3,0),0)</f>
        <v>0</v>
      </c>
      <c r="AT29" s="72">
        <f>+IFERROR(VLOOKUP($AT$17,Sheet1!AH2:AK2,3,0),0)</f>
        <v>0</v>
      </c>
      <c r="AU29" s="72">
        <f>+IFERROR(VLOOKUP($AU$17,Sheet1!AH2:AK2,3,0),0)</f>
        <v>0</v>
      </c>
      <c r="AV29" s="72">
        <f>+IFERROR(VLOOKUP($AV$17,Sheet1!AH2:AK2,3,0),0)</f>
        <v>0</v>
      </c>
      <c r="AW29" s="72">
        <f>+IFERROR(VLOOKUP($AW$17,Sheet1!AH2:AK2,3,0),0)</f>
        <v>0</v>
      </c>
      <c r="AX29" s="72">
        <f>+IFERROR(VLOOKUP($AX$17,Sheet1!AH2:AK2,3,0),0)</f>
        <v>0</v>
      </c>
      <c r="AY29" s="72">
        <f>+IFERROR(VLOOKUP($AY$17,Sheet1!AH2:AK2,3,0),0)</f>
        <v>0</v>
      </c>
      <c r="AZ29" s="72">
        <f>+IFERROR(VLOOKUP($AZ$17,Sheet1!AH2:AK2,3,0),0)</f>
        <v>0</v>
      </c>
      <c r="BA29" s="79">
        <v>4135</v>
      </c>
      <c r="BB29" s="72">
        <f>+IFERROR(VLOOKUP($BB$17,Sheet1!AH2:AK2,3,0),0)</f>
        <v>0</v>
      </c>
      <c r="BC29" s="72">
        <f>+IFERROR(VLOOKUP($BC$17,Sheet1!AL2:AO2,3,0),0)</f>
        <v>0</v>
      </c>
      <c r="BD29" s="72">
        <f>+IFERROR(VLOOKUP($BD$17,Sheet1!AL2:AO2,3,0),0)</f>
        <v>0</v>
      </c>
      <c r="BE29" s="72">
        <f>+IFERROR(VLOOKUP($BE$17,Sheet1!AL2:AO2,3,0),0)</f>
        <v>0</v>
      </c>
      <c r="BF29" s="79">
        <v>1282</v>
      </c>
      <c r="BG29" s="79">
        <v>917</v>
      </c>
      <c r="BH29" s="72">
        <f>+IFERROR(VLOOKUP($BH$17,Sheet1!AL2:AO2,3,0),0)</f>
        <v>0</v>
      </c>
      <c r="BI29" s="72">
        <f>+IFERROR(VLOOKUP($BI$17,Sheet1!AL2:AO2,3,0),0)</f>
        <v>0</v>
      </c>
      <c r="BJ29" s="72">
        <f>+IFERROR(VLOOKUP($BJ$17,Sheet1!AL2:AO2,3,0),0)</f>
        <v>0</v>
      </c>
      <c r="BK29" s="72">
        <f>+IFERROR(VLOOKUP($BK$17,Sheet1!AL2:AO2,3,0),0)</f>
        <v>0</v>
      </c>
      <c r="BL29" s="72">
        <f>+IFERROR(VLOOKUP($BL$17,Sheet1!AL2:AO2,3,0),0)</f>
        <v>0</v>
      </c>
      <c r="BM29" s="72">
        <f>+IFERROR(VLOOKUP($BM$17,Sheet1!AP2:AS2,3,0),0)</f>
        <v>0</v>
      </c>
      <c r="BN29" s="72">
        <f>+IFERROR(VLOOKUP($BN$17,Sheet1!AT2:AW2,3,0),0)</f>
        <v>0</v>
      </c>
      <c r="BO29" s="79">
        <v>15</v>
      </c>
      <c r="BP29" s="79">
        <v>66</v>
      </c>
      <c r="BQ29" s="72">
        <f>+IFERROR(VLOOKUP($BQ$17,Sheet1!BF2:BI2,3,0),0)</f>
        <v>0</v>
      </c>
      <c r="BR29" s="72">
        <f>+IFERROR(VLOOKUP($BR$17,Sheet1!BJ2:BM2,3,0),0)</f>
        <v>0</v>
      </c>
      <c r="BS29" s="72">
        <f>+IFERROR(VLOOKUP($BS$17,Sheet1!BN2:BQ2,3,0),0)</f>
        <v>0</v>
      </c>
      <c r="BT29" s="79">
        <v>56</v>
      </c>
      <c r="BU29" s="11">
        <f>+IFERROR(VLOOKUP($BU$17,Sheet1!BV2:BY2,3,0),0)</f>
        <v>0</v>
      </c>
      <c r="BV29" s="11" t="str">
        <f>Sheet1!E2</f>
        <v>STEEL</v>
      </c>
      <c r="BW29" s="11" t="str">
        <f>Sheet1!CV2</f>
        <v>SP0400136</v>
      </c>
      <c r="BX29" s="11" t="str">
        <f>Sheet1!CW2</f>
        <v>CORRUGATED DISPATCH STEEL DRUM 2200 X 1300 X 1200 MM</v>
      </c>
      <c r="BY29" s="11">
        <f>Sheet1!CX2</f>
        <v>250</v>
      </c>
      <c r="BZ29" s="3">
        <f>Sheet1!BZ2</f>
        <v>147200</v>
      </c>
      <c r="CA29" s="3">
        <f t="shared" si="5"/>
        <v>1464480</v>
      </c>
      <c r="CB29" s="23">
        <f>Sheet1!CB2</f>
        <v>0</v>
      </c>
      <c r="CC29" s="3">
        <f t="shared" si="6"/>
        <v>0</v>
      </c>
      <c r="CD29" s="47">
        <v>0.5</v>
      </c>
      <c r="CE29" s="3">
        <f t="shared" si="7"/>
        <v>732240</v>
      </c>
      <c r="CF29" s="47">
        <v>0</v>
      </c>
      <c r="CG29" s="3">
        <f t="shared" si="8"/>
        <v>0</v>
      </c>
      <c r="CH29" s="3">
        <f t="shared" si="9"/>
        <v>2196720</v>
      </c>
      <c r="CI29" s="47">
        <v>0.02</v>
      </c>
      <c r="CJ29" s="80">
        <f t="shared" si="10"/>
        <v>43934.400000000001</v>
      </c>
      <c r="CK29" s="47">
        <v>0.01</v>
      </c>
      <c r="CL29" s="80">
        <f t="shared" si="11"/>
        <v>21967.200000000001</v>
      </c>
    </row>
    <row r="30" spans="1:90" ht="51" x14ac:dyDescent="0.25">
      <c r="A30" s="1" t="str">
        <f>Sheet1!A12</f>
        <v>ENQ-10773-22-23</v>
      </c>
      <c r="B30" s="51">
        <f>Sheet1!B12</f>
        <v>45135</v>
      </c>
      <c r="C30" s="1" t="str">
        <f>Sheet1!C12</f>
        <v>FA1300027</v>
      </c>
      <c r="D30" s="73" t="str">
        <f>Sheet1!D12</f>
        <v>1 CORE X 630 SQ. MM. AL/ARM (XLPE)  - 33 KV</v>
      </c>
      <c r="E30" s="74">
        <f t="shared" si="0"/>
        <v>1563059.5049999999</v>
      </c>
      <c r="F30" s="77" t="e">
        <f t="shared" si="12"/>
        <v>#DIV/0!</v>
      </c>
      <c r="G30" s="75" t="e">
        <f t="shared" si="1"/>
        <v>#DIV/0!</v>
      </c>
      <c r="H30" s="76">
        <f>Sheet1!CP12</f>
        <v>0.18</v>
      </c>
      <c r="I30" s="75" t="e">
        <f t="shared" si="2"/>
        <v>#DIV/0!</v>
      </c>
      <c r="J30" s="75" t="e">
        <f t="shared" si="3"/>
        <v>#DIV/0!</v>
      </c>
      <c r="K30" s="73">
        <v>0</v>
      </c>
      <c r="L30" s="73" t="str">
        <f>Sheet1!CT12</f>
        <v>KMS</v>
      </c>
      <c r="M30" s="74" t="e">
        <f t="shared" si="4"/>
        <v>#DIV/0!</v>
      </c>
      <c r="N30" s="78">
        <f>+IFERROR(VLOOKUP($N$17,Sheet1!J12:L12,3,0),0)</f>
        <v>1701</v>
      </c>
      <c r="O30" s="41">
        <f>+IFERROR(VLOOKUP($O$17,Sheet1!J12:L12,3,0),0)</f>
        <v>0</v>
      </c>
      <c r="P30" s="41">
        <f>+IFERROR(VLOOKUP($P$17,Sheet1!J12:M12,3,0),0)</f>
        <v>0</v>
      </c>
      <c r="Q30" s="41">
        <f>+IFERROR(VLOOKUP($Q$17,Sheet1!J12:M12,3,0),0)</f>
        <v>0</v>
      </c>
      <c r="R30" s="41">
        <f>+IFERROR(VLOOKUP($R$17,Sheet1!J12:M12,3,0),0)</f>
        <v>0</v>
      </c>
      <c r="S30" s="41">
        <f>+IFERROR(VLOOKUP($S$17,Sheet1!N12:Q12,3,0),0)</f>
        <v>0</v>
      </c>
      <c r="T30" s="41">
        <f>+IFERROR(VLOOKUP($T$17,Sheet1!N12:Q12,3,0),0)</f>
        <v>0</v>
      </c>
      <c r="U30" s="41">
        <f>+IFERROR(VLOOKUP($U$17,Sheet1!F12:I12,3,0),0)</f>
        <v>0</v>
      </c>
      <c r="V30" s="41">
        <f>+IFERROR(VLOOKUP($V$17,Sheet1!F12:I12,3,0),0)</f>
        <v>0</v>
      </c>
      <c r="W30" s="41">
        <f>+IFERROR(VLOOKUP($W$17,Sheet1!F12:I12,3,0),0)</f>
        <v>0</v>
      </c>
      <c r="X30" s="41">
        <f>+IFERROR(VLOOKUP($X$17,Sheet1!F12:I12,3,0),0)</f>
        <v>0</v>
      </c>
      <c r="Y30" s="78">
        <v>79</v>
      </c>
      <c r="Z30" s="41">
        <f>+IFERROR(VLOOKUP($Z$17,Sheet1!F12:I12,3,0),0)</f>
        <v>0</v>
      </c>
      <c r="AA30" s="41">
        <f>+IFERROR(VLOOKUP($AA$17,Sheet1!F12:I12,3,0),0)</f>
        <v>0</v>
      </c>
      <c r="AB30" s="41">
        <f>+IFERROR(VLOOKUP($AB$17,Sheet1!F12:I12,3,0),0)</f>
        <v>0</v>
      </c>
      <c r="AC30" s="78">
        <v>218</v>
      </c>
      <c r="AD30" s="72">
        <f>+IFERROR(VLOOKUP($AD$17,Sheet1!R12:U12,2,0),0)</f>
        <v>0</v>
      </c>
      <c r="AE30" s="78">
        <v>1055</v>
      </c>
      <c r="AF30" s="72">
        <f>+IFERROR(VLOOKUP($AF$17,Sheet1!V12:Y12,3,0),0)</f>
        <v>0</v>
      </c>
      <c r="AG30" s="72">
        <f>+IFERROR(VLOOKUP($AG$17,Sheet1!V12:Y12,3,0),0)</f>
        <v>0</v>
      </c>
      <c r="AH30" s="72">
        <f>+IFERROR(VLOOKUP($AH$17,Sheet1!V12:Y12,3,0),0)</f>
        <v>0</v>
      </c>
      <c r="AI30" s="72">
        <f>+IFERROR(VLOOKUP($AI$17,Sheet1!V12:Y12,3,0),0)</f>
        <v>0</v>
      </c>
      <c r="AJ30" s="72">
        <f>+IFERROR(VLOOKUP($AJ$17,Sheet1!V12:Y12,3,0),0)</f>
        <v>0</v>
      </c>
      <c r="AK30" s="79">
        <v>18</v>
      </c>
      <c r="AL30" s="72">
        <f>+IFERROR(VLOOKUP($AL$17,Sheet1!AD12:AG12,3,0),0)</f>
        <v>0</v>
      </c>
      <c r="AM30" s="72">
        <f>+IFERROR(VLOOKUP($AM$17,Sheet1!AD12:AG12,3,0),0)</f>
        <v>0</v>
      </c>
      <c r="AN30" s="72">
        <f>+IFERROR(VLOOKUP($AN$17,Sheet1!AD12:AG12,3,0),0)</f>
        <v>0</v>
      </c>
      <c r="AO30" s="72">
        <f>+IFERROR(VLOOKUP($AO$17,Sheet1!AD12:AG12,3,0),0)</f>
        <v>0</v>
      </c>
      <c r="AP30" s="72">
        <f>+IFERROR(VLOOKUP($AP$17,Sheet1!AD12:AG12,3,0),0)</f>
        <v>0</v>
      </c>
      <c r="AQ30" s="79">
        <v>200</v>
      </c>
      <c r="AR30" s="72">
        <f>+IFERROR(VLOOKUP($AR$17,Sheet1!AD12:AG12,3,0),0)</f>
        <v>0</v>
      </c>
      <c r="AS30" s="72">
        <f>+IFERROR(VLOOKUP($AS$17,Sheet1!AH12:AK12,3,0),0)</f>
        <v>0</v>
      </c>
      <c r="AT30" s="72">
        <f>+IFERROR(VLOOKUP($AT$17,Sheet1!AH12:AK12,3,0),0)</f>
        <v>0</v>
      </c>
      <c r="AU30" s="72">
        <f>+IFERROR(VLOOKUP($AU$17,Sheet1!AH12:AK12,3,0),0)</f>
        <v>0</v>
      </c>
      <c r="AV30" s="79">
        <v>828</v>
      </c>
      <c r="AW30" s="72">
        <f>+IFERROR(VLOOKUP($AW$17,Sheet1!AH12:AK12,3,0),0)</f>
        <v>0</v>
      </c>
      <c r="AX30" s="72">
        <f>+IFERROR(VLOOKUP($AX$17,Sheet1!AH12:AK12,3,0),0)</f>
        <v>0</v>
      </c>
      <c r="AY30" s="72">
        <f>+IFERROR(VLOOKUP($AY$17,Sheet1!AH12:AK12,3,0),0)</f>
        <v>0</v>
      </c>
      <c r="AZ30" s="72">
        <f>+IFERROR(VLOOKUP($AZ$17,Sheet1!AH12:AK12,3,0),0)</f>
        <v>0</v>
      </c>
      <c r="BA30" s="72">
        <f>+IFERROR(VLOOKUP($BA$17,Sheet1!AH12:AK12,3,0),0)</f>
        <v>0</v>
      </c>
      <c r="BB30" s="72">
        <f>+IFERROR(VLOOKUP($BB$17,Sheet1!AH12:AK12,3,0),0)</f>
        <v>0</v>
      </c>
      <c r="BC30" s="72">
        <f>+IFERROR(VLOOKUP($BC$17,Sheet1!AL12:AO12,3,0),0)</f>
        <v>0</v>
      </c>
      <c r="BD30" s="72">
        <f>+IFERROR(VLOOKUP($BD$17,Sheet1!AL12:AO12,3,0),0)</f>
        <v>0</v>
      </c>
      <c r="BE30" s="72">
        <f>+IFERROR(VLOOKUP($BE$17,Sheet1!AL12:AO12,3,0),0)</f>
        <v>0</v>
      </c>
      <c r="BF30" s="79">
        <v>760</v>
      </c>
      <c r="BG30" s="72">
        <f>+IFERROR(VLOOKUP($BG$17,Sheet1!AL12:AO12,3,0),0)</f>
        <v>0</v>
      </c>
      <c r="BH30" s="72">
        <f>+IFERROR(VLOOKUP($BH$17,Sheet1!AL12:AO12,3,0),0)</f>
        <v>0</v>
      </c>
      <c r="BI30" s="72">
        <f>+IFERROR(VLOOKUP($BI$17,Sheet1!AL12:AO12,3,0),0)</f>
        <v>0</v>
      </c>
      <c r="BJ30" s="72">
        <f>+IFERROR(VLOOKUP($BJ$17,Sheet1!AL12:AO12,3,0),0)</f>
        <v>0</v>
      </c>
      <c r="BK30" s="72">
        <f>+IFERROR(VLOOKUP($BK$17,Sheet1!AL12:AO12,3,0),0)</f>
        <v>0</v>
      </c>
      <c r="BL30" s="72">
        <f>+IFERROR(VLOOKUP($BL$17,Sheet1!AL12:AO12,3,0),0)</f>
        <v>0</v>
      </c>
      <c r="BM30" s="72">
        <f>+IFERROR(VLOOKUP($BM$17,Sheet1!AP12:AS12,3,0),0)</f>
        <v>0</v>
      </c>
      <c r="BN30" s="72">
        <f>+IFERROR(VLOOKUP($BN$17,Sheet1!AT12:AW12,3,0),0)</f>
        <v>0</v>
      </c>
      <c r="BO30" s="79">
        <v>26</v>
      </c>
      <c r="BP30" s="79">
        <v>41</v>
      </c>
      <c r="BQ30" s="72">
        <f>+IFERROR(VLOOKUP($BQ$17,Sheet1!BF12:BI12,3,0),0)</f>
        <v>0</v>
      </c>
      <c r="BR30" s="72">
        <f>+IFERROR(VLOOKUP($BR$17,Sheet1!BJ12:BM12,3,0),0)</f>
        <v>0</v>
      </c>
      <c r="BS30" s="72">
        <f>+IFERROR(VLOOKUP($BS$17,Sheet1!BN12:BQ12,3,0),0)</f>
        <v>0</v>
      </c>
      <c r="BT30" s="79">
        <v>42</v>
      </c>
      <c r="BU30" s="11">
        <f>+IFERROR(VLOOKUP($BU$17,Sheet1!BV12:BY12,3,0),0)</f>
        <v>0</v>
      </c>
      <c r="BV30" s="11" t="str">
        <f>Sheet1!E12</f>
        <v>STEEL</v>
      </c>
      <c r="BW30" s="11" t="str">
        <f>Sheet1!CV12</f>
        <v>SP0400123</v>
      </c>
      <c r="BX30" s="11" t="str">
        <f>Sheet1!CW12</f>
        <v>CORRUGATED DISPATCH STEEL DRUM 2000 X 1000 X 1200 MM</v>
      </c>
      <c r="BY30" s="11">
        <f>Sheet1!CX12</f>
        <v>500</v>
      </c>
      <c r="BZ30" s="3">
        <f>Sheet1!BZ12</f>
        <v>53200</v>
      </c>
      <c r="CA30" s="3">
        <f t="shared" si="5"/>
        <v>1011689</v>
      </c>
      <c r="CB30" s="23">
        <f>Sheet1!CB12</f>
        <v>0</v>
      </c>
      <c r="CC30" s="3">
        <f t="shared" si="6"/>
        <v>0</v>
      </c>
      <c r="CD30" s="47">
        <v>0.5</v>
      </c>
      <c r="CE30" s="3">
        <f t="shared" si="7"/>
        <v>505844.5</v>
      </c>
      <c r="CF30" s="47">
        <v>0</v>
      </c>
      <c r="CG30" s="3">
        <f t="shared" si="8"/>
        <v>0</v>
      </c>
      <c r="CH30" s="3">
        <f t="shared" si="9"/>
        <v>1517533.5</v>
      </c>
      <c r="CI30" s="47">
        <v>0.02</v>
      </c>
      <c r="CJ30" s="80">
        <f t="shared" si="10"/>
        <v>30350.670000000002</v>
      </c>
      <c r="CK30" s="47">
        <v>0.01</v>
      </c>
      <c r="CL30" s="80">
        <f t="shared" si="11"/>
        <v>15175.335000000001</v>
      </c>
    </row>
    <row r="31" spans="1:90" ht="51" x14ac:dyDescent="0.25">
      <c r="A31" s="1" t="str">
        <f>Sheet1!A10</f>
        <v>ENQ-10773-22-23</v>
      </c>
      <c r="B31" s="51">
        <f>Sheet1!B10</f>
        <v>45135</v>
      </c>
      <c r="C31" s="1" t="str">
        <f>Sheet1!C10</f>
        <v>FA1300018</v>
      </c>
      <c r="D31" s="73" t="str">
        <f>Sheet1!D10</f>
        <v>1 CORE X 400 SQ. MM. AL/ARM (XLPE) - 33 KV</v>
      </c>
      <c r="E31" s="74">
        <f t="shared" si="0"/>
        <v>1212522.1800000002</v>
      </c>
      <c r="F31" s="77" t="e">
        <f t="shared" si="12"/>
        <v>#DIV/0!</v>
      </c>
      <c r="G31" s="75" t="e">
        <f t="shared" si="1"/>
        <v>#DIV/0!</v>
      </c>
      <c r="H31" s="76">
        <f>Sheet1!CP10</f>
        <v>0.18</v>
      </c>
      <c r="I31" s="75" t="e">
        <f t="shared" si="2"/>
        <v>#DIV/0!</v>
      </c>
      <c r="J31" s="75" t="e">
        <f t="shared" si="3"/>
        <v>#DIV/0!</v>
      </c>
      <c r="K31" s="73">
        <v>0</v>
      </c>
      <c r="L31" s="73" t="str">
        <f>Sheet1!CT10</f>
        <v>KMS</v>
      </c>
      <c r="M31" s="74" t="e">
        <f t="shared" si="4"/>
        <v>#DIV/0!</v>
      </c>
      <c r="N31" s="78">
        <v>1081</v>
      </c>
      <c r="O31" s="41">
        <f>+IFERROR(VLOOKUP($O$17,Sheet1!J10:L10,3,0),0)</f>
        <v>0</v>
      </c>
      <c r="P31" s="41">
        <f>+IFERROR(VLOOKUP($P$17,Sheet1!J10:M10,3,0),0)</f>
        <v>0</v>
      </c>
      <c r="Q31" s="41">
        <f>+IFERROR(VLOOKUP($Q$17,Sheet1!J10:M10,3,0),0)</f>
        <v>0</v>
      </c>
      <c r="R31" s="41">
        <f>+IFERROR(VLOOKUP($R$17,Sheet1!J10:M10,3,0),0)</f>
        <v>0</v>
      </c>
      <c r="S31" s="41">
        <f>+IFERROR(VLOOKUP($S$17,Sheet1!N10:Q10,3,0),0)</f>
        <v>0</v>
      </c>
      <c r="T31" s="41">
        <f>+IFERROR(VLOOKUP($T$17,Sheet1!N10:Q10,3,0),0)</f>
        <v>0</v>
      </c>
      <c r="U31" s="41">
        <f>+IFERROR(VLOOKUP($U$17,Sheet1!F10:I10,3,0),0)</f>
        <v>0</v>
      </c>
      <c r="V31" s="41">
        <f>+IFERROR(VLOOKUP($V$17,Sheet1!F10:I10,3,0),0)</f>
        <v>0</v>
      </c>
      <c r="W31" s="41">
        <f>+IFERROR(VLOOKUP($W$17,Sheet1!F10:I10,3,0),0)</f>
        <v>0</v>
      </c>
      <c r="X31" s="41">
        <f>+IFERROR(VLOOKUP($X$17,Sheet1!F10:I10,3,0),0)</f>
        <v>0</v>
      </c>
      <c r="Y31" s="78">
        <v>70</v>
      </c>
      <c r="Z31" s="41">
        <f>+IFERROR(VLOOKUP($Z$17,Sheet1!F10:I10,3,0),0)</f>
        <v>0</v>
      </c>
      <c r="AA31" s="41">
        <f>+IFERROR(VLOOKUP($AA$17,Sheet1!F10:I10,3,0),0)</f>
        <v>0</v>
      </c>
      <c r="AB31" s="41">
        <f>+IFERROR(VLOOKUP($AB$17,Sheet1!F10:I10,3,0),0)</f>
        <v>0</v>
      </c>
      <c r="AC31" s="78">
        <v>171</v>
      </c>
      <c r="AD31" s="72">
        <f>+IFERROR(VLOOKUP($AD$17,Sheet1!R10:U10,2,0),0)</f>
        <v>0</v>
      </c>
      <c r="AE31" s="78">
        <v>885</v>
      </c>
      <c r="AF31" s="72">
        <f>+IFERROR(VLOOKUP($AF$17,Sheet1!V10:Y10,3,0),0)</f>
        <v>0</v>
      </c>
      <c r="AG31" s="72">
        <f>+IFERROR(VLOOKUP($AG$17,Sheet1!V10:Y10,3,0),0)</f>
        <v>0</v>
      </c>
      <c r="AH31" s="72">
        <f>+IFERROR(VLOOKUP($AH$17,Sheet1!V10:Y10,3,0),0)</f>
        <v>0</v>
      </c>
      <c r="AI31" s="72">
        <f>+IFERROR(VLOOKUP($AI$17,Sheet1!V10:Y10,3,0),0)</f>
        <v>0</v>
      </c>
      <c r="AJ31" s="72">
        <f>+IFERROR(VLOOKUP($AJ$17,Sheet1!V10:Y10,3,0),0)</f>
        <v>0</v>
      </c>
      <c r="AK31" s="79">
        <v>16</v>
      </c>
      <c r="AL31" s="72">
        <f>+IFERROR(VLOOKUP($AL$17,Sheet1!AD10:AG10,3,0),0)</f>
        <v>0</v>
      </c>
      <c r="AM31" s="72">
        <f>+IFERROR(VLOOKUP($AM$17,Sheet1!AD10:AG10,3,0),0)</f>
        <v>0</v>
      </c>
      <c r="AN31" s="72">
        <f>+IFERROR(VLOOKUP($AN$17,Sheet1!AD10:AG10,3,0),0)</f>
        <v>0</v>
      </c>
      <c r="AO31" s="72">
        <f>+IFERROR(VLOOKUP($AO$17,Sheet1!AD10:AG10,3,0),0)</f>
        <v>0</v>
      </c>
      <c r="AP31" s="72">
        <f>+IFERROR(VLOOKUP($AP$17,Sheet1!AD10:AG10,3,0),0)</f>
        <v>0</v>
      </c>
      <c r="AQ31" s="79">
        <v>151</v>
      </c>
      <c r="AR31" s="72">
        <f>+IFERROR(VLOOKUP($AR$17,Sheet1!AD10:AG10,3,0),0)</f>
        <v>0</v>
      </c>
      <c r="AS31" s="72">
        <f>+IFERROR(VLOOKUP($AS$17,Sheet1!AH10:AK10,3,0),0)</f>
        <v>0</v>
      </c>
      <c r="AT31" s="72">
        <f>+IFERROR(VLOOKUP($AT$17,Sheet1!AH10:AK10,3,0),0)</f>
        <v>0</v>
      </c>
      <c r="AU31" s="72">
        <f>+IFERROR(VLOOKUP($AU$17,Sheet1!AH10:AK10,3,0),0)</f>
        <v>0</v>
      </c>
      <c r="AV31" s="79">
        <v>731</v>
      </c>
      <c r="AW31" s="72">
        <f>+IFERROR(VLOOKUP($AW$17,Sheet1!AH10:AK10,3,0),0)</f>
        <v>0</v>
      </c>
      <c r="AX31" s="72">
        <f>+IFERROR(VLOOKUP($AX$17,Sheet1!AH10:AK10,3,0),0)</f>
        <v>0</v>
      </c>
      <c r="AY31" s="72">
        <f>+IFERROR(VLOOKUP($AY$17,Sheet1!AH10:AK10,3,0),0)</f>
        <v>0</v>
      </c>
      <c r="AZ31" s="72">
        <f>+IFERROR(VLOOKUP($AZ$17,Sheet1!AH10:AK10,3,0),0)</f>
        <v>0</v>
      </c>
      <c r="BA31" s="72">
        <f>+IFERROR(VLOOKUP($BA$17,Sheet1!AH10:AK10,3,0),0)</f>
        <v>0</v>
      </c>
      <c r="BB31" s="72">
        <f>+IFERROR(VLOOKUP($BB$17,Sheet1!AH10:AK10,3,0),0)</f>
        <v>0</v>
      </c>
      <c r="BC31" s="72">
        <f>+IFERROR(VLOOKUP($BC$17,Sheet1!AL10:AO10,3,0),0)</f>
        <v>0</v>
      </c>
      <c r="BD31" s="72">
        <f>+IFERROR(VLOOKUP($BD$17,Sheet1!AL10:AO10,3,0),0)</f>
        <v>0</v>
      </c>
      <c r="BE31" s="72">
        <f>+IFERROR(VLOOKUP($BE$17,Sheet1!AL10:AO10,3,0),0)</f>
        <v>0</v>
      </c>
      <c r="BF31" s="79">
        <v>580</v>
      </c>
      <c r="BG31" s="72">
        <f>+IFERROR(VLOOKUP($BG$17,Sheet1!AL10:AO10,3,0),0)</f>
        <v>0</v>
      </c>
      <c r="BH31" s="72">
        <f>+IFERROR(VLOOKUP($BH$17,Sheet1!AL10:AO10,3,0),0)</f>
        <v>0</v>
      </c>
      <c r="BI31" s="72">
        <f>+IFERROR(VLOOKUP($BI$17,Sheet1!AL10:AO10,3,0),0)</f>
        <v>0</v>
      </c>
      <c r="BJ31" s="72">
        <f>+IFERROR(VLOOKUP($BJ$17,Sheet1!AL10:AO10,3,0),0)</f>
        <v>0</v>
      </c>
      <c r="BK31" s="72">
        <f>+IFERROR(VLOOKUP($BK$17,Sheet1!AL10:AO10,3,0),0)</f>
        <v>0</v>
      </c>
      <c r="BL31" s="72">
        <f>+IFERROR(VLOOKUP($BL$17,Sheet1!AL10:AO10,3,0),0)</f>
        <v>0</v>
      </c>
      <c r="BM31" s="72">
        <f>+IFERROR(VLOOKUP($BM$17,Sheet1!AP10:AS10,3,0),0)</f>
        <v>0</v>
      </c>
      <c r="BN31" s="72">
        <f>+IFERROR(VLOOKUP($BN$17,Sheet1!AT10:AW10,3,0),0)</f>
        <v>0</v>
      </c>
      <c r="BO31" s="79">
        <v>19</v>
      </c>
      <c r="BP31" s="79">
        <v>35</v>
      </c>
      <c r="BQ31" s="72">
        <f>+IFERROR(VLOOKUP($BQ$17,Sheet1!BF10:BI10,3,0),0)</f>
        <v>0</v>
      </c>
      <c r="BR31" s="72">
        <f>+IFERROR(VLOOKUP($BR$17,Sheet1!BJ10:BM10,3,0),0)</f>
        <v>0</v>
      </c>
      <c r="BS31" s="72">
        <f>+IFERROR(VLOOKUP($BS$17,Sheet1!BN10:BQ10,3,0),0)</f>
        <v>0</v>
      </c>
      <c r="BT31" s="79">
        <v>36</v>
      </c>
      <c r="BU31" s="11">
        <f>+IFERROR(VLOOKUP($BU$17,Sheet1!BV10:BY10,3,0),0)</f>
        <v>0</v>
      </c>
      <c r="BV31" s="11" t="str">
        <f>Sheet1!E10</f>
        <v>STEEL</v>
      </c>
      <c r="BW31" s="11" t="str">
        <f>Sheet1!CV10</f>
        <v>SP0400112</v>
      </c>
      <c r="BX31" s="11" t="str">
        <f>Sheet1!CW10</f>
        <v>CORRUGATED DISPATCH STEEL DRUM 2000 X 1000 X 1000 MM</v>
      </c>
      <c r="BY31" s="11">
        <f>Sheet1!CX10</f>
        <v>500</v>
      </c>
      <c r="BZ31" s="3">
        <f>Sheet1!BZ10</f>
        <v>53200</v>
      </c>
      <c r="CA31" s="3">
        <f t="shared" si="5"/>
        <v>784804</v>
      </c>
      <c r="CB31" s="23">
        <f>Sheet1!CB10</f>
        <v>0</v>
      </c>
      <c r="CC31" s="3">
        <f t="shared" si="6"/>
        <v>0</v>
      </c>
      <c r="CD31" s="47">
        <v>0.5</v>
      </c>
      <c r="CE31" s="3">
        <f t="shared" si="7"/>
        <v>392402</v>
      </c>
      <c r="CF31" s="47">
        <v>0</v>
      </c>
      <c r="CG31" s="3">
        <f t="shared" si="8"/>
        <v>0</v>
      </c>
      <c r="CH31" s="3">
        <f t="shared" si="9"/>
        <v>1177206</v>
      </c>
      <c r="CI31" s="47">
        <v>0.02</v>
      </c>
      <c r="CJ31" s="80">
        <f t="shared" si="10"/>
        <v>23544.12</v>
      </c>
      <c r="CK31" s="47">
        <v>0.01</v>
      </c>
      <c r="CL31" s="80">
        <f t="shared" si="11"/>
        <v>11772.06</v>
      </c>
    </row>
    <row r="32" spans="1:90" ht="51" x14ac:dyDescent="0.25">
      <c r="A32" s="1" t="str">
        <f>Sheet1!A7</f>
        <v>ENQ-10773-22-23</v>
      </c>
      <c r="B32" s="51">
        <f>Sheet1!B7</f>
        <v>45135</v>
      </c>
      <c r="C32" s="1" t="str">
        <f>Sheet1!C7</f>
        <v>FA1300019</v>
      </c>
      <c r="D32" s="73" t="str">
        <f>Sheet1!D7</f>
        <v>1 CORE X 300 SQ. MM. AL/ARM (XLPE)  - 33 KV</v>
      </c>
      <c r="E32" s="74">
        <f t="shared" si="0"/>
        <v>1056143.46</v>
      </c>
      <c r="F32" s="77" t="e">
        <f t="shared" si="12"/>
        <v>#DIV/0!</v>
      </c>
      <c r="G32" s="75" t="e">
        <f t="shared" si="1"/>
        <v>#DIV/0!</v>
      </c>
      <c r="H32" s="76">
        <f>Sheet1!CP7</f>
        <v>0.18</v>
      </c>
      <c r="I32" s="75" t="e">
        <f t="shared" si="2"/>
        <v>#DIV/0!</v>
      </c>
      <c r="J32" s="75" t="e">
        <f t="shared" si="3"/>
        <v>#DIV/0!</v>
      </c>
      <c r="K32" s="73">
        <v>0</v>
      </c>
      <c r="L32" s="73" t="str">
        <f>Sheet1!CT7</f>
        <v>KMS</v>
      </c>
      <c r="M32" s="74" t="e">
        <f t="shared" si="4"/>
        <v>#DIV/0!</v>
      </c>
      <c r="N32" s="41">
        <f>+IFERROR(VLOOKUP($N$17,Sheet1!J7:L7,3,0),0)</f>
        <v>810</v>
      </c>
      <c r="O32" s="41">
        <f>+IFERROR(VLOOKUP($O$17,Sheet1!J7:L7,3,0),0)</f>
        <v>0</v>
      </c>
      <c r="P32" s="41">
        <f>+IFERROR(VLOOKUP($P$17,Sheet1!J7:M7,3,0),0)</f>
        <v>0</v>
      </c>
      <c r="Q32" s="41">
        <f>+IFERROR(VLOOKUP($Q$17,Sheet1!J7:M7,3,0),0)</f>
        <v>0</v>
      </c>
      <c r="R32" s="41">
        <f>+IFERROR(VLOOKUP($R$17,Sheet1!J7:M7,3,0),0)</f>
        <v>0</v>
      </c>
      <c r="S32" s="41">
        <f>+IFERROR(VLOOKUP($S$17,Sheet1!N7:Q7,3,0),0)</f>
        <v>0</v>
      </c>
      <c r="T32" s="41">
        <f>+IFERROR(VLOOKUP($T$17,Sheet1!N7:Q7,3,0),0)</f>
        <v>0</v>
      </c>
      <c r="U32" s="41">
        <f>+IFERROR(VLOOKUP($U$17,Sheet1!F7:I7,3,0),0)</f>
        <v>0</v>
      </c>
      <c r="V32" s="41">
        <f>+IFERROR(VLOOKUP($V$17,Sheet1!F7:I7,3,0),0)</f>
        <v>0</v>
      </c>
      <c r="W32" s="41">
        <f>+IFERROR(VLOOKUP($W$17,Sheet1!F7:I7,3,0),0)</f>
        <v>0</v>
      </c>
      <c r="X32" s="41">
        <f>+IFERROR(VLOOKUP($X$17,Sheet1!F7:I7,3,0),0)</f>
        <v>0</v>
      </c>
      <c r="Y32" s="78">
        <v>65</v>
      </c>
      <c r="Z32" s="41">
        <f>+IFERROR(VLOOKUP($Z$17,Sheet1!F7:I7,3,0),0)</f>
        <v>0</v>
      </c>
      <c r="AA32" s="41">
        <f>+IFERROR(VLOOKUP($AA$17,Sheet1!F7:I7,3,0),0)</f>
        <v>0</v>
      </c>
      <c r="AB32" s="41">
        <f>+IFERROR(VLOOKUP($AB$17,Sheet1!F7:I7,3,0),0)</f>
        <v>0</v>
      </c>
      <c r="AC32" s="78">
        <v>164</v>
      </c>
      <c r="AD32" s="72">
        <f>+IFERROR(VLOOKUP($AD$17,Sheet1!R7:U7,2,0),0)</f>
        <v>0</v>
      </c>
      <c r="AE32" s="78">
        <v>808</v>
      </c>
      <c r="AF32" s="72">
        <f>+IFERROR(VLOOKUP($AF$17,Sheet1!V7:Y7,3,0),0)</f>
        <v>0</v>
      </c>
      <c r="AG32" s="72">
        <f>+IFERROR(VLOOKUP($AG$17,Sheet1!V7:Y7,3,0),0)</f>
        <v>0</v>
      </c>
      <c r="AH32" s="72">
        <f>+IFERROR(VLOOKUP($AH$17,Sheet1!V7:Y7,3,0),0)</f>
        <v>0</v>
      </c>
      <c r="AI32" s="72">
        <f>+IFERROR(VLOOKUP($AI$17,Sheet1!V7:Y7,3,0),0)</f>
        <v>0</v>
      </c>
      <c r="AJ32" s="72">
        <f>+IFERROR(VLOOKUP($AJ$17,Sheet1!V7:Y7,3,0),0)</f>
        <v>0</v>
      </c>
      <c r="AK32" s="79">
        <v>12</v>
      </c>
      <c r="AL32" s="72">
        <f>+IFERROR(VLOOKUP($AL$17,Sheet1!AD7:AG7,3,0),0)</f>
        <v>0</v>
      </c>
      <c r="AM32" s="72">
        <f>+IFERROR(VLOOKUP($AM$17,Sheet1!AD7:AG7,3,0),0)</f>
        <v>0</v>
      </c>
      <c r="AN32" s="72">
        <f>+IFERROR(VLOOKUP($AN$17,Sheet1!AD7:AG7,3,0),0)</f>
        <v>0</v>
      </c>
      <c r="AO32" s="72">
        <f>+IFERROR(VLOOKUP($AO$17,Sheet1!AD7:AG7,3,0),0)</f>
        <v>0</v>
      </c>
      <c r="AP32" s="72">
        <f>+IFERROR(VLOOKUP($AP$17,Sheet1!AD7:AG7,3,0),0)</f>
        <v>0</v>
      </c>
      <c r="AQ32" s="79">
        <v>144</v>
      </c>
      <c r="AR32" s="72">
        <f>+IFERROR(VLOOKUP($AR$17,Sheet1!AD7:AG7,3,0),0)</f>
        <v>0</v>
      </c>
      <c r="AS32" s="72">
        <f>+IFERROR(VLOOKUP($AS$17,Sheet1!AH7:AK7,3,0),0)</f>
        <v>0</v>
      </c>
      <c r="AT32" s="72">
        <f>+IFERROR(VLOOKUP($AT$17,Sheet1!AH7:AK7,3,0),0)</f>
        <v>0</v>
      </c>
      <c r="AU32" s="72">
        <f>+IFERROR(VLOOKUP($AU$17,Sheet1!AH7:AK7,3,0),0)</f>
        <v>0</v>
      </c>
      <c r="AV32" s="79">
        <v>676</v>
      </c>
      <c r="AW32" s="72">
        <f>+IFERROR(VLOOKUP($AW$17,Sheet1!AH7:AK7,3,0),0)</f>
        <v>0</v>
      </c>
      <c r="AX32" s="72">
        <f>+IFERROR(VLOOKUP($AX$17,Sheet1!AH7:AK7,3,0),0)</f>
        <v>0</v>
      </c>
      <c r="AY32" s="72">
        <f>+IFERROR(VLOOKUP($AY$17,Sheet1!AH7:AK7,3,0),0)</f>
        <v>0</v>
      </c>
      <c r="AZ32" s="72">
        <f>+IFERROR(VLOOKUP($AZ$17,Sheet1!AH7:AK7,3,0),0)</f>
        <v>0</v>
      </c>
      <c r="BA32" s="72">
        <f>+IFERROR(VLOOKUP($BA$17,Sheet1!AH7:AK7,3,0),0)</f>
        <v>0</v>
      </c>
      <c r="BB32" s="72">
        <f>+IFERROR(VLOOKUP($BB$17,Sheet1!AH7:AK7,3,0),0)</f>
        <v>0</v>
      </c>
      <c r="BC32" s="72">
        <f>+IFERROR(VLOOKUP($BC$17,Sheet1!AL7:AO7,3,0),0)</f>
        <v>0</v>
      </c>
      <c r="BD32" s="72">
        <f>+IFERROR(VLOOKUP($BD$17,Sheet1!AL7:AO7,3,0),0)</f>
        <v>0</v>
      </c>
      <c r="BE32" s="72">
        <f>+IFERROR(VLOOKUP($BE$17,Sheet1!AL7:AO7,3,0),0)</f>
        <v>0</v>
      </c>
      <c r="BF32" s="79">
        <v>556</v>
      </c>
      <c r="BG32" s="72">
        <f>+IFERROR(VLOOKUP($BG$17,Sheet1!AL7:AO7,3,0),0)</f>
        <v>0</v>
      </c>
      <c r="BH32" s="72">
        <f>+IFERROR(VLOOKUP($BH$17,Sheet1!AL7:AO7,3,0),0)</f>
        <v>0</v>
      </c>
      <c r="BI32" s="72">
        <f>+IFERROR(VLOOKUP($BI$17,Sheet1!AL7:AO7,3,0),0)</f>
        <v>0</v>
      </c>
      <c r="BJ32" s="72">
        <f>+IFERROR(VLOOKUP($BJ$17,Sheet1!AL7:AO7,3,0),0)</f>
        <v>0</v>
      </c>
      <c r="BK32" s="72">
        <f>+IFERROR(VLOOKUP($BK$17,Sheet1!AL7:AO7,3,0),0)</f>
        <v>0</v>
      </c>
      <c r="BL32" s="72">
        <f>+IFERROR(VLOOKUP($BL$17,Sheet1!AL7:AO7,3,0),0)</f>
        <v>0</v>
      </c>
      <c r="BM32" s="72">
        <f>+IFERROR(VLOOKUP($BM$17,Sheet1!AP7:AS7,3,0),0)</f>
        <v>0</v>
      </c>
      <c r="BN32" s="72">
        <f>+IFERROR(VLOOKUP($BN$17,Sheet1!AT7:AW7,3,0),0)</f>
        <v>0</v>
      </c>
      <c r="BO32" s="79">
        <v>13</v>
      </c>
      <c r="BP32" s="79">
        <v>32</v>
      </c>
      <c r="BQ32" s="72">
        <f>+IFERROR(VLOOKUP($BQ$17,Sheet1!BF7:BI7,3,0),0)</f>
        <v>0</v>
      </c>
      <c r="BR32" s="72">
        <f>+IFERROR(VLOOKUP($BR$17,Sheet1!BJ7:BM7,3,0),0)</f>
        <v>0</v>
      </c>
      <c r="BS32" s="72">
        <f>+IFERROR(VLOOKUP($BS$17,Sheet1!BN7:BQ7,3,0),0)</f>
        <v>0</v>
      </c>
      <c r="BT32" s="79">
        <v>35</v>
      </c>
      <c r="BU32" s="11">
        <f>+IFERROR(VLOOKUP($BU$17,Sheet1!BV7:BY7,3,0),0)</f>
        <v>0</v>
      </c>
      <c r="BV32" s="11" t="str">
        <f>Sheet1!E7</f>
        <v>STEEL</v>
      </c>
      <c r="BW32" s="11" t="str">
        <f>Sheet1!CV7</f>
        <v>SP0400110</v>
      </c>
      <c r="BX32" s="11" t="str">
        <f>Sheet1!CW7</f>
        <v>CORRUGATED DISPATCH STEEL DRUM 1600 X 900 X 1000 MM</v>
      </c>
      <c r="BY32" s="11">
        <f>Sheet1!CX7</f>
        <v>500</v>
      </c>
      <c r="BZ32" s="3">
        <f>Sheet1!BZ7</f>
        <v>47500</v>
      </c>
      <c r="CA32" s="3">
        <f t="shared" si="5"/>
        <v>683588</v>
      </c>
      <c r="CB32" s="23">
        <f>Sheet1!CB7</f>
        <v>0</v>
      </c>
      <c r="CC32" s="3">
        <f t="shared" si="6"/>
        <v>0</v>
      </c>
      <c r="CD32" s="47">
        <v>0.5</v>
      </c>
      <c r="CE32" s="3">
        <f t="shared" si="7"/>
        <v>341794</v>
      </c>
      <c r="CF32" s="47">
        <v>0</v>
      </c>
      <c r="CG32" s="3">
        <f t="shared" si="8"/>
        <v>0</v>
      </c>
      <c r="CH32" s="3">
        <f t="shared" si="9"/>
        <v>1025382</v>
      </c>
      <c r="CI32" s="47">
        <v>0.02</v>
      </c>
      <c r="CJ32" s="80">
        <f t="shared" si="10"/>
        <v>20507.64</v>
      </c>
      <c r="CK32" s="47">
        <v>0.01</v>
      </c>
      <c r="CL32" s="80">
        <f t="shared" si="11"/>
        <v>10253.82</v>
      </c>
    </row>
    <row r="34" spans="4:13" ht="30" x14ac:dyDescent="0.25">
      <c r="E34" s="2" t="s">
        <v>224</v>
      </c>
      <c r="F34" s="2" t="s">
        <v>225</v>
      </c>
      <c r="G34" s="61" t="s">
        <v>226</v>
      </c>
      <c r="H34" s="41" t="s">
        <v>227</v>
      </c>
      <c r="I34" s="2" t="s">
        <v>228</v>
      </c>
      <c r="J34" s="2" t="s">
        <v>229</v>
      </c>
      <c r="K34" s="2" t="s">
        <v>230</v>
      </c>
      <c r="L34" s="2" t="s">
        <v>231</v>
      </c>
      <c r="M34" s="62" t="s">
        <v>232</v>
      </c>
    </row>
    <row r="35" spans="4:13" ht="30" x14ac:dyDescent="0.25">
      <c r="D35" s="26" t="str">
        <f>D19</f>
        <v>3 CORE X 400 SQ. MM. AL/ARM - WIRE (XLPE) - 11 KV</v>
      </c>
      <c r="E35" s="61">
        <f>K19</f>
        <v>12.6</v>
      </c>
      <c r="F35" s="63">
        <f>BY19/1000</f>
        <v>0.25</v>
      </c>
      <c r="G35" s="61" t="s">
        <v>237</v>
      </c>
      <c r="H35" s="64">
        <v>70000</v>
      </c>
      <c r="I35" s="63">
        <v>3</v>
      </c>
      <c r="J35" s="61">
        <f>F35*I35</f>
        <v>0.75</v>
      </c>
      <c r="K35" s="61">
        <f>ROUNDUP((E35/J35),0)</f>
        <v>17</v>
      </c>
      <c r="L35" s="61">
        <f>M35*E35</f>
        <v>1190000</v>
      </c>
      <c r="M35" s="65">
        <f>(H35*K35)/E35</f>
        <v>94444.444444444453</v>
      </c>
    </row>
    <row r="36" spans="4:13" ht="30" x14ac:dyDescent="0.25">
      <c r="D36" s="26" t="str">
        <f t="shared" ref="D36:D48" si="13">D20</f>
        <v>3 CORE X 300 SQ. MM. AL/ARM - WIRE (XLPE) - 11 KV</v>
      </c>
      <c r="E36" s="61">
        <f t="shared" ref="E36:E48" si="14">K20</f>
        <v>38.4</v>
      </c>
      <c r="F36" s="63">
        <f t="shared" ref="F36:F48" si="15">BY20/1000</f>
        <v>0.25</v>
      </c>
      <c r="G36" s="61" t="s">
        <v>237</v>
      </c>
      <c r="H36" s="64">
        <v>70000</v>
      </c>
      <c r="I36" s="63">
        <v>4</v>
      </c>
      <c r="J36" s="61">
        <f t="shared" ref="J36:J48" si="16">F36*I36</f>
        <v>1</v>
      </c>
      <c r="K36" s="61">
        <f t="shared" ref="K36:K48" si="17">ROUNDUP((E36/J36),0)</f>
        <v>39</v>
      </c>
      <c r="L36" s="61">
        <f t="shared" ref="L36:L48" si="18">M36*E36</f>
        <v>2730000</v>
      </c>
      <c r="M36" s="65">
        <f t="shared" ref="M36:M48" si="19">(H36*K36)/E36</f>
        <v>71093.75</v>
      </c>
    </row>
    <row r="37" spans="4:13" ht="30" x14ac:dyDescent="0.25">
      <c r="D37" s="26" t="str">
        <f t="shared" si="13"/>
        <v>3 CORE X 150 SQ. MM. AL/ARM - WIRE (XLPE) - 11 KV</v>
      </c>
      <c r="E37" s="61">
        <f t="shared" si="14"/>
        <v>0</v>
      </c>
      <c r="F37" s="63">
        <f t="shared" si="15"/>
        <v>0.25</v>
      </c>
      <c r="G37" s="61" t="s">
        <v>237</v>
      </c>
      <c r="H37" s="64">
        <v>70000</v>
      </c>
      <c r="I37" s="63">
        <v>5</v>
      </c>
      <c r="J37" s="61">
        <f t="shared" si="16"/>
        <v>1.25</v>
      </c>
      <c r="K37" s="61">
        <f t="shared" si="17"/>
        <v>0</v>
      </c>
      <c r="L37" s="61" t="e">
        <f t="shared" si="18"/>
        <v>#DIV/0!</v>
      </c>
      <c r="M37" s="65" t="e">
        <f t="shared" si="19"/>
        <v>#DIV/0!</v>
      </c>
    </row>
    <row r="38" spans="4:13" ht="30" x14ac:dyDescent="0.25">
      <c r="D38" s="26" t="str">
        <f t="shared" si="13"/>
        <v>3 CORE X 120 SQ. MM. AL/ARM - WIRE (XLPE) - 11 KV</v>
      </c>
      <c r="E38" s="61">
        <f t="shared" si="14"/>
        <v>1</v>
      </c>
      <c r="F38" s="63">
        <f t="shared" si="15"/>
        <v>0.25</v>
      </c>
      <c r="G38" s="61" t="s">
        <v>237</v>
      </c>
      <c r="H38" s="64">
        <v>70000</v>
      </c>
      <c r="I38" s="63">
        <v>5</v>
      </c>
      <c r="J38" s="61">
        <f t="shared" si="16"/>
        <v>1.25</v>
      </c>
      <c r="K38" s="61">
        <f t="shared" si="17"/>
        <v>1</v>
      </c>
      <c r="L38" s="61">
        <f t="shared" si="18"/>
        <v>70000</v>
      </c>
      <c r="M38" s="65">
        <f t="shared" si="19"/>
        <v>70000</v>
      </c>
    </row>
    <row r="39" spans="4:13" ht="30" x14ac:dyDescent="0.25">
      <c r="D39" s="26" t="str">
        <f t="shared" si="13"/>
        <v>3 CORE X 95 SQ. MM. AL/ARM - WIRE (XLPE) - 11 KV</v>
      </c>
      <c r="E39" s="61">
        <f t="shared" si="14"/>
        <v>0</v>
      </c>
      <c r="F39" s="63">
        <f t="shared" si="15"/>
        <v>0.25</v>
      </c>
      <c r="G39" s="61" t="s">
        <v>237</v>
      </c>
      <c r="H39" s="64">
        <v>70000</v>
      </c>
      <c r="I39" s="63">
        <v>5</v>
      </c>
      <c r="J39" s="61">
        <f t="shared" si="16"/>
        <v>1.25</v>
      </c>
      <c r="K39" s="61">
        <f t="shared" si="17"/>
        <v>0</v>
      </c>
      <c r="L39" s="61" t="e">
        <f t="shared" si="18"/>
        <v>#DIV/0!</v>
      </c>
      <c r="M39" s="65" t="e">
        <f t="shared" si="19"/>
        <v>#DIV/0!</v>
      </c>
    </row>
    <row r="40" spans="4:13" ht="30" x14ac:dyDescent="0.25">
      <c r="D40" s="26" t="str">
        <f t="shared" si="13"/>
        <v>1 CORE X 1000 SQ. MM. AL/ARM (XLPE) - 11 KV</v>
      </c>
      <c r="E40" s="61">
        <f t="shared" si="14"/>
        <v>0</v>
      </c>
      <c r="F40" s="63">
        <f t="shared" si="15"/>
        <v>0.5</v>
      </c>
      <c r="G40" s="61" t="s">
        <v>237</v>
      </c>
      <c r="H40" s="64">
        <v>70000</v>
      </c>
      <c r="I40" s="63">
        <v>4</v>
      </c>
      <c r="J40" s="61">
        <f t="shared" si="16"/>
        <v>2</v>
      </c>
      <c r="K40" s="61">
        <f t="shared" si="17"/>
        <v>0</v>
      </c>
      <c r="L40" s="61" t="e">
        <f t="shared" si="18"/>
        <v>#DIV/0!</v>
      </c>
      <c r="M40" s="65" t="e">
        <f t="shared" si="19"/>
        <v>#DIV/0!</v>
      </c>
    </row>
    <row r="41" spans="4:13" ht="30" x14ac:dyDescent="0.25">
      <c r="D41" s="26" t="str">
        <f t="shared" si="13"/>
        <v>1 CORE X 630 SQ. MM. AL/ARM (XLPE)  - 11 KV</v>
      </c>
      <c r="E41" s="61">
        <f t="shared" si="14"/>
        <v>0</v>
      </c>
      <c r="F41" s="63">
        <f t="shared" si="15"/>
        <v>0.5</v>
      </c>
      <c r="G41" s="61" t="s">
        <v>237</v>
      </c>
      <c r="H41" s="64">
        <v>70000</v>
      </c>
      <c r="I41" s="63">
        <v>5</v>
      </c>
      <c r="J41" s="61">
        <f t="shared" si="16"/>
        <v>2.5</v>
      </c>
      <c r="K41" s="61">
        <f t="shared" si="17"/>
        <v>0</v>
      </c>
      <c r="L41" s="61" t="e">
        <f t="shared" si="18"/>
        <v>#DIV/0!</v>
      </c>
      <c r="M41" s="65" t="e">
        <f t="shared" si="19"/>
        <v>#DIV/0!</v>
      </c>
    </row>
    <row r="42" spans="4:13" ht="30" x14ac:dyDescent="0.25">
      <c r="D42" s="26" t="str">
        <f t="shared" si="13"/>
        <v>1 CORE X 400 SQ. MM. AL/ARM (XLPE) - 11 KV</v>
      </c>
      <c r="E42" s="61">
        <f t="shared" si="14"/>
        <v>0</v>
      </c>
      <c r="F42" s="63">
        <f t="shared" si="15"/>
        <v>0.5</v>
      </c>
      <c r="G42" s="61" t="s">
        <v>237</v>
      </c>
      <c r="H42" s="64">
        <v>70000</v>
      </c>
      <c r="I42" s="63">
        <v>6</v>
      </c>
      <c r="J42" s="61">
        <f t="shared" si="16"/>
        <v>3</v>
      </c>
      <c r="K42" s="61">
        <f t="shared" si="17"/>
        <v>0</v>
      </c>
      <c r="L42" s="61" t="e">
        <f t="shared" si="18"/>
        <v>#DIV/0!</v>
      </c>
      <c r="M42" s="65" t="e">
        <f t="shared" si="19"/>
        <v>#DIV/0!</v>
      </c>
    </row>
    <row r="43" spans="4:13" ht="30" x14ac:dyDescent="0.25">
      <c r="D43" s="26" t="str">
        <f t="shared" si="13"/>
        <v>3 CORE X 400 SQ. MM AL/ARM - WIRE (XLPE) - 33 KV</v>
      </c>
      <c r="E43" s="61">
        <f t="shared" si="14"/>
        <v>36</v>
      </c>
      <c r="F43" s="63">
        <f t="shared" si="15"/>
        <v>0.25</v>
      </c>
      <c r="G43" s="61" t="s">
        <v>237</v>
      </c>
      <c r="H43" s="64">
        <v>70000</v>
      </c>
      <c r="I43" s="63">
        <v>2</v>
      </c>
      <c r="J43" s="61">
        <f t="shared" si="16"/>
        <v>0.5</v>
      </c>
      <c r="K43" s="61">
        <f t="shared" si="17"/>
        <v>72</v>
      </c>
      <c r="L43" s="61">
        <f t="shared" si="18"/>
        <v>5040000</v>
      </c>
      <c r="M43" s="65">
        <f t="shared" si="19"/>
        <v>140000</v>
      </c>
    </row>
    <row r="44" spans="4:13" ht="30" x14ac:dyDescent="0.25">
      <c r="D44" s="26" t="str">
        <f t="shared" si="13"/>
        <v>3 CORE X 300 SQ. MM. AL/ARM - WIRE (XLPE) - 33 KV</v>
      </c>
      <c r="E44" s="61">
        <f t="shared" si="14"/>
        <v>10</v>
      </c>
      <c r="F44" s="63">
        <f t="shared" si="15"/>
        <v>0.25</v>
      </c>
      <c r="G44" s="61" t="s">
        <v>237</v>
      </c>
      <c r="H44" s="64">
        <v>70000</v>
      </c>
      <c r="I44" s="63">
        <v>2</v>
      </c>
      <c r="J44" s="61">
        <f t="shared" si="16"/>
        <v>0.5</v>
      </c>
      <c r="K44" s="61">
        <f t="shared" si="17"/>
        <v>20</v>
      </c>
      <c r="L44" s="61">
        <f t="shared" si="18"/>
        <v>1400000</v>
      </c>
      <c r="M44" s="65">
        <f t="shared" si="19"/>
        <v>140000</v>
      </c>
    </row>
    <row r="45" spans="4:13" ht="30" x14ac:dyDescent="0.25">
      <c r="D45" s="26" t="str">
        <f t="shared" si="13"/>
        <v>3 CORE X 95 SQ. MM. AL/ARM  WIRE (XLPE) - 33 KV</v>
      </c>
      <c r="E45" s="61">
        <f t="shared" si="14"/>
        <v>0</v>
      </c>
      <c r="F45" s="63">
        <f t="shared" si="15"/>
        <v>0.25</v>
      </c>
      <c r="G45" s="61" t="s">
        <v>237</v>
      </c>
      <c r="H45" s="64">
        <v>70000</v>
      </c>
      <c r="I45" s="63">
        <v>4</v>
      </c>
      <c r="J45" s="61">
        <f t="shared" si="16"/>
        <v>1</v>
      </c>
      <c r="K45" s="61">
        <f t="shared" si="17"/>
        <v>0</v>
      </c>
      <c r="L45" s="61" t="e">
        <f t="shared" si="18"/>
        <v>#DIV/0!</v>
      </c>
      <c r="M45" s="65" t="e">
        <f t="shared" si="19"/>
        <v>#DIV/0!</v>
      </c>
    </row>
    <row r="46" spans="4:13" ht="30" x14ac:dyDescent="0.25">
      <c r="D46" s="26" t="str">
        <f t="shared" si="13"/>
        <v>1 CORE X 630 SQ. MM. AL/ARM (XLPE)  - 33 KV</v>
      </c>
      <c r="E46" s="61">
        <f t="shared" si="14"/>
        <v>0</v>
      </c>
      <c r="F46" s="63">
        <f t="shared" si="15"/>
        <v>0.5</v>
      </c>
      <c r="G46" s="61" t="s">
        <v>237</v>
      </c>
      <c r="H46" s="64">
        <v>70000</v>
      </c>
      <c r="I46" s="63">
        <v>4</v>
      </c>
      <c r="J46" s="61">
        <f t="shared" si="16"/>
        <v>2</v>
      </c>
      <c r="K46" s="61">
        <f t="shared" si="17"/>
        <v>0</v>
      </c>
      <c r="L46" s="61" t="e">
        <f t="shared" si="18"/>
        <v>#DIV/0!</v>
      </c>
      <c r="M46" s="65" t="e">
        <f t="shared" si="19"/>
        <v>#DIV/0!</v>
      </c>
    </row>
    <row r="47" spans="4:13" ht="30" x14ac:dyDescent="0.25">
      <c r="D47" s="26" t="str">
        <f t="shared" si="13"/>
        <v>1 CORE X 400 SQ. MM. AL/ARM (XLPE) - 33 KV</v>
      </c>
      <c r="E47" s="61">
        <f t="shared" si="14"/>
        <v>0</v>
      </c>
      <c r="F47" s="63">
        <f t="shared" si="15"/>
        <v>0.5</v>
      </c>
      <c r="G47" s="61" t="s">
        <v>237</v>
      </c>
      <c r="H47" s="64">
        <v>70000</v>
      </c>
      <c r="I47" s="63">
        <v>5</v>
      </c>
      <c r="J47" s="61">
        <f t="shared" si="16"/>
        <v>2.5</v>
      </c>
      <c r="K47" s="61">
        <f t="shared" si="17"/>
        <v>0</v>
      </c>
      <c r="L47" s="61" t="e">
        <f t="shared" si="18"/>
        <v>#DIV/0!</v>
      </c>
      <c r="M47" s="65" t="e">
        <f t="shared" si="19"/>
        <v>#DIV/0!</v>
      </c>
    </row>
    <row r="48" spans="4:13" ht="30" x14ac:dyDescent="0.25">
      <c r="D48" s="26" t="str">
        <f t="shared" si="13"/>
        <v>1 CORE X 300 SQ. MM. AL/ARM (XLPE)  - 33 KV</v>
      </c>
      <c r="E48" s="61">
        <f t="shared" si="14"/>
        <v>0</v>
      </c>
      <c r="F48" s="63">
        <f t="shared" si="15"/>
        <v>0.5</v>
      </c>
      <c r="G48" s="61" t="s">
        <v>237</v>
      </c>
      <c r="H48" s="64">
        <v>70000</v>
      </c>
      <c r="I48" s="63">
        <v>6</v>
      </c>
      <c r="J48" s="61">
        <f t="shared" si="16"/>
        <v>3</v>
      </c>
      <c r="K48" s="61">
        <f t="shared" si="17"/>
        <v>0</v>
      </c>
      <c r="L48" s="61" t="e">
        <f t="shared" si="18"/>
        <v>#DIV/0!</v>
      </c>
      <c r="M48" s="65" t="e">
        <f t="shared" si="19"/>
        <v>#DIV/0!</v>
      </c>
    </row>
    <row r="51" spans="1:13" ht="51" x14ac:dyDescent="0.25">
      <c r="A51" s="18" t="s">
        <v>0</v>
      </c>
      <c r="B51" s="18" t="s">
        <v>134</v>
      </c>
      <c r="C51" s="18" t="s">
        <v>1</v>
      </c>
      <c r="D51" s="18" t="s">
        <v>2</v>
      </c>
      <c r="E51" s="5" t="s">
        <v>238</v>
      </c>
      <c r="F51" s="11" t="s">
        <v>239</v>
      </c>
      <c r="G51" s="11" t="s">
        <v>240</v>
      </c>
      <c r="H51" s="6" t="s">
        <v>73</v>
      </c>
      <c r="I51" s="11" t="s">
        <v>74</v>
      </c>
      <c r="J51" s="11" t="s">
        <v>241</v>
      </c>
      <c r="K51" s="11" t="s">
        <v>76</v>
      </c>
      <c r="L51" s="11" t="s">
        <v>77</v>
      </c>
      <c r="M51" s="11" t="s">
        <v>78</v>
      </c>
    </row>
    <row r="52" spans="1:13" x14ac:dyDescent="0.25">
      <c r="A52" s="27"/>
      <c r="B52" s="27"/>
      <c r="C52" s="27"/>
      <c r="D52" s="27"/>
      <c r="E52" s="5"/>
      <c r="F52" s="5"/>
      <c r="G52" s="5"/>
      <c r="H52" s="5"/>
      <c r="I52" s="5"/>
      <c r="J52" s="5"/>
      <c r="K52" s="5"/>
      <c r="L52" s="5"/>
      <c r="M52" s="5"/>
    </row>
    <row r="53" spans="1:13" ht="30" x14ac:dyDescent="0.25">
      <c r="A53" s="1" t="str">
        <f>A19</f>
        <v>ENQ-10773-22-23</v>
      </c>
      <c r="B53" s="51">
        <f>B19</f>
        <v>45135</v>
      </c>
      <c r="C53" s="1" t="str">
        <f>C19</f>
        <v>FA1300083</v>
      </c>
      <c r="D53" s="73" t="str">
        <f>D19</f>
        <v>3 CORE X 400 SQ. MM. AL/ARM - WIRE (XLPE) - 11 KV</v>
      </c>
      <c r="E53" s="74">
        <f>ROUNDUP(E19/1000,2)</f>
        <v>3241.8</v>
      </c>
      <c r="F53" s="77">
        <f>ROUNDUP(F19/1000,2)</f>
        <v>94.45</v>
      </c>
      <c r="G53" s="75">
        <f t="shared" ref="G53:G66" si="20">E53+F53</f>
        <v>3336.25</v>
      </c>
      <c r="H53" s="76">
        <f>H19</f>
        <v>0.18</v>
      </c>
      <c r="I53" s="75">
        <f>ROUND(G53*H53,2)</f>
        <v>600.53</v>
      </c>
      <c r="J53" s="75">
        <f>ROUND(G53+I53,2)</f>
        <v>3936.78</v>
      </c>
      <c r="K53" s="73">
        <f>K19*1000</f>
        <v>12600</v>
      </c>
      <c r="L53" s="73" t="s">
        <v>242</v>
      </c>
      <c r="M53" s="74">
        <f t="shared" ref="M53:M66" si="21">J53*K53</f>
        <v>49603428</v>
      </c>
    </row>
    <row r="54" spans="1:13" ht="30" x14ac:dyDescent="0.25">
      <c r="A54" s="1" t="str">
        <f t="shared" ref="A54:D66" si="22">A20</f>
        <v>ENQ-10773-22-23</v>
      </c>
      <c r="B54" s="51">
        <f t="shared" si="22"/>
        <v>45135</v>
      </c>
      <c r="C54" s="1" t="str">
        <f t="shared" si="22"/>
        <v>FA1300091</v>
      </c>
      <c r="D54" s="73" t="str">
        <f t="shared" si="22"/>
        <v>3 CORE X 300 SQ. MM. AL/ARM - WIRE (XLPE) - 11 KV</v>
      </c>
      <c r="E54" s="74">
        <f t="shared" ref="E54:F66" si="23">ROUNDUP(E20/1000,2)</f>
        <v>2598.3000000000002</v>
      </c>
      <c r="F54" s="77">
        <f t="shared" si="23"/>
        <v>71.100000000000009</v>
      </c>
      <c r="G54" s="75">
        <f t="shared" si="20"/>
        <v>2669.4</v>
      </c>
      <c r="H54" s="76">
        <f t="shared" ref="H54:H66" si="24">H20</f>
        <v>0.18</v>
      </c>
      <c r="I54" s="75">
        <f t="shared" ref="I54:I66" si="25">ROUND(G54*H54,2)</f>
        <v>480.49</v>
      </c>
      <c r="J54" s="75">
        <f t="shared" ref="J54:J66" si="26">ROUND(G54+I54,2)</f>
        <v>3149.89</v>
      </c>
      <c r="K54" s="73">
        <f t="shared" ref="K54:K66" si="27">K20*1000</f>
        <v>38400</v>
      </c>
      <c r="L54" s="73" t="s">
        <v>242</v>
      </c>
      <c r="M54" s="74">
        <f t="shared" si="21"/>
        <v>120955776</v>
      </c>
    </row>
    <row r="55" spans="1:13" ht="30" x14ac:dyDescent="0.25">
      <c r="A55" s="1" t="str">
        <f t="shared" si="22"/>
        <v>ENQ-10773-22-23</v>
      </c>
      <c r="B55" s="51">
        <f t="shared" si="22"/>
        <v>45135</v>
      </c>
      <c r="C55" s="1" t="str">
        <f t="shared" si="22"/>
        <v>FA1300176</v>
      </c>
      <c r="D55" s="73" t="str">
        <f t="shared" si="22"/>
        <v>3 CORE X 150 SQ. MM. AL/ARM - WIRE (XLPE) - 11 KV</v>
      </c>
      <c r="E55" s="74">
        <f t="shared" si="23"/>
        <v>1671.59</v>
      </c>
      <c r="F55" s="77" t="e">
        <f t="shared" si="23"/>
        <v>#DIV/0!</v>
      </c>
      <c r="G55" s="75" t="e">
        <f t="shared" si="20"/>
        <v>#DIV/0!</v>
      </c>
      <c r="H55" s="76">
        <f t="shared" si="24"/>
        <v>0.18</v>
      </c>
      <c r="I55" s="75" t="e">
        <f t="shared" si="25"/>
        <v>#DIV/0!</v>
      </c>
      <c r="J55" s="75" t="e">
        <f t="shared" si="26"/>
        <v>#DIV/0!</v>
      </c>
      <c r="K55" s="73">
        <f t="shared" si="27"/>
        <v>0</v>
      </c>
      <c r="L55" s="73" t="s">
        <v>242</v>
      </c>
      <c r="M55" s="74" t="e">
        <f t="shared" si="21"/>
        <v>#DIV/0!</v>
      </c>
    </row>
    <row r="56" spans="1:13" ht="30" x14ac:dyDescent="0.25">
      <c r="A56" s="1" t="str">
        <f t="shared" si="22"/>
        <v>ENQ-10773-22-23</v>
      </c>
      <c r="B56" s="51">
        <f t="shared" si="22"/>
        <v>45135</v>
      </c>
      <c r="C56" s="1" t="str">
        <f t="shared" si="22"/>
        <v>FA1300197</v>
      </c>
      <c r="D56" s="73" t="str">
        <f t="shared" si="22"/>
        <v>3 CORE X 120 SQ. MM. AL/ARM - WIRE (XLPE) - 11 KV</v>
      </c>
      <c r="E56" s="74">
        <f t="shared" si="23"/>
        <v>1462.05</v>
      </c>
      <c r="F56" s="77">
        <f t="shared" si="23"/>
        <v>70</v>
      </c>
      <c r="G56" s="75">
        <f t="shared" si="20"/>
        <v>1532.05</v>
      </c>
      <c r="H56" s="76">
        <f t="shared" si="24"/>
        <v>0.18</v>
      </c>
      <c r="I56" s="75">
        <f t="shared" si="25"/>
        <v>275.77</v>
      </c>
      <c r="J56" s="75">
        <f t="shared" si="26"/>
        <v>1807.82</v>
      </c>
      <c r="K56" s="73">
        <f t="shared" si="27"/>
        <v>1000</v>
      </c>
      <c r="L56" s="73" t="s">
        <v>242</v>
      </c>
      <c r="M56" s="74">
        <f t="shared" si="21"/>
        <v>1807820</v>
      </c>
    </row>
    <row r="57" spans="1:13" ht="30" x14ac:dyDescent="0.25">
      <c r="A57" s="1" t="str">
        <f t="shared" si="22"/>
        <v>ENQ-10773-22-23</v>
      </c>
      <c r="B57" s="51">
        <f t="shared" si="22"/>
        <v>45135</v>
      </c>
      <c r="C57" s="1" t="str">
        <f t="shared" si="22"/>
        <v>FA1300098</v>
      </c>
      <c r="D57" s="73" t="str">
        <f t="shared" si="22"/>
        <v>3 CORE X 95 SQ. MM. AL/ARM - WIRE (XLPE) - 11 KV</v>
      </c>
      <c r="E57" s="74">
        <f t="shared" si="23"/>
        <v>1316.67</v>
      </c>
      <c r="F57" s="77" t="e">
        <f t="shared" si="23"/>
        <v>#DIV/0!</v>
      </c>
      <c r="G57" s="75" t="e">
        <f t="shared" si="20"/>
        <v>#DIV/0!</v>
      </c>
      <c r="H57" s="76">
        <f t="shared" si="24"/>
        <v>0.18</v>
      </c>
      <c r="I57" s="75" t="e">
        <f t="shared" si="25"/>
        <v>#DIV/0!</v>
      </c>
      <c r="J57" s="75" t="e">
        <f t="shared" si="26"/>
        <v>#DIV/0!</v>
      </c>
      <c r="K57" s="73">
        <f t="shared" si="27"/>
        <v>0</v>
      </c>
      <c r="L57" s="73" t="s">
        <v>242</v>
      </c>
      <c r="M57" s="74" t="e">
        <f t="shared" si="21"/>
        <v>#DIV/0!</v>
      </c>
    </row>
    <row r="58" spans="1:13" ht="30" x14ac:dyDescent="0.25">
      <c r="A58" s="1" t="str">
        <f t="shared" si="22"/>
        <v>ENQ-10773-22-23</v>
      </c>
      <c r="B58" s="51">
        <f t="shared" si="22"/>
        <v>45135</v>
      </c>
      <c r="C58" s="1" t="str">
        <f t="shared" si="22"/>
        <v>FA1300066</v>
      </c>
      <c r="D58" s="73" t="str">
        <f t="shared" si="22"/>
        <v>1 CORE X 1000 SQ. MM. AL/ARM (XLPE) - 11 KV</v>
      </c>
      <c r="E58" s="74">
        <f t="shared" si="23"/>
        <v>1852.71</v>
      </c>
      <c r="F58" s="77" t="e">
        <f t="shared" si="23"/>
        <v>#DIV/0!</v>
      </c>
      <c r="G58" s="75" t="e">
        <f t="shared" si="20"/>
        <v>#DIV/0!</v>
      </c>
      <c r="H58" s="76">
        <f t="shared" si="24"/>
        <v>0.18</v>
      </c>
      <c r="I58" s="75" t="e">
        <f t="shared" si="25"/>
        <v>#DIV/0!</v>
      </c>
      <c r="J58" s="75" t="e">
        <f t="shared" si="26"/>
        <v>#DIV/0!</v>
      </c>
      <c r="K58" s="73">
        <f t="shared" si="27"/>
        <v>0</v>
      </c>
      <c r="L58" s="73" t="s">
        <v>242</v>
      </c>
      <c r="M58" s="74" t="e">
        <f t="shared" si="21"/>
        <v>#DIV/0!</v>
      </c>
    </row>
    <row r="59" spans="1:13" ht="30" x14ac:dyDescent="0.25">
      <c r="A59" s="1" t="str">
        <f t="shared" si="22"/>
        <v>ENQ-10773-22-23</v>
      </c>
      <c r="B59" s="51">
        <f t="shared" si="22"/>
        <v>45135</v>
      </c>
      <c r="C59" s="1" t="str">
        <f t="shared" si="22"/>
        <v>FA1300016</v>
      </c>
      <c r="D59" s="73" t="str">
        <f t="shared" si="22"/>
        <v>1 CORE X 630 SQ. MM. AL/ARM (XLPE)  - 11 KV</v>
      </c>
      <c r="E59" s="74">
        <f t="shared" si="23"/>
        <v>1201.8799999999999</v>
      </c>
      <c r="F59" s="77" t="e">
        <f t="shared" si="23"/>
        <v>#DIV/0!</v>
      </c>
      <c r="G59" s="75" t="e">
        <f t="shared" si="20"/>
        <v>#DIV/0!</v>
      </c>
      <c r="H59" s="76">
        <f t="shared" si="24"/>
        <v>0.18</v>
      </c>
      <c r="I59" s="75" t="e">
        <f t="shared" si="25"/>
        <v>#DIV/0!</v>
      </c>
      <c r="J59" s="75" t="e">
        <f t="shared" si="26"/>
        <v>#DIV/0!</v>
      </c>
      <c r="K59" s="73">
        <f t="shared" si="27"/>
        <v>0</v>
      </c>
      <c r="L59" s="73" t="s">
        <v>242</v>
      </c>
      <c r="M59" s="74" t="e">
        <f t="shared" si="21"/>
        <v>#DIV/0!</v>
      </c>
    </row>
    <row r="60" spans="1:13" ht="30" x14ac:dyDescent="0.25">
      <c r="A60" s="1" t="str">
        <f t="shared" si="22"/>
        <v>ENQ-10773-22-23</v>
      </c>
      <c r="B60" s="51">
        <f t="shared" si="22"/>
        <v>45135</v>
      </c>
      <c r="C60" s="1" t="str">
        <f t="shared" si="22"/>
        <v>FA1300047</v>
      </c>
      <c r="D60" s="73" t="str">
        <f t="shared" si="22"/>
        <v>1 CORE X 400 SQ. MM. AL/ARM (XLPE) - 11 KV</v>
      </c>
      <c r="E60" s="74">
        <f t="shared" si="23"/>
        <v>911.87</v>
      </c>
      <c r="F60" s="77" t="e">
        <f t="shared" si="23"/>
        <v>#DIV/0!</v>
      </c>
      <c r="G60" s="75" t="e">
        <f t="shared" si="20"/>
        <v>#DIV/0!</v>
      </c>
      <c r="H60" s="76">
        <f t="shared" si="24"/>
        <v>0.18</v>
      </c>
      <c r="I60" s="75" t="e">
        <f t="shared" si="25"/>
        <v>#DIV/0!</v>
      </c>
      <c r="J60" s="75" t="e">
        <f t="shared" si="26"/>
        <v>#DIV/0!</v>
      </c>
      <c r="K60" s="73">
        <f t="shared" si="27"/>
        <v>0</v>
      </c>
      <c r="L60" s="73" t="s">
        <v>242</v>
      </c>
      <c r="M60" s="74" t="e">
        <f t="shared" si="21"/>
        <v>#DIV/0!</v>
      </c>
    </row>
    <row r="61" spans="1:13" ht="30" x14ac:dyDescent="0.25">
      <c r="A61" s="1" t="str">
        <f t="shared" si="22"/>
        <v>ENQ-10773-22-23</v>
      </c>
      <c r="B61" s="51">
        <f t="shared" si="22"/>
        <v>45135</v>
      </c>
      <c r="C61" s="1" t="str">
        <f t="shared" si="22"/>
        <v>FA1300080</v>
      </c>
      <c r="D61" s="73" t="str">
        <f t="shared" si="22"/>
        <v>3 CORE X 400 SQ. MM AL/ARM - WIRE (XLPE) - 33 KV</v>
      </c>
      <c r="E61" s="74">
        <f t="shared" si="23"/>
        <v>4221.4400000000005</v>
      </c>
      <c r="F61" s="77">
        <f t="shared" si="23"/>
        <v>140</v>
      </c>
      <c r="G61" s="75">
        <f t="shared" si="20"/>
        <v>4361.4400000000005</v>
      </c>
      <c r="H61" s="76">
        <f t="shared" si="24"/>
        <v>0.18</v>
      </c>
      <c r="I61" s="75">
        <f t="shared" si="25"/>
        <v>785.06</v>
      </c>
      <c r="J61" s="75">
        <f t="shared" si="26"/>
        <v>5146.5</v>
      </c>
      <c r="K61" s="73">
        <f t="shared" si="27"/>
        <v>36000</v>
      </c>
      <c r="L61" s="73" t="s">
        <v>242</v>
      </c>
      <c r="M61" s="74">
        <f t="shared" si="21"/>
        <v>185274000</v>
      </c>
    </row>
    <row r="62" spans="1:13" ht="30" x14ac:dyDescent="0.25">
      <c r="A62" s="1" t="str">
        <f t="shared" si="22"/>
        <v>ENQ-10773-22-23</v>
      </c>
      <c r="B62" s="51">
        <f t="shared" si="22"/>
        <v>45135</v>
      </c>
      <c r="C62" s="1" t="str">
        <f t="shared" si="22"/>
        <v>FA1300081</v>
      </c>
      <c r="D62" s="73" t="str">
        <f t="shared" si="22"/>
        <v>3 CORE X 300 SQ. MM. AL/ARM - WIRE (XLPE) - 33 KV</v>
      </c>
      <c r="E62" s="74">
        <f t="shared" si="23"/>
        <v>3709.1800000000003</v>
      </c>
      <c r="F62" s="77">
        <f t="shared" si="23"/>
        <v>140</v>
      </c>
      <c r="G62" s="75">
        <f t="shared" si="20"/>
        <v>3849.1800000000003</v>
      </c>
      <c r="H62" s="76">
        <f t="shared" si="24"/>
        <v>0.18</v>
      </c>
      <c r="I62" s="75">
        <f t="shared" si="25"/>
        <v>692.85</v>
      </c>
      <c r="J62" s="75">
        <f t="shared" si="26"/>
        <v>4542.03</v>
      </c>
      <c r="K62" s="73">
        <f t="shared" si="27"/>
        <v>10000</v>
      </c>
      <c r="L62" s="73" t="s">
        <v>242</v>
      </c>
      <c r="M62" s="74">
        <f t="shared" si="21"/>
        <v>45420300</v>
      </c>
    </row>
    <row r="63" spans="1:13" ht="30" x14ac:dyDescent="0.25">
      <c r="A63" s="1" t="str">
        <f t="shared" si="22"/>
        <v>ENQ-10773-22-23</v>
      </c>
      <c r="B63" s="51">
        <f t="shared" si="22"/>
        <v>45135</v>
      </c>
      <c r="C63" s="1" t="str">
        <f t="shared" si="22"/>
        <v>FA1300200</v>
      </c>
      <c r="D63" s="73" t="str">
        <f t="shared" si="22"/>
        <v>3 CORE X 95 SQ. MM. AL/ARM  WIRE (XLPE) - 33 KV</v>
      </c>
      <c r="E63" s="74">
        <f t="shared" si="23"/>
        <v>2262.63</v>
      </c>
      <c r="F63" s="77" t="e">
        <f t="shared" si="23"/>
        <v>#DIV/0!</v>
      </c>
      <c r="G63" s="75" t="e">
        <f t="shared" si="20"/>
        <v>#DIV/0!</v>
      </c>
      <c r="H63" s="76">
        <f t="shared" si="24"/>
        <v>0.18</v>
      </c>
      <c r="I63" s="75" t="e">
        <f t="shared" si="25"/>
        <v>#DIV/0!</v>
      </c>
      <c r="J63" s="75" t="e">
        <f t="shared" si="26"/>
        <v>#DIV/0!</v>
      </c>
      <c r="K63" s="73">
        <f t="shared" si="27"/>
        <v>0</v>
      </c>
      <c r="L63" s="73" t="s">
        <v>242</v>
      </c>
      <c r="M63" s="74" t="e">
        <f t="shared" si="21"/>
        <v>#DIV/0!</v>
      </c>
    </row>
    <row r="64" spans="1:13" ht="30" x14ac:dyDescent="0.25">
      <c r="A64" s="1" t="str">
        <f t="shared" si="22"/>
        <v>ENQ-10773-22-23</v>
      </c>
      <c r="B64" s="51">
        <f t="shared" si="22"/>
        <v>45135</v>
      </c>
      <c r="C64" s="1" t="str">
        <f t="shared" si="22"/>
        <v>FA1300027</v>
      </c>
      <c r="D64" s="73" t="str">
        <f t="shared" si="22"/>
        <v>1 CORE X 630 SQ. MM. AL/ARM (XLPE)  - 33 KV</v>
      </c>
      <c r="E64" s="74">
        <f t="shared" si="23"/>
        <v>1563.06</v>
      </c>
      <c r="F64" s="77" t="e">
        <f t="shared" si="23"/>
        <v>#DIV/0!</v>
      </c>
      <c r="G64" s="75" t="e">
        <f t="shared" si="20"/>
        <v>#DIV/0!</v>
      </c>
      <c r="H64" s="76">
        <f t="shared" si="24"/>
        <v>0.18</v>
      </c>
      <c r="I64" s="75" t="e">
        <f t="shared" si="25"/>
        <v>#DIV/0!</v>
      </c>
      <c r="J64" s="75" t="e">
        <f t="shared" si="26"/>
        <v>#DIV/0!</v>
      </c>
      <c r="K64" s="73">
        <f t="shared" si="27"/>
        <v>0</v>
      </c>
      <c r="L64" s="73" t="s">
        <v>242</v>
      </c>
      <c r="M64" s="74" t="e">
        <f t="shared" si="21"/>
        <v>#DIV/0!</v>
      </c>
    </row>
    <row r="65" spans="1:13" ht="30" x14ac:dyDescent="0.25">
      <c r="A65" s="1" t="str">
        <f t="shared" si="22"/>
        <v>ENQ-10773-22-23</v>
      </c>
      <c r="B65" s="51">
        <f t="shared" si="22"/>
        <v>45135</v>
      </c>
      <c r="C65" s="1" t="str">
        <f t="shared" si="22"/>
        <v>FA1300018</v>
      </c>
      <c r="D65" s="73" t="str">
        <f t="shared" si="22"/>
        <v>1 CORE X 400 SQ. MM. AL/ARM (XLPE) - 33 KV</v>
      </c>
      <c r="E65" s="74">
        <f t="shared" si="23"/>
        <v>1212.53</v>
      </c>
      <c r="F65" s="77" t="e">
        <f t="shared" si="23"/>
        <v>#DIV/0!</v>
      </c>
      <c r="G65" s="75" t="e">
        <f t="shared" si="20"/>
        <v>#DIV/0!</v>
      </c>
      <c r="H65" s="76">
        <f t="shared" si="24"/>
        <v>0.18</v>
      </c>
      <c r="I65" s="75" t="e">
        <f t="shared" si="25"/>
        <v>#DIV/0!</v>
      </c>
      <c r="J65" s="75" t="e">
        <f t="shared" si="26"/>
        <v>#DIV/0!</v>
      </c>
      <c r="K65" s="73">
        <f t="shared" si="27"/>
        <v>0</v>
      </c>
      <c r="L65" s="73" t="s">
        <v>242</v>
      </c>
      <c r="M65" s="74" t="e">
        <f t="shared" si="21"/>
        <v>#DIV/0!</v>
      </c>
    </row>
    <row r="66" spans="1:13" ht="30" x14ac:dyDescent="0.25">
      <c r="A66" s="1" t="str">
        <f t="shared" si="22"/>
        <v>ENQ-10773-22-23</v>
      </c>
      <c r="B66" s="51">
        <f t="shared" si="22"/>
        <v>45135</v>
      </c>
      <c r="C66" s="1" t="str">
        <f t="shared" si="22"/>
        <v>FA1300019</v>
      </c>
      <c r="D66" s="73" t="str">
        <f t="shared" si="22"/>
        <v>1 CORE X 300 SQ. MM. AL/ARM (XLPE)  - 33 KV</v>
      </c>
      <c r="E66" s="74">
        <f t="shared" si="23"/>
        <v>1056.1500000000001</v>
      </c>
      <c r="F66" s="77" t="e">
        <f t="shared" si="23"/>
        <v>#DIV/0!</v>
      </c>
      <c r="G66" s="75" t="e">
        <f t="shared" si="20"/>
        <v>#DIV/0!</v>
      </c>
      <c r="H66" s="76">
        <f t="shared" si="24"/>
        <v>0.18</v>
      </c>
      <c r="I66" s="75" t="e">
        <f t="shared" si="25"/>
        <v>#DIV/0!</v>
      </c>
      <c r="J66" s="75" t="e">
        <f t="shared" si="26"/>
        <v>#DIV/0!</v>
      </c>
      <c r="K66" s="73">
        <f t="shared" si="27"/>
        <v>0</v>
      </c>
      <c r="L66" s="73" t="s">
        <v>242</v>
      </c>
      <c r="M66" s="74" t="e">
        <f t="shared" si="21"/>
        <v>#DIV/0!</v>
      </c>
    </row>
  </sheetData>
  <mergeCells count="19">
    <mergeCell ref="AS16:BB16"/>
    <mergeCell ref="N16:R16"/>
    <mergeCell ref="S16:T16"/>
    <mergeCell ref="U16:AB16"/>
    <mergeCell ref="AC16:AD16"/>
    <mergeCell ref="AE16:AJ16"/>
    <mergeCell ref="AL16:AR16"/>
    <mergeCell ref="B14:R14"/>
    <mergeCell ref="A2:R2"/>
    <mergeCell ref="B4:R4"/>
    <mergeCell ref="B5:R5"/>
    <mergeCell ref="B6:R6"/>
    <mergeCell ref="B7:R7"/>
    <mergeCell ref="B8:R8"/>
    <mergeCell ref="B9:R9"/>
    <mergeCell ref="B10:R10"/>
    <mergeCell ref="B11:R11"/>
    <mergeCell ref="B12:R12"/>
    <mergeCell ref="B13:R13"/>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66"/>
  <sheetViews>
    <sheetView showZeros="0" topLeftCell="A15" workbookViewId="0">
      <pane ySplit="4" topLeftCell="A37" activePane="bottomLeft" state="frozen"/>
      <selection activeCell="A15" sqref="A15"/>
      <selection pane="bottomLeft" activeCell="N18" sqref="N18:BT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customWidth="1"/>
    <col min="6" max="6" width="11.5703125" customWidth="1"/>
    <col min="7" max="7" width="14.5703125" customWidth="1"/>
    <col min="8" max="8" width="11" style="7" customWidth="1"/>
    <col min="9" max="9" width="12.28515625" customWidth="1"/>
    <col min="10" max="10" width="13.85546875" customWidth="1"/>
    <col min="11" max="12" width="9.140625" customWidth="1"/>
    <col min="13" max="13" width="15.28515625" customWidth="1"/>
    <col min="14" max="14" width="7.85546875" style="26" customWidth="1"/>
    <col min="15" max="24" width="7.85546875" style="26" hidden="1" customWidth="1"/>
    <col min="25" max="25" width="7.85546875" style="26" customWidth="1"/>
    <col min="26" max="28" width="7.85546875" style="26" hidden="1" customWidth="1"/>
    <col min="29" max="29" width="7.85546875" style="26" customWidth="1"/>
    <col min="30" max="30" width="7.85546875" style="26" hidden="1" customWidth="1"/>
    <col min="31" max="31" width="7.85546875" style="26" customWidth="1"/>
    <col min="32" max="36" width="7.85546875" style="26" hidden="1" customWidth="1"/>
    <col min="37" max="37" width="7.85546875" style="26" customWidth="1"/>
    <col min="38" max="42" width="7.85546875" style="26" hidden="1" customWidth="1"/>
    <col min="43" max="44" width="7.85546875" style="26" customWidth="1"/>
    <col min="45" max="47" width="7.85546875" style="26" hidden="1" customWidth="1"/>
    <col min="48" max="48" width="7.85546875" style="26" customWidth="1"/>
    <col min="49" max="52" width="7.85546875" style="26" hidden="1" customWidth="1"/>
    <col min="53" max="53" width="7.85546875" style="26" customWidth="1"/>
    <col min="54" max="57" width="7.85546875" style="26" hidden="1" customWidth="1"/>
    <col min="58" max="58" width="11.28515625" style="26" customWidth="1"/>
    <col min="59" max="59" width="7.85546875" style="26" customWidth="1"/>
    <col min="60" max="66" width="7.85546875" style="26" hidden="1" customWidth="1"/>
    <col min="67" max="68" width="7.85546875" style="26" customWidth="1"/>
    <col min="69" max="71" width="7.85546875" style="26" hidden="1" customWidth="1"/>
    <col min="72" max="72" width="7.85546875" style="26" customWidth="1"/>
    <col min="73" max="73" width="7.85546875" style="26" hidden="1" customWidth="1"/>
    <col min="74" max="74" width="7.85546875" style="26" customWidth="1"/>
    <col min="75" max="75" width="11.140625" style="26" customWidth="1"/>
    <col min="76" max="76" width="18" style="26" customWidth="1"/>
    <col min="77" max="77" width="9.140625" style="26" customWidth="1"/>
    <col min="78" max="78" width="13.28515625" style="4" customWidth="1"/>
    <col min="79" max="79" width="13.85546875" style="4" bestFit="1" customWidth="1"/>
    <col min="80" max="80" width="9.140625" style="24" hidden="1" customWidth="1"/>
    <col min="81" max="81" width="9.140625" style="4" hidden="1" customWidth="1"/>
    <col min="82" max="82" width="9.140625" style="10" customWidth="1"/>
    <col min="83" max="83" width="12.5703125"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10" bestFit="1" customWidth="1"/>
  </cols>
  <sheetData>
    <row r="1" spans="1:89" s="42" customFormat="1" ht="15.75" thickBot="1" x14ac:dyDescent="0.3"/>
    <row r="2" spans="1:89" s="42" customFormat="1" ht="23.25" thickBot="1" x14ac:dyDescent="0.5">
      <c r="A2" s="92" t="s">
        <v>157</v>
      </c>
      <c r="B2" s="93"/>
      <c r="C2" s="93"/>
      <c r="D2" s="93"/>
      <c r="E2" s="93"/>
      <c r="F2" s="93"/>
      <c r="G2" s="93"/>
      <c r="H2" s="93"/>
      <c r="I2" s="93"/>
      <c r="J2" s="93"/>
      <c r="K2" s="93"/>
      <c r="L2" s="93"/>
      <c r="M2" s="93"/>
      <c r="N2" s="93"/>
      <c r="O2" s="93"/>
      <c r="P2" s="93"/>
      <c r="Q2" s="93"/>
      <c r="R2" s="94"/>
      <c r="S2" s="48"/>
      <c r="T2" s="45"/>
    </row>
    <row r="3" spans="1:89" s="42" customFormat="1" ht="15.75" thickBot="1" x14ac:dyDescent="0.3">
      <c r="A3"/>
      <c r="B3"/>
      <c r="C3"/>
      <c r="D3"/>
      <c r="E3"/>
      <c r="F3"/>
      <c r="G3"/>
      <c r="H3"/>
      <c r="I3"/>
      <c r="J3"/>
      <c r="K3"/>
      <c r="L3"/>
      <c r="M3"/>
      <c r="N3"/>
      <c r="O3"/>
      <c r="P3"/>
      <c r="Q3"/>
      <c r="R3"/>
      <c r="S3"/>
    </row>
    <row r="4" spans="1:89" s="42" customFormat="1" ht="51.75" customHeight="1" thickBot="1" x14ac:dyDescent="0.3">
      <c r="A4" s="43" t="s">
        <v>124</v>
      </c>
      <c r="B4" s="101" t="s">
        <v>158</v>
      </c>
      <c r="C4" s="101"/>
      <c r="D4" s="101"/>
      <c r="E4" s="101"/>
      <c r="F4" s="101"/>
      <c r="G4" s="101"/>
      <c r="H4" s="101"/>
      <c r="I4" s="101"/>
      <c r="J4" s="101"/>
      <c r="K4" s="101"/>
      <c r="L4" s="101"/>
      <c r="M4" s="101"/>
      <c r="N4" s="101"/>
      <c r="O4" s="101"/>
      <c r="P4" s="101"/>
      <c r="Q4" s="101"/>
      <c r="R4" s="101"/>
      <c r="S4"/>
    </row>
    <row r="5" spans="1:89" s="42" customFormat="1" ht="34.5" customHeight="1" x14ac:dyDescent="0.25">
      <c r="A5" s="43" t="s">
        <v>125</v>
      </c>
      <c r="B5" s="101" t="s">
        <v>156</v>
      </c>
      <c r="C5" s="101"/>
      <c r="D5" s="101"/>
      <c r="E5" s="101"/>
      <c r="F5" s="101"/>
      <c r="G5" s="101"/>
      <c r="H5" s="101"/>
      <c r="I5" s="101"/>
      <c r="J5" s="101"/>
      <c r="K5" s="101"/>
      <c r="L5" s="101"/>
      <c r="M5" s="101"/>
      <c r="N5" s="101"/>
      <c r="O5" s="101"/>
      <c r="P5" s="101"/>
      <c r="Q5" s="101"/>
      <c r="R5" s="101"/>
      <c r="S5"/>
    </row>
    <row r="6" spans="1:89" s="42" customFormat="1" ht="45" customHeight="1" x14ac:dyDescent="0.25">
      <c r="A6" s="44" t="s">
        <v>126</v>
      </c>
      <c r="B6" s="88" t="s">
        <v>159</v>
      </c>
      <c r="C6" s="101"/>
      <c r="D6" s="101"/>
      <c r="E6" s="101"/>
      <c r="F6" s="101"/>
      <c r="G6" s="101"/>
      <c r="H6" s="101"/>
      <c r="I6" s="101"/>
      <c r="J6" s="101"/>
      <c r="K6" s="101"/>
      <c r="L6" s="101"/>
      <c r="M6" s="101"/>
      <c r="N6" s="101"/>
      <c r="O6" s="101"/>
      <c r="P6" s="101"/>
      <c r="Q6" s="101"/>
      <c r="R6" s="101"/>
      <c r="S6"/>
    </row>
    <row r="7" spans="1:89" s="42" customFormat="1" ht="47.25" customHeight="1" x14ac:dyDescent="0.25">
      <c r="A7" s="44" t="s">
        <v>123</v>
      </c>
      <c r="B7" s="88" t="s">
        <v>160</v>
      </c>
      <c r="C7" s="101"/>
      <c r="D7" s="101"/>
      <c r="E7" s="101"/>
      <c r="F7" s="101"/>
      <c r="G7" s="101"/>
      <c r="H7" s="101"/>
      <c r="I7" s="101"/>
      <c r="J7" s="101"/>
      <c r="K7" s="101"/>
      <c r="L7" s="101"/>
      <c r="M7" s="101"/>
      <c r="N7" s="101"/>
      <c r="O7" s="101"/>
      <c r="P7" s="101"/>
      <c r="Q7" s="101"/>
      <c r="R7" s="101"/>
      <c r="S7"/>
    </row>
    <row r="8" spans="1:89" s="42" customFormat="1" ht="23.25" customHeight="1" x14ac:dyDescent="0.25">
      <c r="A8" s="44" t="s">
        <v>127</v>
      </c>
      <c r="B8" s="88" t="s">
        <v>162</v>
      </c>
      <c r="C8" s="88"/>
      <c r="D8" s="88"/>
      <c r="E8" s="88"/>
      <c r="F8" s="88"/>
      <c r="G8" s="88"/>
      <c r="H8" s="88"/>
      <c r="I8" s="88"/>
      <c r="J8" s="88"/>
      <c r="K8" s="88"/>
      <c r="L8" s="88"/>
      <c r="M8" s="88"/>
      <c r="N8" s="88"/>
      <c r="O8" s="88"/>
      <c r="P8" s="88"/>
      <c r="Q8" s="88"/>
      <c r="R8" s="88"/>
      <c r="S8"/>
    </row>
    <row r="9" spans="1:89" s="42" customFormat="1" ht="34.5" customHeight="1" x14ac:dyDescent="0.25">
      <c r="A9" s="44" t="s">
        <v>128</v>
      </c>
      <c r="B9" s="89" t="s">
        <v>163</v>
      </c>
      <c r="C9" s="90"/>
      <c r="D9" s="90"/>
      <c r="E9" s="90"/>
      <c r="F9" s="90"/>
      <c r="G9" s="90"/>
      <c r="H9" s="90"/>
      <c r="I9" s="90"/>
      <c r="J9" s="90"/>
      <c r="K9" s="90"/>
      <c r="L9" s="90"/>
      <c r="M9" s="90"/>
      <c r="N9" s="90"/>
      <c r="O9" s="90"/>
      <c r="P9" s="90"/>
      <c r="Q9" s="90"/>
      <c r="R9" s="91"/>
    </row>
    <row r="10" spans="1:89" s="42" customFormat="1" ht="33.75" customHeight="1" x14ac:dyDescent="0.25">
      <c r="A10" s="44" t="s">
        <v>129</v>
      </c>
      <c r="B10" s="88" t="s">
        <v>161</v>
      </c>
      <c r="C10" s="88"/>
      <c r="D10" s="88"/>
      <c r="E10" s="88"/>
      <c r="F10" s="88"/>
      <c r="G10" s="88"/>
      <c r="H10" s="88"/>
      <c r="I10" s="88"/>
      <c r="J10" s="88"/>
      <c r="K10" s="88"/>
      <c r="L10" s="88"/>
      <c r="M10" s="88"/>
      <c r="N10" s="88"/>
      <c r="O10" s="88"/>
      <c r="P10" s="88"/>
      <c r="Q10" s="88"/>
      <c r="R10" s="88"/>
      <c r="S10"/>
    </row>
    <row r="11" spans="1:89" s="42" customFormat="1" ht="34.5" customHeight="1" x14ac:dyDescent="0.25">
      <c r="A11" s="44" t="s">
        <v>130</v>
      </c>
      <c r="B11" s="97" t="s">
        <v>164</v>
      </c>
      <c r="C11" s="98"/>
      <c r="D11" s="98"/>
      <c r="E11" s="98"/>
      <c r="F11" s="98"/>
      <c r="G11" s="98"/>
      <c r="H11" s="98"/>
      <c r="I11" s="98"/>
      <c r="J11" s="98"/>
      <c r="K11" s="98"/>
      <c r="L11" s="98"/>
      <c r="M11" s="98"/>
      <c r="N11" s="98"/>
      <c r="O11" s="98"/>
      <c r="P11" s="98"/>
      <c r="Q11" s="98"/>
      <c r="R11" s="99"/>
      <c r="S11"/>
    </row>
    <row r="12" spans="1:89" s="42" customFormat="1" ht="30" x14ac:dyDescent="0.25">
      <c r="A12" s="49" t="s">
        <v>131</v>
      </c>
      <c r="B12" s="100" t="s">
        <v>166</v>
      </c>
      <c r="C12" s="100"/>
      <c r="D12" s="100"/>
      <c r="E12" s="100"/>
      <c r="F12" s="100"/>
      <c r="G12" s="100"/>
      <c r="H12" s="100"/>
      <c r="I12" s="100"/>
      <c r="J12" s="100"/>
      <c r="K12" s="100"/>
      <c r="L12" s="100"/>
      <c r="M12" s="100"/>
      <c r="N12" s="100"/>
      <c r="O12" s="100"/>
      <c r="P12" s="100"/>
      <c r="Q12" s="100"/>
      <c r="R12" s="100"/>
    </row>
    <row r="13" spans="1:89" s="42" customFormat="1" ht="37.5" customHeight="1" x14ac:dyDescent="0.25">
      <c r="A13" s="49" t="s">
        <v>132</v>
      </c>
      <c r="B13" s="100" t="s">
        <v>165</v>
      </c>
      <c r="C13" s="100"/>
      <c r="D13" s="100"/>
      <c r="E13" s="100"/>
      <c r="F13" s="100"/>
      <c r="G13" s="100"/>
      <c r="H13" s="100"/>
      <c r="I13" s="100"/>
      <c r="J13" s="100"/>
      <c r="K13" s="100"/>
      <c r="L13" s="100"/>
      <c r="M13" s="100"/>
      <c r="N13" s="100"/>
      <c r="O13" s="100"/>
      <c r="P13" s="100"/>
      <c r="Q13" s="100"/>
      <c r="R13" s="100"/>
    </row>
    <row r="14" spans="1:89" s="42" customFormat="1" ht="13.5" customHeight="1" x14ac:dyDescent="0.25">
      <c r="A14" s="50" t="s">
        <v>133</v>
      </c>
      <c r="B14" s="100"/>
      <c r="C14" s="100"/>
      <c r="D14" s="100"/>
      <c r="E14" s="100"/>
      <c r="F14" s="100"/>
      <c r="G14" s="100"/>
      <c r="H14" s="100"/>
      <c r="I14" s="100"/>
      <c r="J14" s="100"/>
      <c r="K14" s="100"/>
      <c r="L14" s="100"/>
      <c r="M14" s="100"/>
      <c r="N14" s="100"/>
      <c r="O14" s="100"/>
      <c r="P14" s="100"/>
      <c r="Q14" s="100"/>
      <c r="R14" s="100"/>
    </row>
    <row r="15" spans="1:89" ht="9" customHeight="1" x14ac:dyDescent="0.25"/>
    <row r="16" spans="1:89" s="33" customFormat="1" ht="55.5" customHeight="1" x14ac:dyDescent="0.25">
      <c r="E16" s="39"/>
      <c r="H16" s="40"/>
      <c r="N16" s="87" t="str">
        <f>Sheet1!J1</f>
        <v>Conductor</v>
      </c>
      <c r="O16" s="87"/>
      <c r="P16" s="87"/>
      <c r="Q16" s="87"/>
      <c r="R16" s="87"/>
      <c r="S16" s="87" t="s">
        <v>9</v>
      </c>
      <c r="T16" s="87"/>
      <c r="U16" s="87" t="s">
        <v>3</v>
      </c>
      <c r="V16" s="87"/>
      <c r="W16" s="87"/>
      <c r="X16" s="87"/>
      <c r="Y16" s="87"/>
      <c r="Z16" s="87"/>
      <c r="AA16" s="87"/>
      <c r="AB16" s="87"/>
      <c r="AC16" s="87" t="s">
        <v>12</v>
      </c>
      <c r="AD16" s="87"/>
      <c r="AE16" s="87" t="s">
        <v>15</v>
      </c>
      <c r="AF16" s="87"/>
      <c r="AG16" s="87"/>
      <c r="AH16" s="87"/>
      <c r="AI16" s="87"/>
      <c r="AJ16" s="87"/>
      <c r="AK16" s="55" t="s">
        <v>18</v>
      </c>
      <c r="AL16" s="95" t="s">
        <v>21</v>
      </c>
      <c r="AM16" s="96"/>
      <c r="AN16" s="96"/>
      <c r="AO16" s="96"/>
      <c r="AP16" s="96"/>
      <c r="AQ16" s="96"/>
      <c r="AR16" s="96"/>
      <c r="AS16" s="87" t="s">
        <v>24</v>
      </c>
      <c r="AT16" s="87"/>
      <c r="AU16" s="87"/>
      <c r="AV16" s="87"/>
      <c r="AW16" s="87"/>
      <c r="AX16" s="87"/>
      <c r="AY16" s="87"/>
      <c r="AZ16" s="87"/>
      <c r="BA16" s="87"/>
      <c r="BB16" s="87"/>
      <c r="BC16" s="70" t="s">
        <v>27</v>
      </c>
      <c r="BD16" s="70"/>
      <c r="BE16" s="70"/>
      <c r="BF16" s="71" t="s">
        <v>236</v>
      </c>
      <c r="BG16" s="70"/>
      <c r="BH16" s="70"/>
      <c r="BI16" s="70"/>
      <c r="BJ16" s="70"/>
      <c r="BK16" s="70"/>
      <c r="BL16" s="70"/>
      <c r="BM16" s="35" t="s">
        <v>30</v>
      </c>
      <c r="BN16" s="55" t="s">
        <v>33</v>
      </c>
      <c r="BO16" s="55" t="s">
        <v>36</v>
      </c>
      <c r="BP16" s="55" t="s">
        <v>39</v>
      </c>
      <c r="BQ16" s="55" t="s">
        <v>42</v>
      </c>
      <c r="BR16" s="55" t="s">
        <v>45</v>
      </c>
      <c r="BS16" s="55" t="s">
        <v>48</v>
      </c>
      <c r="BT16" s="55" t="s">
        <v>51</v>
      </c>
      <c r="BU16" s="55" t="s">
        <v>54</v>
      </c>
      <c r="BV16" s="55"/>
      <c r="BW16" s="55"/>
      <c r="BX16" s="55"/>
      <c r="BY16" s="55"/>
      <c r="BZ16" s="36" t="s">
        <v>57</v>
      </c>
      <c r="CA16" s="36" t="s">
        <v>58</v>
      </c>
      <c r="CB16" s="37" t="s">
        <v>79</v>
      </c>
      <c r="CC16" s="36" t="s">
        <v>122</v>
      </c>
      <c r="CD16" s="38"/>
      <c r="CE16" s="39"/>
      <c r="CF16" s="40"/>
      <c r="CG16" s="39"/>
      <c r="CH16" s="39"/>
      <c r="CI16" s="40"/>
      <c r="CK16" s="40"/>
    </row>
    <row r="17" spans="1:90" s="15" customFormat="1" ht="89.25" x14ac:dyDescent="0.25">
      <c r="A17" s="18" t="s">
        <v>0</v>
      </c>
      <c r="B17" s="18" t="str">
        <f>Sheet1!B1</f>
        <v>Base Date</v>
      </c>
      <c r="C17" s="18" t="s">
        <v>1</v>
      </c>
      <c r="D17" s="18" t="s">
        <v>2</v>
      </c>
      <c r="E17" s="5" t="s">
        <v>70</v>
      </c>
      <c r="F17" s="11" t="s">
        <v>71</v>
      </c>
      <c r="G17" s="11" t="s">
        <v>72</v>
      </c>
      <c r="H17" s="6" t="s">
        <v>73</v>
      </c>
      <c r="I17" s="11" t="s">
        <v>74</v>
      </c>
      <c r="J17" s="11" t="s">
        <v>75</v>
      </c>
      <c r="K17" s="11" t="s">
        <v>76</v>
      </c>
      <c r="L17" s="11" t="s">
        <v>77</v>
      </c>
      <c r="M17" s="11" t="s">
        <v>78</v>
      </c>
      <c r="N17" s="19" t="s">
        <v>80</v>
      </c>
      <c r="O17" s="19" t="s">
        <v>85</v>
      </c>
      <c r="P17" s="19" t="s">
        <v>82</v>
      </c>
      <c r="Q17" s="19" t="s">
        <v>83</v>
      </c>
      <c r="R17" s="19" t="s">
        <v>84</v>
      </c>
      <c r="S17" s="19" t="s">
        <v>80</v>
      </c>
      <c r="T17" s="19" t="s">
        <v>85</v>
      </c>
      <c r="U17" s="20" t="s">
        <v>92</v>
      </c>
      <c r="V17" s="20" t="s">
        <v>96</v>
      </c>
      <c r="W17" s="20" t="s">
        <v>99</v>
      </c>
      <c r="X17" s="20" t="s">
        <v>104</v>
      </c>
      <c r="Y17" s="20" t="s">
        <v>108</v>
      </c>
      <c r="Z17" s="20" t="s">
        <v>111</v>
      </c>
      <c r="AA17" s="20" t="s">
        <v>114</v>
      </c>
      <c r="AB17" s="20" t="s">
        <v>116</v>
      </c>
      <c r="AC17" s="20" t="s">
        <v>91</v>
      </c>
      <c r="AD17" s="20" t="s">
        <v>95</v>
      </c>
      <c r="AE17" s="20" t="s">
        <v>90</v>
      </c>
      <c r="AF17" s="20" t="s">
        <v>86</v>
      </c>
      <c r="AG17" s="20" t="s">
        <v>98</v>
      </c>
      <c r="AH17" s="20" t="s">
        <v>103</v>
      </c>
      <c r="AI17" s="20" t="s">
        <v>107</v>
      </c>
      <c r="AJ17" s="20" t="s">
        <v>110</v>
      </c>
      <c r="AK17" s="16" t="s">
        <v>18</v>
      </c>
      <c r="AL17" s="20" t="s">
        <v>93</v>
      </c>
      <c r="AM17" s="20" t="s">
        <v>97</v>
      </c>
      <c r="AN17" s="20" t="s">
        <v>100</v>
      </c>
      <c r="AO17" s="20" t="s">
        <v>105</v>
      </c>
      <c r="AP17" s="20" t="s">
        <v>109</v>
      </c>
      <c r="AQ17" s="20" t="s">
        <v>87</v>
      </c>
      <c r="AR17" s="20" t="s">
        <v>115</v>
      </c>
      <c r="AS17" s="20" t="s">
        <v>94</v>
      </c>
      <c r="AT17" s="20" t="s">
        <v>81</v>
      </c>
      <c r="AU17" s="20" t="s">
        <v>101</v>
      </c>
      <c r="AV17" s="20" t="s">
        <v>106</v>
      </c>
      <c r="AW17" s="20" t="s">
        <v>112</v>
      </c>
      <c r="AX17" s="20" t="s">
        <v>88</v>
      </c>
      <c r="AY17" s="20" t="s">
        <v>117</v>
      </c>
      <c r="AZ17" s="20" t="s">
        <v>118</v>
      </c>
      <c r="BA17" s="20" t="s">
        <v>119</v>
      </c>
      <c r="BB17" s="20" t="s">
        <v>121</v>
      </c>
      <c r="BC17" s="20" t="s">
        <v>93</v>
      </c>
      <c r="BD17" s="20" t="s">
        <v>97</v>
      </c>
      <c r="BE17" s="20" t="s">
        <v>102</v>
      </c>
      <c r="BF17" s="20" t="s">
        <v>100</v>
      </c>
      <c r="BG17" s="20" t="s">
        <v>173</v>
      </c>
      <c r="BH17" s="20" t="s">
        <v>113</v>
      </c>
      <c r="BI17" s="20" t="s">
        <v>105</v>
      </c>
      <c r="BJ17" s="20" t="s">
        <v>87</v>
      </c>
      <c r="BK17" s="20" t="s">
        <v>115</v>
      </c>
      <c r="BL17" s="20" t="s">
        <v>120</v>
      </c>
      <c r="BM17" s="16" t="s">
        <v>30</v>
      </c>
      <c r="BN17" s="16" t="s">
        <v>89</v>
      </c>
      <c r="BO17" s="67" t="s">
        <v>235</v>
      </c>
      <c r="BP17" s="21" t="s">
        <v>39</v>
      </c>
      <c r="BQ17" s="17" t="s">
        <v>42</v>
      </c>
      <c r="BR17" s="17" t="s">
        <v>45</v>
      </c>
      <c r="BS17" s="17" t="s">
        <v>48</v>
      </c>
      <c r="BT17" s="21" t="s">
        <v>51</v>
      </c>
      <c r="BU17" s="17" t="s">
        <v>54</v>
      </c>
      <c r="BV17" s="17" t="str">
        <f>Sheet1!E1</f>
        <v>PROPOSE DRUM TYPE</v>
      </c>
      <c r="BW17" s="53" t="str">
        <f>Sheet1!CV1</f>
        <v>DRUM CODE</v>
      </c>
      <c r="BX17" s="53" t="str">
        <f>Sheet1!CW1</f>
        <v>DRUM SIZE (FxbXtx Ft)</v>
      </c>
      <c r="BY17" s="60" t="str">
        <f>Sheet1!CX1</f>
        <v xml:space="preserve">PARTY STANDARD LENGTH (MTR) </v>
      </c>
      <c r="BZ17" s="25"/>
      <c r="CA17" s="25"/>
      <c r="CB17" s="22"/>
      <c r="CC17" s="25"/>
      <c r="CD17" s="9" t="s">
        <v>61</v>
      </c>
      <c r="CE17" s="5" t="s">
        <v>62</v>
      </c>
      <c r="CF17" s="6" t="s">
        <v>63</v>
      </c>
      <c r="CG17" s="5" t="s">
        <v>64</v>
      </c>
      <c r="CH17" s="5" t="s">
        <v>65</v>
      </c>
      <c r="CI17" s="6" t="s">
        <v>66</v>
      </c>
      <c r="CJ17" s="11" t="s">
        <v>67</v>
      </c>
      <c r="CK17" s="6" t="s">
        <v>68</v>
      </c>
      <c r="CL17" s="11" t="s">
        <v>69</v>
      </c>
    </row>
    <row r="18" spans="1:90" s="25" customFormat="1" x14ac:dyDescent="0.25">
      <c r="A18" s="27"/>
      <c r="B18" s="27"/>
      <c r="C18" s="27"/>
      <c r="D18" s="27"/>
      <c r="E18" s="5"/>
      <c r="F18" s="5"/>
      <c r="G18" s="5"/>
      <c r="H18" s="5"/>
      <c r="I18" s="5"/>
      <c r="J18" s="5"/>
      <c r="K18" s="5"/>
      <c r="L18" s="5"/>
      <c r="M18" s="5"/>
      <c r="N18" s="28">
        <v>216</v>
      </c>
      <c r="O18" s="28">
        <f>+IFERROR(VLOOKUP($O$17,Sheet1!J:L,2,0),0)</f>
        <v>0</v>
      </c>
      <c r="P18" s="28">
        <f>+IFERROR(VLOOKUP($P$17,Sheet1!J:M,2,0),0)</f>
        <v>0</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v>878</v>
      </c>
      <c r="Z18" s="29">
        <f>+IFERROR(VLOOKUP($Z$17,Sheet1!F:I,2,0),0)</f>
        <v>0</v>
      </c>
      <c r="AA18" s="29">
        <f>+IFERROR(VLOOKUP($AA$17,Sheet1!F:I,2,0),0)</f>
        <v>0</v>
      </c>
      <c r="AB18" s="29">
        <f>+IFERROR(VLOOKUP($AB$17,Sheet1!F:I,2,0),0)</f>
        <v>0</v>
      </c>
      <c r="AC18" s="29">
        <v>195</v>
      </c>
      <c r="AD18" s="29">
        <f>+IFERROR(VLOOKUP($AD$17,Sheet1!R:U,2,0),0)</f>
        <v>0</v>
      </c>
      <c r="AE18" s="29">
        <v>155</v>
      </c>
      <c r="AF18" s="29">
        <f>+IFERROR(VLOOKUP($AF$17,Sheet1!V:Y,2,0),0)</f>
        <v>0</v>
      </c>
      <c r="AG18" s="29">
        <f>+IFERROR(VLOOKUP($AG$17,Sheet1!V:Y,2,0),0)</f>
        <v>0</v>
      </c>
      <c r="AH18" s="29">
        <f>+IFERROR(VLOOKUP($AH$17,Sheet1!V:Y,2,0),0)</f>
        <v>0</v>
      </c>
      <c r="AI18" s="29">
        <f>+IFERROR(VLOOKUP($AI$17,Sheet1!V:Y,2,0),0)</f>
        <v>0</v>
      </c>
      <c r="AJ18" s="29">
        <f>+IFERROR(VLOOKUP($AJ$17,Sheet1!V:Y,2,0),0)</f>
        <v>0</v>
      </c>
      <c r="AK18" s="30">
        <v>123</v>
      </c>
      <c r="AL18" s="29">
        <f>+IFERROR(VLOOKUP($AL$17,Sheet1!AD2:AG840,2,0),0)</f>
        <v>0</v>
      </c>
      <c r="AM18" s="29">
        <f>+IFERROR(VLOOKUP($AM$17,Sheet1!AD2:AG840,2,0),0)</f>
        <v>0</v>
      </c>
      <c r="AN18" s="29">
        <f>+IFERROR(VLOOKUP($AN$17,Sheet1!AD2:AG840,2,0),0)</f>
        <v>0</v>
      </c>
      <c r="AO18" s="29">
        <f>+IFERROR(VLOOKUP($AO$17,Sheet1!AD2:AG840,2,0),0)</f>
        <v>0</v>
      </c>
      <c r="AP18" s="29">
        <f>+IFERROR(VLOOKUP($AP$17,Sheet1!AD2:AG840,2,0),0)</f>
        <v>0</v>
      </c>
      <c r="AQ18" s="29">
        <v>61</v>
      </c>
      <c r="AR18" s="29">
        <v>88</v>
      </c>
      <c r="AS18" s="29">
        <f>+IFERROR(VLOOKUP($AS$17,Sheet1!AH2:AK840,2,0),0)</f>
        <v>0</v>
      </c>
      <c r="AT18" s="29">
        <f>+IFERROR(VLOOKUP($AT$17,Sheet1!AH2:AK840,2,0),0)</f>
        <v>0</v>
      </c>
      <c r="AU18" s="29">
        <f>+IFERROR(VLOOKUP($AU$17,Sheet1!AH2:AK840,2,0),0)</f>
        <v>0</v>
      </c>
      <c r="AV18" s="29">
        <v>219</v>
      </c>
      <c r="AW18" s="29">
        <f>+IFERROR(VLOOKUP($AW$17,Sheet1!AH2:AK840,2,0),0)</f>
        <v>0</v>
      </c>
      <c r="AX18" s="29">
        <f>+IFERROR(VLOOKUP($AX$17,Sheet1!AH2:AK840,2,0),0)</f>
        <v>0</v>
      </c>
      <c r="AY18" s="29">
        <f>+IFERROR(VLOOKUP($AY$17,Sheet1!AH2:AK840,2,0),0)</f>
        <v>0</v>
      </c>
      <c r="AZ18" s="29">
        <f>+IFERROR(VLOOKUP($AZ$17,Sheet1!AH2:AK840,2,0),0)</f>
        <v>0</v>
      </c>
      <c r="BA18" s="29">
        <v>87</v>
      </c>
      <c r="BB18" s="29">
        <f>+IFERROR(VLOOKUP($BB$17,Sheet1!AH2:AK840,2,0),0)</f>
        <v>0</v>
      </c>
      <c r="BC18" s="29">
        <f>+IFERROR(VLOOKUP($BC$17,Sheet1!AL2:AO840,2,0),0)</f>
        <v>0</v>
      </c>
      <c r="BD18" s="29">
        <f>+IFERROR(VLOOKUP($BD$17,Sheet1!AL2:AO840,2,0),0)</f>
        <v>0</v>
      </c>
      <c r="BE18" s="29">
        <f>+IFERROR(VLOOKUP($BE$17,Sheet1!AL2:AO840,2,0),0)</f>
        <v>0</v>
      </c>
      <c r="BF18" s="29">
        <v>94</v>
      </c>
      <c r="BG18" s="68">
        <v>65</v>
      </c>
      <c r="BH18" s="29">
        <f>+IFERROR(VLOOKUP($BH$17,Sheet1!AL2:AO840,2,0),0)</f>
        <v>0</v>
      </c>
      <c r="BI18" s="29">
        <f>+IFERROR(VLOOKUP($BI$17,Sheet1!AL2:AO840,2,0),0)</f>
        <v>0</v>
      </c>
      <c r="BJ18" s="29">
        <f>+IFERROR(VLOOKUP($BJ$17,Sheet1!AL2:AO840,2,0),0)</f>
        <v>0</v>
      </c>
      <c r="BK18" s="29">
        <f>+IFERROR(VLOOKUP($BK$17,Sheet1!AL2:AO840,2,0),0)</f>
        <v>0</v>
      </c>
      <c r="BL18" s="29">
        <f>+IFERROR(VLOOKUP($BL$17,Sheet1!AL2:AO840,2,0),0)</f>
        <v>0</v>
      </c>
      <c r="BM18" s="30"/>
      <c r="BN18" s="30">
        <f>+IFERROR(VLOOKUP($BN$17,Sheet1!AT2:AW840,2,0),0)</f>
        <v>0</v>
      </c>
      <c r="BO18" s="69">
        <v>350</v>
      </c>
      <c r="BP18" s="32">
        <f>+IFERROR(VLOOKUP($BP$17,Sheet1!BB2:BE840,2,0),0)</f>
        <v>510</v>
      </c>
      <c r="BQ18" s="31">
        <f>+IFERROR(VLOOKUP($BQ$17,Sheet1!BF2:BI840,2,0),0)</f>
        <v>0</v>
      </c>
      <c r="BR18" s="31">
        <f>+IFERROR(VLOOKUP($BR$17,Sheet1!BJ2:BM840,2,0),0)</f>
        <v>0</v>
      </c>
      <c r="BS18" s="31">
        <f>+IFERROR(VLOOKUP($BS$17,Sheet1!BN2:BQ840,2,0),0)</f>
        <v>0</v>
      </c>
      <c r="BT18" s="32">
        <f>+IFERROR(VLOOKUP($BT$17,Sheet1!BR2:BU840,2,0),0)</f>
        <v>440</v>
      </c>
      <c r="BU18" s="31">
        <f>+IFERROR(VLOOKUP($BU$17,Sheet1!BV2:BY840,2,0),0)</f>
        <v>0</v>
      </c>
      <c r="BV18" s="52"/>
      <c r="BW18" s="52"/>
      <c r="BX18" s="52"/>
      <c r="BY18" s="52"/>
      <c r="CD18" s="5"/>
      <c r="CE18" s="5"/>
      <c r="CF18" s="5"/>
      <c r="CG18" s="5"/>
      <c r="CH18" s="5"/>
      <c r="CI18" s="5"/>
      <c r="CJ18" s="5"/>
      <c r="CK18" s="5"/>
      <c r="CL18" s="5"/>
    </row>
    <row r="19" spans="1:90" ht="51" x14ac:dyDescent="0.25">
      <c r="A19" s="1" t="str">
        <f>Sheet1!A13</f>
        <v>ENQ-10773-22-23</v>
      </c>
      <c r="B19" s="51">
        <f>Sheet1!B13</f>
        <v>45135</v>
      </c>
      <c r="C19" s="1" t="str">
        <f>Sheet1!C13</f>
        <v>FA1300083</v>
      </c>
      <c r="D19" s="73" t="str">
        <f>Sheet1!D13</f>
        <v>3 CORE X 400 SQ. MM. AL/ARM - WIRE (XLPE) - 11 KV</v>
      </c>
      <c r="E19" s="74">
        <f t="shared" ref="E19:E32" si="0">CH19+CJ19+CL19</f>
        <v>3241791.6150000002</v>
      </c>
      <c r="F19" s="77" t="e">
        <f>ROUNDUP(M35,0)</f>
        <v>#DIV/0!</v>
      </c>
      <c r="G19" s="75" t="e">
        <f t="shared" ref="G19:G32" si="1">E19+F19</f>
        <v>#DIV/0!</v>
      </c>
      <c r="H19" s="76">
        <f>Sheet1!CP13</f>
        <v>0.18</v>
      </c>
      <c r="I19" s="75" t="e">
        <f t="shared" ref="I19:I32" si="2">G19*H19</f>
        <v>#DIV/0!</v>
      </c>
      <c r="J19" s="75" t="e">
        <f t="shared" ref="J19:J32" si="3">G19+I19</f>
        <v>#DIV/0!</v>
      </c>
      <c r="K19" s="73">
        <v>0</v>
      </c>
      <c r="L19" s="73" t="str">
        <f>Sheet1!CT13</f>
        <v>KMS</v>
      </c>
      <c r="M19" s="74" t="e">
        <f t="shared" ref="M19:M32" si="4">J19*K19</f>
        <v>#DIV/0!</v>
      </c>
      <c r="N19" s="78">
        <v>3243</v>
      </c>
      <c r="O19" s="41">
        <f>+IFERROR(VLOOKUP($O$17,Sheet1!J13:L13,3,0),0)</f>
        <v>0</v>
      </c>
      <c r="P19" s="41">
        <f>+IFERROR(VLOOKUP($P$17,Sheet1!J13:M13,3,0),0)</f>
        <v>0</v>
      </c>
      <c r="Q19" s="41">
        <f>+IFERROR(VLOOKUP($Q$17,Sheet1!J13:M13,3,0),0)</f>
        <v>0</v>
      </c>
      <c r="R19" s="41">
        <f>+IFERROR(VLOOKUP($R$17,Sheet1!J13:M13,3,0),0)</f>
        <v>0</v>
      </c>
      <c r="S19" s="41">
        <f>+IFERROR(VLOOKUP($S$17,Sheet1!N13:Q13,3,0),0)</f>
        <v>0</v>
      </c>
      <c r="T19" s="41">
        <f>+IFERROR(VLOOKUP($T$17,Sheet1!N13:Q13,3,0),0)</f>
        <v>0</v>
      </c>
      <c r="U19" s="41">
        <f>+IFERROR(VLOOKUP($U$17,Sheet1!F13:I13,3,0),0)</f>
        <v>0</v>
      </c>
      <c r="V19" s="41">
        <f>+IFERROR(VLOOKUP($V$17,Sheet1!F13:I13,3,0),0)</f>
        <v>0</v>
      </c>
      <c r="W19" s="41">
        <f>+IFERROR(VLOOKUP($W$17,Sheet1!F13:I13,3,0),0)</f>
        <v>0</v>
      </c>
      <c r="X19" s="41">
        <f>+IFERROR(VLOOKUP($X$17,Sheet1!F13:I13,3,0),0)</f>
        <v>0</v>
      </c>
      <c r="Y19" s="78">
        <v>158</v>
      </c>
      <c r="Z19" s="41">
        <f>+IFERROR(VLOOKUP($Z$17,Sheet1!F13:I13,3,0),0)</f>
        <v>0</v>
      </c>
      <c r="AA19" s="41">
        <f>+IFERROR(VLOOKUP($AA$17,Sheet1!F13:I13,3,0),0)</f>
        <v>0</v>
      </c>
      <c r="AB19" s="41">
        <f>+IFERROR(VLOOKUP($AB$17,Sheet1!F13:I13,3,0),0)</f>
        <v>0</v>
      </c>
      <c r="AC19" s="78">
        <v>414</v>
      </c>
      <c r="AD19" s="72">
        <f>+IFERROR(VLOOKUP($AD$17,Sheet1!R13:U13,2,0),0)</f>
        <v>0</v>
      </c>
      <c r="AE19" s="78">
        <v>938</v>
      </c>
      <c r="AF19" s="72">
        <f>+IFERROR(VLOOKUP($AF$17,Sheet1!V13:Y13,3,0),0)</f>
        <v>0</v>
      </c>
      <c r="AG19" s="72">
        <f>+IFERROR(VLOOKUP($AG$17,Sheet1!V13:Y13,3,0),0)</f>
        <v>0</v>
      </c>
      <c r="AH19" s="72">
        <f>+IFERROR(VLOOKUP($AH$17,Sheet1!V13:Y13,3,0),0)</f>
        <v>0</v>
      </c>
      <c r="AI19" s="72">
        <f>+IFERROR(VLOOKUP($AI$17,Sheet1!V13:Y13,3,0),0)</f>
        <v>0</v>
      </c>
      <c r="AJ19" s="72">
        <f>+IFERROR(VLOOKUP($AJ$17,Sheet1!V13:Y13,3,0),0)</f>
        <v>0</v>
      </c>
      <c r="AK19" s="72">
        <f>+IFERROR(VLOOKUP($AK$17,Sheet1!Z13:AB13,3,0),0)</f>
        <v>0</v>
      </c>
      <c r="AL19" s="72">
        <f>+IFERROR(VLOOKUP($AL$17,Sheet1!AD13:AG13,3,0),0)</f>
        <v>0</v>
      </c>
      <c r="AM19" s="72">
        <f>+IFERROR(VLOOKUP($AM$17,Sheet1!AD13:AG13,3,0),0)</f>
        <v>0</v>
      </c>
      <c r="AN19" s="72">
        <f>+IFERROR(VLOOKUP($AN$17,Sheet1!AD13:AG13,3,0),0)</f>
        <v>0</v>
      </c>
      <c r="AO19" s="72">
        <f>+IFERROR(VLOOKUP($AO$17,Sheet1!AD13:AG13,3,0),0)</f>
        <v>0</v>
      </c>
      <c r="AP19" s="72">
        <f>+IFERROR(VLOOKUP($AP$17,Sheet1!AD13:AG13,3,0),0)</f>
        <v>0</v>
      </c>
      <c r="AQ19" s="72">
        <f>+IFERROR(VLOOKUP($AQ$17,Sheet1!AD13:AG13,3,0),0)</f>
        <v>0</v>
      </c>
      <c r="AR19" s="79">
        <v>980</v>
      </c>
      <c r="AS19" s="72">
        <f>+IFERROR(VLOOKUP($AS$17,Sheet1!AH13:AK13,3,0),0)</f>
        <v>0</v>
      </c>
      <c r="AT19" s="72">
        <f>+IFERROR(VLOOKUP($AT$17,Sheet1!AH13:AK13,3,0),0)</f>
        <v>0</v>
      </c>
      <c r="AU19" s="72">
        <f>+IFERROR(VLOOKUP($AU$17,Sheet1!AH13:AK13,3,0),0)</f>
        <v>0</v>
      </c>
      <c r="AV19" s="72">
        <f>+IFERROR(VLOOKUP($AV$17,Sheet1!AH13:AK13,3,0),0)</f>
        <v>0</v>
      </c>
      <c r="AW19" s="72">
        <f>+IFERROR(VLOOKUP($AW$17,Sheet1!AH13:AK13,3,0),0)</f>
        <v>0</v>
      </c>
      <c r="AX19" s="72">
        <f>+IFERROR(VLOOKUP($AX$17,Sheet1!AH13:AK13,3,0),0)</f>
        <v>0</v>
      </c>
      <c r="AY19" s="72">
        <f>+IFERROR(VLOOKUP($AY$17,Sheet1!AH13:AK13,3,0),0)</f>
        <v>0</v>
      </c>
      <c r="AZ19" s="72">
        <f>+IFERROR(VLOOKUP($AZ$17,Sheet1!AH13:AK13,3,0),0)</f>
        <v>0</v>
      </c>
      <c r="BA19" s="79">
        <v>5540</v>
      </c>
      <c r="BB19" s="72">
        <f>+IFERROR(VLOOKUP($BB$17,Sheet1!AH13:AK13,3,0),0)</f>
        <v>0</v>
      </c>
      <c r="BC19" s="72">
        <f>+IFERROR(VLOOKUP($BC$17,Sheet1!AL13:AO13,3,0),0)</f>
        <v>0</v>
      </c>
      <c r="BD19" s="72">
        <f>+IFERROR(VLOOKUP($BD$17,Sheet1!AL13:AO13,3,0),0)</f>
        <v>0</v>
      </c>
      <c r="BE19" s="72">
        <f>+IFERROR(VLOOKUP($BE$17,Sheet1!AL13:AO13,3,0),0)</f>
        <v>0</v>
      </c>
      <c r="BF19" s="79">
        <v>1355</v>
      </c>
      <c r="BG19" s="79">
        <v>997</v>
      </c>
      <c r="BH19" s="72">
        <f>+IFERROR(VLOOKUP($BH$17,Sheet1!AL13:AO13,3,0),0)</f>
        <v>0</v>
      </c>
      <c r="BI19" s="72">
        <f>+IFERROR(VLOOKUP($BI$17,Sheet1!AL13:AO13,3,0),0)</f>
        <v>0</v>
      </c>
      <c r="BJ19" s="72">
        <f>+IFERROR(VLOOKUP($BJ$17,Sheet1!AL13:AO13,3,0),0)</f>
        <v>0</v>
      </c>
      <c r="BK19" s="72">
        <f>+IFERROR(VLOOKUP($BK$17,Sheet1!AL13:AO13,3,0),0)</f>
        <v>0</v>
      </c>
      <c r="BL19" s="72">
        <f>+IFERROR(VLOOKUP($BL$17,Sheet1!AL13:AO13,3,0),0)</f>
        <v>0</v>
      </c>
      <c r="BM19" s="72">
        <f>+IFERROR(VLOOKUP($BM$17,Sheet1!AP13:AS13,3,0),0)</f>
        <v>0</v>
      </c>
      <c r="BN19" s="72">
        <f>+IFERROR(VLOOKUP($BN$17,Sheet1!AT13:AW13,3,0),0)</f>
        <v>0</v>
      </c>
      <c r="BO19" s="79">
        <v>58</v>
      </c>
      <c r="BP19" s="79">
        <v>86</v>
      </c>
      <c r="BQ19" s="72">
        <f>+IFERROR(VLOOKUP($BQ$17,Sheet1!BF13:BI13,3,0),0)</f>
        <v>0</v>
      </c>
      <c r="BR19" s="72">
        <f>+IFERROR(VLOOKUP($BR$17,Sheet1!BJ13:BM13,3,0),0)</f>
        <v>0</v>
      </c>
      <c r="BS19" s="72">
        <f>+IFERROR(VLOOKUP($BS$17,Sheet1!BN13:BQ13,3,0),0)</f>
        <v>0</v>
      </c>
      <c r="BT19" s="79">
        <v>59</v>
      </c>
      <c r="BU19" s="11">
        <f>+IFERROR(VLOOKUP($BU$17,Sheet1!BV13:BY13,3,0),0)</f>
        <v>0</v>
      </c>
      <c r="BV19" s="11" t="str">
        <f>Sheet1!E13</f>
        <v>STEEL</v>
      </c>
      <c r="BW19" s="11" t="str">
        <f>Sheet1!CV13</f>
        <v>SP0400105</v>
      </c>
      <c r="BX19" s="11" t="str">
        <f>Sheet1!CW13</f>
        <v>CORRUGATED DISPATCH STEEL DRUM 2500 X 1500 X 1400</v>
      </c>
      <c r="BY19" s="11">
        <f>Sheet1!CX13</f>
        <v>250</v>
      </c>
      <c r="BZ19" s="3">
        <f>Sheet1!BZ13</f>
        <v>182400</v>
      </c>
      <c r="CA19" s="3">
        <f t="shared" ref="CA19:CA32" si="5">SUMPRODUCT($N$18:$BU$18,N19:BU19)+BZ19</f>
        <v>2098247</v>
      </c>
      <c r="CB19" s="23">
        <f>Sheet1!CB13</f>
        <v>0</v>
      </c>
      <c r="CC19" s="3">
        <f t="shared" ref="CC19:CC32" si="6">CA19*CB19</f>
        <v>0</v>
      </c>
      <c r="CD19" s="47">
        <v>0.5</v>
      </c>
      <c r="CE19" s="3">
        <f t="shared" ref="CE19:CE32" si="7">CA19*CD19</f>
        <v>1049123.5</v>
      </c>
      <c r="CF19" s="47">
        <v>0</v>
      </c>
      <c r="CG19" s="3">
        <f t="shared" ref="CG19:CG32" si="8">CA19*CF19</f>
        <v>0</v>
      </c>
      <c r="CH19" s="3">
        <f t="shared" ref="CH19:CH32" si="9">CA19+CC19+CE19+CG19</f>
        <v>3147370.5</v>
      </c>
      <c r="CI19" s="47">
        <v>0.02</v>
      </c>
      <c r="CJ19" s="80">
        <f t="shared" ref="CJ19:CJ32" si="10">CH19*CI19</f>
        <v>62947.41</v>
      </c>
      <c r="CK19" s="47">
        <v>0.01</v>
      </c>
      <c r="CL19" s="80">
        <f t="shared" ref="CL19:CL32" si="11">CH19*CK19</f>
        <v>31473.705000000002</v>
      </c>
    </row>
    <row r="20" spans="1:90" ht="51" x14ac:dyDescent="0.25">
      <c r="A20" s="1" t="str">
        <f>Sheet1!A15</f>
        <v>ENQ-10773-22-23</v>
      </c>
      <c r="B20" s="51">
        <f>Sheet1!B15</f>
        <v>45135</v>
      </c>
      <c r="C20" s="1" t="str">
        <f>Sheet1!C15</f>
        <v>FA1300091</v>
      </c>
      <c r="D20" s="73" t="str">
        <f>Sheet1!D15</f>
        <v>3 CORE X 300 SQ. MM. AL/ARM - WIRE (XLPE) - 11 KV</v>
      </c>
      <c r="E20" s="74">
        <f t="shared" si="0"/>
        <v>2598299.1150000002</v>
      </c>
      <c r="F20" s="77">
        <f t="shared" ref="F20:F32" si="12">ROUNDUP(M36,0)</f>
        <v>65000</v>
      </c>
      <c r="G20" s="75">
        <f t="shared" si="1"/>
        <v>2663299.1150000002</v>
      </c>
      <c r="H20" s="76">
        <f>Sheet1!CP15</f>
        <v>0.18</v>
      </c>
      <c r="I20" s="75">
        <f t="shared" si="2"/>
        <v>479393.8407</v>
      </c>
      <c r="J20" s="75">
        <f t="shared" si="3"/>
        <v>3142692.9557000003</v>
      </c>
      <c r="K20" s="73">
        <v>114</v>
      </c>
      <c r="L20" s="73" t="str">
        <f>Sheet1!CT15</f>
        <v>KMS</v>
      </c>
      <c r="M20" s="74">
        <f t="shared" si="4"/>
        <v>358266996.94980001</v>
      </c>
      <c r="N20" s="41">
        <f>+IFERROR(VLOOKUP($N$17,Sheet1!J15:L15,3,0),0)</f>
        <v>2430</v>
      </c>
      <c r="O20" s="41">
        <f>+IFERROR(VLOOKUP($O$17,Sheet1!J15:L15,3,0),0)</f>
        <v>0</v>
      </c>
      <c r="P20" s="41">
        <f>+IFERROR(VLOOKUP($P$17,Sheet1!J15:M15,3,0),0)</f>
        <v>0</v>
      </c>
      <c r="Q20" s="41">
        <f>+IFERROR(VLOOKUP($Q$17,Sheet1!J15:M15,3,0),0)</f>
        <v>0</v>
      </c>
      <c r="R20" s="41">
        <f>+IFERROR(VLOOKUP($R$17,Sheet1!J15:M15,3,0),0)</f>
        <v>0</v>
      </c>
      <c r="S20" s="41">
        <f>+IFERROR(VLOOKUP($S$17,Sheet1!N15:Q15,3,0),0)</f>
        <v>0</v>
      </c>
      <c r="T20" s="41">
        <f>+IFERROR(VLOOKUP($T$17,Sheet1!N15:Q15,3,0),0)</f>
        <v>0</v>
      </c>
      <c r="U20" s="41">
        <f>+IFERROR(VLOOKUP($U$17,Sheet1!F15:I15,3,0),0)</f>
        <v>0</v>
      </c>
      <c r="V20" s="41">
        <f>+IFERROR(VLOOKUP($V$17,Sheet1!F15:I15,3,0),0)</f>
        <v>0</v>
      </c>
      <c r="W20" s="41">
        <f>+IFERROR(VLOOKUP($W$17,Sheet1!F15:I15,3,0),0)</f>
        <v>0</v>
      </c>
      <c r="X20" s="41">
        <f>+IFERROR(VLOOKUP($X$17,Sheet1!F15:I15,3,0),0)</f>
        <v>0</v>
      </c>
      <c r="Y20" s="78">
        <v>144</v>
      </c>
      <c r="Z20" s="41">
        <f>+IFERROR(VLOOKUP($Z$17,Sheet1!F15:I15,3,0),0)</f>
        <v>0</v>
      </c>
      <c r="AA20" s="41">
        <f>+IFERROR(VLOOKUP($AA$17,Sheet1!F15:I15,3,0),0)</f>
        <v>0</v>
      </c>
      <c r="AB20" s="41">
        <f>+IFERROR(VLOOKUP($AB$17,Sheet1!F15:I15,3,0),0)</f>
        <v>0</v>
      </c>
      <c r="AC20" s="78">
        <v>370</v>
      </c>
      <c r="AD20" s="72">
        <f>+IFERROR(VLOOKUP($AD$17,Sheet1!R15:U15,2,0),0)</f>
        <v>0</v>
      </c>
      <c r="AE20" s="78">
        <v>838</v>
      </c>
      <c r="AF20" s="72">
        <f>+IFERROR(VLOOKUP($AF$17,Sheet1!V15:Y15,3,0),0)</f>
        <v>0</v>
      </c>
      <c r="AG20" s="72">
        <f>+IFERROR(VLOOKUP($AG$17,Sheet1!V15:Y15,3,0),0)</f>
        <v>0</v>
      </c>
      <c r="AH20" s="72">
        <f>+IFERROR(VLOOKUP($AH$17,Sheet1!V15:Y15,3,0),0)</f>
        <v>0</v>
      </c>
      <c r="AI20" s="72">
        <f>+IFERROR(VLOOKUP($AI$17,Sheet1!V15:Y15,3,0),0)</f>
        <v>0</v>
      </c>
      <c r="AJ20" s="72">
        <f>+IFERROR(VLOOKUP($AJ$17,Sheet1!V15:Y15,3,0),0)</f>
        <v>0</v>
      </c>
      <c r="AK20" s="72">
        <f>+IFERROR(VLOOKUP($AK$17,Sheet1!Z15:AB15,3,0),0)</f>
        <v>0</v>
      </c>
      <c r="AL20" s="72">
        <f>+IFERROR(VLOOKUP($AL$17,Sheet1!AD15:AG15,3,0),0)</f>
        <v>0</v>
      </c>
      <c r="AM20" s="72">
        <f>+IFERROR(VLOOKUP($AM$17,Sheet1!AD15:AG15,3,0),0)</f>
        <v>0</v>
      </c>
      <c r="AN20" s="72">
        <f>+IFERROR(VLOOKUP($AN$17,Sheet1!AD15:AG15,3,0),0)</f>
        <v>0</v>
      </c>
      <c r="AO20" s="72">
        <f>+IFERROR(VLOOKUP($AO$17,Sheet1!AD15:AG15,3,0),0)</f>
        <v>0</v>
      </c>
      <c r="AP20" s="72">
        <f>+IFERROR(VLOOKUP($AP$17,Sheet1!AD15:AG15,3,0),0)</f>
        <v>0</v>
      </c>
      <c r="AQ20" s="72">
        <f>+IFERROR(VLOOKUP($AQ$17,Sheet1!AD15:AG15,3,0),0)</f>
        <v>0</v>
      </c>
      <c r="AR20" s="79">
        <v>840</v>
      </c>
      <c r="AS20" s="72">
        <f>+IFERROR(VLOOKUP($AS$17,Sheet1!AH15:AK15,3,0),0)</f>
        <v>0</v>
      </c>
      <c r="AT20" s="72">
        <f>+IFERROR(VLOOKUP($AT$17,Sheet1!AH15:AK15,3,0),0)</f>
        <v>0</v>
      </c>
      <c r="AU20" s="72">
        <f>+IFERROR(VLOOKUP($AU$17,Sheet1!AH15:AK15,3,0),0)</f>
        <v>0</v>
      </c>
      <c r="AV20" s="72">
        <f>+IFERROR(VLOOKUP($AV$17,Sheet1!AH15:AK15,3,0),0)</f>
        <v>0</v>
      </c>
      <c r="AW20" s="72">
        <f>+IFERROR(VLOOKUP($AW$17,Sheet1!AH15:AK15,3,0),0)</f>
        <v>0</v>
      </c>
      <c r="AX20" s="72">
        <f>+IFERROR(VLOOKUP($AX$17,Sheet1!AH15:AK15,3,0),0)</f>
        <v>0</v>
      </c>
      <c r="AY20" s="72">
        <f>+IFERROR(VLOOKUP($AY$17,Sheet1!AH15:AK15,3,0),0)</f>
        <v>0</v>
      </c>
      <c r="AZ20" s="72">
        <f>+IFERROR(VLOOKUP($AZ$17,Sheet1!AH15:AK15,3,0),0)</f>
        <v>0</v>
      </c>
      <c r="BA20" s="79">
        <v>3945</v>
      </c>
      <c r="BB20" s="72">
        <f>+IFERROR(VLOOKUP($BB$17,Sheet1!AH15:AK15,3,0),0)</f>
        <v>0</v>
      </c>
      <c r="BC20" s="72">
        <f>+IFERROR(VLOOKUP($BC$17,Sheet1!AL15:AO15,3,0),0)</f>
        <v>0</v>
      </c>
      <c r="BD20" s="72">
        <f>+IFERROR(VLOOKUP($BD$17,Sheet1!AL15:AO15,3,0),0)</f>
        <v>0</v>
      </c>
      <c r="BE20" s="72">
        <f>+IFERROR(VLOOKUP($BE$17,Sheet1!AL15:AO15,3,0),0)</f>
        <v>0</v>
      </c>
      <c r="BF20" s="79">
        <v>1170</v>
      </c>
      <c r="BG20" s="79">
        <v>830</v>
      </c>
      <c r="BH20" s="72">
        <f>+IFERROR(VLOOKUP($BH$17,Sheet1!AL15:AO15,3,0),0)</f>
        <v>0</v>
      </c>
      <c r="BI20" s="72">
        <f>+IFERROR(VLOOKUP($BI$17,Sheet1!AL15:AO15,3,0),0)</f>
        <v>0</v>
      </c>
      <c r="BJ20" s="72">
        <f>+IFERROR(VLOOKUP($BJ$17,Sheet1!AL15:AO15,3,0),0)</f>
        <v>0</v>
      </c>
      <c r="BK20" s="72">
        <f>+IFERROR(VLOOKUP($BK$17,Sheet1!AL15:AO15,3,0),0)</f>
        <v>0</v>
      </c>
      <c r="BL20" s="72">
        <f>+IFERROR(VLOOKUP($BL$17,Sheet1!AL15:AO15,3,0),0)</f>
        <v>0</v>
      </c>
      <c r="BM20" s="72">
        <f>+IFERROR(VLOOKUP($BM$17,Sheet1!AP15:AS15,3,0),0)</f>
        <v>0</v>
      </c>
      <c r="BN20" s="72">
        <f>+IFERROR(VLOOKUP($BN$17,Sheet1!AT15:AW15,3,0),0)</f>
        <v>0</v>
      </c>
      <c r="BO20" s="79">
        <v>38</v>
      </c>
      <c r="BP20" s="79">
        <v>77</v>
      </c>
      <c r="BQ20" s="72">
        <f>+IFERROR(VLOOKUP($BQ$17,Sheet1!BF15:BI15,3,0),0)</f>
        <v>0</v>
      </c>
      <c r="BR20" s="72">
        <f>+IFERROR(VLOOKUP($BR$17,Sheet1!BJ15:BM15,3,0),0)</f>
        <v>0</v>
      </c>
      <c r="BS20" s="72">
        <f>+IFERROR(VLOOKUP($BS$17,Sheet1!BN15:BQ15,3,0),0)</f>
        <v>0</v>
      </c>
      <c r="BT20" s="79">
        <v>54</v>
      </c>
      <c r="BU20" s="11">
        <f>+IFERROR(VLOOKUP($BU$17,Sheet1!BV15:BY15,3,0),0)</f>
        <v>0</v>
      </c>
      <c r="BV20" s="11" t="str">
        <f>Sheet1!E15</f>
        <v>STEEL</v>
      </c>
      <c r="BW20" s="11" t="str">
        <f>Sheet1!CV15</f>
        <v>SP0400136</v>
      </c>
      <c r="BX20" s="11" t="str">
        <f>Sheet1!CW15</f>
        <v>CORRUGATED DISPATCH STEEL DRUM 2200 X 1300 X 1200 MM</v>
      </c>
      <c r="BY20" s="11">
        <f>Sheet1!CX15</f>
        <v>250</v>
      </c>
      <c r="BZ20" s="3">
        <f>Sheet1!BZ15</f>
        <v>171000</v>
      </c>
      <c r="CA20" s="3">
        <f t="shared" si="5"/>
        <v>1681747</v>
      </c>
      <c r="CB20" s="23">
        <f>Sheet1!CB15</f>
        <v>0</v>
      </c>
      <c r="CC20" s="3">
        <f t="shared" si="6"/>
        <v>0</v>
      </c>
      <c r="CD20" s="47">
        <v>0.5</v>
      </c>
      <c r="CE20" s="3">
        <f t="shared" si="7"/>
        <v>840873.5</v>
      </c>
      <c r="CF20" s="47">
        <v>0</v>
      </c>
      <c r="CG20" s="3">
        <f t="shared" si="8"/>
        <v>0</v>
      </c>
      <c r="CH20" s="3">
        <f t="shared" si="9"/>
        <v>2522620.5</v>
      </c>
      <c r="CI20" s="47">
        <v>0.02</v>
      </c>
      <c r="CJ20" s="80">
        <f t="shared" si="10"/>
        <v>50452.41</v>
      </c>
      <c r="CK20" s="47">
        <v>0.01</v>
      </c>
      <c r="CL20" s="80">
        <f t="shared" si="11"/>
        <v>25226.205000000002</v>
      </c>
    </row>
    <row r="21" spans="1:90" ht="51" x14ac:dyDescent="0.25">
      <c r="A21" s="1" t="str">
        <f>Sheet1!A3</f>
        <v>ENQ-10773-22-23</v>
      </c>
      <c r="B21" s="51">
        <f>Sheet1!B3</f>
        <v>45135</v>
      </c>
      <c r="C21" s="1" t="str">
        <f>Sheet1!C3</f>
        <v>FA1300176</v>
      </c>
      <c r="D21" s="73" t="str">
        <f>Sheet1!D3</f>
        <v>3 CORE X 150 SQ. MM. AL/ARM - WIRE (XLPE) - 11 KV</v>
      </c>
      <c r="E21" s="74">
        <f t="shared" si="0"/>
        <v>1671588.03</v>
      </c>
      <c r="F21" s="77" t="e">
        <f t="shared" si="12"/>
        <v>#DIV/0!</v>
      </c>
      <c r="G21" s="75" t="e">
        <f t="shared" si="1"/>
        <v>#DIV/0!</v>
      </c>
      <c r="H21" s="76">
        <f>Sheet1!CP3</f>
        <v>0.18</v>
      </c>
      <c r="I21" s="75" t="e">
        <f t="shared" si="2"/>
        <v>#DIV/0!</v>
      </c>
      <c r="J21" s="75" t="e">
        <f t="shared" si="3"/>
        <v>#DIV/0!</v>
      </c>
      <c r="K21" s="73">
        <v>0</v>
      </c>
      <c r="L21" s="73" t="str">
        <f>Sheet1!CT3</f>
        <v>KMS</v>
      </c>
      <c r="M21" s="74" t="e">
        <f t="shared" si="4"/>
        <v>#DIV/0!</v>
      </c>
      <c r="N21" s="41">
        <f>+IFERROR(VLOOKUP($N$17,Sheet1!J3:L3,3,0),0)</f>
        <v>1215</v>
      </c>
      <c r="O21" s="41">
        <f>+IFERROR(VLOOKUP($O$17,Sheet1!J3:L3,3,0),0)</f>
        <v>0</v>
      </c>
      <c r="P21" s="41">
        <f>+IFERROR(VLOOKUP($P$17,Sheet1!J3:M3,3,0),0)</f>
        <v>0</v>
      </c>
      <c r="Q21" s="41">
        <f>+IFERROR(VLOOKUP($Q$17,Sheet1!J3:M3,3,0),0)</f>
        <v>0</v>
      </c>
      <c r="R21" s="41">
        <f>+IFERROR(VLOOKUP($R$17,Sheet1!J3:M3,3,0),0)</f>
        <v>0</v>
      </c>
      <c r="S21" s="41">
        <f>+IFERROR(VLOOKUP($S$17,Sheet1!N3:Q3,3,0),0)</f>
        <v>0</v>
      </c>
      <c r="T21" s="41">
        <f>+IFERROR(VLOOKUP($T$17,Sheet1!N3:Q3,3,0),0)</f>
        <v>0</v>
      </c>
      <c r="U21" s="41">
        <f>+IFERROR(VLOOKUP($U$17,Sheet1!F3:I3,3,0),0)</f>
        <v>0</v>
      </c>
      <c r="V21" s="41">
        <f>+IFERROR(VLOOKUP($V$17,Sheet1!F3:I3,3,0),0)</f>
        <v>0</v>
      </c>
      <c r="W21" s="41">
        <f>+IFERROR(VLOOKUP($W$17,Sheet1!F3:I3,3,0),0)</f>
        <v>0</v>
      </c>
      <c r="X21" s="41">
        <f>+IFERROR(VLOOKUP($X$17,Sheet1!F3:I3,3,0),0)</f>
        <v>0</v>
      </c>
      <c r="Y21" s="78">
        <v>117</v>
      </c>
      <c r="Z21" s="41">
        <f>+IFERROR(VLOOKUP($Z$17,Sheet1!F3:I3,3,0),0)</f>
        <v>0</v>
      </c>
      <c r="AA21" s="41">
        <f>+IFERROR(VLOOKUP($AA$17,Sheet1!F3:I3,3,0),0)</f>
        <v>0</v>
      </c>
      <c r="AB21" s="41">
        <f>+IFERROR(VLOOKUP($AB$17,Sheet1!F3:I3,3,0),0)</f>
        <v>0</v>
      </c>
      <c r="AC21" s="78">
        <v>280</v>
      </c>
      <c r="AD21" s="72">
        <f>+IFERROR(VLOOKUP($AD$17,Sheet1!R3:U3,2,0),0)</f>
        <v>0</v>
      </c>
      <c r="AE21" s="78">
        <v>642</v>
      </c>
      <c r="AF21" s="72">
        <f>+IFERROR(VLOOKUP($AF$17,Sheet1!V3:Y3,3,0),0)</f>
        <v>0</v>
      </c>
      <c r="AG21" s="72">
        <f>+IFERROR(VLOOKUP($AG$17,Sheet1!V3:Y3,3,0),0)</f>
        <v>0</v>
      </c>
      <c r="AH21" s="72">
        <f>+IFERROR(VLOOKUP($AH$17,Sheet1!V3:Y3,3,0),0)</f>
        <v>0</v>
      </c>
      <c r="AI21" s="72">
        <f>+IFERROR(VLOOKUP($AI$17,Sheet1!V3:Y3,3,0),0)</f>
        <v>0</v>
      </c>
      <c r="AJ21" s="72">
        <f>+IFERROR(VLOOKUP($AJ$17,Sheet1!V3:Y3,3,0),0)</f>
        <v>0</v>
      </c>
      <c r="AK21" s="72">
        <f>+IFERROR(VLOOKUP($AK$17,Sheet1!Z3:AB3,3,0),0)</f>
        <v>0</v>
      </c>
      <c r="AL21" s="72">
        <f>+IFERROR(VLOOKUP($AL$17,Sheet1!AD3:AG3,3,0),0)</f>
        <v>0</v>
      </c>
      <c r="AM21" s="72">
        <f>+IFERROR(VLOOKUP($AM$17,Sheet1!AD3:AG3,3,0),0)</f>
        <v>0</v>
      </c>
      <c r="AN21" s="72">
        <f>+IFERROR(VLOOKUP($AN$17,Sheet1!AD3:AG3,3,0),0)</f>
        <v>0</v>
      </c>
      <c r="AO21" s="72">
        <f>+IFERROR(VLOOKUP($AO$17,Sheet1!AD3:AG3,3,0),0)</f>
        <v>0</v>
      </c>
      <c r="AP21" s="72">
        <f>+IFERROR(VLOOKUP($AP$17,Sheet1!AD3:AG3,3,0),0)</f>
        <v>0</v>
      </c>
      <c r="AQ21" s="72">
        <f>+IFERROR(VLOOKUP($AQ$17,Sheet1!AD3:AG3,3,0),0)</f>
        <v>0</v>
      </c>
      <c r="AR21" s="79">
        <v>621</v>
      </c>
      <c r="AS21" s="72">
        <f>+IFERROR(VLOOKUP($AS$17,Sheet1!AH3:AK3,3,0),0)</f>
        <v>0</v>
      </c>
      <c r="AT21" s="72">
        <f>+IFERROR(VLOOKUP($AT$17,Sheet1!AH3:AK3,3,0),0)</f>
        <v>0</v>
      </c>
      <c r="AU21" s="72">
        <f>+IFERROR(VLOOKUP($AU$17,Sheet1!AH3:AK3,3,0),0)</f>
        <v>0</v>
      </c>
      <c r="AV21" s="72">
        <f>+IFERROR(VLOOKUP($AV$17,Sheet1!AH3:AK3,3,0),0)</f>
        <v>0</v>
      </c>
      <c r="AW21" s="72">
        <f>+IFERROR(VLOOKUP($AW$17,Sheet1!AH3:AK3,3,0),0)</f>
        <v>0</v>
      </c>
      <c r="AX21" s="72">
        <f>+IFERROR(VLOOKUP($AX$17,Sheet1!AH3:AK3,3,0),0)</f>
        <v>0</v>
      </c>
      <c r="AY21" s="72">
        <f>+IFERROR(VLOOKUP($AY$17,Sheet1!AH3:AK3,3,0),0)</f>
        <v>0</v>
      </c>
      <c r="AZ21" s="72">
        <f>+IFERROR(VLOOKUP($AZ$17,Sheet1!AH3:AK3,3,0),0)</f>
        <v>0</v>
      </c>
      <c r="BA21" s="79">
        <v>2685</v>
      </c>
      <c r="BB21" s="72">
        <f>+IFERROR(VLOOKUP($BB$17,Sheet1!AH3:AK3,3,0),0)</f>
        <v>0</v>
      </c>
      <c r="BC21" s="72">
        <f>+IFERROR(VLOOKUP($BC$17,Sheet1!AL3:AO3,3,0),0)</f>
        <v>0</v>
      </c>
      <c r="BD21" s="72">
        <f>+IFERROR(VLOOKUP($BD$17,Sheet1!AL3:AO3,3,0),0)</f>
        <v>0</v>
      </c>
      <c r="BE21" s="72">
        <f>+IFERROR(VLOOKUP($BE$17,Sheet1!AL3:AO3,3,0),0)</f>
        <v>0</v>
      </c>
      <c r="BF21" s="79">
        <v>800</v>
      </c>
      <c r="BG21" s="79">
        <v>541</v>
      </c>
      <c r="BH21" s="72">
        <f>+IFERROR(VLOOKUP($BH$17,Sheet1!AL3:AO3,3,0),0)</f>
        <v>0</v>
      </c>
      <c r="BI21" s="72">
        <f>+IFERROR(VLOOKUP($BI$17,Sheet1!AL3:AO3,3,0),0)</f>
        <v>0</v>
      </c>
      <c r="BJ21" s="72">
        <f>+IFERROR(VLOOKUP($BJ$17,Sheet1!AL3:AO3,3,0),0)</f>
        <v>0</v>
      </c>
      <c r="BK21" s="72">
        <f>+IFERROR(VLOOKUP($BK$17,Sheet1!AL3:AO3,3,0),0)</f>
        <v>0</v>
      </c>
      <c r="BL21" s="72">
        <f>+IFERROR(VLOOKUP($BL$17,Sheet1!AL3:AO3,3,0),0)</f>
        <v>0</v>
      </c>
      <c r="BM21" s="72">
        <f>+IFERROR(VLOOKUP($BM$17,Sheet1!AP3:AS3,3,0),0)</f>
        <v>0</v>
      </c>
      <c r="BN21" s="72">
        <f>+IFERROR(VLOOKUP($BN$17,Sheet1!AT3:AW3,3,0),0)</f>
        <v>0</v>
      </c>
      <c r="BO21" s="79">
        <v>18</v>
      </c>
      <c r="BP21" s="79">
        <v>59</v>
      </c>
      <c r="BQ21" s="72">
        <f>+IFERROR(VLOOKUP($BQ$17,Sheet1!BF3:BI3,3,0),0)</f>
        <v>0</v>
      </c>
      <c r="BR21" s="72">
        <f>+IFERROR(VLOOKUP($BR$17,Sheet1!BJ3:BM3,3,0),0)</f>
        <v>0</v>
      </c>
      <c r="BS21" s="72">
        <f>+IFERROR(VLOOKUP($BS$17,Sheet1!BN3:BQ3,3,0),0)</f>
        <v>0</v>
      </c>
      <c r="BT21" s="79">
        <v>44</v>
      </c>
      <c r="BU21" s="11">
        <f>+IFERROR(VLOOKUP($BU$17,Sheet1!BV3:BY3,3,0),0)</f>
        <v>0</v>
      </c>
      <c r="BV21" s="11" t="str">
        <f>Sheet1!E3</f>
        <v>STEEL</v>
      </c>
      <c r="BW21" s="11" t="str">
        <f>Sheet1!CV3</f>
        <v>SP0400111</v>
      </c>
      <c r="BX21" s="11" t="str">
        <f>Sheet1!CW3</f>
        <v>CORRUGATED DISPATCH STEEL DRUM 1900 X 1000 X 1000 MM</v>
      </c>
      <c r="BY21" s="11">
        <f>Sheet1!CX3</f>
        <v>250</v>
      </c>
      <c r="BZ21" s="3">
        <f>Sheet1!BZ3</f>
        <v>108300</v>
      </c>
      <c r="CA21" s="3">
        <f t="shared" si="5"/>
        <v>1081934</v>
      </c>
      <c r="CB21" s="23">
        <f>Sheet1!CB3</f>
        <v>0</v>
      </c>
      <c r="CC21" s="3">
        <f t="shared" si="6"/>
        <v>0</v>
      </c>
      <c r="CD21" s="47">
        <v>0.5</v>
      </c>
      <c r="CE21" s="3">
        <f t="shared" si="7"/>
        <v>540967</v>
      </c>
      <c r="CF21" s="47">
        <v>0</v>
      </c>
      <c r="CG21" s="3">
        <f t="shared" si="8"/>
        <v>0</v>
      </c>
      <c r="CH21" s="3">
        <f t="shared" si="9"/>
        <v>1622901</v>
      </c>
      <c r="CI21" s="47">
        <v>0.02</v>
      </c>
      <c r="CJ21" s="80">
        <f t="shared" si="10"/>
        <v>32458.02</v>
      </c>
      <c r="CK21" s="47">
        <v>0.01</v>
      </c>
      <c r="CL21" s="80">
        <f t="shared" si="11"/>
        <v>16229.01</v>
      </c>
    </row>
    <row r="22" spans="1:90" ht="51" x14ac:dyDescent="0.25">
      <c r="A22" s="1" t="str">
        <f>Sheet1!A6</f>
        <v>ENQ-10773-22-23</v>
      </c>
      <c r="B22" s="51">
        <f>Sheet1!B6</f>
        <v>45135</v>
      </c>
      <c r="C22" s="1" t="str">
        <f>Sheet1!C6</f>
        <v>FA1300197</v>
      </c>
      <c r="D22" s="73" t="str">
        <f>Sheet1!D6</f>
        <v>3 CORE X 120 SQ. MM. AL/ARM - WIRE (XLPE) - 11 KV</v>
      </c>
      <c r="E22" s="74">
        <f t="shared" si="0"/>
        <v>1462048.95</v>
      </c>
      <c r="F22" s="77" t="e">
        <f t="shared" si="12"/>
        <v>#DIV/0!</v>
      </c>
      <c r="G22" s="75" t="e">
        <f t="shared" si="1"/>
        <v>#DIV/0!</v>
      </c>
      <c r="H22" s="76">
        <f>Sheet1!CP6</f>
        <v>0.18</v>
      </c>
      <c r="I22" s="75" t="e">
        <f t="shared" si="2"/>
        <v>#DIV/0!</v>
      </c>
      <c r="J22" s="75" t="e">
        <f t="shared" si="3"/>
        <v>#DIV/0!</v>
      </c>
      <c r="K22" s="73">
        <v>0</v>
      </c>
      <c r="L22" s="73" t="str">
        <f>Sheet1!CT6</f>
        <v>KMS</v>
      </c>
      <c r="M22" s="74" t="e">
        <f t="shared" si="4"/>
        <v>#DIV/0!</v>
      </c>
      <c r="N22" s="41">
        <f>+IFERROR(VLOOKUP($N$17,Sheet1!J6:L6,3,0),0)</f>
        <v>972</v>
      </c>
      <c r="O22" s="41">
        <f>+IFERROR(VLOOKUP($O$17,Sheet1!J6:L6,3,0),0)</f>
        <v>0</v>
      </c>
      <c r="P22" s="41">
        <f>+IFERROR(VLOOKUP($P$17,Sheet1!J6:M6,3,0),0)</f>
        <v>0</v>
      </c>
      <c r="Q22" s="41">
        <f>+IFERROR(VLOOKUP($Q$17,Sheet1!J6:M6,3,0),0)</f>
        <v>0</v>
      </c>
      <c r="R22" s="41">
        <f>+IFERROR(VLOOKUP($R$17,Sheet1!J6:M6,3,0),0)</f>
        <v>0</v>
      </c>
      <c r="S22" s="41">
        <f>+IFERROR(VLOOKUP($S$17,Sheet1!N6:Q6,3,0),0)</f>
        <v>0</v>
      </c>
      <c r="T22" s="41">
        <f>+IFERROR(VLOOKUP($T$17,Sheet1!N6:Q6,3,0),0)</f>
        <v>0</v>
      </c>
      <c r="U22" s="41">
        <f>+IFERROR(VLOOKUP($U$17,Sheet1!F6:I6,3,0),0)</f>
        <v>0</v>
      </c>
      <c r="V22" s="41">
        <f>+IFERROR(VLOOKUP($V$17,Sheet1!F6:I6,3,0),0)</f>
        <v>0</v>
      </c>
      <c r="W22" s="41">
        <f>+IFERROR(VLOOKUP($W$17,Sheet1!F6:I6,3,0),0)</f>
        <v>0</v>
      </c>
      <c r="X22" s="41">
        <f>+IFERROR(VLOOKUP($X$17,Sheet1!F6:I6,3,0),0)</f>
        <v>0</v>
      </c>
      <c r="Y22" s="78">
        <v>110</v>
      </c>
      <c r="Z22" s="41">
        <f>+IFERROR(VLOOKUP($Z$17,Sheet1!F6:I6,3,0),0)</f>
        <v>0</v>
      </c>
      <c r="AA22" s="41">
        <f>+IFERROR(VLOOKUP($AA$17,Sheet1!F6:I6,3,0),0)</f>
        <v>0</v>
      </c>
      <c r="AB22" s="41">
        <f>+IFERROR(VLOOKUP($AB$17,Sheet1!F6:I6,3,0),0)</f>
        <v>0</v>
      </c>
      <c r="AC22" s="78">
        <v>258</v>
      </c>
      <c r="AD22" s="72">
        <f>+IFERROR(VLOOKUP($AD$17,Sheet1!R6:U6,2,0),0)</f>
        <v>0</v>
      </c>
      <c r="AE22" s="78">
        <v>596</v>
      </c>
      <c r="AF22" s="72">
        <f>+IFERROR(VLOOKUP($AF$17,Sheet1!V6:Y6,3,0),0)</f>
        <v>0</v>
      </c>
      <c r="AG22" s="72">
        <f>+IFERROR(VLOOKUP($AG$17,Sheet1!V6:Y6,3,0),0)</f>
        <v>0</v>
      </c>
      <c r="AH22" s="72">
        <f>+IFERROR(VLOOKUP($AH$17,Sheet1!V6:Y6,3,0),0)</f>
        <v>0</v>
      </c>
      <c r="AI22" s="72">
        <f>+IFERROR(VLOOKUP($AI$17,Sheet1!V6:Y6,3,0),0)</f>
        <v>0</v>
      </c>
      <c r="AJ22" s="72">
        <f>+IFERROR(VLOOKUP($AJ$17,Sheet1!V6:Y6,3,0),0)</f>
        <v>0</v>
      </c>
      <c r="AK22" s="72">
        <f>+IFERROR(VLOOKUP($AK$17,Sheet1!Z6:AB6,3,0),0)</f>
        <v>0</v>
      </c>
      <c r="AL22" s="72">
        <f>+IFERROR(VLOOKUP($AL$17,Sheet1!AD6:AG6,3,0),0)</f>
        <v>0</v>
      </c>
      <c r="AM22" s="72">
        <f>+IFERROR(VLOOKUP($AM$17,Sheet1!AD6:AG6,3,0),0)</f>
        <v>0</v>
      </c>
      <c r="AN22" s="72">
        <f>+IFERROR(VLOOKUP($AN$17,Sheet1!AD6:AG6,3,0),0)</f>
        <v>0</v>
      </c>
      <c r="AO22" s="72">
        <f>+IFERROR(VLOOKUP($AO$17,Sheet1!AD6:AG6,3,0),0)</f>
        <v>0</v>
      </c>
      <c r="AP22" s="72">
        <f>+IFERROR(VLOOKUP($AP$17,Sheet1!AD6:AG6,3,0),0)</f>
        <v>0</v>
      </c>
      <c r="AQ22" s="72">
        <f>+IFERROR(VLOOKUP($AQ$17,Sheet1!AD6:AG6,3,0),0)</f>
        <v>0</v>
      </c>
      <c r="AR22" s="79">
        <v>513</v>
      </c>
      <c r="AS22" s="72">
        <f>+IFERROR(VLOOKUP($AS$17,Sheet1!AH6:AK6,3,0),0)</f>
        <v>0</v>
      </c>
      <c r="AT22" s="72">
        <f>+IFERROR(VLOOKUP($AT$17,Sheet1!AH6:AK6,3,0),0)</f>
        <v>0</v>
      </c>
      <c r="AU22" s="72">
        <f>+IFERROR(VLOOKUP($AU$17,Sheet1!AH6:AK6,3,0),0)</f>
        <v>0</v>
      </c>
      <c r="AV22" s="72">
        <f>+IFERROR(VLOOKUP($AV$17,Sheet1!AH6:AK6,3,0),0)</f>
        <v>0</v>
      </c>
      <c r="AW22" s="72">
        <f>+IFERROR(VLOOKUP($AW$17,Sheet1!AH6:AK6,3,0),0)</f>
        <v>0</v>
      </c>
      <c r="AX22" s="72">
        <f>+IFERROR(VLOOKUP($AX$17,Sheet1!AH6:AK6,3,0),0)</f>
        <v>0</v>
      </c>
      <c r="AY22" s="72">
        <f>+IFERROR(VLOOKUP($AY$17,Sheet1!AH6:AK6,3,0),0)</f>
        <v>0</v>
      </c>
      <c r="AZ22" s="72">
        <f>+IFERROR(VLOOKUP($AZ$17,Sheet1!AH6:AK6,3,0),0)</f>
        <v>0</v>
      </c>
      <c r="BA22" s="79">
        <v>2404</v>
      </c>
      <c r="BB22" s="72">
        <f>+IFERROR(VLOOKUP($BB$17,Sheet1!AH6:AK6,3,0),0)</f>
        <v>0</v>
      </c>
      <c r="BC22" s="72">
        <f>+IFERROR(VLOOKUP($BC$17,Sheet1!AL6:AO6,3,0),0)</f>
        <v>0</v>
      </c>
      <c r="BD22" s="72">
        <f>+IFERROR(VLOOKUP($BD$17,Sheet1!AL6:AO6,3,0),0)</f>
        <v>0</v>
      </c>
      <c r="BE22" s="72">
        <f>+IFERROR(VLOOKUP($BE$17,Sheet1!AL6:AO6,3,0),0)</f>
        <v>0</v>
      </c>
      <c r="BF22" s="79">
        <v>694</v>
      </c>
      <c r="BG22" s="79">
        <v>479</v>
      </c>
      <c r="BH22" s="72">
        <f>+IFERROR(VLOOKUP($BH$17,Sheet1!AL6:AO6,3,0),0)</f>
        <v>0</v>
      </c>
      <c r="BI22" s="72">
        <f>+IFERROR(VLOOKUP($BI$17,Sheet1!AL6:AO6,3,0),0)</f>
        <v>0</v>
      </c>
      <c r="BJ22" s="72">
        <f>+IFERROR(VLOOKUP($BJ$17,Sheet1!AL6:AO6,3,0),0)</f>
        <v>0</v>
      </c>
      <c r="BK22" s="72">
        <f>+IFERROR(VLOOKUP($BK$17,Sheet1!AL6:AO6,3,0),0)</f>
        <v>0</v>
      </c>
      <c r="BL22" s="72">
        <f>+IFERROR(VLOOKUP($BL$17,Sheet1!AL6:AO6,3,0),0)</f>
        <v>0</v>
      </c>
      <c r="BM22" s="72">
        <f>+IFERROR(VLOOKUP($BM$17,Sheet1!AP6:AS6,3,0),0)</f>
        <v>0</v>
      </c>
      <c r="BN22" s="72">
        <f>+IFERROR(VLOOKUP($BN$17,Sheet1!AT6:AW6,3,0),0)</f>
        <v>0</v>
      </c>
      <c r="BO22" s="79">
        <v>16.5</v>
      </c>
      <c r="BP22" s="79">
        <v>55</v>
      </c>
      <c r="BQ22" s="72">
        <f>+IFERROR(VLOOKUP($BQ$17,Sheet1!BF6:BI6,3,0),0)</f>
        <v>0</v>
      </c>
      <c r="BR22" s="72">
        <f>+IFERROR(VLOOKUP($BR$17,Sheet1!BJ6:BM6,3,0),0)</f>
        <v>0</v>
      </c>
      <c r="BS22" s="72">
        <f>+IFERROR(VLOOKUP($BS$17,Sheet1!BN6:BQ6,3,0),0)</f>
        <v>0</v>
      </c>
      <c r="BT22" s="79">
        <v>40</v>
      </c>
      <c r="BU22" s="11">
        <f>+IFERROR(VLOOKUP($BU$17,Sheet1!BV6:BY6,3,0),0)</f>
        <v>0</v>
      </c>
      <c r="BV22" s="11" t="str">
        <f>Sheet1!E6</f>
        <v>STEEL</v>
      </c>
      <c r="BW22" s="11" t="str">
        <f>Sheet1!CV6</f>
        <v>SP0400118</v>
      </c>
      <c r="BX22" s="11" t="str">
        <f>Sheet1!CW6</f>
        <v>CORRUGATED DISPATCH STEEL DRUM 1700 X 1000 X 1200</v>
      </c>
      <c r="BY22" s="11">
        <f>Sheet1!CX6</f>
        <v>250</v>
      </c>
      <c r="BZ22" s="3">
        <f>Sheet1!BZ6</f>
        <v>95000</v>
      </c>
      <c r="CA22" s="3">
        <f t="shared" si="5"/>
        <v>946310</v>
      </c>
      <c r="CB22" s="23">
        <f>Sheet1!CB6</f>
        <v>0</v>
      </c>
      <c r="CC22" s="3">
        <f t="shared" si="6"/>
        <v>0</v>
      </c>
      <c r="CD22" s="47">
        <v>0.5</v>
      </c>
      <c r="CE22" s="3">
        <f t="shared" si="7"/>
        <v>473155</v>
      </c>
      <c r="CF22" s="47">
        <v>0</v>
      </c>
      <c r="CG22" s="3">
        <f t="shared" si="8"/>
        <v>0</v>
      </c>
      <c r="CH22" s="3">
        <f t="shared" si="9"/>
        <v>1419465</v>
      </c>
      <c r="CI22" s="47">
        <v>0.02</v>
      </c>
      <c r="CJ22" s="80">
        <f t="shared" si="10"/>
        <v>28389.3</v>
      </c>
      <c r="CK22" s="47">
        <v>0.01</v>
      </c>
      <c r="CL22" s="80">
        <f t="shared" si="11"/>
        <v>14194.65</v>
      </c>
    </row>
    <row r="23" spans="1:90" ht="51" x14ac:dyDescent="0.25">
      <c r="A23" s="1" t="str">
        <f>Sheet1!A4</f>
        <v>ENQ-10773-22-23</v>
      </c>
      <c r="B23" s="51">
        <f>Sheet1!B4</f>
        <v>45135</v>
      </c>
      <c r="C23" s="66" t="s">
        <v>233</v>
      </c>
      <c r="D23" s="73" t="s">
        <v>234</v>
      </c>
      <c r="E23" s="74">
        <f t="shared" si="0"/>
        <v>1316664.45</v>
      </c>
      <c r="F23" s="77" t="e">
        <f t="shared" si="12"/>
        <v>#DIV/0!</v>
      </c>
      <c r="G23" s="75" t="e">
        <f t="shared" si="1"/>
        <v>#DIV/0!</v>
      </c>
      <c r="H23" s="76">
        <f>Sheet1!CP4</f>
        <v>0.18</v>
      </c>
      <c r="I23" s="75" t="e">
        <f t="shared" si="2"/>
        <v>#DIV/0!</v>
      </c>
      <c r="J23" s="75" t="e">
        <f t="shared" si="3"/>
        <v>#DIV/0!</v>
      </c>
      <c r="K23" s="73">
        <v>0</v>
      </c>
      <c r="L23" s="73" t="str">
        <f>Sheet1!CT4</f>
        <v>KMS</v>
      </c>
      <c r="M23" s="74" t="e">
        <f t="shared" si="4"/>
        <v>#DIV/0!</v>
      </c>
      <c r="N23" s="41">
        <f>+IFERROR(VLOOKUP($N$17,Sheet1!J4:L4,3,0),0)</f>
        <v>769.5</v>
      </c>
      <c r="O23" s="41">
        <f>+IFERROR(VLOOKUP($O$17,Sheet1!J4:L4,3,0),0)</f>
        <v>0</v>
      </c>
      <c r="P23" s="41">
        <f>+IFERROR(VLOOKUP($P$17,Sheet1!J4:M4,3,0),0)</f>
        <v>0</v>
      </c>
      <c r="Q23" s="41">
        <f>+IFERROR(VLOOKUP($Q$17,Sheet1!J4:M4,3,0),0)</f>
        <v>0</v>
      </c>
      <c r="R23" s="41">
        <f>+IFERROR(VLOOKUP($R$17,Sheet1!J4:M4,3,0),0)</f>
        <v>0</v>
      </c>
      <c r="S23" s="41">
        <f>+IFERROR(VLOOKUP($S$17,Sheet1!N4:Q4,3,0),0)</f>
        <v>0</v>
      </c>
      <c r="T23" s="41">
        <f>+IFERROR(VLOOKUP($T$17,Sheet1!N4:Q4,3,0),0)</f>
        <v>0</v>
      </c>
      <c r="U23" s="41">
        <f>+IFERROR(VLOOKUP($U$17,Sheet1!F4:I4,3,0),0)</f>
        <v>0</v>
      </c>
      <c r="V23" s="41">
        <f>+IFERROR(VLOOKUP($V$17,Sheet1!F4:I4,3,0),0)</f>
        <v>0</v>
      </c>
      <c r="W23" s="41">
        <f>+IFERROR(VLOOKUP($W$17,Sheet1!F4:I4,3,0),0)</f>
        <v>0</v>
      </c>
      <c r="X23" s="41">
        <f>+IFERROR(VLOOKUP($X$17,Sheet1!F4:I4,3,0),0)</f>
        <v>0</v>
      </c>
      <c r="Y23" s="78">
        <v>102</v>
      </c>
      <c r="Z23" s="41">
        <f>+IFERROR(VLOOKUP($Z$17,Sheet1!F4:I4,3,0),0)</f>
        <v>0</v>
      </c>
      <c r="AA23" s="41">
        <f>+IFERROR(VLOOKUP($AA$17,Sheet1!F4:I4,3,0),0)</f>
        <v>0</v>
      </c>
      <c r="AB23" s="41">
        <f>+IFERROR(VLOOKUP($AB$17,Sheet1!F4:I4,3,0),0)</f>
        <v>0</v>
      </c>
      <c r="AC23" s="78">
        <v>232</v>
      </c>
      <c r="AD23" s="72">
        <f>+IFERROR(VLOOKUP($AD$17,Sheet1!R4:U4,2,0),0)</f>
        <v>0</v>
      </c>
      <c r="AE23" s="78">
        <v>544</v>
      </c>
      <c r="AF23" s="72">
        <f>+IFERROR(VLOOKUP($AF$17,Sheet1!V4:Y4,3,0),0)</f>
        <v>0</v>
      </c>
      <c r="AG23" s="72">
        <f>+IFERROR(VLOOKUP($AG$17,Sheet1!V4:Y4,3,0),0)</f>
        <v>0</v>
      </c>
      <c r="AH23" s="72">
        <f>+IFERROR(VLOOKUP($AH$17,Sheet1!V4:Y4,3,0),0)</f>
        <v>0</v>
      </c>
      <c r="AI23" s="72">
        <f>+IFERROR(VLOOKUP($AI$17,Sheet1!V4:Y4,3,0),0)</f>
        <v>0</v>
      </c>
      <c r="AJ23" s="72">
        <f>+IFERROR(VLOOKUP($AJ$17,Sheet1!V4:Y4,3,0),0)</f>
        <v>0</v>
      </c>
      <c r="AK23" s="72">
        <f>+IFERROR(VLOOKUP($AK$17,Sheet1!Z4:AB4,3,0),0)</f>
        <v>0</v>
      </c>
      <c r="AL23" s="72">
        <f>+IFERROR(VLOOKUP($AL$17,Sheet1!AD4:AG4,3,0),0)</f>
        <v>0</v>
      </c>
      <c r="AM23" s="72">
        <f>+IFERROR(VLOOKUP($AM$17,Sheet1!AD4:AG4,3,0),0)</f>
        <v>0</v>
      </c>
      <c r="AN23" s="72">
        <f>+IFERROR(VLOOKUP($AN$17,Sheet1!AD4:AG4,3,0),0)</f>
        <v>0</v>
      </c>
      <c r="AO23" s="72">
        <f>+IFERROR(VLOOKUP($AO$17,Sheet1!AD4:AG4,3,0),0)</f>
        <v>0</v>
      </c>
      <c r="AP23" s="72">
        <f>+IFERROR(VLOOKUP($AP$17,Sheet1!AD4:AG4,3,0),0)</f>
        <v>0</v>
      </c>
      <c r="AQ23" s="72">
        <f>+IFERROR(VLOOKUP($AQ$17,Sheet1!AD4:AG4,3,0),0)</f>
        <v>0</v>
      </c>
      <c r="AR23" s="79">
        <v>460</v>
      </c>
      <c r="AS23" s="72">
        <f>+IFERROR(VLOOKUP($AS$17,Sheet1!AH4:AK4,3,0),0)</f>
        <v>0</v>
      </c>
      <c r="AT23" s="72">
        <f>+IFERROR(VLOOKUP($AT$17,Sheet1!AH4:AK4,3,0),0)</f>
        <v>0</v>
      </c>
      <c r="AU23" s="72">
        <f>+IFERROR(VLOOKUP($AU$17,Sheet1!AH4:AK4,3,0),0)</f>
        <v>0</v>
      </c>
      <c r="AV23" s="72">
        <f>+IFERROR(VLOOKUP($AV$17,Sheet1!AH4:AK4,3,0),0)</f>
        <v>0</v>
      </c>
      <c r="AW23" s="72">
        <f>+IFERROR(VLOOKUP($AW$17,Sheet1!AH4:AK4,3,0),0)</f>
        <v>0</v>
      </c>
      <c r="AX23" s="72">
        <f>+IFERROR(VLOOKUP($AX$17,Sheet1!AH4:AK4,3,0),0)</f>
        <v>0</v>
      </c>
      <c r="AY23" s="72">
        <f>+IFERROR(VLOOKUP($AY$17,Sheet1!AH4:AK4,3,0),0)</f>
        <v>0</v>
      </c>
      <c r="AZ23" s="72">
        <f>+IFERROR(VLOOKUP($AZ$17,Sheet1!AH4:AK4,3,0),0)</f>
        <v>0</v>
      </c>
      <c r="BA23" s="79">
        <v>2244</v>
      </c>
      <c r="BB23" s="72">
        <f>+IFERROR(VLOOKUP($BB$17,Sheet1!AH4:AK4,3,0),0)</f>
        <v>0</v>
      </c>
      <c r="BC23" s="72">
        <f>+IFERROR(VLOOKUP($BC$17,Sheet1!AL4:AO4,3,0),0)</f>
        <v>0</v>
      </c>
      <c r="BD23" s="72">
        <f>+IFERROR(VLOOKUP($BD$17,Sheet1!AL4:AO4,3,0),0)</f>
        <v>0</v>
      </c>
      <c r="BE23" s="72">
        <f>+IFERROR(VLOOKUP($BE$17,Sheet1!AL4:AO4,3,0),0)</f>
        <v>0</v>
      </c>
      <c r="BF23" s="79">
        <v>656</v>
      </c>
      <c r="BG23" s="79">
        <v>416</v>
      </c>
      <c r="BH23" s="72">
        <f>+IFERROR(VLOOKUP($BH$17,Sheet1!AL4:AO4,3,0),0)</f>
        <v>0</v>
      </c>
      <c r="BI23" s="72">
        <f>+IFERROR(VLOOKUP($BI$17,Sheet1!AL4:AO4,3,0),0)</f>
        <v>0</v>
      </c>
      <c r="BJ23" s="72">
        <f>+IFERROR(VLOOKUP($BJ$17,Sheet1!AL4:AO4,3,0),0)</f>
        <v>0</v>
      </c>
      <c r="BK23" s="72">
        <f>+IFERROR(VLOOKUP($BK$17,Sheet1!AL4:AO4,3,0),0)</f>
        <v>0</v>
      </c>
      <c r="BL23" s="72">
        <f>+IFERROR(VLOOKUP($BL$17,Sheet1!AL4:AO4,3,0),0)</f>
        <v>0</v>
      </c>
      <c r="BM23" s="72"/>
      <c r="BN23" s="72">
        <f>+IFERROR(VLOOKUP($BN$17,Sheet1!AT4:AW4,3,0),0)</f>
        <v>0</v>
      </c>
      <c r="BO23" s="79">
        <v>15</v>
      </c>
      <c r="BP23" s="79">
        <v>50</v>
      </c>
      <c r="BQ23" s="72">
        <f>+IFERROR(VLOOKUP($BQ$17,Sheet1!BF4:BI4,3,0),0)</f>
        <v>0</v>
      </c>
      <c r="BR23" s="72">
        <f>+IFERROR(VLOOKUP($BR$17,Sheet1!BJ4:BM4,3,0),0)</f>
        <v>0</v>
      </c>
      <c r="BS23" s="72">
        <f>+IFERROR(VLOOKUP($BS$17,Sheet1!BN4:BQ4,3,0),0)</f>
        <v>0</v>
      </c>
      <c r="BT23" s="79">
        <v>38</v>
      </c>
      <c r="BU23" s="11">
        <f>+IFERROR(VLOOKUP($BU$17,Sheet1!BV4:BY4,3,0),0)</f>
        <v>0</v>
      </c>
      <c r="BV23" s="11" t="str">
        <f>Sheet1!E4</f>
        <v>STEEL</v>
      </c>
      <c r="BW23" s="11" t="s">
        <v>189</v>
      </c>
      <c r="BX23" s="11" t="s">
        <v>190</v>
      </c>
      <c r="BY23" s="11">
        <f>Sheet1!CX4</f>
        <v>250</v>
      </c>
      <c r="BZ23" s="3">
        <v>95000</v>
      </c>
      <c r="CA23" s="3">
        <f t="shared" si="5"/>
        <v>852210</v>
      </c>
      <c r="CB23" s="23">
        <f>Sheet1!CB4</f>
        <v>0</v>
      </c>
      <c r="CC23" s="3">
        <f t="shared" si="6"/>
        <v>0</v>
      </c>
      <c r="CD23" s="47">
        <v>0.5</v>
      </c>
      <c r="CE23" s="3">
        <f t="shared" si="7"/>
        <v>426105</v>
      </c>
      <c r="CF23" s="47">
        <v>0</v>
      </c>
      <c r="CG23" s="3">
        <f t="shared" si="8"/>
        <v>0</v>
      </c>
      <c r="CH23" s="3">
        <f t="shared" si="9"/>
        <v>1278315</v>
      </c>
      <c r="CI23" s="47">
        <v>0.02</v>
      </c>
      <c r="CJ23" s="80">
        <f t="shared" si="10"/>
        <v>25566.3</v>
      </c>
      <c r="CK23" s="47">
        <v>0.01</v>
      </c>
      <c r="CL23" s="80">
        <f t="shared" si="11"/>
        <v>12783.15</v>
      </c>
    </row>
    <row r="24" spans="1:90" ht="51" x14ac:dyDescent="0.25">
      <c r="A24" s="1" t="str">
        <f>Sheet1!A8</f>
        <v>ENQ-10773-22-23</v>
      </c>
      <c r="B24" s="51">
        <f>Sheet1!B8</f>
        <v>45135</v>
      </c>
      <c r="C24" s="1" t="str">
        <f>Sheet1!C8</f>
        <v>FA1300066</v>
      </c>
      <c r="D24" s="73" t="str">
        <f>Sheet1!D8</f>
        <v>1 CORE X 1000 SQ. MM. AL/ARM (XLPE) - 11 KV</v>
      </c>
      <c r="E24" s="74">
        <f t="shared" si="0"/>
        <v>1852703.7450000001</v>
      </c>
      <c r="F24" s="77">
        <f t="shared" si="12"/>
        <v>34667</v>
      </c>
      <c r="G24" s="75">
        <f t="shared" si="1"/>
        <v>1887370.7450000001</v>
      </c>
      <c r="H24" s="76">
        <f>Sheet1!CP8</f>
        <v>0.18</v>
      </c>
      <c r="I24" s="75">
        <f t="shared" si="2"/>
        <v>339726.7341</v>
      </c>
      <c r="J24" s="75">
        <f t="shared" si="3"/>
        <v>2227097.4791000001</v>
      </c>
      <c r="K24" s="73">
        <v>15</v>
      </c>
      <c r="L24" s="73" t="str">
        <f>Sheet1!CT8</f>
        <v>KMS</v>
      </c>
      <c r="M24" s="74">
        <f t="shared" si="4"/>
        <v>33406462.186500002</v>
      </c>
      <c r="N24" s="78">
        <v>2732</v>
      </c>
      <c r="O24" s="41">
        <f>+IFERROR(VLOOKUP($O$17,Sheet1!J8:L8,3,0),0)</f>
        <v>0</v>
      </c>
      <c r="P24" s="41">
        <f>+IFERROR(VLOOKUP($P$17,Sheet1!J8:M8,3,0),0)</f>
        <v>0</v>
      </c>
      <c r="Q24" s="41">
        <f>+IFERROR(VLOOKUP($Q$17,Sheet1!J8:M8,3,0),0)</f>
        <v>0</v>
      </c>
      <c r="R24" s="41">
        <f>+IFERROR(VLOOKUP($R$17,Sheet1!J8:M8,3,0),0)</f>
        <v>0</v>
      </c>
      <c r="S24" s="41">
        <f>+IFERROR(VLOOKUP($S$17,Sheet1!N8:Q8,3,0),0)</f>
        <v>0</v>
      </c>
      <c r="T24" s="41">
        <f>+IFERROR(VLOOKUP($T$17,Sheet1!N8:Q8,3,0),0)</f>
        <v>0</v>
      </c>
      <c r="U24" s="41">
        <f>+IFERROR(VLOOKUP($U$17,Sheet1!F8:I8,3,0),0)</f>
        <v>0</v>
      </c>
      <c r="V24" s="41">
        <f>+IFERROR(VLOOKUP($V$17,Sheet1!F8:I8,3,0),0)</f>
        <v>0</v>
      </c>
      <c r="W24" s="41">
        <f>+IFERROR(VLOOKUP($W$17,Sheet1!F8:I8,3,0),0)</f>
        <v>0</v>
      </c>
      <c r="X24" s="41">
        <f>+IFERROR(VLOOKUP($X$17,Sheet1!F8:I8,3,0),0)</f>
        <v>0</v>
      </c>
      <c r="Y24" s="78">
        <v>77</v>
      </c>
      <c r="Z24" s="41">
        <f>+IFERROR(VLOOKUP($Z$17,Sheet1!F8:I8,3,0),0)</f>
        <v>0</v>
      </c>
      <c r="AA24" s="41">
        <f>+IFERROR(VLOOKUP($AA$17,Sheet1!F8:I8,3,0),0)</f>
        <v>0</v>
      </c>
      <c r="AB24" s="41">
        <f>+IFERROR(VLOOKUP($AB$17,Sheet1!F8:I8,3,0),0)</f>
        <v>0</v>
      </c>
      <c r="AC24" s="78">
        <v>230</v>
      </c>
      <c r="AD24" s="72">
        <f>+IFERROR(VLOOKUP($AD$17,Sheet1!R8:U8,2,0),0)</f>
        <v>0</v>
      </c>
      <c r="AE24" s="78">
        <v>476</v>
      </c>
      <c r="AF24" s="72">
        <f>+IFERROR(VLOOKUP($AF$17,Sheet1!V8:Y8,3,0),0)</f>
        <v>0</v>
      </c>
      <c r="AG24" s="72">
        <f>+IFERROR(VLOOKUP($AG$17,Sheet1!V8:Y8,3,0),0)</f>
        <v>0</v>
      </c>
      <c r="AH24" s="72">
        <f>+IFERROR(VLOOKUP($AH$17,Sheet1!V8:Y8,3,0),0)</f>
        <v>0</v>
      </c>
      <c r="AI24" s="72">
        <f>+IFERROR(VLOOKUP($AI$17,Sheet1!V8:Y8,3,0),0)</f>
        <v>0</v>
      </c>
      <c r="AJ24" s="72">
        <f>+IFERROR(VLOOKUP($AJ$17,Sheet1!V8:Y8,3,0),0)</f>
        <v>0</v>
      </c>
      <c r="AK24" s="79">
        <v>19</v>
      </c>
      <c r="AL24" s="72">
        <f>+IFERROR(VLOOKUP($AL$17,Sheet1!AD8:AG8,3,0),0)</f>
        <v>0</v>
      </c>
      <c r="AM24" s="72">
        <f>+IFERROR(VLOOKUP($AM$17,Sheet1!AD8:AG8,3,0),0)</f>
        <v>0</v>
      </c>
      <c r="AN24" s="72">
        <f>+IFERROR(VLOOKUP($AN$17,Sheet1!AD8:AG8,3,0),0)</f>
        <v>0</v>
      </c>
      <c r="AO24" s="72">
        <f>+IFERROR(VLOOKUP($AO$17,Sheet1!AD8:AG8,3,0),0)</f>
        <v>0</v>
      </c>
      <c r="AP24" s="72">
        <f>+IFERROR(VLOOKUP($AP$17,Sheet1!AD8:AG8,3,0),0)</f>
        <v>0</v>
      </c>
      <c r="AQ24" s="79">
        <v>194</v>
      </c>
      <c r="AR24" s="72">
        <f>+IFERROR(VLOOKUP($AR$17,Sheet1!AD8:AG8,3,0),0)</f>
        <v>0</v>
      </c>
      <c r="AS24" s="72">
        <f>+IFERROR(VLOOKUP($AS$17,Sheet1!AH8:AK8,3,0),0)</f>
        <v>0</v>
      </c>
      <c r="AT24" s="72">
        <f>+IFERROR(VLOOKUP($AT$17,Sheet1!AH8:AK8,3,0),0)</f>
        <v>0</v>
      </c>
      <c r="AU24" s="72">
        <f>+IFERROR(VLOOKUP($AU$17,Sheet1!AH8:AK8,3,0),0)</f>
        <v>0</v>
      </c>
      <c r="AV24" s="79">
        <v>1008</v>
      </c>
      <c r="AW24" s="72">
        <f>+IFERROR(VLOOKUP($AW$17,Sheet1!AH8:AK8,3,0),0)</f>
        <v>0</v>
      </c>
      <c r="AX24" s="72">
        <f>+IFERROR(VLOOKUP($AX$17,Sheet1!AH8:AK8,3,0),0)</f>
        <v>0</v>
      </c>
      <c r="AY24" s="72">
        <f>+IFERROR(VLOOKUP($AY$17,Sheet1!AH8:AK8,3,0),0)</f>
        <v>0</v>
      </c>
      <c r="AZ24" s="72">
        <f>+IFERROR(VLOOKUP($AZ$17,Sheet1!AH8:AK8,3,0),0)</f>
        <v>0</v>
      </c>
      <c r="BA24" s="72">
        <f>+IFERROR(VLOOKUP($BA$17,Sheet1!AH8:AK8,3,0),0)</f>
        <v>0</v>
      </c>
      <c r="BB24" s="72">
        <f>+IFERROR(VLOOKUP($BB$17,Sheet1!AH8:AK8,3,0),0)</f>
        <v>0</v>
      </c>
      <c r="BC24" s="72">
        <f>+IFERROR(VLOOKUP($BC$17,Sheet1!AL8:AO8,3,0),0)</f>
        <v>0</v>
      </c>
      <c r="BD24" s="72">
        <f>+IFERROR(VLOOKUP($BD$17,Sheet1!AL8:AO8,3,0),0)</f>
        <v>0</v>
      </c>
      <c r="BE24" s="72">
        <f>+IFERROR(VLOOKUP($BE$17,Sheet1!AL8:AO8,3,0),0)</f>
        <v>0</v>
      </c>
      <c r="BF24" s="79">
        <v>700</v>
      </c>
      <c r="BG24" s="72">
        <f>+IFERROR(VLOOKUP($BG$17,Sheet1!AL8:AO8,3,0),0)</f>
        <v>0</v>
      </c>
      <c r="BH24" s="72">
        <f>+IFERROR(VLOOKUP($BH$17,Sheet1!AL8:AO8,3,0),0)</f>
        <v>0</v>
      </c>
      <c r="BI24" s="72">
        <f>+IFERROR(VLOOKUP($BI$17,Sheet1!AL8:AO8,3,0),0)</f>
        <v>0</v>
      </c>
      <c r="BJ24" s="72">
        <f>+IFERROR(VLOOKUP($BJ$17,Sheet1!AL8:AO8,3,0),0)</f>
        <v>0</v>
      </c>
      <c r="BK24" s="72">
        <f>+IFERROR(VLOOKUP($BK$17,Sheet1!AL8:AO8,3,0),0)</f>
        <v>0</v>
      </c>
      <c r="BL24" s="72">
        <f>+IFERROR(VLOOKUP($BL$17,Sheet1!AL8:AO8,3,0),0)</f>
        <v>0</v>
      </c>
      <c r="BM24" s="72">
        <f>+IFERROR(VLOOKUP($BM$17,Sheet1!AP8:AS8,3,0),0)</f>
        <v>0</v>
      </c>
      <c r="BN24" s="72">
        <f>+IFERROR(VLOOKUP($BN$17,Sheet1!AT8:AW8,3,0),0)</f>
        <v>0</v>
      </c>
      <c r="BO24" s="79">
        <v>39</v>
      </c>
      <c r="BP24" s="79">
        <v>46</v>
      </c>
      <c r="BQ24" s="72">
        <f>+IFERROR(VLOOKUP($BQ$17,Sheet1!BF8:BI8,3,0),0)</f>
        <v>0</v>
      </c>
      <c r="BR24" s="72">
        <f>+IFERROR(VLOOKUP($BR$17,Sheet1!BJ8:BM8,3,0),0)</f>
        <v>0</v>
      </c>
      <c r="BS24" s="72">
        <f>+IFERROR(VLOOKUP($BS$17,Sheet1!BN8:BQ8,3,0),0)</f>
        <v>0</v>
      </c>
      <c r="BT24" s="79">
        <v>42</v>
      </c>
      <c r="BU24" s="11">
        <f>+IFERROR(VLOOKUP($BU$17,Sheet1!BV8:BY8,3,0),0)</f>
        <v>0</v>
      </c>
      <c r="BV24" s="11" t="str">
        <f>Sheet1!E8</f>
        <v>STEEL</v>
      </c>
      <c r="BW24" s="11" t="str">
        <f>Sheet1!CV8</f>
        <v>SP0400107</v>
      </c>
      <c r="BX24" s="11" t="str">
        <f>Sheet1!CW8</f>
        <v>CORRUGATED DISPATCH STEEL DRUM 2150 X 1080 X 1240 MM</v>
      </c>
      <c r="BY24" s="11">
        <f>Sheet1!CX8</f>
        <v>500</v>
      </c>
      <c r="BZ24" s="3">
        <f>Sheet1!BZ8</f>
        <v>66500</v>
      </c>
      <c r="CA24" s="3">
        <f t="shared" si="5"/>
        <v>1199161</v>
      </c>
      <c r="CB24" s="23">
        <f>Sheet1!CB8</f>
        <v>0</v>
      </c>
      <c r="CC24" s="3">
        <f t="shared" si="6"/>
        <v>0</v>
      </c>
      <c r="CD24" s="47">
        <v>0.5</v>
      </c>
      <c r="CE24" s="3">
        <f t="shared" si="7"/>
        <v>599580.5</v>
      </c>
      <c r="CF24" s="47">
        <v>0</v>
      </c>
      <c r="CG24" s="3">
        <f t="shared" si="8"/>
        <v>0</v>
      </c>
      <c r="CH24" s="3">
        <f t="shared" si="9"/>
        <v>1798741.5</v>
      </c>
      <c r="CI24" s="47">
        <v>0.02</v>
      </c>
      <c r="CJ24" s="80">
        <f t="shared" si="10"/>
        <v>35974.83</v>
      </c>
      <c r="CK24" s="47">
        <v>0.01</v>
      </c>
      <c r="CL24" s="80">
        <f t="shared" si="11"/>
        <v>17987.415000000001</v>
      </c>
    </row>
    <row r="25" spans="1:90" ht="51" x14ac:dyDescent="0.25">
      <c r="A25" s="1" t="str">
        <f>Sheet1!A5</f>
        <v>ENQ-10773-22-23</v>
      </c>
      <c r="B25" s="51">
        <f>Sheet1!B5</f>
        <v>45135</v>
      </c>
      <c r="C25" s="1" t="str">
        <f>Sheet1!C5</f>
        <v>FA1300016</v>
      </c>
      <c r="D25" s="73" t="str">
        <f>Sheet1!D5</f>
        <v>1 CORE X 630 SQ. MM. AL/ARM (XLPE)  - 11 KV</v>
      </c>
      <c r="E25" s="74">
        <f t="shared" si="0"/>
        <v>1201875.585</v>
      </c>
      <c r="F25" s="77" t="e">
        <f t="shared" si="12"/>
        <v>#DIV/0!</v>
      </c>
      <c r="G25" s="75" t="e">
        <f t="shared" si="1"/>
        <v>#DIV/0!</v>
      </c>
      <c r="H25" s="76">
        <f>Sheet1!CP5</f>
        <v>0.18</v>
      </c>
      <c r="I25" s="75" t="e">
        <f t="shared" si="2"/>
        <v>#DIV/0!</v>
      </c>
      <c r="J25" s="75" t="e">
        <f t="shared" si="3"/>
        <v>#DIV/0!</v>
      </c>
      <c r="K25" s="73">
        <v>0</v>
      </c>
      <c r="L25" s="73" t="str">
        <f>Sheet1!CT5</f>
        <v>KMS</v>
      </c>
      <c r="M25" s="74" t="e">
        <f t="shared" si="4"/>
        <v>#DIV/0!</v>
      </c>
      <c r="N25" s="78">
        <f>+IFERROR(VLOOKUP($N$17,Sheet1!J5:L5,3,0),0)</f>
        <v>1701</v>
      </c>
      <c r="O25" s="41">
        <f>+IFERROR(VLOOKUP($O$17,Sheet1!J5:L5,3,0),0)</f>
        <v>0</v>
      </c>
      <c r="P25" s="41">
        <f>+IFERROR(VLOOKUP($P$17,Sheet1!J5:M5,3,0),0)</f>
        <v>0</v>
      </c>
      <c r="Q25" s="41">
        <f>+IFERROR(VLOOKUP($Q$17,Sheet1!J5:M5,3,0),0)</f>
        <v>0</v>
      </c>
      <c r="R25" s="41">
        <f>+IFERROR(VLOOKUP($R$17,Sheet1!J5:M5,3,0),0)</f>
        <v>0</v>
      </c>
      <c r="S25" s="41">
        <f>+IFERROR(VLOOKUP($S$17,Sheet1!N5:Q5,3,0),0)</f>
        <v>0</v>
      </c>
      <c r="T25" s="41">
        <f>+IFERROR(VLOOKUP($T$17,Sheet1!N5:Q5,3,0),0)</f>
        <v>0</v>
      </c>
      <c r="U25" s="41">
        <f>+IFERROR(VLOOKUP($U$17,Sheet1!F5:I5,3,0),0)</f>
        <v>0</v>
      </c>
      <c r="V25" s="41">
        <f>+IFERROR(VLOOKUP($V$17,Sheet1!F5:I5,3,0),0)</f>
        <v>0</v>
      </c>
      <c r="W25" s="41">
        <f>+IFERROR(VLOOKUP($W$17,Sheet1!F5:I5,3,0),0)</f>
        <v>0</v>
      </c>
      <c r="X25" s="41">
        <f>+IFERROR(VLOOKUP($X$17,Sheet1!F5:I5,3,0),0)</f>
        <v>0</v>
      </c>
      <c r="Y25" s="78">
        <v>63</v>
      </c>
      <c r="Z25" s="41">
        <f>+IFERROR(VLOOKUP($Z$17,Sheet1!F5:I5,3,0),0)</f>
        <v>0</v>
      </c>
      <c r="AA25" s="41">
        <f>+IFERROR(VLOOKUP($AA$17,Sheet1!F5:I5,3,0),0)</f>
        <v>0</v>
      </c>
      <c r="AB25" s="41">
        <f>+IFERROR(VLOOKUP($AB$17,Sheet1!F5:I5,3,0),0)</f>
        <v>0</v>
      </c>
      <c r="AC25" s="78">
        <v>170</v>
      </c>
      <c r="AD25" s="72">
        <f>+IFERROR(VLOOKUP($AD$17,Sheet1!R5:U5,2,0),0)</f>
        <v>0</v>
      </c>
      <c r="AE25" s="78">
        <v>380</v>
      </c>
      <c r="AF25" s="72">
        <f>+IFERROR(VLOOKUP($AF$17,Sheet1!V5:Y5,3,0),0)</f>
        <v>0</v>
      </c>
      <c r="AG25" s="72">
        <f>+IFERROR(VLOOKUP($AG$17,Sheet1!V5:Y5,3,0),0)</f>
        <v>0</v>
      </c>
      <c r="AH25" s="72">
        <f>+IFERROR(VLOOKUP($AH$17,Sheet1!V5:Y5,3,0),0)</f>
        <v>0</v>
      </c>
      <c r="AI25" s="72">
        <f>+IFERROR(VLOOKUP($AI$17,Sheet1!V5:Y5,3,0),0)</f>
        <v>0</v>
      </c>
      <c r="AJ25" s="72">
        <f>+IFERROR(VLOOKUP($AJ$17,Sheet1!V5:Y5,3,0),0)</f>
        <v>0</v>
      </c>
      <c r="AK25" s="79">
        <v>15</v>
      </c>
      <c r="AL25" s="72">
        <f>+IFERROR(VLOOKUP($AL$17,Sheet1!AD5:AG5,3,0),0)</f>
        <v>0</v>
      </c>
      <c r="AM25" s="72">
        <f>+IFERROR(VLOOKUP($AM$17,Sheet1!AD5:AG5,3,0),0)</f>
        <v>0</v>
      </c>
      <c r="AN25" s="72">
        <f>+IFERROR(VLOOKUP($AN$17,Sheet1!AD5:AG5,3,0),0)</f>
        <v>0</v>
      </c>
      <c r="AO25" s="72">
        <f>+IFERROR(VLOOKUP($AO$17,Sheet1!AD5:AG5,3,0),0)</f>
        <v>0</v>
      </c>
      <c r="AP25" s="72">
        <f>+IFERROR(VLOOKUP($AP$17,Sheet1!AD5:AG5,3,0),0)</f>
        <v>0</v>
      </c>
      <c r="AQ25" s="79">
        <v>140</v>
      </c>
      <c r="AR25" s="72">
        <f>+IFERROR(VLOOKUP($AR$17,Sheet1!AD5:AG5,3,0),0)</f>
        <v>0</v>
      </c>
      <c r="AS25" s="72">
        <f>+IFERROR(VLOOKUP($AS$17,Sheet1!AH5:AK5,3,0),0)</f>
        <v>0</v>
      </c>
      <c r="AT25" s="72">
        <f>+IFERROR(VLOOKUP($AT$17,Sheet1!AH5:AK5,3,0),0)</f>
        <v>0</v>
      </c>
      <c r="AU25" s="72">
        <f>+IFERROR(VLOOKUP($AU$17,Sheet1!AH5:AK5,3,0),0)</f>
        <v>0</v>
      </c>
      <c r="AV25" s="79">
        <v>530</v>
      </c>
      <c r="AW25" s="72">
        <f>+IFERROR(VLOOKUP($AW$17,Sheet1!AH5:AK5,3,0),0)</f>
        <v>0</v>
      </c>
      <c r="AX25" s="72">
        <f>+IFERROR(VLOOKUP($AX$17,Sheet1!AH5:AK5,3,0),0)</f>
        <v>0</v>
      </c>
      <c r="AY25" s="72">
        <f>+IFERROR(VLOOKUP($AY$17,Sheet1!AH5:AK5,3,0),0)</f>
        <v>0</v>
      </c>
      <c r="AZ25" s="72">
        <f>+IFERROR(VLOOKUP($AZ$17,Sheet1!AH5:AK5,3,0),0)</f>
        <v>0</v>
      </c>
      <c r="BA25" s="72">
        <f>+IFERROR(VLOOKUP($BA$17,Sheet1!AH5:AK5,3,0),0)</f>
        <v>0</v>
      </c>
      <c r="BB25" s="72">
        <f>+IFERROR(VLOOKUP($BB$17,Sheet1!AH5:AK5,3,0),0)</f>
        <v>0</v>
      </c>
      <c r="BC25" s="72">
        <f>+IFERROR(VLOOKUP($BC$17,Sheet1!AL5:AO5,3,0),0)</f>
        <v>0</v>
      </c>
      <c r="BD25" s="72">
        <f>+IFERROR(VLOOKUP($BD$17,Sheet1!AL5:AO5,3,0),0)</f>
        <v>0</v>
      </c>
      <c r="BE25" s="72">
        <f>+IFERROR(VLOOKUP($BE$17,Sheet1!AL5:AO5,3,0),0)</f>
        <v>0</v>
      </c>
      <c r="BF25" s="79">
        <v>492</v>
      </c>
      <c r="BG25" s="72">
        <f>+IFERROR(VLOOKUP($BG$17,Sheet1!AL5:AO5,3,0),0)</f>
        <v>0</v>
      </c>
      <c r="BH25" s="72">
        <f>+IFERROR(VLOOKUP($BH$17,Sheet1!AL5:AO5,3,0),0)</f>
        <v>0</v>
      </c>
      <c r="BI25" s="72">
        <f>+IFERROR(VLOOKUP($BI$17,Sheet1!AL5:AO5,3,0),0)</f>
        <v>0</v>
      </c>
      <c r="BJ25" s="72">
        <f>+IFERROR(VLOOKUP($BJ$17,Sheet1!AL5:AO5,3,0),0)</f>
        <v>0</v>
      </c>
      <c r="BK25" s="72">
        <f>+IFERROR(VLOOKUP($BK$17,Sheet1!AL5:AO5,3,0),0)</f>
        <v>0</v>
      </c>
      <c r="BL25" s="72">
        <f>+IFERROR(VLOOKUP($BL$17,Sheet1!AL5:AO5,3,0),0)</f>
        <v>0</v>
      </c>
      <c r="BM25" s="72">
        <f>+IFERROR(VLOOKUP($BM$17,Sheet1!AP5:AS5,3,0),0)</f>
        <v>0</v>
      </c>
      <c r="BN25" s="72">
        <f>+IFERROR(VLOOKUP($BN$17,Sheet1!AT5:AW5,3,0),0)</f>
        <v>0</v>
      </c>
      <c r="BO25" s="79">
        <v>26</v>
      </c>
      <c r="BP25" s="79">
        <v>36</v>
      </c>
      <c r="BQ25" s="72">
        <f>+IFERROR(VLOOKUP($BQ$17,Sheet1!BF5:BI5,3,0),0)</f>
        <v>0</v>
      </c>
      <c r="BR25" s="72">
        <f>+IFERROR(VLOOKUP($BR$17,Sheet1!BJ5:BM5,3,0),0)</f>
        <v>0</v>
      </c>
      <c r="BS25" s="72">
        <f>+IFERROR(VLOOKUP($BS$17,Sheet1!BN5:BQ5,3,0),0)</f>
        <v>0</v>
      </c>
      <c r="BT25" s="79">
        <v>33</v>
      </c>
      <c r="BU25" s="11">
        <f>+IFERROR(VLOOKUP($BU$17,Sheet1!BV5:BY5,3,0),0)</f>
        <v>0</v>
      </c>
      <c r="BV25" s="11" t="str">
        <f>Sheet1!E5</f>
        <v>STEEL</v>
      </c>
      <c r="BW25" s="11" t="str">
        <f>Sheet1!CV5</f>
        <v>SP0400091</v>
      </c>
      <c r="BX25" s="11" t="str">
        <f>Sheet1!CW5</f>
        <v>CORRUGATED DISPATCH STEEL DRUM 1800 X 900 X 1000</v>
      </c>
      <c r="BY25" s="11">
        <f>Sheet1!CX5</f>
        <v>500</v>
      </c>
      <c r="BZ25" s="3">
        <f>Sheet1!BZ5</f>
        <v>48450</v>
      </c>
      <c r="CA25" s="3">
        <f t="shared" si="5"/>
        <v>777913</v>
      </c>
      <c r="CB25" s="23">
        <f>Sheet1!CB5</f>
        <v>0</v>
      </c>
      <c r="CC25" s="3">
        <f t="shared" si="6"/>
        <v>0</v>
      </c>
      <c r="CD25" s="47">
        <v>0.5</v>
      </c>
      <c r="CE25" s="3">
        <f t="shared" si="7"/>
        <v>388956.5</v>
      </c>
      <c r="CF25" s="47">
        <v>0</v>
      </c>
      <c r="CG25" s="3">
        <f t="shared" si="8"/>
        <v>0</v>
      </c>
      <c r="CH25" s="3">
        <f t="shared" si="9"/>
        <v>1166869.5</v>
      </c>
      <c r="CI25" s="47">
        <v>0.02</v>
      </c>
      <c r="CJ25" s="80">
        <f t="shared" si="10"/>
        <v>23337.39</v>
      </c>
      <c r="CK25" s="47">
        <v>0.01</v>
      </c>
      <c r="CL25" s="80">
        <f t="shared" si="11"/>
        <v>11668.695</v>
      </c>
    </row>
    <row r="26" spans="1:90" ht="51" x14ac:dyDescent="0.25">
      <c r="A26" s="1" t="str">
        <f>Sheet1!A11</f>
        <v>ENQ-10773-22-23</v>
      </c>
      <c r="B26" s="51">
        <f>Sheet1!B11</f>
        <v>45135</v>
      </c>
      <c r="C26" s="1" t="str">
        <f>Sheet1!C11</f>
        <v>FA1300047</v>
      </c>
      <c r="D26" s="73" t="str">
        <f>Sheet1!D11</f>
        <v>1 CORE X 400 SQ. MM. AL/ARM (XLPE) - 11 KV</v>
      </c>
      <c r="E26" s="74">
        <f t="shared" si="0"/>
        <v>911866.72499999998</v>
      </c>
      <c r="F26" s="77">
        <f t="shared" si="12"/>
        <v>22750</v>
      </c>
      <c r="G26" s="75">
        <f t="shared" si="1"/>
        <v>934616.72499999998</v>
      </c>
      <c r="H26" s="76">
        <f>Sheet1!CP11</f>
        <v>0.18</v>
      </c>
      <c r="I26" s="75">
        <f t="shared" si="2"/>
        <v>168231.0105</v>
      </c>
      <c r="J26" s="75">
        <f t="shared" si="3"/>
        <v>1102847.7355</v>
      </c>
      <c r="K26" s="73">
        <v>40</v>
      </c>
      <c r="L26" s="73" t="str">
        <f>Sheet1!CT11</f>
        <v>KMS</v>
      </c>
      <c r="M26" s="74">
        <f t="shared" si="4"/>
        <v>44113909.420000002</v>
      </c>
      <c r="N26" s="41">
        <f>+IFERROR(VLOOKUP($N$17,Sheet1!J11:L11,3,0),0)</f>
        <v>1080</v>
      </c>
      <c r="O26" s="41">
        <f>+IFERROR(VLOOKUP($O$17,Sheet1!J11:L11,3,0),0)</f>
        <v>0</v>
      </c>
      <c r="P26" s="41">
        <f>+IFERROR(VLOOKUP($P$17,Sheet1!J11:M11,3,0),0)</f>
        <v>0</v>
      </c>
      <c r="Q26" s="41">
        <f>+IFERROR(VLOOKUP($Q$17,Sheet1!J11:M11,3,0),0)</f>
        <v>0</v>
      </c>
      <c r="R26" s="41">
        <f>+IFERROR(VLOOKUP($R$17,Sheet1!J11:M11,3,0),0)</f>
        <v>0</v>
      </c>
      <c r="S26" s="41">
        <f>+IFERROR(VLOOKUP($S$17,Sheet1!N11:Q11,3,0),0)</f>
        <v>0</v>
      </c>
      <c r="T26" s="41">
        <f>+IFERROR(VLOOKUP($T$17,Sheet1!N11:Q11,3,0),0)</f>
        <v>0</v>
      </c>
      <c r="U26" s="41">
        <f>+IFERROR(VLOOKUP($U$17,Sheet1!F11:I11,3,0),0)</f>
        <v>0</v>
      </c>
      <c r="V26" s="41">
        <f>+IFERROR(VLOOKUP($V$17,Sheet1!F11:I11,3,0),0)</f>
        <v>0</v>
      </c>
      <c r="W26" s="41">
        <f>+IFERROR(VLOOKUP($W$17,Sheet1!F11:I11,3,0),0)</f>
        <v>0</v>
      </c>
      <c r="X26" s="41">
        <f>+IFERROR(VLOOKUP($X$17,Sheet1!F11:I11,3,0),0)</f>
        <v>0</v>
      </c>
      <c r="Y26" s="78">
        <v>53</v>
      </c>
      <c r="Z26" s="41">
        <f>+IFERROR(VLOOKUP($Z$17,Sheet1!F11:I11,3,0),0)</f>
        <v>0</v>
      </c>
      <c r="AA26" s="41">
        <f>+IFERROR(VLOOKUP($AA$17,Sheet1!F11:I11,3,0),0)</f>
        <v>0</v>
      </c>
      <c r="AB26" s="41">
        <f>+IFERROR(VLOOKUP($AB$17,Sheet1!F11:I11,3,0),0)</f>
        <v>0</v>
      </c>
      <c r="AC26" s="78">
        <v>138</v>
      </c>
      <c r="AD26" s="72">
        <f>+IFERROR(VLOOKUP($AD$17,Sheet1!R11:U11,2,0),0)</f>
        <v>0</v>
      </c>
      <c r="AE26" s="78">
        <v>310</v>
      </c>
      <c r="AF26" s="72">
        <f>+IFERROR(VLOOKUP($AF$17,Sheet1!V11:Y11,3,0),0)</f>
        <v>0</v>
      </c>
      <c r="AG26" s="72">
        <f>+IFERROR(VLOOKUP($AG$17,Sheet1!V11:Y11,3,0),0)</f>
        <v>0</v>
      </c>
      <c r="AH26" s="72">
        <f>+IFERROR(VLOOKUP($AH$17,Sheet1!V11:Y11,3,0),0)</f>
        <v>0</v>
      </c>
      <c r="AI26" s="72">
        <f>+IFERROR(VLOOKUP($AI$17,Sheet1!V11:Y11,3,0),0)</f>
        <v>0</v>
      </c>
      <c r="AJ26" s="72">
        <f>+IFERROR(VLOOKUP($AJ$17,Sheet1!V11:Y11,3,0),0)</f>
        <v>0</v>
      </c>
      <c r="AK26" s="79">
        <v>13</v>
      </c>
      <c r="AL26" s="72">
        <f>+IFERROR(VLOOKUP($AL$17,Sheet1!AD11:AG11,3,0),0)</f>
        <v>0</v>
      </c>
      <c r="AM26" s="72">
        <f>+IFERROR(VLOOKUP($AM$17,Sheet1!AD11:AG11,3,0),0)</f>
        <v>0</v>
      </c>
      <c r="AN26" s="72">
        <f>+IFERROR(VLOOKUP($AN$17,Sheet1!AD11:AG11,3,0),0)</f>
        <v>0</v>
      </c>
      <c r="AO26" s="72">
        <f>+IFERROR(VLOOKUP($AO$17,Sheet1!AD11:AG11,3,0),0)</f>
        <v>0</v>
      </c>
      <c r="AP26" s="72">
        <f>+IFERROR(VLOOKUP($AP$17,Sheet1!AD11:AG11,3,0),0)</f>
        <v>0</v>
      </c>
      <c r="AQ26" s="79">
        <v>102</v>
      </c>
      <c r="AR26" s="72">
        <f>+IFERROR(VLOOKUP($AR$17,Sheet1!AD11:AG11,3,0),0)</f>
        <v>0</v>
      </c>
      <c r="AS26" s="72">
        <f>+IFERROR(VLOOKUP($AS$17,Sheet1!AH11:AK11,3,0),0)</f>
        <v>0</v>
      </c>
      <c r="AT26" s="72">
        <f>+IFERROR(VLOOKUP($AT$17,Sheet1!AH11:AK11,3,0),0)</f>
        <v>0</v>
      </c>
      <c r="AU26" s="72">
        <f>+IFERROR(VLOOKUP($AU$17,Sheet1!AH11:AK11,3,0),0)</f>
        <v>0</v>
      </c>
      <c r="AV26" s="79">
        <v>552</v>
      </c>
      <c r="AW26" s="72">
        <f>+IFERROR(VLOOKUP($AW$17,Sheet1!AH11:AK11,3,0),0)</f>
        <v>0</v>
      </c>
      <c r="AX26" s="72">
        <f>+IFERROR(VLOOKUP($AX$17,Sheet1!AH11:AK11,3,0),0)</f>
        <v>0</v>
      </c>
      <c r="AY26" s="72">
        <f>+IFERROR(VLOOKUP($AY$17,Sheet1!AH11:AK11,3,0),0)</f>
        <v>0</v>
      </c>
      <c r="AZ26" s="72">
        <f>+IFERROR(VLOOKUP($AZ$17,Sheet1!AH11:AK11,3,0),0)</f>
        <v>0</v>
      </c>
      <c r="BA26" s="72">
        <f>+IFERROR(VLOOKUP($BA$17,Sheet1!AH11:AK11,3,0),0)</f>
        <v>0</v>
      </c>
      <c r="BB26" s="72">
        <f>+IFERROR(VLOOKUP($BB$17,Sheet1!AH11:AK11,3,0),0)</f>
        <v>0</v>
      </c>
      <c r="BC26" s="72">
        <f>+IFERROR(VLOOKUP($BC$17,Sheet1!AL11:AO11,3,0),0)</f>
        <v>0</v>
      </c>
      <c r="BD26" s="72">
        <f>+IFERROR(VLOOKUP($BD$17,Sheet1!AL11:AO11,3,0),0)</f>
        <v>0</v>
      </c>
      <c r="BE26" s="72">
        <f>+IFERROR(VLOOKUP($BE$17,Sheet1!AL11:AO11,3,0),0)</f>
        <v>0</v>
      </c>
      <c r="BF26" s="79">
        <v>403</v>
      </c>
      <c r="BG26" s="72">
        <f>+IFERROR(VLOOKUP($BG$17,Sheet1!AL11:AO11,3,0),0)</f>
        <v>0</v>
      </c>
      <c r="BH26" s="72">
        <f>+IFERROR(VLOOKUP($BH$17,Sheet1!AL11:AO11,3,0),0)</f>
        <v>0</v>
      </c>
      <c r="BI26" s="72">
        <f>+IFERROR(VLOOKUP($BI$17,Sheet1!AL11:AO11,3,0),0)</f>
        <v>0</v>
      </c>
      <c r="BJ26" s="72">
        <f>+IFERROR(VLOOKUP($BJ$17,Sheet1!AL11:AO11,3,0),0)</f>
        <v>0</v>
      </c>
      <c r="BK26" s="72">
        <f>+IFERROR(VLOOKUP($BK$17,Sheet1!AL11:AO11,3,0),0)</f>
        <v>0</v>
      </c>
      <c r="BL26" s="72">
        <f>+IFERROR(VLOOKUP($BL$17,Sheet1!AL11:AO11,3,0),0)</f>
        <v>0</v>
      </c>
      <c r="BM26" s="72">
        <f>+IFERROR(VLOOKUP($BM$17,Sheet1!AP11:AS11,3,0),0)</f>
        <v>0</v>
      </c>
      <c r="BN26" s="72">
        <f>+IFERROR(VLOOKUP($BN$17,Sheet1!AT11:AW11,3,0),0)</f>
        <v>0</v>
      </c>
      <c r="BO26" s="79">
        <v>19</v>
      </c>
      <c r="BP26" s="79">
        <v>29</v>
      </c>
      <c r="BQ26" s="72">
        <f>+IFERROR(VLOOKUP($BQ$17,Sheet1!BF11:BI11,3,0),0)</f>
        <v>0</v>
      </c>
      <c r="BR26" s="72">
        <f>+IFERROR(VLOOKUP($BR$17,Sheet1!BJ11:BM11,3,0),0)</f>
        <v>0</v>
      </c>
      <c r="BS26" s="72">
        <f>+IFERROR(VLOOKUP($BS$17,Sheet1!BN11:BQ11,3,0),0)</f>
        <v>0</v>
      </c>
      <c r="BT26" s="79">
        <v>30</v>
      </c>
      <c r="BU26" s="11">
        <f>+IFERROR(VLOOKUP($BU$17,Sheet1!BV11:BY11,3,0),0)</f>
        <v>0</v>
      </c>
      <c r="BV26" s="11" t="str">
        <f>Sheet1!E11</f>
        <v>STEEL</v>
      </c>
      <c r="BW26" s="11" t="str">
        <f>Sheet1!CV11</f>
        <v>SP0400125</v>
      </c>
      <c r="BX26" s="11" t="str">
        <f>Sheet1!CW11</f>
        <v>CORRUGATED DISPATCH STEEL DRUM 1600 X 700 X 915 MM</v>
      </c>
      <c r="BY26" s="11">
        <f>Sheet1!CX11</f>
        <v>500</v>
      </c>
      <c r="BZ26" s="3">
        <f>Sheet1!BZ11</f>
        <v>34200</v>
      </c>
      <c r="CA26" s="3">
        <f t="shared" si="5"/>
        <v>590205</v>
      </c>
      <c r="CB26" s="23">
        <f>Sheet1!CB11</f>
        <v>0</v>
      </c>
      <c r="CC26" s="3">
        <f t="shared" si="6"/>
        <v>0</v>
      </c>
      <c r="CD26" s="47">
        <v>0.5</v>
      </c>
      <c r="CE26" s="3">
        <f t="shared" si="7"/>
        <v>295102.5</v>
      </c>
      <c r="CF26" s="47">
        <v>0</v>
      </c>
      <c r="CG26" s="3">
        <f t="shared" si="8"/>
        <v>0</v>
      </c>
      <c r="CH26" s="3">
        <f t="shared" si="9"/>
        <v>885307.5</v>
      </c>
      <c r="CI26" s="47">
        <v>0.02</v>
      </c>
      <c r="CJ26" s="80">
        <f t="shared" si="10"/>
        <v>17706.150000000001</v>
      </c>
      <c r="CK26" s="47">
        <v>0.01</v>
      </c>
      <c r="CL26" s="80">
        <f t="shared" si="11"/>
        <v>8853.0750000000007</v>
      </c>
    </row>
    <row r="27" spans="1:90" ht="51" x14ac:dyDescent="0.25">
      <c r="A27" s="1" t="str">
        <f>Sheet1!A14</f>
        <v>ENQ-10773-22-23</v>
      </c>
      <c r="B27" s="51">
        <f>Sheet1!B14</f>
        <v>45135</v>
      </c>
      <c r="C27" s="1" t="str">
        <f>Sheet1!C14</f>
        <v>FA1300080</v>
      </c>
      <c r="D27" s="73" t="str">
        <f>Sheet1!D14</f>
        <v>3 CORE X 400 SQ. MM AL/ARM - WIRE (XLPE) - 33 KV</v>
      </c>
      <c r="E27" s="74">
        <f t="shared" si="0"/>
        <v>4221435.9450000003</v>
      </c>
      <c r="F27" s="77">
        <f t="shared" si="12"/>
        <v>130000</v>
      </c>
      <c r="G27" s="75">
        <f t="shared" si="1"/>
        <v>4351435.9450000003</v>
      </c>
      <c r="H27" s="76">
        <f>Sheet1!CP14</f>
        <v>0.18</v>
      </c>
      <c r="I27" s="75">
        <f t="shared" si="2"/>
        <v>783258.47010000004</v>
      </c>
      <c r="J27" s="75">
        <f t="shared" si="3"/>
        <v>5134694.4151000008</v>
      </c>
      <c r="K27" s="73">
        <v>60</v>
      </c>
      <c r="L27" s="73" t="str">
        <f>Sheet1!CT14</f>
        <v>KMS</v>
      </c>
      <c r="M27" s="74">
        <f t="shared" si="4"/>
        <v>308081664.90600002</v>
      </c>
      <c r="N27" s="78">
        <v>3243</v>
      </c>
      <c r="O27" s="41">
        <f>+IFERROR(VLOOKUP($O$17,Sheet1!J14:L14,3,0),0)</f>
        <v>0</v>
      </c>
      <c r="P27" s="41">
        <f>+IFERROR(VLOOKUP($P$17,Sheet1!J14:M14,3,0),0)</f>
        <v>0</v>
      </c>
      <c r="Q27" s="41">
        <f>+IFERROR(VLOOKUP($Q$17,Sheet1!J14:M14,3,0),0)</f>
        <v>0</v>
      </c>
      <c r="R27" s="41">
        <f>+IFERROR(VLOOKUP($R$17,Sheet1!J14:M14,3,0),0)</f>
        <v>0</v>
      </c>
      <c r="S27" s="41">
        <f>+IFERROR(VLOOKUP($S$17,Sheet1!N14:Q14,3,0),0)</f>
        <v>0</v>
      </c>
      <c r="T27" s="41">
        <f>+IFERROR(VLOOKUP($T$17,Sheet1!N14:Q14,3,0),0)</f>
        <v>0</v>
      </c>
      <c r="U27" s="41">
        <f>+IFERROR(VLOOKUP($U$17,Sheet1!F14:I14,3,0),0)</f>
        <v>0</v>
      </c>
      <c r="V27" s="41">
        <f>+IFERROR(VLOOKUP($V$17,Sheet1!F14:I14,3,0),0)</f>
        <v>0</v>
      </c>
      <c r="W27" s="41">
        <f>+IFERROR(VLOOKUP($W$17,Sheet1!F14:I14,3,0),0)</f>
        <v>0</v>
      </c>
      <c r="X27" s="41">
        <f>+IFERROR(VLOOKUP($X$17,Sheet1!F14:I14,3,0),0)</f>
        <v>0</v>
      </c>
      <c r="Y27" s="78">
        <v>212</v>
      </c>
      <c r="Z27" s="41">
        <f>+IFERROR(VLOOKUP($Z$17,Sheet1!F14:I14,3,0),0)</f>
        <v>0</v>
      </c>
      <c r="AA27" s="41">
        <f>+IFERROR(VLOOKUP($AA$17,Sheet1!F14:I14,3,0),0)</f>
        <v>0</v>
      </c>
      <c r="AB27" s="41">
        <f>+IFERROR(VLOOKUP($AB$17,Sheet1!F14:I14,3,0),0)</f>
        <v>0</v>
      </c>
      <c r="AC27" s="78">
        <v>515</v>
      </c>
      <c r="AD27" s="72">
        <f>+IFERROR(VLOOKUP($AD$17,Sheet1!R14:U14,2,0),0)</f>
        <v>0</v>
      </c>
      <c r="AE27" s="78">
        <v>2670</v>
      </c>
      <c r="AF27" s="72">
        <f>+IFERROR(VLOOKUP($AF$17,Sheet1!V14:Y14,3,0),0)</f>
        <v>0</v>
      </c>
      <c r="AG27" s="72">
        <f>+IFERROR(VLOOKUP($AG$17,Sheet1!V14:Y14,3,0),0)</f>
        <v>0</v>
      </c>
      <c r="AH27" s="72">
        <f>+IFERROR(VLOOKUP($AH$17,Sheet1!V14:Y14,3,0),0)</f>
        <v>0</v>
      </c>
      <c r="AI27" s="72">
        <f>+IFERROR(VLOOKUP($AI$17,Sheet1!V14:Y14,3,0),0)</f>
        <v>0</v>
      </c>
      <c r="AJ27" s="72">
        <f>+IFERROR(VLOOKUP($AJ$17,Sheet1!V14:Y14,3,0),0)</f>
        <v>0</v>
      </c>
      <c r="AK27" s="72">
        <f>+IFERROR(VLOOKUP($AK$17,Sheet1!Z14:AB14,3,0),0)</f>
        <v>0</v>
      </c>
      <c r="AL27" s="72">
        <f>+IFERROR(VLOOKUP($AL$17,Sheet1!AD14:AG14,3,0),0)</f>
        <v>0</v>
      </c>
      <c r="AM27" s="72">
        <f>+IFERROR(VLOOKUP($AM$17,Sheet1!AD14:AG14,3,0),0)</f>
        <v>0</v>
      </c>
      <c r="AN27" s="72">
        <f>+IFERROR(VLOOKUP($AN$17,Sheet1!AD14:AG14,3,0),0)</f>
        <v>0</v>
      </c>
      <c r="AO27" s="72">
        <f>+IFERROR(VLOOKUP($AO$17,Sheet1!AD14:AG14,3,0),0)</f>
        <v>0</v>
      </c>
      <c r="AP27" s="72">
        <f>+IFERROR(VLOOKUP($AP$17,Sheet1!AD14:AG14,3,0),0)</f>
        <v>0</v>
      </c>
      <c r="AQ27" s="72">
        <f>+IFERROR(VLOOKUP($AQ$17,Sheet1!AD14:AG14,3,0),0)</f>
        <v>0</v>
      </c>
      <c r="AR27" s="79">
        <v>1561</v>
      </c>
      <c r="AS27" s="72">
        <f>+IFERROR(VLOOKUP($AS$17,Sheet1!AH14:AK14,3,0),0)</f>
        <v>0</v>
      </c>
      <c r="AT27" s="72">
        <f>+IFERROR(VLOOKUP($AT$17,Sheet1!AH14:AK14,3,0),0)</f>
        <v>0</v>
      </c>
      <c r="AU27" s="72">
        <f>+IFERROR(VLOOKUP($AU$17,Sheet1!AH14:AK14,3,0),0)</f>
        <v>0</v>
      </c>
      <c r="AV27" s="72">
        <f>+IFERROR(VLOOKUP($AV$17,Sheet1!AH14:AK14,3,0),0)</f>
        <v>0</v>
      </c>
      <c r="AW27" s="72">
        <f>+IFERROR(VLOOKUP($AW$17,Sheet1!AH14:AK14,3,0),0)</f>
        <v>0</v>
      </c>
      <c r="AX27" s="72">
        <f>+IFERROR(VLOOKUP($AX$17,Sheet1!AH14:AK14,3,0),0)</f>
        <v>0</v>
      </c>
      <c r="AY27" s="72">
        <f>+IFERROR(VLOOKUP($AY$17,Sheet1!AH14:AK14,3,0),0)</f>
        <v>0</v>
      </c>
      <c r="AZ27" s="72">
        <f>+IFERROR(VLOOKUP($AZ$17,Sheet1!AH14:AK14,3,0),0)</f>
        <v>0</v>
      </c>
      <c r="BA27" s="79">
        <v>7182</v>
      </c>
      <c r="BB27" s="72">
        <f>+IFERROR(VLOOKUP($BB$17,Sheet1!AH14:AK14,3,0),0)</f>
        <v>0</v>
      </c>
      <c r="BC27" s="72">
        <f>+IFERROR(VLOOKUP($BC$17,Sheet1!AL14:AO14,3,0),0)</f>
        <v>0</v>
      </c>
      <c r="BD27" s="72">
        <f>+IFERROR(VLOOKUP($BD$17,Sheet1!AL14:AO14,3,0),0)</f>
        <v>0</v>
      </c>
      <c r="BE27" s="72">
        <f>+IFERROR(VLOOKUP($BE$17,Sheet1!AL14:AO14,3,0),0)</f>
        <v>0</v>
      </c>
      <c r="BF27" s="79">
        <v>1715</v>
      </c>
      <c r="BG27" s="79">
        <v>1718</v>
      </c>
      <c r="BH27" s="72">
        <f>+IFERROR(VLOOKUP($BH$17,Sheet1!AL14:AO14,3,0),0)</f>
        <v>0</v>
      </c>
      <c r="BI27" s="72">
        <f>+IFERROR(VLOOKUP($BI$17,Sheet1!AL14:AO14,3,0),0)</f>
        <v>0</v>
      </c>
      <c r="BJ27" s="72">
        <f>+IFERROR(VLOOKUP($BJ$17,Sheet1!AL14:AO14,3,0),0)</f>
        <v>0</v>
      </c>
      <c r="BK27" s="72">
        <f>+IFERROR(VLOOKUP($BK$17,Sheet1!AL14:AO14,3,0),0)</f>
        <v>0</v>
      </c>
      <c r="BL27" s="72">
        <f>+IFERROR(VLOOKUP($BL$17,Sheet1!AL14:AO14,3,0),0)</f>
        <v>0</v>
      </c>
      <c r="BM27" s="72">
        <f>+IFERROR(VLOOKUP($BM$17,Sheet1!AP14:AS14,3,0),0)</f>
        <v>0</v>
      </c>
      <c r="BN27" s="72">
        <f>+IFERROR(VLOOKUP($BN$17,Sheet1!AT14:AW14,3,0),0)</f>
        <v>0</v>
      </c>
      <c r="BO27" s="79">
        <v>58</v>
      </c>
      <c r="BP27" s="79">
        <v>104</v>
      </c>
      <c r="BQ27" s="72">
        <f>+IFERROR(VLOOKUP($BQ$17,Sheet1!BF14:BI14,3,0),0)</f>
        <v>0</v>
      </c>
      <c r="BR27" s="72">
        <f>+IFERROR(VLOOKUP($BR$17,Sheet1!BJ14:BM14,3,0),0)</f>
        <v>0</v>
      </c>
      <c r="BS27" s="72">
        <f>+IFERROR(VLOOKUP($BS$17,Sheet1!BN14:BQ14,3,0),0)</f>
        <v>0</v>
      </c>
      <c r="BT27" s="79">
        <v>75</v>
      </c>
      <c r="BU27" s="11">
        <f>+IFERROR(VLOOKUP($BU$17,Sheet1!BV14:BY14,3,0),0)</f>
        <v>0</v>
      </c>
      <c r="BV27" s="11" t="str">
        <f>Sheet1!E14</f>
        <v>STEEL</v>
      </c>
      <c r="BW27" s="11" t="str">
        <f>Sheet1!CV14</f>
        <v>SP0400137</v>
      </c>
      <c r="BX27" s="11" t="str">
        <f>Sheet1!CW14</f>
        <v>CORRUGATED DISPATCH STEEL DRUM 2600 X 1600 X 1600 MM</v>
      </c>
      <c r="BY27" s="11">
        <f>Sheet1!CX14</f>
        <v>250</v>
      </c>
      <c r="BZ27" s="3">
        <f>Sheet1!BZ14</f>
        <v>190000</v>
      </c>
      <c r="CA27" s="3">
        <f t="shared" si="5"/>
        <v>2732321</v>
      </c>
      <c r="CB27" s="23">
        <f>Sheet1!CB14</f>
        <v>0</v>
      </c>
      <c r="CC27" s="3">
        <f t="shared" si="6"/>
        <v>0</v>
      </c>
      <c r="CD27" s="47">
        <v>0.5</v>
      </c>
      <c r="CE27" s="3">
        <f t="shared" si="7"/>
        <v>1366160.5</v>
      </c>
      <c r="CF27" s="47">
        <v>0</v>
      </c>
      <c r="CG27" s="3">
        <f t="shared" si="8"/>
        <v>0</v>
      </c>
      <c r="CH27" s="3">
        <f t="shared" si="9"/>
        <v>4098481.5</v>
      </c>
      <c r="CI27" s="47">
        <v>0.02</v>
      </c>
      <c r="CJ27" s="80">
        <f t="shared" si="10"/>
        <v>81969.63</v>
      </c>
      <c r="CK27" s="47">
        <v>0.01</v>
      </c>
      <c r="CL27" s="80">
        <f t="shared" si="11"/>
        <v>40984.815000000002</v>
      </c>
    </row>
    <row r="28" spans="1:90" ht="51" x14ac:dyDescent="0.25">
      <c r="A28" s="1" t="str">
        <f>Sheet1!A9</f>
        <v>ENQ-10773-22-23</v>
      </c>
      <c r="B28" s="51">
        <f>Sheet1!B9</f>
        <v>45135</v>
      </c>
      <c r="C28" s="1" t="str">
        <f>Sheet1!C9</f>
        <v>FA1300081</v>
      </c>
      <c r="D28" s="73" t="str">
        <f>Sheet1!D9</f>
        <v>3 CORE X 300 SQ. MM. AL/ARM - WIRE (XLPE) - 33 KV</v>
      </c>
      <c r="E28" s="74">
        <f t="shared" si="0"/>
        <v>3709171.1100000003</v>
      </c>
      <c r="F28" s="77">
        <f t="shared" si="12"/>
        <v>130000</v>
      </c>
      <c r="G28" s="75">
        <f t="shared" si="1"/>
        <v>3839171.1100000003</v>
      </c>
      <c r="H28" s="76">
        <f>Sheet1!CP9</f>
        <v>0.18</v>
      </c>
      <c r="I28" s="75">
        <f t="shared" si="2"/>
        <v>691050.79980000004</v>
      </c>
      <c r="J28" s="75">
        <f t="shared" si="3"/>
        <v>4530221.9098000005</v>
      </c>
      <c r="K28" s="73">
        <v>13</v>
      </c>
      <c r="L28" s="73" t="str">
        <f>Sheet1!CT9</f>
        <v>KMS</v>
      </c>
      <c r="M28" s="74">
        <f t="shared" si="4"/>
        <v>58892884.827400006</v>
      </c>
      <c r="N28" s="41">
        <f>+IFERROR(VLOOKUP($N$17,Sheet1!J9:L9,3,0),0)</f>
        <v>2430</v>
      </c>
      <c r="O28" s="41">
        <f>+IFERROR(VLOOKUP($O$17,Sheet1!J9:L9,3,0),0)</f>
        <v>0</v>
      </c>
      <c r="P28" s="41">
        <f>+IFERROR(VLOOKUP($P$17,Sheet1!J9:M9,3,0),0)</f>
        <v>0</v>
      </c>
      <c r="Q28" s="41">
        <f>+IFERROR(VLOOKUP($Q$17,Sheet1!J9:M9,3,0),0)</f>
        <v>0</v>
      </c>
      <c r="R28" s="41">
        <f>+IFERROR(VLOOKUP($R$17,Sheet1!J9:M9,3,0),0)</f>
        <v>0</v>
      </c>
      <c r="S28" s="41">
        <f>+IFERROR(VLOOKUP($S$17,Sheet1!N9:Q9,3,0),0)</f>
        <v>0</v>
      </c>
      <c r="T28" s="41">
        <f>+IFERROR(VLOOKUP($T$17,Sheet1!N9:Q9,3,0),0)</f>
        <v>0</v>
      </c>
      <c r="U28" s="41">
        <f>+IFERROR(VLOOKUP($U$17,Sheet1!F9:I9,3,0),0)</f>
        <v>0</v>
      </c>
      <c r="V28" s="41">
        <f>+IFERROR(VLOOKUP($V$17,Sheet1!F9:I9,3,0),0)</f>
        <v>0</v>
      </c>
      <c r="W28" s="41">
        <f>+IFERROR(VLOOKUP($W$17,Sheet1!F9:I9,3,0),0)</f>
        <v>0</v>
      </c>
      <c r="X28" s="41">
        <f>+IFERROR(VLOOKUP($X$17,Sheet1!F9:I9,3,0),0)</f>
        <v>0</v>
      </c>
      <c r="Y28" s="78">
        <v>193</v>
      </c>
      <c r="Z28" s="41">
        <f>+IFERROR(VLOOKUP($Z$17,Sheet1!F9:I9,3,0),0)</f>
        <v>0</v>
      </c>
      <c r="AA28" s="41">
        <f>+IFERROR(VLOOKUP($AA$17,Sheet1!F9:I9,3,0),0)</f>
        <v>0</v>
      </c>
      <c r="AB28" s="41">
        <f>+IFERROR(VLOOKUP($AB$17,Sheet1!F9:I9,3,0),0)</f>
        <v>0</v>
      </c>
      <c r="AC28" s="78">
        <v>495</v>
      </c>
      <c r="AD28" s="72">
        <f>+IFERROR(VLOOKUP($AD$17,Sheet1!R9:U9,2,0),0)</f>
        <v>0</v>
      </c>
      <c r="AE28" s="78">
        <v>2434</v>
      </c>
      <c r="AF28" s="72">
        <f>+IFERROR(VLOOKUP($AF$17,Sheet1!V9:Y9,3,0),0)</f>
        <v>0</v>
      </c>
      <c r="AG28" s="72">
        <f>+IFERROR(VLOOKUP($AG$17,Sheet1!V9:Y9,3,0),0)</f>
        <v>0</v>
      </c>
      <c r="AH28" s="72">
        <f>+IFERROR(VLOOKUP($AH$17,Sheet1!V9:Y9,3,0),0)</f>
        <v>0</v>
      </c>
      <c r="AI28" s="72">
        <f>+IFERROR(VLOOKUP($AI$17,Sheet1!V9:Y9,3,0),0)</f>
        <v>0</v>
      </c>
      <c r="AJ28" s="72">
        <f>+IFERROR(VLOOKUP($AJ$17,Sheet1!V9:Y9,3,0),0)</f>
        <v>0</v>
      </c>
      <c r="AK28" s="72">
        <f>+IFERROR(VLOOKUP($AK$17,Sheet1!Z9:AB9,3,0),0)</f>
        <v>0</v>
      </c>
      <c r="AL28" s="72">
        <f>+IFERROR(VLOOKUP($AL$17,Sheet1!AD9:AG9,3,0),0)</f>
        <v>0</v>
      </c>
      <c r="AM28" s="72">
        <f>+IFERROR(VLOOKUP($AM$17,Sheet1!AD9:AG9,3,0),0)</f>
        <v>0</v>
      </c>
      <c r="AN28" s="72">
        <f>+IFERROR(VLOOKUP($AN$17,Sheet1!AD9:AG9,3,0),0)</f>
        <v>0</v>
      </c>
      <c r="AO28" s="72">
        <f>+IFERROR(VLOOKUP($AO$17,Sheet1!AD9:AG9,3,0),0)</f>
        <v>0</v>
      </c>
      <c r="AP28" s="72">
        <f>+IFERROR(VLOOKUP($AP$17,Sheet1!AD9:AG9,3,0),0)</f>
        <v>0</v>
      </c>
      <c r="AQ28" s="72">
        <f>+IFERROR(VLOOKUP($AQ$17,Sheet1!AD9:AG9,3,0),0)</f>
        <v>0</v>
      </c>
      <c r="AR28" s="79">
        <v>1382</v>
      </c>
      <c r="AS28" s="72">
        <f>+IFERROR(VLOOKUP($AS$17,Sheet1!AH9:AK9,3,0),0)</f>
        <v>0</v>
      </c>
      <c r="AT28" s="72">
        <f>+IFERROR(VLOOKUP($AT$17,Sheet1!AH9:AK9,3,0),0)</f>
        <v>0</v>
      </c>
      <c r="AU28" s="72">
        <f>+IFERROR(VLOOKUP($AU$17,Sheet1!AH9:AK9,3,0),0)</f>
        <v>0</v>
      </c>
      <c r="AV28" s="72">
        <f>+IFERROR(VLOOKUP($AV$17,Sheet1!AH9:AK9,3,0),0)</f>
        <v>0</v>
      </c>
      <c r="AW28" s="72">
        <f>+IFERROR(VLOOKUP($AW$17,Sheet1!AH9:AK9,3,0),0)</f>
        <v>0</v>
      </c>
      <c r="AX28" s="72">
        <f>+IFERROR(VLOOKUP($AX$17,Sheet1!AH9:AK9,3,0),0)</f>
        <v>0</v>
      </c>
      <c r="AY28" s="72">
        <f>+IFERROR(VLOOKUP($AY$17,Sheet1!AH9:AK9,3,0),0)</f>
        <v>0</v>
      </c>
      <c r="AZ28" s="72">
        <f>+IFERROR(VLOOKUP($AZ$17,Sheet1!AH9:AK9,3,0),0)</f>
        <v>0</v>
      </c>
      <c r="BA28" s="79">
        <v>6668</v>
      </c>
      <c r="BB28" s="72">
        <f>+IFERROR(VLOOKUP($BB$17,Sheet1!AH9:AK9,3,0),0)</f>
        <v>0</v>
      </c>
      <c r="BC28" s="72">
        <f>+IFERROR(VLOOKUP($BC$17,Sheet1!AL9:AO9,3,0),0)</f>
        <v>0</v>
      </c>
      <c r="BD28" s="72">
        <f>+IFERROR(VLOOKUP($BD$17,Sheet1!AL9:AO9,3,0),0)</f>
        <v>0</v>
      </c>
      <c r="BE28" s="72">
        <f>+IFERROR(VLOOKUP($BE$17,Sheet1!AL9:AO9,3,0),0)</f>
        <v>0</v>
      </c>
      <c r="BF28" s="79">
        <v>1613</v>
      </c>
      <c r="BG28" s="79">
        <v>1497</v>
      </c>
      <c r="BH28" s="72">
        <f>+IFERROR(VLOOKUP($BH$17,Sheet1!AL9:AO9,3,0),0)</f>
        <v>0</v>
      </c>
      <c r="BI28" s="72">
        <f>+IFERROR(VLOOKUP($BI$17,Sheet1!AL9:AO9,3,0),0)</f>
        <v>0</v>
      </c>
      <c r="BJ28" s="72">
        <f>+IFERROR(VLOOKUP($BJ$17,Sheet1!AL9:AO9,3,0),0)</f>
        <v>0</v>
      </c>
      <c r="BK28" s="72">
        <f>+IFERROR(VLOOKUP($BK$17,Sheet1!AL9:AO9,3,0),0)</f>
        <v>0</v>
      </c>
      <c r="BL28" s="72">
        <f>+IFERROR(VLOOKUP($BL$17,Sheet1!AL9:AO9,3,0),0)</f>
        <v>0</v>
      </c>
      <c r="BM28" s="72">
        <f>+IFERROR(VLOOKUP($BM$17,Sheet1!AP9:AS9,3,0),0)</f>
        <v>0</v>
      </c>
      <c r="BN28" s="72">
        <f>+IFERROR(VLOOKUP($BN$17,Sheet1!AT9:AW9,3,0),0)</f>
        <v>0</v>
      </c>
      <c r="BO28" s="79">
        <v>38</v>
      </c>
      <c r="BP28" s="79">
        <v>93</v>
      </c>
      <c r="BQ28" s="72">
        <f>+IFERROR(VLOOKUP($BQ$17,Sheet1!BF9:BI9,3,0),0)</f>
        <v>0</v>
      </c>
      <c r="BR28" s="72">
        <f>+IFERROR(VLOOKUP($BR$17,Sheet1!BJ9:BM9,3,0),0)</f>
        <v>0</v>
      </c>
      <c r="BS28" s="72">
        <f>+IFERROR(VLOOKUP($BS$17,Sheet1!BN9:BQ9,3,0),0)</f>
        <v>0</v>
      </c>
      <c r="BT28" s="79">
        <v>71</v>
      </c>
      <c r="BU28" s="11">
        <f>+IFERROR(VLOOKUP($BU$17,Sheet1!BV9:BY9,3,0),0)</f>
        <v>0</v>
      </c>
      <c r="BV28" s="11" t="str">
        <f>Sheet1!E9</f>
        <v>STEEL</v>
      </c>
      <c r="BW28" s="11" t="str">
        <f>Sheet1!CV9</f>
        <v>SP0400137</v>
      </c>
      <c r="BX28" s="11" t="str">
        <f>Sheet1!CW9</f>
        <v>CORRUGATED DISPATCH STEEL DRUM 2600 X 1600 X 1600</v>
      </c>
      <c r="BY28" s="11">
        <f>Sheet1!CX9</f>
        <v>250</v>
      </c>
      <c r="BZ28" s="3">
        <f>Sheet1!BZ9</f>
        <v>190000</v>
      </c>
      <c r="CA28" s="3">
        <f t="shared" si="5"/>
        <v>2400758</v>
      </c>
      <c r="CB28" s="23">
        <f>Sheet1!CB9</f>
        <v>0</v>
      </c>
      <c r="CC28" s="3">
        <f t="shared" si="6"/>
        <v>0</v>
      </c>
      <c r="CD28" s="47">
        <v>0.5</v>
      </c>
      <c r="CE28" s="3">
        <f t="shared" si="7"/>
        <v>1200379</v>
      </c>
      <c r="CF28" s="47">
        <v>0</v>
      </c>
      <c r="CG28" s="3">
        <f t="shared" si="8"/>
        <v>0</v>
      </c>
      <c r="CH28" s="3">
        <f t="shared" si="9"/>
        <v>3601137</v>
      </c>
      <c r="CI28" s="47">
        <v>0.02</v>
      </c>
      <c r="CJ28" s="80">
        <f t="shared" si="10"/>
        <v>72022.740000000005</v>
      </c>
      <c r="CK28" s="47">
        <v>0.01</v>
      </c>
      <c r="CL28" s="80">
        <f t="shared" si="11"/>
        <v>36011.370000000003</v>
      </c>
    </row>
    <row r="29" spans="1:90" ht="51" x14ac:dyDescent="0.25">
      <c r="A29" s="1" t="str">
        <f>Sheet1!A2</f>
        <v>ENQ-10773-22-23</v>
      </c>
      <c r="B29" s="51">
        <f>Sheet1!B2</f>
        <v>45135</v>
      </c>
      <c r="C29" s="1" t="str">
        <f>Sheet1!C2</f>
        <v>FA1300200</v>
      </c>
      <c r="D29" s="73" t="str">
        <f>Sheet1!D2</f>
        <v>3 CORE X 95 SQ. MM. AL/ARM  WIRE (XLPE) - 33 KV</v>
      </c>
      <c r="E29" s="74">
        <f t="shared" si="0"/>
        <v>2262621.6</v>
      </c>
      <c r="F29" s="77" t="e">
        <f t="shared" si="12"/>
        <v>#DIV/0!</v>
      </c>
      <c r="G29" s="75" t="e">
        <f t="shared" si="1"/>
        <v>#DIV/0!</v>
      </c>
      <c r="H29" s="76">
        <f>Sheet1!CP2</f>
        <v>0.18</v>
      </c>
      <c r="I29" s="75" t="e">
        <f t="shared" si="2"/>
        <v>#DIV/0!</v>
      </c>
      <c r="J29" s="75" t="e">
        <f t="shared" si="3"/>
        <v>#DIV/0!</v>
      </c>
      <c r="K29" s="73">
        <v>0</v>
      </c>
      <c r="L29" s="73" t="str">
        <f>Sheet1!CT2</f>
        <v>KMS</v>
      </c>
      <c r="M29" s="74" t="e">
        <f t="shared" si="4"/>
        <v>#DIV/0!</v>
      </c>
      <c r="N29" s="41">
        <f>+IFERROR(VLOOKUP($N$17,Sheet1!J2:L2,3,0),0)</f>
        <v>769.5</v>
      </c>
      <c r="O29" s="41">
        <f>+IFERROR(VLOOKUP($O$17,Sheet1!J2:L2,3,0),0)</f>
        <v>0</v>
      </c>
      <c r="P29" s="41">
        <f>+IFERROR(VLOOKUP($P$17,Sheet1!J2:M2,3,0),0)</f>
        <v>0</v>
      </c>
      <c r="Q29" s="41">
        <f>+IFERROR(VLOOKUP($Q$17,Sheet1!J2:M2,3,0),0)</f>
        <v>0</v>
      </c>
      <c r="R29" s="41">
        <f>+IFERROR(VLOOKUP($R$17,Sheet1!J2:M2,3,0),0)</f>
        <v>0</v>
      </c>
      <c r="S29" s="41">
        <f>+IFERROR(VLOOKUP($S$17,Sheet1!N2:Q2,3,0),0)</f>
        <v>0</v>
      </c>
      <c r="T29" s="41">
        <f>+IFERROR(VLOOKUP($T$17,Sheet1!N2:Q2,3,0),0)</f>
        <v>0</v>
      </c>
      <c r="U29" s="41">
        <f>+IFERROR(VLOOKUP($U$17,Sheet1!F2:I2,3,0),0)</f>
        <v>0</v>
      </c>
      <c r="V29" s="41">
        <f>+IFERROR(VLOOKUP($V$17,Sheet1!F2:I2,3,0),0)</f>
        <v>0</v>
      </c>
      <c r="W29" s="41">
        <f>+IFERROR(VLOOKUP($W$17,Sheet1!F2:I2,3,0),0)</f>
        <v>0</v>
      </c>
      <c r="X29" s="41">
        <f>+IFERROR(VLOOKUP($X$17,Sheet1!F2:I2,3,0),0)</f>
        <v>0</v>
      </c>
      <c r="Y29" s="78">
        <v>151</v>
      </c>
      <c r="Z29" s="41">
        <f>+IFERROR(VLOOKUP($Z$17,Sheet1!F2:I2,3,0),0)</f>
        <v>0</v>
      </c>
      <c r="AA29" s="41">
        <f>+IFERROR(VLOOKUP($AA$17,Sheet1!F2:I2,3,0),0)</f>
        <v>0</v>
      </c>
      <c r="AB29" s="41">
        <f>+IFERROR(VLOOKUP($AB$17,Sheet1!F2:I2,3,0),0)</f>
        <v>0</v>
      </c>
      <c r="AC29" s="78">
        <v>345</v>
      </c>
      <c r="AD29" s="72">
        <f>+IFERROR(VLOOKUP($AD$17,Sheet1!R2:U2,2,0),0)</f>
        <v>0</v>
      </c>
      <c r="AE29" s="78">
        <v>1725</v>
      </c>
      <c r="AF29" s="72">
        <f>+IFERROR(VLOOKUP($AF$17,Sheet1!V2:Y2,3,0),0)</f>
        <v>0</v>
      </c>
      <c r="AG29" s="72">
        <f>+IFERROR(VLOOKUP($AG$17,Sheet1!V2:Y2,3,0),0)</f>
        <v>0</v>
      </c>
      <c r="AH29" s="72">
        <f>+IFERROR(VLOOKUP($AH$17,Sheet1!V2:Y2,3,0),0)</f>
        <v>0</v>
      </c>
      <c r="AI29" s="72">
        <f>+IFERROR(VLOOKUP($AI$17,Sheet1!V2:Y2,3,0),0)</f>
        <v>0</v>
      </c>
      <c r="AJ29" s="72">
        <f>+IFERROR(VLOOKUP($AJ$17,Sheet1!V2:Y2,3,0),0)</f>
        <v>0</v>
      </c>
      <c r="AK29" s="72">
        <f>+IFERROR(VLOOKUP($AK$17,Sheet1!Z2:AB2,3,0),0)</f>
        <v>0</v>
      </c>
      <c r="AL29" s="72">
        <f>+IFERROR(VLOOKUP($AL$17,Sheet1!AD2:AG2,3,0),0)</f>
        <v>0</v>
      </c>
      <c r="AM29" s="72">
        <f>+IFERROR(VLOOKUP($AM$17,Sheet1!AD2:AG2,3,0),0)</f>
        <v>0</v>
      </c>
      <c r="AN29" s="72">
        <f>+IFERROR(VLOOKUP($AN$17,Sheet1!AD2:AG2,3,0),0)</f>
        <v>0</v>
      </c>
      <c r="AO29" s="72">
        <f>+IFERROR(VLOOKUP($AO$17,Sheet1!AD2:AG2,3,0),0)</f>
        <v>0</v>
      </c>
      <c r="AP29" s="72">
        <f>+IFERROR(VLOOKUP($AP$17,Sheet1!AD2:AG2,3,0),0)</f>
        <v>0</v>
      </c>
      <c r="AQ29" s="72">
        <f>+IFERROR(VLOOKUP($AQ$17,Sheet1!AD2:AG2,3,0),0)</f>
        <v>0</v>
      </c>
      <c r="AR29" s="79">
        <v>914</v>
      </c>
      <c r="AS29" s="72">
        <f>+IFERROR(VLOOKUP($AS$17,Sheet1!AH2:AK2,3,0),0)</f>
        <v>0</v>
      </c>
      <c r="AT29" s="72">
        <f>+IFERROR(VLOOKUP($AT$17,Sheet1!AH2:AK2,3,0),0)</f>
        <v>0</v>
      </c>
      <c r="AU29" s="72">
        <f>+IFERROR(VLOOKUP($AU$17,Sheet1!AH2:AK2,3,0),0)</f>
        <v>0</v>
      </c>
      <c r="AV29" s="72">
        <f>+IFERROR(VLOOKUP($AV$17,Sheet1!AH2:AK2,3,0),0)</f>
        <v>0</v>
      </c>
      <c r="AW29" s="72">
        <f>+IFERROR(VLOOKUP($AW$17,Sheet1!AH2:AK2,3,0),0)</f>
        <v>0</v>
      </c>
      <c r="AX29" s="72">
        <f>+IFERROR(VLOOKUP($AX$17,Sheet1!AH2:AK2,3,0),0)</f>
        <v>0</v>
      </c>
      <c r="AY29" s="72">
        <f>+IFERROR(VLOOKUP($AY$17,Sheet1!AH2:AK2,3,0),0)</f>
        <v>0</v>
      </c>
      <c r="AZ29" s="72">
        <f>+IFERROR(VLOOKUP($AZ$17,Sheet1!AH2:AK2,3,0),0)</f>
        <v>0</v>
      </c>
      <c r="BA29" s="79">
        <v>4135</v>
      </c>
      <c r="BB29" s="72">
        <f>+IFERROR(VLOOKUP($BB$17,Sheet1!AH2:AK2,3,0),0)</f>
        <v>0</v>
      </c>
      <c r="BC29" s="72">
        <f>+IFERROR(VLOOKUP($BC$17,Sheet1!AL2:AO2,3,0),0)</f>
        <v>0</v>
      </c>
      <c r="BD29" s="72">
        <f>+IFERROR(VLOOKUP($BD$17,Sheet1!AL2:AO2,3,0),0)</f>
        <v>0</v>
      </c>
      <c r="BE29" s="72">
        <f>+IFERROR(VLOOKUP($BE$17,Sheet1!AL2:AO2,3,0),0)</f>
        <v>0</v>
      </c>
      <c r="BF29" s="79">
        <v>1282</v>
      </c>
      <c r="BG29" s="79">
        <v>917</v>
      </c>
      <c r="BH29" s="72">
        <f>+IFERROR(VLOOKUP($BH$17,Sheet1!AL2:AO2,3,0),0)</f>
        <v>0</v>
      </c>
      <c r="BI29" s="72">
        <f>+IFERROR(VLOOKUP($BI$17,Sheet1!AL2:AO2,3,0),0)</f>
        <v>0</v>
      </c>
      <c r="BJ29" s="72">
        <f>+IFERROR(VLOOKUP($BJ$17,Sheet1!AL2:AO2,3,0),0)</f>
        <v>0</v>
      </c>
      <c r="BK29" s="72">
        <f>+IFERROR(VLOOKUP($BK$17,Sheet1!AL2:AO2,3,0),0)</f>
        <v>0</v>
      </c>
      <c r="BL29" s="72">
        <f>+IFERROR(VLOOKUP($BL$17,Sheet1!AL2:AO2,3,0),0)</f>
        <v>0</v>
      </c>
      <c r="BM29" s="72">
        <f>+IFERROR(VLOOKUP($BM$17,Sheet1!AP2:AS2,3,0),0)</f>
        <v>0</v>
      </c>
      <c r="BN29" s="72">
        <f>+IFERROR(VLOOKUP($BN$17,Sheet1!AT2:AW2,3,0),0)</f>
        <v>0</v>
      </c>
      <c r="BO29" s="79">
        <v>15</v>
      </c>
      <c r="BP29" s="79">
        <v>66</v>
      </c>
      <c r="BQ29" s="72">
        <f>+IFERROR(VLOOKUP($BQ$17,Sheet1!BF2:BI2,3,0),0)</f>
        <v>0</v>
      </c>
      <c r="BR29" s="72">
        <f>+IFERROR(VLOOKUP($BR$17,Sheet1!BJ2:BM2,3,0),0)</f>
        <v>0</v>
      </c>
      <c r="BS29" s="72">
        <f>+IFERROR(VLOOKUP($BS$17,Sheet1!BN2:BQ2,3,0),0)</f>
        <v>0</v>
      </c>
      <c r="BT29" s="79">
        <v>56</v>
      </c>
      <c r="BU29" s="11">
        <f>+IFERROR(VLOOKUP($BU$17,Sheet1!BV2:BY2,3,0),0)</f>
        <v>0</v>
      </c>
      <c r="BV29" s="11" t="str">
        <f>Sheet1!E2</f>
        <v>STEEL</v>
      </c>
      <c r="BW29" s="11" t="str">
        <f>Sheet1!CV2</f>
        <v>SP0400136</v>
      </c>
      <c r="BX29" s="11" t="str">
        <f>Sheet1!CW2</f>
        <v>CORRUGATED DISPATCH STEEL DRUM 2200 X 1300 X 1200 MM</v>
      </c>
      <c r="BY29" s="11">
        <f>Sheet1!CX2</f>
        <v>250</v>
      </c>
      <c r="BZ29" s="3">
        <f>Sheet1!BZ2</f>
        <v>147200</v>
      </c>
      <c r="CA29" s="3">
        <f t="shared" si="5"/>
        <v>1464480</v>
      </c>
      <c r="CB29" s="23">
        <f>Sheet1!CB2</f>
        <v>0</v>
      </c>
      <c r="CC29" s="3">
        <f t="shared" si="6"/>
        <v>0</v>
      </c>
      <c r="CD29" s="47">
        <v>0.5</v>
      </c>
      <c r="CE29" s="3">
        <f t="shared" si="7"/>
        <v>732240</v>
      </c>
      <c r="CF29" s="47">
        <v>0</v>
      </c>
      <c r="CG29" s="3">
        <f t="shared" si="8"/>
        <v>0</v>
      </c>
      <c r="CH29" s="3">
        <f t="shared" si="9"/>
        <v>2196720</v>
      </c>
      <c r="CI29" s="47">
        <v>0.02</v>
      </c>
      <c r="CJ29" s="80">
        <f t="shared" si="10"/>
        <v>43934.400000000001</v>
      </c>
      <c r="CK29" s="47">
        <v>0.01</v>
      </c>
      <c r="CL29" s="80">
        <f t="shared" si="11"/>
        <v>21967.200000000001</v>
      </c>
    </row>
    <row r="30" spans="1:90" ht="51" x14ac:dyDescent="0.25">
      <c r="A30" s="1" t="str">
        <f>Sheet1!A12</f>
        <v>ENQ-10773-22-23</v>
      </c>
      <c r="B30" s="51">
        <f>Sheet1!B12</f>
        <v>45135</v>
      </c>
      <c r="C30" s="1" t="str">
        <f>Sheet1!C12</f>
        <v>FA1300027</v>
      </c>
      <c r="D30" s="73" t="str">
        <f>Sheet1!D12</f>
        <v>1 CORE X 630 SQ. MM. AL/ARM (XLPE)  - 33 KV</v>
      </c>
      <c r="E30" s="74">
        <f t="shared" si="0"/>
        <v>1563059.5049999999</v>
      </c>
      <c r="F30" s="77" t="e">
        <f t="shared" si="12"/>
        <v>#DIV/0!</v>
      </c>
      <c r="G30" s="75" t="e">
        <f t="shared" si="1"/>
        <v>#DIV/0!</v>
      </c>
      <c r="H30" s="76">
        <f>Sheet1!CP12</f>
        <v>0.18</v>
      </c>
      <c r="I30" s="75" t="e">
        <f t="shared" si="2"/>
        <v>#DIV/0!</v>
      </c>
      <c r="J30" s="75" t="e">
        <f t="shared" si="3"/>
        <v>#DIV/0!</v>
      </c>
      <c r="K30" s="73">
        <v>0</v>
      </c>
      <c r="L30" s="73" t="str">
        <f>Sheet1!CT12</f>
        <v>KMS</v>
      </c>
      <c r="M30" s="74" t="e">
        <f t="shared" si="4"/>
        <v>#DIV/0!</v>
      </c>
      <c r="N30" s="78">
        <f>+IFERROR(VLOOKUP($N$17,Sheet1!J12:L12,3,0),0)</f>
        <v>1701</v>
      </c>
      <c r="O30" s="41">
        <f>+IFERROR(VLOOKUP($O$17,Sheet1!J12:L12,3,0),0)</f>
        <v>0</v>
      </c>
      <c r="P30" s="41">
        <f>+IFERROR(VLOOKUP($P$17,Sheet1!J12:M12,3,0),0)</f>
        <v>0</v>
      </c>
      <c r="Q30" s="41">
        <f>+IFERROR(VLOOKUP($Q$17,Sheet1!J12:M12,3,0),0)</f>
        <v>0</v>
      </c>
      <c r="R30" s="41">
        <f>+IFERROR(VLOOKUP($R$17,Sheet1!J12:M12,3,0),0)</f>
        <v>0</v>
      </c>
      <c r="S30" s="41">
        <f>+IFERROR(VLOOKUP($S$17,Sheet1!N12:Q12,3,0),0)</f>
        <v>0</v>
      </c>
      <c r="T30" s="41">
        <f>+IFERROR(VLOOKUP($T$17,Sheet1!N12:Q12,3,0),0)</f>
        <v>0</v>
      </c>
      <c r="U30" s="41">
        <f>+IFERROR(VLOOKUP($U$17,Sheet1!F12:I12,3,0),0)</f>
        <v>0</v>
      </c>
      <c r="V30" s="41">
        <f>+IFERROR(VLOOKUP($V$17,Sheet1!F12:I12,3,0),0)</f>
        <v>0</v>
      </c>
      <c r="W30" s="41">
        <f>+IFERROR(VLOOKUP($W$17,Sheet1!F12:I12,3,0),0)</f>
        <v>0</v>
      </c>
      <c r="X30" s="41">
        <f>+IFERROR(VLOOKUP($X$17,Sheet1!F12:I12,3,0),0)</f>
        <v>0</v>
      </c>
      <c r="Y30" s="78">
        <v>79</v>
      </c>
      <c r="Z30" s="41">
        <f>+IFERROR(VLOOKUP($Z$17,Sheet1!F12:I12,3,0),0)</f>
        <v>0</v>
      </c>
      <c r="AA30" s="41">
        <f>+IFERROR(VLOOKUP($AA$17,Sheet1!F12:I12,3,0),0)</f>
        <v>0</v>
      </c>
      <c r="AB30" s="41">
        <f>+IFERROR(VLOOKUP($AB$17,Sheet1!F12:I12,3,0),0)</f>
        <v>0</v>
      </c>
      <c r="AC30" s="78">
        <v>218</v>
      </c>
      <c r="AD30" s="72">
        <f>+IFERROR(VLOOKUP($AD$17,Sheet1!R12:U12,2,0),0)</f>
        <v>0</v>
      </c>
      <c r="AE30" s="78">
        <v>1055</v>
      </c>
      <c r="AF30" s="72">
        <f>+IFERROR(VLOOKUP($AF$17,Sheet1!V12:Y12,3,0),0)</f>
        <v>0</v>
      </c>
      <c r="AG30" s="72">
        <f>+IFERROR(VLOOKUP($AG$17,Sheet1!V12:Y12,3,0),0)</f>
        <v>0</v>
      </c>
      <c r="AH30" s="72">
        <f>+IFERROR(VLOOKUP($AH$17,Sheet1!V12:Y12,3,0),0)</f>
        <v>0</v>
      </c>
      <c r="AI30" s="72">
        <f>+IFERROR(VLOOKUP($AI$17,Sheet1!V12:Y12,3,0),0)</f>
        <v>0</v>
      </c>
      <c r="AJ30" s="72">
        <f>+IFERROR(VLOOKUP($AJ$17,Sheet1!V12:Y12,3,0),0)</f>
        <v>0</v>
      </c>
      <c r="AK30" s="79">
        <v>18</v>
      </c>
      <c r="AL30" s="72">
        <f>+IFERROR(VLOOKUP($AL$17,Sheet1!AD12:AG12,3,0),0)</f>
        <v>0</v>
      </c>
      <c r="AM30" s="72">
        <f>+IFERROR(VLOOKUP($AM$17,Sheet1!AD12:AG12,3,0),0)</f>
        <v>0</v>
      </c>
      <c r="AN30" s="72">
        <f>+IFERROR(VLOOKUP($AN$17,Sheet1!AD12:AG12,3,0),0)</f>
        <v>0</v>
      </c>
      <c r="AO30" s="72">
        <f>+IFERROR(VLOOKUP($AO$17,Sheet1!AD12:AG12,3,0),0)</f>
        <v>0</v>
      </c>
      <c r="AP30" s="72">
        <f>+IFERROR(VLOOKUP($AP$17,Sheet1!AD12:AG12,3,0),0)</f>
        <v>0</v>
      </c>
      <c r="AQ30" s="79">
        <v>200</v>
      </c>
      <c r="AR30" s="72">
        <f>+IFERROR(VLOOKUP($AR$17,Sheet1!AD12:AG12,3,0),0)</f>
        <v>0</v>
      </c>
      <c r="AS30" s="72">
        <f>+IFERROR(VLOOKUP($AS$17,Sheet1!AH12:AK12,3,0),0)</f>
        <v>0</v>
      </c>
      <c r="AT30" s="72">
        <f>+IFERROR(VLOOKUP($AT$17,Sheet1!AH12:AK12,3,0),0)</f>
        <v>0</v>
      </c>
      <c r="AU30" s="72">
        <f>+IFERROR(VLOOKUP($AU$17,Sheet1!AH12:AK12,3,0),0)</f>
        <v>0</v>
      </c>
      <c r="AV30" s="79">
        <v>828</v>
      </c>
      <c r="AW30" s="72">
        <f>+IFERROR(VLOOKUP($AW$17,Sheet1!AH12:AK12,3,0),0)</f>
        <v>0</v>
      </c>
      <c r="AX30" s="72">
        <f>+IFERROR(VLOOKUP($AX$17,Sheet1!AH12:AK12,3,0),0)</f>
        <v>0</v>
      </c>
      <c r="AY30" s="72">
        <f>+IFERROR(VLOOKUP($AY$17,Sheet1!AH12:AK12,3,0),0)</f>
        <v>0</v>
      </c>
      <c r="AZ30" s="72">
        <f>+IFERROR(VLOOKUP($AZ$17,Sheet1!AH12:AK12,3,0),0)</f>
        <v>0</v>
      </c>
      <c r="BA30" s="72">
        <f>+IFERROR(VLOOKUP($BA$17,Sheet1!AH12:AK12,3,0),0)</f>
        <v>0</v>
      </c>
      <c r="BB30" s="72">
        <f>+IFERROR(VLOOKUP($BB$17,Sheet1!AH12:AK12,3,0),0)</f>
        <v>0</v>
      </c>
      <c r="BC30" s="72">
        <f>+IFERROR(VLOOKUP($BC$17,Sheet1!AL12:AO12,3,0),0)</f>
        <v>0</v>
      </c>
      <c r="BD30" s="72">
        <f>+IFERROR(VLOOKUP($BD$17,Sheet1!AL12:AO12,3,0),0)</f>
        <v>0</v>
      </c>
      <c r="BE30" s="72">
        <f>+IFERROR(VLOOKUP($BE$17,Sheet1!AL12:AO12,3,0),0)</f>
        <v>0</v>
      </c>
      <c r="BF30" s="79">
        <v>760</v>
      </c>
      <c r="BG30" s="72">
        <f>+IFERROR(VLOOKUP($BG$17,Sheet1!AL12:AO12,3,0),0)</f>
        <v>0</v>
      </c>
      <c r="BH30" s="72">
        <f>+IFERROR(VLOOKUP($BH$17,Sheet1!AL12:AO12,3,0),0)</f>
        <v>0</v>
      </c>
      <c r="BI30" s="72">
        <f>+IFERROR(VLOOKUP($BI$17,Sheet1!AL12:AO12,3,0),0)</f>
        <v>0</v>
      </c>
      <c r="BJ30" s="72">
        <f>+IFERROR(VLOOKUP($BJ$17,Sheet1!AL12:AO12,3,0),0)</f>
        <v>0</v>
      </c>
      <c r="BK30" s="72">
        <f>+IFERROR(VLOOKUP($BK$17,Sheet1!AL12:AO12,3,0),0)</f>
        <v>0</v>
      </c>
      <c r="BL30" s="72">
        <f>+IFERROR(VLOOKUP($BL$17,Sheet1!AL12:AO12,3,0),0)</f>
        <v>0</v>
      </c>
      <c r="BM30" s="72">
        <f>+IFERROR(VLOOKUP($BM$17,Sheet1!AP12:AS12,3,0),0)</f>
        <v>0</v>
      </c>
      <c r="BN30" s="72">
        <f>+IFERROR(VLOOKUP($BN$17,Sheet1!AT12:AW12,3,0),0)</f>
        <v>0</v>
      </c>
      <c r="BO30" s="79">
        <v>26</v>
      </c>
      <c r="BP30" s="79">
        <v>41</v>
      </c>
      <c r="BQ30" s="72">
        <f>+IFERROR(VLOOKUP($BQ$17,Sheet1!BF12:BI12,3,0),0)</f>
        <v>0</v>
      </c>
      <c r="BR30" s="72">
        <f>+IFERROR(VLOOKUP($BR$17,Sheet1!BJ12:BM12,3,0),0)</f>
        <v>0</v>
      </c>
      <c r="BS30" s="72">
        <f>+IFERROR(VLOOKUP($BS$17,Sheet1!BN12:BQ12,3,0),0)</f>
        <v>0</v>
      </c>
      <c r="BT30" s="79">
        <v>42</v>
      </c>
      <c r="BU30" s="11">
        <f>+IFERROR(VLOOKUP($BU$17,Sheet1!BV12:BY12,3,0),0)</f>
        <v>0</v>
      </c>
      <c r="BV30" s="11" t="str">
        <f>Sheet1!E12</f>
        <v>STEEL</v>
      </c>
      <c r="BW30" s="11" t="str">
        <f>Sheet1!CV12</f>
        <v>SP0400123</v>
      </c>
      <c r="BX30" s="11" t="str">
        <f>Sheet1!CW12</f>
        <v>CORRUGATED DISPATCH STEEL DRUM 2000 X 1000 X 1200 MM</v>
      </c>
      <c r="BY30" s="11">
        <f>Sheet1!CX12</f>
        <v>500</v>
      </c>
      <c r="BZ30" s="3">
        <f>Sheet1!BZ12</f>
        <v>53200</v>
      </c>
      <c r="CA30" s="3">
        <f t="shared" si="5"/>
        <v>1011689</v>
      </c>
      <c r="CB30" s="23">
        <f>Sheet1!CB12</f>
        <v>0</v>
      </c>
      <c r="CC30" s="3">
        <f t="shared" si="6"/>
        <v>0</v>
      </c>
      <c r="CD30" s="47">
        <v>0.5</v>
      </c>
      <c r="CE30" s="3">
        <f t="shared" si="7"/>
        <v>505844.5</v>
      </c>
      <c r="CF30" s="47">
        <v>0</v>
      </c>
      <c r="CG30" s="3">
        <f t="shared" si="8"/>
        <v>0</v>
      </c>
      <c r="CH30" s="3">
        <f t="shared" si="9"/>
        <v>1517533.5</v>
      </c>
      <c r="CI30" s="47">
        <v>0.02</v>
      </c>
      <c r="CJ30" s="80">
        <f t="shared" si="10"/>
        <v>30350.670000000002</v>
      </c>
      <c r="CK30" s="47">
        <v>0.01</v>
      </c>
      <c r="CL30" s="80">
        <f t="shared" si="11"/>
        <v>15175.335000000001</v>
      </c>
    </row>
    <row r="31" spans="1:90" ht="51" x14ac:dyDescent="0.25">
      <c r="A31" s="1" t="str">
        <f>Sheet1!A10</f>
        <v>ENQ-10773-22-23</v>
      </c>
      <c r="B31" s="51">
        <f>Sheet1!B10</f>
        <v>45135</v>
      </c>
      <c r="C31" s="1" t="str">
        <f>Sheet1!C10</f>
        <v>FA1300018</v>
      </c>
      <c r="D31" s="73" t="str">
        <f>Sheet1!D10</f>
        <v>1 CORE X 400 SQ. MM. AL/ARM (XLPE) - 33 KV</v>
      </c>
      <c r="E31" s="74">
        <f t="shared" si="0"/>
        <v>1212522.1800000002</v>
      </c>
      <c r="F31" s="77">
        <f t="shared" si="12"/>
        <v>30000</v>
      </c>
      <c r="G31" s="75">
        <f t="shared" si="1"/>
        <v>1242522.1800000002</v>
      </c>
      <c r="H31" s="76">
        <f>Sheet1!CP10</f>
        <v>0.18</v>
      </c>
      <c r="I31" s="75">
        <f t="shared" si="2"/>
        <v>223653.99240000002</v>
      </c>
      <c r="J31" s="75">
        <f t="shared" si="3"/>
        <v>1466176.1724000003</v>
      </c>
      <c r="K31" s="73">
        <v>13</v>
      </c>
      <c r="L31" s="73" t="str">
        <f>Sheet1!CT10</f>
        <v>KMS</v>
      </c>
      <c r="M31" s="74">
        <f t="shared" si="4"/>
        <v>19060290.241200004</v>
      </c>
      <c r="N31" s="78">
        <v>1081</v>
      </c>
      <c r="O31" s="41">
        <f>+IFERROR(VLOOKUP($O$17,Sheet1!J10:L10,3,0),0)</f>
        <v>0</v>
      </c>
      <c r="P31" s="41">
        <f>+IFERROR(VLOOKUP($P$17,Sheet1!J10:M10,3,0),0)</f>
        <v>0</v>
      </c>
      <c r="Q31" s="41">
        <f>+IFERROR(VLOOKUP($Q$17,Sheet1!J10:M10,3,0),0)</f>
        <v>0</v>
      </c>
      <c r="R31" s="41">
        <f>+IFERROR(VLOOKUP($R$17,Sheet1!J10:M10,3,0),0)</f>
        <v>0</v>
      </c>
      <c r="S31" s="41">
        <f>+IFERROR(VLOOKUP($S$17,Sheet1!N10:Q10,3,0),0)</f>
        <v>0</v>
      </c>
      <c r="T31" s="41">
        <f>+IFERROR(VLOOKUP($T$17,Sheet1!N10:Q10,3,0),0)</f>
        <v>0</v>
      </c>
      <c r="U31" s="41">
        <f>+IFERROR(VLOOKUP($U$17,Sheet1!F10:I10,3,0),0)</f>
        <v>0</v>
      </c>
      <c r="V31" s="41">
        <f>+IFERROR(VLOOKUP($V$17,Sheet1!F10:I10,3,0),0)</f>
        <v>0</v>
      </c>
      <c r="W31" s="41">
        <f>+IFERROR(VLOOKUP($W$17,Sheet1!F10:I10,3,0),0)</f>
        <v>0</v>
      </c>
      <c r="X31" s="41">
        <f>+IFERROR(VLOOKUP($X$17,Sheet1!F10:I10,3,0),0)</f>
        <v>0</v>
      </c>
      <c r="Y31" s="78">
        <v>70</v>
      </c>
      <c r="Z31" s="41">
        <f>+IFERROR(VLOOKUP($Z$17,Sheet1!F10:I10,3,0),0)</f>
        <v>0</v>
      </c>
      <c r="AA31" s="41">
        <f>+IFERROR(VLOOKUP($AA$17,Sheet1!F10:I10,3,0),0)</f>
        <v>0</v>
      </c>
      <c r="AB31" s="41">
        <f>+IFERROR(VLOOKUP($AB$17,Sheet1!F10:I10,3,0),0)</f>
        <v>0</v>
      </c>
      <c r="AC31" s="78">
        <v>171</v>
      </c>
      <c r="AD31" s="72">
        <f>+IFERROR(VLOOKUP($AD$17,Sheet1!R10:U10,2,0),0)</f>
        <v>0</v>
      </c>
      <c r="AE31" s="78">
        <v>885</v>
      </c>
      <c r="AF31" s="72">
        <f>+IFERROR(VLOOKUP($AF$17,Sheet1!V10:Y10,3,0),0)</f>
        <v>0</v>
      </c>
      <c r="AG31" s="72">
        <f>+IFERROR(VLOOKUP($AG$17,Sheet1!V10:Y10,3,0),0)</f>
        <v>0</v>
      </c>
      <c r="AH31" s="72">
        <f>+IFERROR(VLOOKUP($AH$17,Sheet1!V10:Y10,3,0),0)</f>
        <v>0</v>
      </c>
      <c r="AI31" s="72">
        <f>+IFERROR(VLOOKUP($AI$17,Sheet1!V10:Y10,3,0),0)</f>
        <v>0</v>
      </c>
      <c r="AJ31" s="72">
        <f>+IFERROR(VLOOKUP($AJ$17,Sheet1!V10:Y10,3,0),0)</f>
        <v>0</v>
      </c>
      <c r="AK31" s="79">
        <v>16</v>
      </c>
      <c r="AL31" s="72">
        <f>+IFERROR(VLOOKUP($AL$17,Sheet1!AD10:AG10,3,0),0)</f>
        <v>0</v>
      </c>
      <c r="AM31" s="72">
        <f>+IFERROR(VLOOKUP($AM$17,Sheet1!AD10:AG10,3,0),0)</f>
        <v>0</v>
      </c>
      <c r="AN31" s="72">
        <f>+IFERROR(VLOOKUP($AN$17,Sheet1!AD10:AG10,3,0),0)</f>
        <v>0</v>
      </c>
      <c r="AO31" s="72">
        <f>+IFERROR(VLOOKUP($AO$17,Sheet1!AD10:AG10,3,0),0)</f>
        <v>0</v>
      </c>
      <c r="AP31" s="72">
        <f>+IFERROR(VLOOKUP($AP$17,Sheet1!AD10:AG10,3,0),0)</f>
        <v>0</v>
      </c>
      <c r="AQ31" s="79">
        <v>151</v>
      </c>
      <c r="AR31" s="72">
        <f>+IFERROR(VLOOKUP($AR$17,Sheet1!AD10:AG10,3,0),0)</f>
        <v>0</v>
      </c>
      <c r="AS31" s="72">
        <f>+IFERROR(VLOOKUP($AS$17,Sheet1!AH10:AK10,3,0),0)</f>
        <v>0</v>
      </c>
      <c r="AT31" s="72">
        <f>+IFERROR(VLOOKUP($AT$17,Sheet1!AH10:AK10,3,0),0)</f>
        <v>0</v>
      </c>
      <c r="AU31" s="72">
        <f>+IFERROR(VLOOKUP($AU$17,Sheet1!AH10:AK10,3,0),0)</f>
        <v>0</v>
      </c>
      <c r="AV31" s="79">
        <v>731</v>
      </c>
      <c r="AW31" s="72">
        <f>+IFERROR(VLOOKUP($AW$17,Sheet1!AH10:AK10,3,0),0)</f>
        <v>0</v>
      </c>
      <c r="AX31" s="72">
        <f>+IFERROR(VLOOKUP($AX$17,Sheet1!AH10:AK10,3,0),0)</f>
        <v>0</v>
      </c>
      <c r="AY31" s="72">
        <f>+IFERROR(VLOOKUP($AY$17,Sheet1!AH10:AK10,3,0),0)</f>
        <v>0</v>
      </c>
      <c r="AZ31" s="72">
        <f>+IFERROR(VLOOKUP($AZ$17,Sheet1!AH10:AK10,3,0),0)</f>
        <v>0</v>
      </c>
      <c r="BA31" s="72">
        <f>+IFERROR(VLOOKUP($BA$17,Sheet1!AH10:AK10,3,0),0)</f>
        <v>0</v>
      </c>
      <c r="BB31" s="72">
        <f>+IFERROR(VLOOKUP($BB$17,Sheet1!AH10:AK10,3,0),0)</f>
        <v>0</v>
      </c>
      <c r="BC31" s="72">
        <f>+IFERROR(VLOOKUP($BC$17,Sheet1!AL10:AO10,3,0),0)</f>
        <v>0</v>
      </c>
      <c r="BD31" s="72">
        <f>+IFERROR(VLOOKUP($BD$17,Sheet1!AL10:AO10,3,0),0)</f>
        <v>0</v>
      </c>
      <c r="BE31" s="72">
        <f>+IFERROR(VLOOKUP($BE$17,Sheet1!AL10:AO10,3,0),0)</f>
        <v>0</v>
      </c>
      <c r="BF31" s="79">
        <v>580</v>
      </c>
      <c r="BG31" s="72">
        <f>+IFERROR(VLOOKUP($BG$17,Sheet1!AL10:AO10,3,0),0)</f>
        <v>0</v>
      </c>
      <c r="BH31" s="72">
        <f>+IFERROR(VLOOKUP($BH$17,Sheet1!AL10:AO10,3,0),0)</f>
        <v>0</v>
      </c>
      <c r="BI31" s="72">
        <f>+IFERROR(VLOOKUP($BI$17,Sheet1!AL10:AO10,3,0),0)</f>
        <v>0</v>
      </c>
      <c r="BJ31" s="72">
        <f>+IFERROR(VLOOKUP($BJ$17,Sheet1!AL10:AO10,3,0),0)</f>
        <v>0</v>
      </c>
      <c r="BK31" s="72">
        <f>+IFERROR(VLOOKUP($BK$17,Sheet1!AL10:AO10,3,0),0)</f>
        <v>0</v>
      </c>
      <c r="BL31" s="72">
        <f>+IFERROR(VLOOKUP($BL$17,Sheet1!AL10:AO10,3,0),0)</f>
        <v>0</v>
      </c>
      <c r="BM31" s="72">
        <f>+IFERROR(VLOOKUP($BM$17,Sheet1!AP10:AS10,3,0),0)</f>
        <v>0</v>
      </c>
      <c r="BN31" s="72">
        <f>+IFERROR(VLOOKUP($BN$17,Sheet1!AT10:AW10,3,0),0)</f>
        <v>0</v>
      </c>
      <c r="BO31" s="79">
        <v>19</v>
      </c>
      <c r="BP31" s="79">
        <v>35</v>
      </c>
      <c r="BQ31" s="72">
        <f>+IFERROR(VLOOKUP($BQ$17,Sheet1!BF10:BI10,3,0),0)</f>
        <v>0</v>
      </c>
      <c r="BR31" s="72">
        <f>+IFERROR(VLOOKUP($BR$17,Sheet1!BJ10:BM10,3,0),0)</f>
        <v>0</v>
      </c>
      <c r="BS31" s="72">
        <f>+IFERROR(VLOOKUP($BS$17,Sheet1!BN10:BQ10,3,0),0)</f>
        <v>0</v>
      </c>
      <c r="BT31" s="79">
        <v>36</v>
      </c>
      <c r="BU31" s="11">
        <f>+IFERROR(VLOOKUP($BU$17,Sheet1!BV10:BY10,3,0),0)</f>
        <v>0</v>
      </c>
      <c r="BV31" s="11" t="str">
        <f>Sheet1!E10</f>
        <v>STEEL</v>
      </c>
      <c r="BW31" s="11" t="str">
        <f>Sheet1!CV10</f>
        <v>SP0400112</v>
      </c>
      <c r="BX31" s="11" t="str">
        <f>Sheet1!CW10</f>
        <v>CORRUGATED DISPATCH STEEL DRUM 2000 X 1000 X 1000 MM</v>
      </c>
      <c r="BY31" s="11">
        <f>Sheet1!CX10</f>
        <v>500</v>
      </c>
      <c r="BZ31" s="3">
        <f>Sheet1!BZ10</f>
        <v>53200</v>
      </c>
      <c r="CA31" s="3">
        <f t="shared" si="5"/>
        <v>784804</v>
      </c>
      <c r="CB31" s="23">
        <f>Sheet1!CB10</f>
        <v>0</v>
      </c>
      <c r="CC31" s="3">
        <f t="shared" si="6"/>
        <v>0</v>
      </c>
      <c r="CD31" s="47">
        <v>0.5</v>
      </c>
      <c r="CE31" s="3">
        <f t="shared" si="7"/>
        <v>392402</v>
      </c>
      <c r="CF31" s="47">
        <v>0</v>
      </c>
      <c r="CG31" s="3">
        <f t="shared" si="8"/>
        <v>0</v>
      </c>
      <c r="CH31" s="3">
        <f t="shared" si="9"/>
        <v>1177206</v>
      </c>
      <c r="CI31" s="47">
        <v>0.02</v>
      </c>
      <c r="CJ31" s="80">
        <f t="shared" si="10"/>
        <v>23544.12</v>
      </c>
      <c r="CK31" s="47">
        <v>0.01</v>
      </c>
      <c r="CL31" s="80">
        <f t="shared" si="11"/>
        <v>11772.06</v>
      </c>
    </row>
    <row r="32" spans="1:90" ht="51" x14ac:dyDescent="0.25">
      <c r="A32" s="1" t="str">
        <f>Sheet1!A7</f>
        <v>ENQ-10773-22-23</v>
      </c>
      <c r="B32" s="51">
        <f>Sheet1!B7</f>
        <v>45135</v>
      </c>
      <c r="C32" s="1" t="str">
        <f>Sheet1!C7</f>
        <v>FA1300019</v>
      </c>
      <c r="D32" s="73" t="str">
        <f>Sheet1!D7</f>
        <v>1 CORE X 300 SQ. MM. AL/ARM (XLPE)  - 33 KV</v>
      </c>
      <c r="E32" s="74">
        <f t="shared" si="0"/>
        <v>1056143.46</v>
      </c>
      <c r="F32" s="77">
        <f t="shared" si="12"/>
        <v>25000</v>
      </c>
      <c r="G32" s="75">
        <f t="shared" si="1"/>
        <v>1081143.46</v>
      </c>
      <c r="H32" s="76">
        <f>Sheet1!CP7</f>
        <v>0.18</v>
      </c>
      <c r="I32" s="75">
        <f t="shared" si="2"/>
        <v>194605.82279999999</v>
      </c>
      <c r="J32" s="75">
        <f t="shared" si="3"/>
        <v>1275749.2827999999</v>
      </c>
      <c r="K32" s="73">
        <v>13</v>
      </c>
      <c r="L32" s="73" t="str">
        <f>Sheet1!CT7</f>
        <v>KMS</v>
      </c>
      <c r="M32" s="74">
        <f t="shared" si="4"/>
        <v>16584740.676399998</v>
      </c>
      <c r="N32" s="41">
        <f>+IFERROR(VLOOKUP($N$17,Sheet1!J7:L7,3,0),0)</f>
        <v>810</v>
      </c>
      <c r="O32" s="41">
        <f>+IFERROR(VLOOKUP($O$17,Sheet1!J7:L7,3,0),0)</f>
        <v>0</v>
      </c>
      <c r="P32" s="41">
        <f>+IFERROR(VLOOKUP($P$17,Sheet1!J7:M7,3,0),0)</f>
        <v>0</v>
      </c>
      <c r="Q32" s="41">
        <f>+IFERROR(VLOOKUP($Q$17,Sheet1!J7:M7,3,0),0)</f>
        <v>0</v>
      </c>
      <c r="R32" s="41">
        <f>+IFERROR(VLOOKUP($R$17,Sheet1!J7:M7,3,0),0)</f>
        <v>0</v>
      </c>
      <c r="S32" s="41">
        <f>+IFERROR(VLOOKUP($S$17,Sheet1!N7:Q7,3,0),0)</f>
        <v>0</v>
      </c>
      <c r="T32" s="41">
        <f>+IFERROR(VLOOKUP($T$17,Sheet1!N7:Q7,3,0),0)</f>
        <v>0</v>
      </c>
      <c r="U32" s="41">
        <f>+IFERROR(VLOOKUP($U$17,Sheet1!F7:I7,3,0),0)</f>
        <v>0</v>
      </c>
      <c r="V32" s="41">
        <f>+IFERROR(VLOOKUP($V$17,Sheet1!F7:I7,3,0),0)</f>
        <v>0</v>
      </c>
      <c r="W32" s="41">
        <f>+IFERROR(VLOOKUP($W$17,Sheet1!F7:I7,3,0),0)</f>
        <v>0</v>
      </c>
      <c r="X32" s="41">
        <f>+IFERROR(VLOOKUP($X$17,Sheet1!F7:I7,3,0),0)</f>
        <v>0</v>
      </c>
      <c r="Y32" s="78">
        <v>65</v>
      </c>
      <c r="Z32" s="41">
        <f>+IFERROR(VLOOKUP($Z$17,Sheet1!F7:I7,3,0),0)</f>
        <v>0</v>
      </c>
      <c r="AA32" s="41">
        <f>+IFERROR(VLOOKUP($AA$17,Sheet1!F7:I7,3,0),0)</f>
        <v>0</v>
      </c>
      <c r="AB32" s="41">
        <f>+IFERROR(VLOOKUP($AB$17,Sheet1!F7:I7,3,0),0)</f>
        <v>0</v>
      </c>
      <c r="AC32" s="78">
        <v>164</v>
      </c>
      <c r="AD32" s="72">
        <f>+IFERROR(VLOOKUP($AD$17,Sheet1!R7:U7,2,0),0)</f>
        <v>0</v>
      </c>
      <c r="AE32" s="78">
        <v>808</v>
      </c>
      <c r="AF32" s="72">
        <f>+IFERROR(VLOOKUP($AF$17,Sheet1!V7:Y7,3,0),0)</f>
        <v>0</v>
      </c>
      <c r="AG32" s="72">
        <f>+IFERROR(VLOOKUP($AG$17,Sheet1!V7:Y7,3,0),0)</f>
        <v>0</v>
      </c>
      <c r="AH32" s="72">
        <f>+IFERROR(VLOOKUP($AH$17,Sheet1!V7:Y7,3,0),0)</f>
        <v>0</v>
      </c>
      <c r="AI32" s="72">
        <f>+IFERROR(VLOOKUP($AI$17,Sheet1!V7:Y7,3,0),0)</f>
        <v>0</v>
      </c>
      <c r="AJ32" s="72">
        <f>+IFERROR(VLOOKUP($AJ$17,Sheet1!V7:Y7,3,0),0)</f>
        <v>0</v>
      </c>
      <c r="AK32" s="79">
        <v>12</v>
      </c>
      <c r="AL32" s="72">
        <f>+IFERROR(VLOOKUP($AL$17,Sheet1!AD7:AG7,3,0),0)</f>
        <v>0</v>
      </c>
      <c r="AM32" s="72">
        <f>+IFERROR(VLOOKUP($AM$17,Sheet1!AD7:AG7,3,0),0)</f>
        <v>0</v>
      </c>
      <c r="AN32" s="72">
        <f>+IFERROR(VLOOKUP($AN$17,Sheet1!AD7:AG7,3,0),0)</f>
        <v>0</v>
      </c>
      <c r="AO32" s="72">
        <f>+IFERROR(VLOOKUP($AO$17,Sheet1!AD7:AG7,3,0),0)</f>
        <v>0</v>
      </c>
      <c r="AP32" s="72">
        <f>+IFERROR(VLOOKUP($AP$17,Sheet1!AD7:AG7,3,0),0)</f>
        <v>0</v>
      </c>
      <c r="AQ32" s="79">
        <v>144</v>
      </c>
      <c r="AR32" s="72">
        <f>+IFERROR(VLOOKUP($AR$17,Sheet1!AD7:AG7,3,0),0)</f>
        <v>0</v>
      </c>
      <c r="AS32" s="72">
        <f>+IFERROR(VLOOKUP($AS$17,Sheet1!AH7:AK7,3,0),0)</f>
        <v>0</v>
      </c>
      <c r="AT32" s="72">
        <f>+IFERROR(VLOOKUP($AT$17,Sheet1!AH7:AK7,3,0),0)</f>
        <v>0</v>
      </c>
      <c r="AU32" s="72">
        <f>+IFERROR(VLOOKUP($AU$17,Sheet1!AH7:AK7,3,0),0)</f>
        <v>0</v>
      </c>
      <c r="AV32" s="79">
        <v>676</v>
      </c>
      <c r="AW32" s="72">
        <f>+IFERROR(VLOOKUP($AW$17,Sheet1!AH7:AK7,3,0),0)</f>
        <v>0</v>
      </c>
      <c r="AX32" s="72">
        <f>+IFERROR(VLOOKUP($AX$17,Sheet1!AH7:AK7,3,0),0)</f>
        <v>0</v>
      </c>
      <c r="AY32" s="72">
        <f>+IFERROR(VLOOKUP($AY$17,Sheet1!AH7:AK7,3,0),0)</f>
        <v>0</v>
      </c>
      <c r="AZ32" s="72">
        <f>+IFERROR(VLOOKUP($AZ$17,Sheet1!AH7:AK7,3,0),0)</f>
        <v>0</v>
      </c>
      <c r="BA32" s="72">
        <f>+IFERROR(VLOOKUP($BA$17,Sheet1!AH7:AK7,3,0),0)</f>
        <v>0</v>
      </c>
      <c r="BB32" s="72">
        <f>+IFERROR(VLOOKUP($BB$17,Sheet1!AH7:AK7,3,0),0)</f>
        <v>0</v>
      </c>
      <c r="BC32" s="72">
        <f>+IFERROR(VLOOKUP($BC$17,Sheet1!AL7:AO7,3,0),0)</f>
        <v>0</v>
      </c>
      <c r="BD32" s="72">
        <f>+IFERROR(VLOOKUP($BD$17,Sheet1!AL7:AO7,3,0),0)</f>
        <v>0</v>
      </c>
      <c r="BE32" s="72">
        <f>+IFERROR(VLOOKUP($BE$17,Sheet1!AL7:AO7,3,0),0)</f>
        <v>0</v>
      </c>
      <c r="BF32" s="79">
        <v>556</v>
      </c>
      <c r="BG32" s="72">
        <f>+IFERROR(VLOOKUP($BG$17,Sheet1!AL7:AO7,3,0),0)</f>
        <v>0</v>
      </c>
      <c r="BH32" s="72">
        <f>+IFERROR(VLOOKUP($BH$17,Sheet1!AL7:AO7,3,0),0)</f>
        <v>0</v>
      </c>
      <c r="BI32" s="72">
        <f>+IFERROR(VLOOKUP($BI$17,Sheet1!AL7:AO7,3,0),0)</f>
        <v>0</v>
      </c>
      <c r="BJ32" s="72">
        <f>+IFERROR(VLOOKUP($BJ$17,Sheet1!AL7:AO7,3,0),0)</f>
        <v>0</v>
      </c>
      <c r="BK32" s="72">
        <f>+IFERROR(VLOOKUP($BK$17,Sheet1!AL7:AO7,3,0),0)</f>
        <v>0</v>
      </c>
      <c r="BL32" s="72">
        <f>+IFERROR(VLOOKUP($BL$17,Sheet1!AL7:AO7,3,0),0)</f>
        <v>0</v>
      </c>
      <c r="BM32" s="72">
        <f>+IFERROR(VLOOKUP($BM$17,Sheet1!AP7:AS7,3,0),0)</f>
        <v>0</v>
      </c>
      <c r="BN32" s="72">
        <f>+IFERROR(VLOOKUP($BN$17,Sheet1!AT7:AW7,3,0),0)</f>
        <v>0</v>
      </c>
      <c r="BO32" s="79">
        <v>13</v>
      </c>
      <c r="BP32" s="79">
        <v>32</v>
      </c>
      <c r="BQ32" s="72">
        <f>+IFERROR(VLOOKUP($BQ$17,Sheet1!BF7:BI7,3,0),0)</f>
        <v>0</v>
      </c>
      <c r="BR32" s="72">
        <f>+IFERROR(VLOOKUP($BR$17,Sheet1!BJ7:BM7,3,0),0)</f>
        <v>0</v>
      </c>
      <c r="BS32" s="72">
        <f>+IFERROR(VLOOKUP($BS$17,Sheet1!BN7:BQ7,3,0),0)</f>
        <v>0</v>
      </c>
      <c r="BT32" s="79">
        <v>35</v>
      </c>
      <c r="BU32" s="11">
        <f>+IFERROR(VLOOKUP($BU$17,Sheet1!BV7:BY7,3,0),0)</f>
        <v>0</v>
      </c>
      <c r="BV32" s="11" t="str">
        <f>Sheet1!E7</f>
        <v>STEEL</v>
      </c>
      <c r="BW32" s="11" t="str">
        <f>Sheet1!CV7</f>
        <v>SP0400110</v>
      </c>
      <c r="BX32" s="11" t="str">
        <f>Sheet1!CW7</f>
        <v>CORRUGATED DISPATCH STEEL DRUM 1600 X 900 X 1000 MM</v>
      </c>
      <c r="BY32" s="11">
        <f>Sheet1!CX7</f>
        <v>500</v>
      </c>
      <c r="BZ32" s="3">
        <f>Sheet1!BZ7</f>
        <v>47500</v>
      </c>
      <c r="CA32" s="3">
        <f t="shared" si="5"/>
        <v>683588</v>
      </c>
      <c r="CB32" s="23">
        <f>Sheet1!CB7</f>
        <v>0</v>
      </c>
      <c r="CC32" s="3">
        <f t="shared" si="6"/>
        <v>0</v>
      </c>
      <c r="CD32" s="47">
        <v>0.5</v>
      </c>
      <c r="CE32" s="3">
        <f t="shared" si="7"/>
        <v>341794</v>
      </c>
      <c r="CF32" s="47">
        <v>0</v>
      </c>
      <c r="CG32" s="3">
        <f t="shared" si="8"/>
        <v>0</v>
      </c>
      <c r="CH32" s="3">
        <f t="shared" si="9"/>
        <v>1025382</v>
      </c>
      <c r="CI32" s="47">
        <v>0.02</v>
      </c>
      <c r="CJ32" s="80">
        <f t="shared" si="10"/>
        <v>20507.64</v>
      </c>
      <c r="CK32" s="47">
        <v>0.01</v>
      </c>
      <c r="CL32" s="80">
        <f t="shared" si="11"/>
        <v>10253.82</v>
      </c>
    </row>
    <row r="34" spans="4:13" ht="30" x14ac:dyDescent="0.25">
      <c r="E34" s="2" t="s">
        <v>224</v>
      </c>
      <c r="F34" s="2" t="s">
        <v>225</v>
      </c>
      <c r="G34" s="61" t="s">
        <v>226</v>
      </c>
      <c r="H34" s="41" t="s">
        <v>227</v>
      </c>
      <c r="I34" s="2" t="s">
        <v>228</v>
      </c>
      <c r="J34" s="2" t="s">
        <v>229</v>
      </c>
      <c r="K34" s="2" t="s">
        <v>230</v>
      </c>
      <c r="L34" s="2" t="s">
        <v>231</v>
      </c>
      <c r="M34" s="62" t="s">
        <v>232</v>
      </c>
    </row>
    <row r="35" spans="4:13" ht="30" x14ac:dyDescent="0.25">
      <c r="D35" s="26" t="str">
        <f>D19</f>
        <v>3 CORE X 400 SQ. MM. AL/ARM - WIRE (XLPE) - 11 KV</v>
      </c>
      <c r="E35" s="61">
        <f>K19</f>
        <v>0</v>
      </c>
      <c r="F35" s="63">
        <f>BY19/1000</f>
        <v>0.25</v>
      </c>
      <c r="G35" s="61" t="s">
        <v>237</v>
      </c>
      <c r="H35" s="64">
        <v>65000</v>
      </c>
      <c r="I35" s="63">
        <v>3</v>
      </c>
      <c r="J35" s="61">
        <f>F35*I35</f>
        <v>0.75</v>
      </c>
      <c r="K35" s="61">
        <f>ROUNDUP((E35/J35),0)</f>
        <v>0</v>
      </c>
      <c r="L35" s="61" t="e">
        <f>M35*E35</f>
        <v>#DIV/0!</v>
      </c>
      <c r="M35" s="65" t="e">
        <f>(H35*K35)/E35</f>
        <v>#DIV/0!</v>
      </c>
    </row>
    <row r="36" spans="4:13" ht="30" x14ac:dyDescent="0.25">
      <c r="D36" s="26" t="str">
        <f t="shared" ref="D36:D48" si="13">D20</f>
        <v>3 CORE X 300 SQ. MM. AL/ARM - WIRE (XLPE) - 11 KV</v>
      </c>
      <c r="E36" s="61">
        <f t="shared" ref="E36:E48" si="14">K20</f>
        <v>114</v>
      </c>
      <c r="F36" s="63">
        <f t="shared" ref="F36:F48" si="15">BY20/1000</f>
        <v>0.25</v>
      </c>
      <c r="G36" s="61" t="s">
        <v>237</v>
      </c>
      <c r="H36" s="64">
        <v>65000</v>
      </c>
      <c r="I36" s="63">
        <v>4</v>
      </c>
      <c r="J36" s="61">
        <f t="shared" ref="J36:J48" si="16">F36*I36</f>
        <v>1</v>
      </c>
      <c r="K36" s="61">
        <f t="shared" ref="K36:K48" si="17">ROUNDUP((E36/J36),0)</f>
        <v>114</v>
      </c>
      <c r="L36" s="61">
        <f t="shared" ref="L36:L48" si="18">M36*E36</f>
        <v>7410000</v>
      </c>
      <c r="M36" s="65">
        <f t="shared" ref="M36:M48" si="19">(H36*K36)/E36</f>
        <v>65000</v>
      </c>
    </row>
    <row r="37" spans="4:13" ht="30" x14ac:dyDescent="0.25">
      <c r="D37" s="26" t="str">
        <f t="shared" si="13"/>
        <v>3 CORE X 150 SQ. MM. AL/ARM - WIRE (XLPE) - 11 KV</v>
      </c>
      <c r="E37" s="61">
        <f t="shared" si="14"/>
        <v>0</v>
      </c>
      <c r="F37" s="63">
        <f t="shared" si="15"/>
        <v>0.25</v>
      </c>
      <c r="G37" s="61" t="s">
        <v>237</v>
      </c>
      <c r="H37" s="64">
        <v>65000</v>
      </c>
      <c r="I37" s="63">
        <v>5</v>
      </c>
      <c r="J37" s="61">
        <f t="shared" si="16"/>
        <v>1.25</v>
      </c>
      <c r="K37" s="61">
        <f t="shared" si="17"/>
        <v>0</v>
      </c>
      <c r="L37" s="61" t="e">
        <f t="shared" si="18"/>
        <v>#DIV/0!</v>
      </c>
      <c r="M37" s="65" t="e">
        <f t="shared" si="19"/>
        <v>#DIV/0!</v>
      </c>
    </row>
    <row r="38" spans="4:13" ht="30" x14ac:dyDescent="0.25">
      <c r="D38" s="26" t="str">
        <f t="shared" si="13"/>
        <v>3 CORE X 120 SQ. MM. AL/ARM - WIRE (XLPE) - 11 KV</v>
      </c>
      <c r="E38" s="61">
        <f t="shared" si="14"/>
        <v>0</v>
      </c>
      <c r="F38" s="63">
        <f t="shared" si="15"/>
        <v>0.25</v>
      </c>
      <c r="G38" s="61" t="s">
        <v>237</v>
      </c>
      <c r="H38" s="64">
        <v>65000</v>
      </c>
      <c r="I38" s="63">
        <v>5</v>
      </c>
      <c r="J38" s="61">
        <f t="shared" si="16"/>
        <v>1.25</v>
      </c>
      <c r="K38" s="61">
        <f t="shared" si="17"/>
        <v>0</v>
      </c>
      <c r="L38" s="61" t="e">
        <f t="shared" si="18"/>
        <v>#DIV/0!</v>
      </c>
      <c r="M38" s="65" t="e">
        <f t="shared" si="19"/>
        <v>#DIV/0!</v>
      </c>
    </row>
    <row r="39" spans="4:13" ht="30" x14ac:dyDescent="0.25">
      <c r="D39" s="26" t="str">
        <f t="shared" si="13"/>
        <v>3 CORE X 95 SQ. MM. AL/ARM - WIRE (XLPE) - 11 KV</v>
      </c>
      <c r="E39" s="61">
        <f t="shared" si="14"/>
        <v>0</v>
      </c>
      <c r="F39" s="63">
        <f t="shared" si="15"/>
        <v>0.25</v>
      </c>
      <c r="G39" s="61" t="s">
        <v>237</v>
      </c>
      <c r="H39" s="64">
        <v>65000</v>
      </c>
      <c r="I39" s="63">
        <v>5</v>
      </c>
      <c r="J39" s="61">
        <f t="shared" si="16"/>
        <v>1.25</v>
      </c>
      <c r="K39" s="61">
        <f t="shared" si="17"/>
        <v>0</v>
      </c>
      <c r="L39" s="61" t="e">
        <f t="shared" si="18"/>
        <v>#DIV/0!</v>
      </c>
      <c r="M39" s="65" t="e">
        <f t="shared" si="19"/>
        <v>#DIV/0!</v>
      </c>
    </row>
    <row r="40" spans="4:13" ht="30" x14ac:dyDescent="0.25">
      <c r="D40" s="26" t="str">
        <f t="shared" si="13"/>
        <v>1 CORE X 1000 SQ. MM. AL/ARM (XLPE) - 11 KV</v>
      </c>
      <c r="E40" s="61">
        <f t="shared" si="14"/>
        <v>15</v>
      </c>
      <c r="F40" s="63">
        <f t="shared" si="15"/>
        <v>0.5</v>
      </c>
      <c r="G40" s="61" t="s">
        <v>237</v>
      </c>
      <c r="H40" s="64">
        <v>65000</v>
      </c>
      <c r="I40" s="63">
        <v>4</v>
      </c>
      <c r="J40" s="61">
        <f t="shared" si="16"/>
        <v>2</v>
      </c>
      <c r="K40" s="61">
        <f t="shared" si="17"/>
        <v>8</v>
      </c>
      <c r="L40" s="61">
        <f t="shared" si="18"/>
        <v>519999.99999999994</v>
      </c>
      <c r="M40" s="65">
        <f t="shared" si="19"/>
        <v>34666.666666666664</v>
      </c>
    </row>
    <row r="41" spans="4:13" ht="30" x14ac:dyDescent="0.25">
      <c r="D41" s="26" t="str">
        <f t="shared" si="13"/>
        <v>1 CORE X 630 SQ. MM. AL/ARM (XLPE)  - 11 KV</v>
      </c>
      <c r="E41" s="61">
        <f t="shared" si="14"/>
        <v>0</v>
      </c>
      <c r="F41" s="63">
        <f t="shared" si="15"/>
        <v>0.5</v>
      </c>
      <c r="G41" s="61" t="s">
        <v>237</v>
      </c>
      <c r="H41" s="64">
        <v>65000</v>
      </c>
      <c r="I41" s="63">
        <v>5</v>
      </c>
      <c r="J41" s="61">
        <f t="shared" si="16"/>
        <v>2.5</v>
      </c>
      <c r="K41" s="61">
        <f t="shared" si="17"/>
        <v>0</v>
      </c>
      <c r="L41" s="61" t="e">
        <f t="shared" si="18"/>
        <v>#DIV/0!</v>
      </c>
      <c r="M41" s="65" t="e">
        <f t="shared" si="19"/>
        <v>#DIV/0!</v>
      </c>
    </row>
    <row r="42" spans="4:13" ht="30" x14ac:dyDescent="0.25">
      <c r="D42" s="26" t="str">
        <f t="shared" si="13"/>
        <v>1 CORE X 400 SQ. MM. AL/ARM (XLPE) - 11 KV</v>
      </c>
      <c r="E42" s="61">
        <f t="shared" si="14"/>
        <v>40</v>
      </c>
      <c r="F42" s="63">
        <f t="shared" si="15"/>
        <v>0.5</v>
      </c>
      <c r="G42" s="61" t="s">
        <v>237</v>
      </c>
      <c r="H42" s="64">
        <v>65000</v>
      </c>
      <c r="I42" s="63">
        <v>6</v>
      </c>
      <c r="J42" s="61">
        <f t="shared" si="16"/>
        <v>3</v>
      </c>
      <c r="K42" s="61">
        <f t="shared" si="17"/>
        <v>14</v>
      </c>
      <c r="L42" s="61">
        <f t="shared" si="18"/>
        <v>910000</v>
      </c>
      <c r="M42" s="65">
        <f t="shared" si="19"/>
        <v>22750</v>
      </c>
    </row>
    <row r="43" spans="4:13" ht="30" x14ac:dyDescent="0.25">
      <c r="D43" s="26" t="str">
        <f t="shared" si="13"/>
        <v>3 CORE X 400 SQ. MM AL/ARM - WIRE (XLPE) - 33 KV</v>
      </c>
      <c r="E43" s="61">
        <f t="shared" si="14"/>
        <v>60</v>
      </c>
      <c r="F43" s="63">
        <f t="shared" si="15"/>
        <v>0.25</v>
      </c>
      <c r="G43" s="61" t="s">
        <v>237</v>
      </c>
      <c r="H43" s="64">
        <v>65000</v>
      </c>
      <c r="I43" s="63">
        <v>2</v>
      </c>
      <c r="J43" s="61">
        <f t="shared" si="16"/>
        <v>0.5</v>
      </c>
      <c r="K43" s="61">
        <f t="shared" si="17"/>
        <v>120</v>
      </c>
      <c r="L43" s="61">
        <f t="shared" si="18"/>
        <v>7800000</v>
      </c>
      <c r="M43" s="65">
        <f t="shared" si="19"/>
        <v>130000</v>
      </c>
    </row>
    <row r="44" spans="4:13" ht="30" x14ac:dyDescent="0.25">
      <c r="D44" s="26" t="str">
        <f t="shared" si="13"/>
        <v>3 CORE X 300 SQ. MM. AL/ARM - WIRE (XLPE) - 33 KV</v>
      </c>
      <c r="E44" s="61">
        <f t="shared" si="14"/>
        <v>13</v>
      </c>
      <c r="F44" s="63">
        <f t="shared" si="15"/>
        <v>0.25</v>
      </c>
      <c r="G44" s="61" t="s">
        <v>237</v>
      </c>
      <c r="H44" s="64">
        <v>65000</v>
      </c>
      <c r="I44" s="63">
        <v>2</v>
      </c>
      <c r="J44" s="61">
        <f t="shared" si="16"/>
        <v>0.5</v>
      </c>
      <c r="K44" s="61">
        <f t="shared" si="17"/>
        <v>26</v>
      </c>
      <c r="L44" s="61">
        <f t="shared" si="18"/>
        <v>1690000</v>
      </c>
      <c r="M44" s="65">
        <f t="shared" si="19"/>
        <v>130000</v>
      </c>
    </row>
    <row r="45" spans="4:13" ht="30" x14ac:dyDescent="0.25">
      <c r="D45" s="26" t="str">
        <f t="shared" si="13"/>
        <v>3 CORE X 95 SQ. MM. AL/ARM  WIRE (XLPE) - 33 KV</v>
      </c>
      <c r="E45" s="61">
        <f t="shared" si="14"/>
        <v>0</v>
      </c>
      <c r="F45" s="63">
        <f t="shared" si="15"/>
        <v>0.25</v>
      </c>
      <c r="G45" s="61" t="s">
        <v>237</v>
      </c>
      <c r="H45" s="64">
        <v>65000</v>
      </c>
      <c r="I45" s="63">
        <v>4</v>
      </c>
      <c r="J45" s="61">
        <f t="shared" si="16"/>
        <v>1</v>
      </c>
      <c r="K45" s="61">
        <f t="shared" si="17"/>
        <v>0</v>
      </c>
      <c r="L45" s="61" t="e">
        <f t="shared" si="18"/>
        <v>#DIV/0!</v>
      </c>
      <c r="M45" s="65" t="e">
        <f t="shared" si="19"/>
        <v>#DIV/0!</v>
      </c>
    </row>
    <row r="46" spans="4:13" ht="30" x14ac:dyDescent="0.25">
      <c r="D46" s="26" t="str">
        <f t="shared" si="13"/>
        <v>1 CORE X 630 SQ. MM. AL/ARM (XLPE)  - 33 KV</v>
      </c>
      <c r="E46" s="61">
        <f t="shared" si="14"/>
        <v>0</v>
      </c>
      <c r="F46" s="63">
        <f t="shared" si="15"/>
        <v>0.5</v>
      </c>
      <c r="G46" s="61" t="s">
        <v>237</v>
      </c>
      <c r="H46" s="64">
        <v>65000</v>
      </c>
      <c r="I46" s="63">
        <v>4</v>
      </c>
      <c r="J46" s="61">
        <f t="shared" si="16"/>
        <v>2</v>
      </c>
      <c r="K46" s="61">
        <f t="shared" si="17"/>
        <v>0</v>
      </c>
      <c r="L46" s="61" t="e">
        <f t="shared" si="18"/>
        <v>#DIV/0!</v>
      </c>
      <c r="M46" s="65" t="e">
        <f t="shared" si="19"/>
        <v>#DIV/0!</v>
      </c>
    </row>
    <row r="47" spans="4:13" ht="30" x14ac:dyDescent="0.25">
      <c r="D47" s="26" t="str">
        <f t="shared" si="13"/>
        <v>1 CORE X 400 SQ. MM. AL/ARM (XLPE) - 33 KV</v>
      </c>
      <c r="E47" s="61">
        <f t="shared" si="14"/>
        <v>13</v>
      </c>
      <c r="F47" s="63">
        <f t="shared" si="15"/>
        <v>0.5</v>
      </c>
      <c r="G47" s="61" t="s">
        <v>237</v>
      </c>
      <c r="H47" s="64">
        <v>65000</v>
      </c>
      <c r="I47" s="63">
        <v>5</v>
      </c>
      <c r="J47" s="61">
        <f t="shared" si="16"/>
        <v>2.5</v>
      </c>
      <c r="K47" s="61">
        <f t="shared" si="17"/>
        <v>6</v>
      </c>
      <c r="L47" s="61">
        <f t="shared" si="18"/>
        <v>390000</v>
      </c>
      <c r="M47" s="65">
        <f t="shared" si="19"/>
        <v>30000</v>
      </c>
    </row>
    <row r="48" spans="4:13" ht="30" x14ac:dyDescent="0.25">
      <c r="D48" s="26" t="str">
        <f t="shared" si="13"/>
        <v>1 CORE X 300 SQ. MM. AL/ARM (XLPE)  - 33 KV</v>
      </c>
      <c r="E48" s="61">
        <f t="shared" si="14"/>
        <v>13</v>
      </c>
      <c r="F48" s="63">
        <f t="shared" si="15"/>
        <v>0.5</v>
      </c>
      <c r="G48" s="61" t="s">
        <v>237</v>
      </c>
      <c r="H48" s="64">
        <v>65000</v>
      </c>
      <c r="I48" s="63">
        <v>6</v>
      </c>
      <c r="J48" s="61">
        <f t="shared" si="16"/>
        <v>3</v>
      </c>
      <c r="K48" s="61">
        <f t="shared" si="17"/>
        <v>5</v>
      </c>
      <c r="L48" s="61">
        <f t="shared" si="18"/>
        <v>325000</v>
      </c>
      <c r="M48" s="65">
        <f t="shared" si="19"/>
        <v>25000</v>
      </c>
    </row>
    <row r="51" spans="1:13" ht="51" x14ac:dyDescent="0.25">
      <c r="A51" s="18" t="s">
        <v>0</v>
      </c>
      <c r="B51" s="18" t="s">
        <v>134</v>
      </c>
      <c r="C51" s="18" t="s">
        <v>1</v>
      </c>
      <c r="D51" s="18" t="s">
        <v>2</v>
      </c>
      <c r="E51" s="5" t="s">
        <v>238</v>
      </c>
      <c r="F51" s="11" t="s">
        <v>239</v>
      </c>
      <c r="G51" s="11" t="s">
        <v>240</v>
      </c>
      <c r="H51" s="6" t="s">
        <v>73</v>
      </c>
      <c r="I51" s="11" t="s">
        <v>74</v>
      </c>
      <c r="J51" s="11" t="s">
        <v>241</v>
      </c>
      <c r="K51" s="11" t="s">
        <v>76</v>
      </c>
      <c r="L51" s="11" t="s">
        <v>77</v>
      </c>
      <c r="M51" s="11" t="s">
        <v>78</v>
      </c>
    </row>
    <row r="52" spans="1:13" x14ac:dyDescent="0.25">
      <c r="A52" s="27"/>
      <c r="B52" s="27"/>
      <c r="C52" s="27"/>
      <c r="D52" s="27"/>
      <c r="E52" s="5"/>
      <c r="F52" s="5"/>
      <c r="G52" s="5"/>
      <c r="H52" s="5"/>
      <c r="I52" s="5"/>
      <c r="J52" s="5"/>
      <c r="K52" s="5"/>
      <c r="L52" s="5"/>
      <c r="M52" s="5"/>
    </row>
    <row r="53" spans="1:13" ht="30" x14ac:dyDescent="0.25">
      <c r="A53" s="1" t="str">
        <f>A19</f>
        <v>ENQ-10773-22-23</v>
      </c>
      <c r="B53" s="51">
        <f>B19</f>
        <v>45135</v>
      </c>
      <c r="C53" s="1" t="str">
        <f>C19</f>
        <v>FA1300083</v>
      </c>
      <c r="D53" s="73" t="str">
        <f>D19</f>
        <v>3 CORE X 400 SQ. MM. AL/ARM - WIRE (XLPE) - 11 KV</v>
      </c>
      <c r="E53" s="74">
        <f>ROUNDUP(E19/1000,2)</f>
        <v>3241.8</v>
      </c>
      <c r="F53" s="77" t="e">
        <f>ROUNDUP(F19/1000,2)</f>
        <v>#DIV/0!</v>
      </c>
      <c r="G53" s="75" t="e">
        <f t="shared" ref="G53:G66" si="20">E53+F53</f>
        <v>#DIV/0!</v>
      </c>
      <c r="H53" s="76">
        <f>H19</f>
        <v>0.18</v>
      </c>
      <c r="I53" s="75" t="e">
        <f>ROUND(G53*H53,2)</f>
        <v>#DIV/0!</v>
      </c>
      <c r="J53" s="75" t="e">
        <f>ROUND(G53+I53,2)</f>
        <v>#DIV/0!</v>
      </c>
      <c r="K53" s="73">
        <f>K19*1000</f>
        <v>0</v>
      </c>
      <c r="L53" s="73" t="s">
        <v>242</v>
      </c>
      <c r="M53" s="74" t="e">
        <f t="shared" ref="M53:M66" si="21">J53*K53</f>
        <v>#DIV/0!</v>
      </c>
    </row>
    <row r="54" spans="1:13" ht="30" x14ac:dyDescent="0.25">
      <c r="A54" s="1" t="str">
        <f t="shared" ref="A54:D66" si="22">A20</f>
        <v>ENQ-10773-22-23</v>
      </c>
      <c r="B54" s="51">
        <f t="shared" si="22"/>
        <v>45135</v>
      </c>
      <c r="C54" s="1" t="str">
        <f t="shared" si="22"/>
        <v>FA1300091</v>
      </c>
      <c r="D54" s="73" t="str">
        <f t="shared" si="22"/>
        <v>3 CORE X 300 SQ. MM. AL/ARM - WIRE (XLPE) - 11 KV</v>
      </c>
      <c r="E54" s="74">
        <f t="shared" ref="E54:F66" si="23">ROUNDUP(E20/1000,2)</f>
        <v>2598.3000000000002</v>
      </c>
      <c r="F54" s="77">
        <f t="shared" si="23"/>
        <v>65</v>
      </c>
      <c r="G54" s="75">
        <f t="shared" si="20"/>
        <v>2663.3</v>
      </c>
      <c r="H54" s="76">
        <f t="shared" ref="H54:H66" si="24">H20</f>
        <v>0.18</v>
      </c>
      <c r="I54" s="75">
        <f t="shared" ref="I54:I66" si="25">ROUND(G54*H54,2)</f>
        <v>479.39</v>
      </c>
      <c r="J54" s="75">
        <f t="shared" ref="J54:J66" si="26">ROUND(G54+I54,2)</f>
        <v>3142.69</v>
      </c>
      <c r="K54" s="73">
        <f t="shared" ref="K54:K66" si="27">K20*1000</f>
        <v>114000</v>
      </c>
      <c r="L54" s="73" t="s">
        <v>242</v>
      </c>
      <c r="M54" s="74">
        <f t="shared" si="21"/>
        <v>358266660</v>
      </c>
    </row>
    <row r="55" spans="1:13" ht="30" x14ac:dyDescent="0.25">
      <c r="A55" s="1" t="str">
        <f t="shared" si="22"/>
        <v>ENQ-10773-22-23</v>
      </c>
      <c r="B55" s="51">
        <f t="shared" si="22"/>
        <v>45135</v>
      </c>
      <c r="C55" s="1" t="str">
        <f t="shared" si="22"/>
        <v>FA1300176</v>
      </c>
      <c r="D55" s="73" t="str">
        <f t="shared" si="22"/>
        <v>3 CORE X 150 SQ. MM. AL/ARM - WIRE (XLPE) - 11 KV</v>
      </c>
      <c r="E55" s="74">
        <f t="shared" si="23"/>
        <v>1671.59</v>
      </c>
      <c r="F55" s="77" t="e">
        <f t="shared" si="23"/>
        <v>#DIV/0!</v>
      </c>
      <c r="G55" s="75" t="e">
        <f t="shared" si="20"/>
        <v>#DIV/0!</v>
      </c>
      <c r="H55" s="76">
        <f t="shared" si="24"/>
        <v>0.18</v>
      </c>
      <c r="I55" s="75" t="e">
        <f t="shared" si="25"/>
        <v>#DIV/0!</v>
      </c>
      <c r="J55" s="75" t="e">
        <f t="shared" si="26"/>
        <v>#DIV/0!</v>
      </c>
      <c r="K55" s="73">
        <f t="shared" si="27"/>
        <v>0</v>
      </c>
      <c r="L55" s="73" t="s">
        <v>242</v>
      </c>
      <c r="M55" s="74" t="e">
        <f t="shared" si="21"/>
        <v>#DIV/0!</v>
      </c>
    </row>
    <row r="56" spans="1:13" ht="30" x14ac:dyDescent="0.25">
      <c r="A56" s="1" t="str">
        <f t="shared" si="22"/>
        <v>ENQ-10773-22-23</v>
      </c>
      <c r="B56" s="51">
        <f t="shared" si="22"/>
        <v>45135</v>
      </c>
      <c r="C56" s="1" t="str">
        <f t="shared" si="22"/>
        <v>FA1300197</v>
      </c>
      <c r="D56" s="73" t="str">
        <f t="shared" si="22"/>
        <v>3 CORE X 120 SQ. MM. AL/ARM - WIRE (XLPE) - 11 KV</v>
      </c>
      <c r="E56" s="74">
        <f t="shared" si="23"/>
        <v>1462.05</v>
      </c>
      <c r="F56" s="77" t="e">
        <f t="shared" si="23"/>
        <v>#DIV/0!</v>
      </c>
      <c r="G56" s="75" t="e">
        <f t="shared" si="20"/>
        <v>#DIV/0!</v>
      </c>
      <c r="H56" s="76">
        <f t="shared" si="24"/>
        <v>0.18</v>
      </c>
      <c r="I56" s="75" t="e">
        <f t="shared" si="25"/>
        <v>#DIV/0!</v>
      </c>
      <c r="J56" s="75" t="e">
        <f t="shared" si="26"/>
        <v>#DIV/0!</v>
      </c>
      <c r="K56" s="73">
        <f t="shared" si="27"/>
        <v>0</v>
      </c>
      <c r="L56" s="73" t="s">
        <v>242</v>
      </c>
      <c r="M56" s="74" t="e">
        <f t="shared" si="21"/>
        <v>#DIV/0!</v>
      </c>
    </row>
    <row r="57" spans="1:13" ht="30" x14ac:dyDescent="0.25">
      <c r="A57" s="1" t="str">
        <f t="shared" si="22"/>
        <v>ENQ-10773-22-23</v>
      </c>
      <c r="B57" s="51">
        <f t="shared" si="22"/>
        <v>45135</v>
      </c>
      <c r="C57" s="1" t="str">
        <f t="shared" si="22"/>
        <v>FA1300098</v>
      </c>
      <c r="D57" s="73" t="str">
        <f t="shared" si="22"/>
        <v>3 CORE X 95 SQ. MM. AL/ARM - WIRE (XLPE) - 11 KV</v>
      </c>
      <c r="E57" s="74">
        <f t="shared" si="23"/>
        <v>1316.67</v>
      </c>
      <c r="F57" s="77" t="e">
        <f t="shared" si="23"/>
        <v>#DIV/0!</v>
      </c>
      <c r="G57" s="75" t="e">
        <f t="shared" si="20"/>
        <v>#DIV/0!</v>
      </c>
      <c r="H57" s="76">
        <f t="shared" si="24"/>
        <v>0.18</v>
      </c>
      <c r="I57" s="75" t="e">
        <f t="shared" si="25"/>
        <v>#DIV/0!</v>
      </c>
      <c r="J57" s="75" t="e">
        <f t="shared" si="26"/>
        <v>#DIV/0!</v>
      </c>
      <c r="K57" s="73">
        <f t="shared" si="27"/>
        <v>0</v>
      </c>
      <c r="L57" s="73" t="s">
        <v>242</v>
      </c>
      <c r="M57" s="74" t="e">
        <f t="shared" si="21"/>
        <v>#DIV/0!</v>
      </c>
    </row>
    <row r="58" spans="1:13" ht="30" x14ac:dyDescent="0.25">
      <c r="A58" s="1" t="str">
        <f t="shared" si="22"/>
        <v>ENQ-10773-22-23</v>
      </c>
      <c r="B58" s="51">
        <f t="shared" si="22"/>
        <v>45135</v>
      </c>
      <c r="C58" s="1" t="str">
        <f t="shared" si="22"/>
        <v>FA1300066</v>
      </c>
      <c r="D58" s="73" t="str">
        <f t="shared" si="22"/>
        <v>1 CORE X 1000 SQ. MM. AL/ARM (XLPE) - 11 KV</v>
      </c>
      <c r="E58" s="74">
        <f t="shared" si="23"/>
        <v>1852.71</v>
      </c>
      <c r="F58" s="77">
        <f t="shared" si="23"/>
        <v>34.669999999999995</v>
      </c>
      <c r="G58" s="75">
        <f t="shared" si="20"/>
        <v>1887.38</v>
      </c>
      <c r="H58" s="76">
        <f t="shared" si="24"/>
        <v>0.18</v>
      </c>
      <c r="I58" s="75">
        <f t="shared" si="25"/>
        <v>339.73</v>
      </c>
      <c r="J58" s="75">
        <f t="shared" si="26"/>
        <v>2227.11</v>
      </c>
      <c r="K58" s="73">
        <f t="shared" si="27"/>
        <v>15000</v>
      </c>
      <c r="L58" s="73" t="s">
        <v>242</v>
      </c>
      <c r="M58" s="74">
        <f t="shared" si="21"/>
        <v>33406650.000000004</v>
      </c>
    </row>
    <row r="59" spans="1:13" ht="30" x14ac:dyDescent="0.25">
      <c r="A59" s="1" t="str">
        <f t="shared" si="22"/>
        <v>ENQ-10773-22-23</v>
      </c>
      <c r="B59" s="51">
        <f t="shared" si="22"/>
        <v>45135</v>
      </c>
      <c r="C59" s="1" t="str">
        <f t="shared" si="22"/>
        <v>FA1300016</v>
      </c>
      <c r="D59" s="73" t="str">
        <f t="shared" si="22"/>
        <v>1 CORE X 630 SQ. MM. AL/ARM (XLPE)  - 11 KV</v>
      </c>
      <c r="E59" s="74">
        <f t="shared" si="23"/>
        <v>1201.8799999999999</v>
      </c>
      <c r="F59" s="77" t="e">
        <f t="shared" si="23"/>
        <v>#DIV/0!</v>
      </c>
      <c r="G59" s="75" t="e">
        <f t="shared" si="20"/>
        <v>#DIV/0!</v>
      </c>
      <c r="H59" s="76">
        <f t="shared" si="24"/>
        <v>0.18</v>
      </c>
      <c r="I59" s="75" t="e">
        <f t="shared" si="25"/>
        <v>#DIV/0!</v>
      </c>
      <c r="J59" s="75" t="e">
        <f t="shared" si="26"/>
        <v>#DIV/0!</v>
      </c>
      <c r="K59" s="73">
        <f t="shared" si="27"/>
        <v>0</v>
      </c>
      <c r="L59" s="73" t="s">
        <v>242</v>
      </c>
      <c r="M59" s="74" t="e">
        <f t="shared" si="21"/>
        <v>#DIV/0!</v>
      </c>
    </row>
    <row r="60" spans="1:13" ht="30" x14ac:dyDescent="0.25">
      <c r="A60" s="1" t="str">
        <f t="shared" si="22"/>
        <v>ENQ-10773-22-23</v>
      </c>
      <c r="B60" s="51">
        <f t="shared" si="22"/>
        <v>45135</v>
      </c>
      <c r="C60" s="1" t="str">
        <f t="shared" si="22"/>
        <v>FA1300047</v>
      </c>
      <c r="D60" s="73" t="str">
        <f t="shared" si="22"/>
        <v>1 CORE X 400 SQ. MM. AL/ARM (XLPE) - 11 KV</v>
      </c>
      <c r="E60" s="74">
        <f t="shared" si="23"/>
        <v>911.87</v>
      </c>
      <c r="F60" s="77">
        <f t="shared" si="23"/>
        <v>22.75</v>
      </c>
      <c r="G60" s="75">
        <f t="shared" si="20"/>
        <v>934.62</v>
      </c>
      <c r="H60" s="76">
        <f t="shared" si="24"/>
        <v>0.18</v>
      </c>
      <c r="I60" s="75">
        <f t="shared" si="25"/>
        <v>168.23</v>
      </c>
      <c r="J60" s="75">
        <f t="shared" si="26"/>
        <v>1102.8499999999999</v>
      </c>
      <c r="K60" s="73">
        <f t="shared" si="27"/>
        <v>40000</v>
      </c>
      <c r="L60" s="73" t="s">
        <v>242</v>
      </c>
      <c r="M60" s="74">
        <f t="shared" si="21"/>
        <v>44114000</v>
      </c>
    </row>
    <row r="61" spans="1:13" ht="30" x14ac:dyDescent="0.25">
      <c r="A61" s="1" t="str">
        <f t="shared" si="22"/>
        <v>ENQ-10773-22-23</v>
      </c>
      <c r="B61" s="51">
        <f t="shared" si="22"/>
        <v>45135</v>
      </c>
      <c r="C61" s="1" t="str">
        <f t="shared" si="22"/>
        <v>FA1300080</v>
      </c>
      <c r="D61" s="73" t="str">
        <f t="shared" si="22"/>
        <v>3 CORE X 400 SQ. MM AL/ARM - WIRE (XLPE) - 33 KV</v>
      </c>
      <c r="E61" s="74">
        <f t="shared" si="23"/>
        <v>4221.4400000000005</v>
      </c>
      <c r="F61" s="77">
        <f t="shared" si="23"/>
        <v>130</v>
      </c>
      <c r="G61" s="75">
        <f t="shared" si="20"/>
        <v>4351.4400000000005</v>
      </c>
      <c r="H61" s="76">
        <f t="shared" si="24"/>
        <v>0.18</v>
      </c>
      <c r="I61" s="75">
        <f t="shared" si="25"/>
        <v>783.26</v>
      </c>
      <c r="J61" s="75">
        <f t="shared" si="26"/>
        <v>5134.7</v>
      </c>
      <c r="K61" s="73">
        <f t="shared" si="27"/>
        <v>60000</v>
      </c>
      <c r="L61" s="73" t="s">
        <v>242</v>
      </c>
      <c r="M61" s="74">
        <f t="shared" si="21"/>
        <v>308082000</v>
      </c>
    </row>
    <row r="62" spans="1:13" ht="30" x14ac:dyDescent="0.25">
      <c r="A62" s="1" t="str">
        <f t="shared" si="22"/>
        <v>ENQ-10773-22-23</v>
      </c>
      <c r="B62" s="51">
        <f t="shared" si="22"/>
        <v>45135</v>
      </c>
      <c r="C62" s="1" t="str">
        <f t="shared" si="22"/>
        <v>FA1300081</v>
      </c>
      <c r="D62" s="73" t="str">
        <f t="shared" si="22"/>
        <v>3 CORE X 300 SQ. MM. AL/ARM - WIRE (XLPE) - 33 KV</v>
      </c>
      <c r="E62" s="74">
        <f t="shared" si="23"/>
        <v>3709.1800000000003</v>
      </c>
      <c r="F62" s="77">
        <f t="shared" si="23"/>
        <v>130</v>
      </c>
      <c r="G62" s="75">
        <f t="shared" si="20"/>
        <v>3839.1800000000003</v>
      </c>
      <c r="H62" s="76">
        <f t="shared" si="24"/>
        <v>0.18</v>
      </c>
      <c r="I62" s="75">
        <f t="shared" si="25"/>
        <v>691.05</v>
      </c>
      <c r="J62" s="75">
        <f t="shared" si="26"/>
        <v>4530.2299999999996</v>
      </c>
      <c r="K62" s="73">
        <f t="shared" si="27"/>
        <v>13000</v>
      </c>
      <c r="L62" s="73" t="s">
        <v>242</v>
      </c>
      <c r="M62" s="74">
        <f t="shared" si="21"/>
        <v>58892989.999999993</v>
      </c>
    </row>
    <row r="63" spans="1:13" ht="30" x14ac:dyDescent="0.25">
      <c r="A63" s="1" t="str">
        <f t="shared" si="22"/>
        <v>ENQ-10773-22-23</v>
      </c>
      <c r="B63" s="51">
        <f t="shared" si="22"/>
        <v>45135</v>
      </c>
      <c r="C63" s="1" t="str">
        <f t="shared" si="22"/>
        <v>FA1300200</v>
      </c>
      <c r="D63" s="73" t="str">
        <f t="shared" si="22"/>
        <v>3 CORE X 95 SQ. MM. AL/ARM  WIRE (XLPE) - 33 KV</v>
      </c>
      <c r="E63" s="74">
        <f t="shared" si="23"/>
        <v>2262.63</v>
      </c>
      <c r="F63" s="77" t="e">
        <f t="shared" si="23"/>
        <v>#DIV/0!</v>
      </c>
      <c r="G63" s="75" t="e">
        <f t="shared" si="20"/>
        <v>#DIV/0!</v>
      </c>
      <c r="H63" s="76">
        <f t="shared" si="24"/>
        <v>0.18</v>
      </c>
      <c r="I63" s="75" t="e">
        <f t="shared" si="25"/>
        <v>#DIV/0!</v>
      </c>
      <c r="J63" s="75" t="e">
        <f t="shared" si="26"/>
        <v>#DIV/0!</v>
      </c>
      <c r="K63" s="73">
        <f t="shared" si="27"/>
        <v>0</v>
      </c>
      <c r="L63" s="73" t="s">
        <v>242</v>
      </c>
      <c r="M63" s="74" t="e">
        <f t="shared" si="21"/>
        <v>#DIV/0!</v>
      </c>
    </row>
    <row r="64" spans="1:13" ht="30" x14ac:dyDescent="0.25">
      <c r="A64" s="1" t="str">
        <f t="shared" si="22"/>
        <v>ENQ-10773-22-23</v>
      </c>
      <c r="B64" s="51">
        <f t="shared" si="22"/>
        <v>45135</v>
      </c>
      <c r="C64" s="1" t="str">
        <f t="shared" si="22"/>
        <v>FA1300027</v>
      </c>
      <c r="D64" s="73" t="str">
        <f t="shared" si="22"/>
        <v>1 CORE X 630 SQ. MM. AL/ARM (XLPE)  - 33 KV</v>
      </c>
      <c r="E64" s="74">
        <f t="shared" si="23"/>
        <v>1563.06</v>
      </c>
      <c r="F64" s="77" t="e">
        <f t="shared" si="23"/>
        <v>#DIV/0!</v>
      </c>
      <c r="G64" s="75" t="e">
        <f t="shared" si="20"/>
        <v>#DIV/0!</v>
      </c>
      <c r="H64" s="76">
        <f t="shared" si="24"/>
        <v>0.18</v>
      </c>
      <c r="I64" s="75" t="e">
        <f t="shared" si="25"/>
        <v>#DIV/0!</v>
      </c>
      <c r="J64" s="75" t="e">
        <f t="shared" si="26"/>
        <v>#DIV/0!</v>
      </c>
      <c r="K64" s="73">
        <f t="shared" si="27"/>
        <v>0</v>
      </c>
      <c r="L64" s="73" t="s">
        <v>242</v>
      </c>
      <c r="M64" s="74" t="e">
        <f t="shared" si="21"/>
        <v>#DIV/0!</v>
      </c>
    </row>
    <row r="65" spans="1:13" ht="30" x14ac:dyDescent="0.25">
      <c r="A65" s="1" t="str">
        <f t="shared" si="22"/>
        <v>ENQ-10773-22-23</v>
      </c>
      <c r="B65" s="51">
        <f t="shared" si="22"/>
        <v>45135</v>
      </c>
      <c r="C65" s="1" t="str">
        <f t="shared" si="22"/>
        <v>FA1300018</v>
      </c>
      <c r="D65" s="73" t="str">
        <f t="shared" si="22"/>
        <v>1 CORE X 400 SQ. MM. AL/ARM (XLPE) - 33 KV</v>
      </c>
      <c r="E65" s="74">
        <f t="shared" si="23"/>
        <v>1212.53</v>
      </c>
      <c r="F65" s="77">
        <f t="shared" si="23"/>
        <v>30</v>
      </c>
      <c r="G65" s="75">
        <f t="shared" si="20"/>
        <v>1242.53</v>
      </c>
      <c r="H65" s="76">
        <f t="shared" si="24"/>
        <v>0.18</v>
      </c>
      <c r="I65" s="75">
        <f t="shared" si="25"/>
        <v>223.66</v>
      </c>
      <c r="J65" s="75">
        <f t="shared" si="26"/>
        <v>1466.19</v>
      </c>
      <c r="K65" s="73">
        <f t="shared" si="27"/>
        <v>13000</v>
      </c>
      <c r="L65" s="73" t="s">
        <v>242</v>
      </c>
      <c r="M65" s="74">
        <f t="shared" si="21"/>
        <v>19060470</v>
      </c>
    </row>
    <row r="66" spans="1:13" ht="30" x14ac:dyDescent="0.25">
      <c r="A66" s="1" t="str">
        <f t="shared" si="22"/>
        <v>ENQ-10773-22-23</v>
      </c>
      <c r="B66" s="51">
        <f t="shared" si="22"/>
        <v>45135</v>
      </c>
      <c r="C66" s="1" t="str">
        <f t="shared" si="22"/>
        <v>FA1300019</v>
      </c>
      <c r="D66" s="73" t="str">
        <f t="shared" si="22"/>
        <v>1 CORE X 300 SQ. MM. AL/ARM (XLPE)  - 33 KV</v>
      </c>
      <c r="E66" s="74">
        <f t="shared" si="23"/>
        <v>1056.1500000000001</v>
      </c>
      <c r="F66" s="77">
        <f t="shared" si="23"/>
        <v>25</v>
      </c>
      <c r="G66" s="75">
        <f t="shared" si="20"/>
        <v>1081.1500000000001</v>
      </c>
      <c r="H66" s="76">
        <f t="shared" si="24"/>
        <v>0.18</v>
      </c>
      <c r="I66" s="75">
        <f t="shared" si="25"/>
        <v>194.61</v>
      </c>
      <c r="J66" s="75">
        <f t="shared" si="26"/>
        <v>1275.76</v>
      </c>
      <c r="K66" s="73">
        <f t="shared" si="27"/>
        <v>13000</v>
      </c>
      <c r="L66" s="73" t="s">
        <v>242</v>
      </c>
      <c r="M66" s="74">
        <f t="shared" si="21"/>
        <v>16584880</v>
      </c>
    </row>
  </sheetData>
  <mergeCells count="19">
    <mergeCell ref="AS16:BB16"/>
    <mergeCell ref="N16:R16"/>
    <mergeCell ref="S16:T16"/>
    <mergeCell ref="U16:AB16"/>
    <mergeCell ref="AC16:AD16"/>
    <mergeCell ref="AE16:AJ16"/>
    <mergeCell ref="AL16:AR16"/>
    <mergeCell ref="B14:R14"/>
    <mergeCell ref="A2:R2"/>
    <mergeCell ref="B4:R4"/>
    <mergeCell ref="B5:R5"/>
    <mergeCell ref="B6:R6"/>
    <mergeCell ref="B7:R7"/>
    <mergeCell ref="B8:R8"/>
    <mergeCell ref="B9:R9"/>
    <mergeCell ref="B10:R10"/>
    <mergeCell ref="B11:R11"/>
    <mergeCell ref="B12:R12"/>
    <mergeCell ref="B13:R13"/>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66"/>
  <sheetViews>
    <sheetView showZeros="0" topLeftCell="A15" workbookViewId="0">
      <pane ySplit="4" topLeftCell="A36" activePane="bottomLeft" state="frozen"/>
      <selection activeCell="A15" sqref="A15"/>
      <selection pane="bottomLeft" activeCell="N18" sqref="N18:BT18"/>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customWidth="1"/>
    <col min="6" max="6" width="11.5703125" customWidth="1"/>
    <col min="7" max="7" width="14.5703125" customWidth="1"/>
    <col min="8" max="8" width="11" style="7" customWidth="1"/>
    <col min="9" max="9" width="12.28515625" customWidth="1"/>
    <col min="10" max="10" width="13.85546875" customWidth="1"/>
    <col min="11" max="12" width="9.140625" customWidth="1"/>
    <col min="13" max="13" width="15.28515625" customWidth="1"/>
    <col min="14" max="14" width="7.85546875" style="26" customWidth="1"/>
    <col min="15" max="24" width="7.85546875" style="26" hidden="1" customWidth="1"/>
    <col min="25" max="25" width="7.85546875" style="26" customWidth="1"/>
    <col min="26" max="28" width="7.85546875" style="26" hidden="1" customWidth="1"/>
    <col min="29" max="29" width="7.85546875" style="26" customWidth="1"/>
    <col min="30" max="30" width="7.85546875" style="26" hidden="1" customWidth="1"/>
    <col min="31" max="31" width="7.85546875" style="26" customWidth="1"/>
    <col min="32" max="36" width="7.85546875" style="26" hidden="1" customWidth="1"/>
    <col min="37" max="37" width="7.85546875" style="26" customWidth="1"/>
    <col min="38" max="42" width="7.85546875" style="26" hidden="1" customWidth="1"/>
    <col min="43" max="44" width="7.85546875" style="26" customWidth="1"/>
    <col min="45" max="47" width="7.85546875" style="26" hidden="1" customWidth="1"/>
    <col min="48" max="48" width="7.85546875" style="26" customWidth="1"/>
    <col min="49" max="52" width="7.85546875" style="26" hidden="1" customWidth="1"/>
    <col min="53" max="53" width="7.85546875" style="26" customWidth="1"/>
    <col min="54" max="57" width="7.85546875" style="26" hidden="1" customWidth="1"/>
    <col min="58" max="58" width="11.28515625" style="26" customWidth="1"/>
    <col min="59" max="59" width="7.85546875" style="26" customWidth="1"/>
    <col min="60" max="66" width="7.85546875" style="26" hidden="1" customWidth="1"/>
    <col min="67" max="68" width="7.85546875" style="26" customWidth="1"/>
    <col min="69" max="71" width="7.85546875" style="26" hidden="1" customWidth="1"/>
    <col min="72" max="72" width="7.85546875" style="26" customWidth="1"/>
    <col min="73" max="73" width="7.85546875" style="26" hidden="1" customWidth="1"/>
    <col min="74" max="74" width="7.85546875" style="26" customWidth="1"/>
    <col min="75" max="75" width="11.140625" style="26" customWidth="1"/>
    <col min="76" max="76" width="18" style="26" customWidth="1"/>
    <col min="77" max="77" width="9.140625" style="26" customWidth="1"/>
    <col min="78" max="78" width="13.28515625" style="4" customWidth="1"/>
    <col min="79" max="79" width="13.85546875" style="4" bestFit="1" customWidth="1"/>
    <col min="80" max="80" width="9.140625" style="24" hidden="1" customWidth="1"/>
    <col min="81" max="81" width="9.140625" style="4" hidden="1" customWidth="1"/>
    <col min="82" max="82" width="9.140625" style="10" customWidth="1"/>
    <col min="83" max="83" width="12.5703125" style="4" bestFit="1" customWidth="1"/>
    <col min="84" max="84" width="9.140625" style="7" customWidth="1"/>
    <col min="85" max="85" width="12.28515625" style="4" bestFit="1" customWidth="1"/>
    <col min="86" max="86" width="13.85546875" style="4" bestFit="1" customWidth="1"/>
    <col min="87" max="87" width="9.140625" style="7" customWidth="1"/>
    <col min="88" max="88" width="11.5703125" customWidth="1"/>
    <col min="89" max="89" width="9.140625" style="7" customWidth="1"/>
    <col min="90" max="90" width="10" bestFit="1" customWidth="1"/>
  </cols>
  <sheetData>
    <row r="1" spans="1:89" s="42" customFormat="1" ht="15.75" thickBot="1" x14ac:dyDescent="0.3"/>
    <row r="2" spans="1:89" s="42" customFormat="1" ht="23.25" thickBot="1" x14ac:dyDescent="0.5">
      <c r="A2" s="92" t="s">
        <v>157</v>
      </c>
      <c r="B2" s="93"/>
      <c r="C2" s="93"/>
      <c r="D2" s="93"/>
      <c r="E2" s="93"/>
      <c r="F2" s="93"/>
      <c r="G2" s="93"/>
      <c r="H2" s="93"/>
      <c r="I2" s="93"/>
      <c r="J2" s="93"/>
      <c r="K2" s="93"/>
      <c r="L2" s="93"/>
      <c r="M2" s="93"/>
      <c r="N2" s="93"/>
      <c r="O2" s="93"/>
      <c r="P2" s="93"/>
      <c r="Q2" s="93"/>
      <c r="R2" s="94"/>
      <c r="S2" s="48"/>
      <c r="T2" s="45"/>
    </row>
    <row r="3" spans="1:89" s="42" customFormat="1" ht="15.75" thickBot="1" x14ac:dyDescent="0.3">
      <c r="A3"/>
      <c r="B3"/>
      <c r="C3"/>
      <c r="D3"/>
      <c r="E3"/>
      <c r="F3"/>
      <c r="G3"/>
      <c r="H3"/>
      <c r="I3"/>
      <c r="J3"/>
      <c r="K3"/>
      <c r="L3"/>
      <c r="M3"/>
      <c r="N3"/>
      <c r="O3"/>
      <c r="P3"/>
      <c r="Q3"/>
      <c r="R3"/>
      <c r="S3"/>
    </row>
    <row r="4" spans="1:89" s="42" customFormat="1" ht="51.75" customHeight="1" thickBot="1" x14ac:dyDescent="0.3">
      <c r="A4" s="43" t="s">
        <v>124</v>
      </c>
      <c r="B4" s="101" t="s">
        <v>158</v>
      </c>
      <c r="C4" s="101"/>
      <c r="D4" s="101"/>
      <c r="E4" s="101"/>
      <c r="F4" s="101"/>
      <c r="G4" s="101"/>
      <c r="H4" s="101"/>
      <c r="I4" s="101"/>
      <c r="J4" s="101"/>
      <c r="K4" s="101"/>
      <c r="L4" s="101"/>
      <c r="M4" s="101"/>
      <c r="N4" s="101"/>
      <c r="O4" s="101"/>
      <c r="P4" s="101"/>
      <c r="Q4" s="101"/>
      <c r="R4" s="101"/>
      <c r="S4"/>
    </row>
    <row r="5" spans="1:89" s="42" customFormat="1" ht="34.5" customHeight="1" x14ac:dyDescent="0.25">
      <c r="A5" s="43" t="s">
        <v>125</v>
      </c>
      <c r="B5" s="101" t="s">
        <v>156</v>
      </c>
      <c r="C5" s="101"/>
      <c r="D5" s="101"/>
      <c r="E5" s="101"/>
      <c r="F5" s="101"/>
      <c r="G5" s="101"/>
      <c r="H5" s="101"/>
      <c r="I5" s="101"/>
      <c r="J5" s="101"/>
      <c r="K5" s="101"/>
      <c r="L5" s="101"/>
      <c r="M5" s="101"/>
      <c r="N5" s="101"/>
      <c r="O5" s="101"/>
      <c r="P5" s="101"/>
      <c r="Q5" s="101"/>
      <c r="R5" s="101"/>
      <c r="S5"/>
    </row>
    <row r="6" spans="1:89" s="42" customFormat="1" ht="45" customHeight="1" x14ac:dyDescent="0.25">
      <c r="A6" s="44" t="s">
        <v>126</v>
      </c>
      <c r="B6" s="88" t="s">
        <v>159</v>
      </c>
      <c r="C6" s="101"/>
      <c r="D6" s="101"/>
      <c r="E6" s="101"/>
      <c r="F6" s="101"/>
      <c r="G6" s="101"/>
      <c r="H6" s="101"/>
      <c r="I6" s="101"/>
      <c r="J6" s="101"/>
      <c r="K6" s="101"/>
      <c r="L6" s="101"/>
      <c r="M6" s="101"/>
      <c r="N6" s="101"/>
      <c r="O6" s="101"/>
      <c r="P6" s="101"/>
      <c r="Q6" s="101"/>
      <c r="R6" s="101"/>
      <c r="S6"/>
    </row>
    <row r="7" spans="1:89" s="42" customFormat="1" ht="47.25" customHeight="1" x14ac:dyDescent="0.25">
      <c r="A7" s="44" t="s">
        <v>123</v>
      </c>
      <c r="B7" s="88" t="s">
        <v>160</v>
      </c>
      <c r="C7" s="101"/>
      <c r="D7" s="101"/>
      <c r="E7" s="101"/>
      <c r="F7" s="101"/>
      <c r="G7" s="101"/>
      <c r="H7" s="101"/>
      <c r="I7" s="101"/>
      <c r="J7" s="101"/>
      <c r="K7" s="101"/>
      <c r="L7" s="101"/>
      <c r="M7" s="101"/>
      <c r="N7" s="101"/>
      <c r="O7" s="101"/>
      <c r="P7" s="101"/>
      <c r="Q7" s="101"/>
      <c r="R7" s="101"/>
      <c r="S7"/>
    </row>
    <row r="8" spans="1:89" s="42" customFormat="1" ht="23.25" customHeight="1" x14ac:dyDescent="0.25">
      <c r="A8" s="44" t="s">
        <v>127</v>
      </c>
      <c r="B8" s="88" t="s">
        <v>162</v>
      </c>
      <c r="C8" s="88"/>
      <c r="D8" s="88"/>
      <c r="E8" s="88"/>
      <c r="F8" s="88"/>
      <c r="G8" s="88"/>
      <c r="H8" s="88"/>
      <c r="I8" s="88"/>
      <c r="J8" s="88"/>
      <c r="K8" s="88"/>
      <c r="L8" s="88"/>
      <c r="M8" s="88"/>
      <c r="N8" s="88"/>
      <c r="O8" s="88"/>
      <c r="P8" s="88"/>
      <c r="Q8" s="88"/>
      <c r="R8" s="88"/>
      <c r="S8"/>
    </row>
    <row r="9" spans="1:89" s="42" customFormat="1" ht="34.5" customHeight="1" x14ac:dyDescent="0.25">
      <c r="A9" s="44" t="s">
        <v>128</v>
      </c>
      <c r="B9" s="89" t="s">
        <v>163</v>
      </c>
      <c r="C9" s="90"/>
      <c r="D9" s="90"/>
      <c r="E9" s="90"/>
      <c r="F9" s="90"/>
      <c r="G9" s="90"/>
      <c r="H9" s="90"/>
      <c r="I9" s="90"/>
      <c r="J9" s="90"/>
      <c r="K9" s="90"/>
      <c r="L9" s="90"/>
      <c r="M9" s="90"/>
      <c r="N9" s="90"/>
      <c r="O9" s="90"/>
      <c r="P9" s="90"/>
      <c r="Q9" s="90"/>
      <c r="R9" s="91"/>
    </row>
    <row r="10" spans="1:89" s="42" customFormat="1" ht="33.75" customHeight="1" x14ac:dyDescent="0.25">
      <c r="A10" s="44" t="s">
        <v>129</v>
      </c>
      <c r="B10" s="88" t="s">
        <v>161</v>
      </c>
      <c r="C10" s="88"/>
      <c r="D10" s="88"/>
      <c r="E10" s="88"/>
      <c r="F10" s="88"/>
      <c r="G10" s="88"/>
      <c r="H10" s="88"/>
      <c r="I10" s="88"/>
      <c r="J10" s="88"/>
      <c r="K10" s="88"/>
      <c r="L10" s="88"/>
      <c r="M10" s="88"/>
      <c r="N10" s="88"/>
      <c r="O10" s="88"/>
      <c r="P10" s="88"/>
      <c r="Q10" s="88"/>
      <c r="R10" s="88"/>
      <c r="S10"/>
    </row>
    <row r="11" spans="1:89" s="42" customFormat="1" ht="34.5" customHeight="1" x14ac:dyDescent="0.25">
      <c r="A11" s="44" t="s">
        <v>130</v>
      </c>
      <c r="B11" s="97" t="s">
        <v>164</v>
      </c>
      <c r="C11" s="98"/>
      <c r="D11" s="98"/>
      <c r="E11" s="98"/>
      <c r="F11" s="98"/>
      <c r="G11" s="98"/>
      <c r="H11" s="98"/>
      <c r="I11" s="98"/>
      <c r="J11" s="98"/>
      <c r="K11" s="98"/>
      <c r="L11" s="98"/>
      <c r="M11" s="98"/>
      <c r="N11" s="98"/>
      <c r="O11" s="98"/>
      <c r="P11" s="98"/>
      <c r="Q11" s="98"/>
      <c r="R11" s="99"/>
      <c r="S11"/>
    </row>
    <row r="12" spans="1:89" s="42" customFormat="1" ht="30" x14ac:dyDescent="0.25">
      <c r="A12" s="49" t="s">
        <v>131</v>
      </c>
      <c r="B12" s="100" t="s">
        <v>166</v>
      </c>
      <c r="C12" s="100"/>
      <c r="D12" s="100"/>
      <c r="E12" s="100"/>
      <c r="F12" s="100"/>
      <c r="G12" s="100"/>
      <c r="H12" s="100"/>
      <c r="I12" s="100"/>
      <c r="J12" s="100"/>
      <c r="K12" s="100"/>
      <c r="L12" s="100"/>
      <c r="M12" s="100"/>
      <c r="N12" s="100"/>
      <c r="O12" s="100"/>
      <c r="P12" s="100"/>
      <c r="Q12" s="100"/>
      <c r="R12" s="100"/>
    </row>
    <row r="13" spans="1:89" s="42" customFormat="1" ht="37.5" customHeight="1" x14ac:dyDescent="0.25">
      <c r="A13" s="49" t="s">
        <v>132</v>
      </c>
      <c r="B13" s="100" t="s">
        <v>165</v>
      </c>
      <c r="C13" s="100"/>
      <c r="D13" s="100"/>
      <c r="E13" s="100"/>
      <c r="F13" s="100"/>
      <c r="G13" s="100"/>
      <c r="H13" s="100"/>
      <c r="I13" s="100"/>
      <c r="J13" s="100"/>
      <c r="K13" s="100"/>
      <c r="L13" s="100"/>
      <c r="M13" s="100"/>
      <c r="N13" s="100"/>
      <c r="O13" s="100"/>
      <c r="P13" s="100"/>
      <c r="Q13" s="100"/>
      <c r="R13" s="100"/>
    </row>
    <row r="14" spans="1:89" s="42" customFormat="1" ht="13.5" customHeight="1" x14ac:dyDescent="0.25">
      <c r="A14" s="50" t="s">
        <v>133</v>
      </c>
      <c r="B14" s="100"/>
      <c r="C14" s="100"/>
      <c r="D14" s="100"/>
      <c r="E14" s="100"/>
      <c r="F14" s="100"/>
      <c r="G14" s="100"/>
      <c r="H14" s="100"/>
      <c r="I14" s="100"/>
      <c r="J14" s="100"/>
      <c r="K14" s="100"/>
      <c r="L14" s="100"/>
      <c r="M14" s="100"/>
      <c r="N14" s="100"/>
      <c r="O14" s="100"/>
      <c r="P14" s="100"/>
      <c r="Q14" s="100"/>
      <c r="R14" s="100"/>
    </row>
    <row r="15" spans="1:89" ht="9" customHeight="1" x14ac:dyDescent="0.25"/>
    <row r="16" spans="1:89" s="33" customFormat="1" ht="55.5" customHeight="1" x14ac:dyDescent="0.25">
      <c r="E16" s="39"/>
      <c r="H16" s="40"/>
      <c r="N16" s="87" t="str">
        <f>Sheet1!J1</f>
        <v>Conductor</v>
      </c>
      <c r="O16" s="87"/>
      <c r="P16" s="87"/>
      <c r="Q16" s="87"/>
      <c r="R16" s="87"/>
      <c r="S16" s="87" t="s">
        <v>9</v>
      </c>
      <c r="T16" s="87"/>
      <c r="U16" s="87" t="s">
        <v>3</v>
      </c>
      <c r="V16" s="87"/>
      <c r="W16" s="87"/>
      <c r="X16" s="87"/>
      <c r="Y16" s="87"/>
      <c r="Z16" s="87"/>
      <c r="AA16" s="87"/>
      <c r="AB16" s="87"/>
      <c r="AC16" s="87" t="s">
        <v>12</v>
      </c>
      <c r="AD16" s="87"/>
      <c r="AE16" s="87" t="s">
        <v>15</v>
      </c>
      <c r="AF16" s="87"/>
      <c r="AG16" s="87"/>
      <c r="AH16" s="87"/>
      <c r="AI16" s="87"/>
      <c r="AJ16" s="87"/>
      <c r="AK16" s="55" t="s">
        <v>18</v>
      </c>
      <c r="AL16" s="95" t="s">
        <v>21</v>
      </c>
      <c r="AM16" s="96"/>
      <c r="AN16" s="96"/>
      <c r="AO16" s="96"/>
      <c r="AP16" s="96"/>
      <c r="AQ16" s="96"/>
      <c r="AR16" s="96"/>
      <c r="AS16" s="87" t="s">
        <v>24</v>
      </c>
      <c r="AT16" s="87"/>
      <c r="AU16" s="87"/>
      <c r="AV16" s="87"/>
      <c r="AW16" s="87"/>
      <c r="AX16" s="87"/>
      <c r="AY16" s="87"/>
      <c r="AZ16" s="87"/>
      <c r="BA16" s="87"/>
      <c r="BB16" s="87"/>
      <c r="BC16" s="70" t="s">
        <v>27</v>
      </c>
      <c r="BD16" s="70"/>
      <c r="BE16" s="70"/>
      <c r="BF16" s="71" t="s">
        <v>236</v>
      </c>
      <c r="BG16" s="70"/>
      <c r="BH16" s="70"/>
      <c r="BI16" s="70"/>
      <c r="BJ16" s="70"/>
      <c r="BK16" s="70"/>
      <c r="BL16" s="70"/>
      <c r="BM16" s="35" t="s">
        <v>30</v>
      </c>
      <c r="BN16" s="55" t="s">
        <v>33</v>
      </c>
      <c r="BO16" s="55" t="s">
        <v>36</v>
      </c>
      <c r="BP16" s="55" t="s">
        <v>39</v>
      </c>
      <c r="BQ16" s="55" t="s">
        <v>42</v>
      </c>
      <c r="BR16" s="55" t="s">
        <v>45</v>
      </c>
      <c r="BS16" s="55" t="s">
        <v>48</v>
      </c>
      <c r="BT16" s="55" t="s">
        <v>51</v>
      </c>
      <c r="BU16" s="55" t="s">
        <v>54</v>
      </c>
      <c r="BV16" s="55"/>
      <c r="BW16" s="55"/>
      <c r="BX16" s="55"/>
      <c r="BY16" s="55"/>
      <c r="BZ16" s="36" t="s">
        <v>57</v>
      </c>
      <c r="CA16" s="36" t="s">
        <v>58</v>
      </c>
      <c r="CB16" s="37" t="s">
        <v>79</v>
      </c>
      <c r="CC16" s="36" t="s">
        <v>122</v>
      </c>
      <c r="CD16" s="38"/>
      <c r="CE16" s="39"/>
      <c r="CF16" s="40"/>
      <c r="CG16" s="39"/>
      <c r="CH16" s="39"/>
      <c r="CI16" s="40"/>
      <c r="CK16" s="40"/>
    </row>
    <row r="17" spans="1:90" s="15" customFormat="1" ht="89.25" x14ac:dyDescent="0.25">
      <c r="A17" s="18" t="s">
        <v>0</v>
      </c>
      <c r="B17" s="18" t="str">
        <f>Sheet1!B1</f>
        <v>Base Date</v>
      </c>
      <c r="C17" s="18" t="s">
        <v>1</v>
      </c>
      <c r="D17" s="18" t="s">
        <v>2</v>
      </c>
      <c r="E17" s="5" t="s">
        <v>70</v>
      </c>
      <c r="F17" s="11" t="s">
        <v>71</v>
      </c>
      <c r="G17" s="11" t="s">
        <v>72</v>
      </c>
      <c r="H17" s="6" t="s">
        <v>73</v>
      </c>
      <c r="I17" s="11" t="s">
        <v>74</v>
      </c>
      <c r="J17" s="11" t="s">
        <v>75</v>
      </c>
      <c r="K17" s="11" t="s">
        <v>76</v>
      </c>
      <c r="L17" s="11" t="s">
        <v>77</v>
      </c>
      <c r="M17" s="11" t="s">
        <v>78</v>
      </c>
      <c r="N17" s="19" t="s">
        <v>80</v>
      </c>
      <c r="O17" s="19" t="s">
        <v>85</v>
      </c>
      <c r="P17" s="19" t="s">
        <v>82</v>
      </c>
      <c r="Q17" s="19" t="s">
        <v>83</v>
      </c>
      <c r="R17" s="19" t="s">
        <v>84</v>
      </c>
      <c r="S17" s="19" t="s">
        <v>80</v>
      </c>
      <c r="T17" s="19" t="s">
        <v>85</v>
      </c>
      <c r="U17" s="20" t="s">
        <v>92</v>
      </c>
      <c r="V17" s="20" t="s">
        <v>96</v>
      </c>
      <c r="W17" s="20" t="s">
        <v>99</v>
      </c>
      <c r="X17" s="20" t="s">
        <v>104</v>
      </c>
      <c r="Y17" s="20" t="s">
        <v>108</v>
      </c>
      <c r="Z17" s="20" t="s">
        <v>111</v>
      </c>
      <c r="AA17" s="20" t="s">
        <v>114</v>
      </c>
      <c r="AB17" s="20" t="s">
        <v>116</v>
      </c>
      <c r="AC17" s="20" t="s">
        <v>91</v>
      </c>
      <c r="AD17" s="20" t="s">
        <v>95</v>
      </c>
      <c r="AE17" s="20" t="s">
        <v>90</v>
      </c>
      <c r="AF17" s="20" t="s">
        <v>86</v>
      </c>
      <c r="AG17" s="20" t="s">
        <v>98</v>
      </c>
      <c r="AH17" s="20" t="s">
        <v>103</v>
      </c>
      <c r="AI17" s="20" t="s">
        <v>107</v>
      </c>
      <c r="AJ17" s="20" t="s">
        <v>110</v>
      </c>
      <c r="AK17" s="16" t="s">
        <v>18</v>
      </c>
      <c r="AL17" s="20" t="s">
        <v>93</v>
      </c>
      <c r="AM17" s="20" t="s">
        <v>97</v>
      </c>
      <c r="AN17" s="20" t="s">
        <v>100</v>
      </c>
      <c r="AO17" s="20" t="s">
        <v>105</v>
      </c>
      <c r="AP17" s="20" t="s">
        <v>109</v>
      </c>
      <c r="AQ17" s="20" t="s">
        <v>87</v>
      </c>
      <c r="AR17" s="20" t="s">
        <v>115</v>
      </c>
      <c r="AS17" s="20" t="s">
        <v>94</v>
      </c>
      <c r="AT17" s="20" t="s">
        <v>81</v>
      </c>
      <c r="AU17" s="20" t="s">
        <v>101</v>
      </c>
      <c r="AV17" s="20" t="s">
        <v>106</v>
      </c>
      <c r="AW17" s="20" t="s">
        <v>112</v>
      </c>
      <c r="AX17" s="20" t="s">
        <v>88</v>
      </c>
      <c r="AY17" s="20" t="s">
        <v>117</v>
      </c>
      <c r="AZ17" s="20" t="s">
        <v>118</v>
      </c>
      <c r="BA17" s="20" t="s">
        <v>119</v>
      </c>
      <c r="BB17" s="20" t="s">
        <v>121</v>
      </c>
      <c r="BC17" s="20" t="s">
        <v>93</v>
      </c>
      <c r="BD17" s="20" t="s">
        <v>97</v>
      </c>
      <c r="BE17" s="20" t="s">
        <v>102</v>
      </c>
      <c r="BF17" s="20" t="s">
        <v>100</v>
      </c>
      <c r="BG17" s="20" t="s">
        <v>173</v>
      </c>
      <c r="BH17" s="20" t="s">
        <v>113</v>
      </c>
      <c r="BI17" s="20" t="s">
        <v>105</v>
      </c>
      <c r="BJ17" s="20" t="s">
        <v>87</v>
      </c>
      <c r="BK17" s="20" t="s">
        <v>115</v>
      </c>
      <c r="BL17" s="20" t="s">
        <v>120</v>
      </c>
      <c r="BM17" s="16" t="s">
        <v>30</v>
      </c>
      <c r="BN17" s="16" t="s">
        <v>89</v>
      </c>
      <c r="BO17" s="67" t="s">
        <v>235</v>
      </c>
      <c r="BP17" s="21" t="s">
        <v>39</v>
      </c>
      <c r="BQ17" s="17" t="s">
        <v>42</v>
      </c>
      <c r="BR17" s="17" t="s">
        <v>45</v>
      </c>
      <c r="BS17" s="17" t="s">
        <v>48</v>
      </c>
      <c r="BT17" s="21" t="s">
        <v>51</v>
      </c>
      <c r="BU17" s="17" t="s">
        <v>54</v>
      </c>
      <c r="BV17" s="17" t="str">
        <f>Sheet1!E1</f>
        <v>PROPOSE DRUM TYPE</v>
      </c>
      <c r="BW17" s="53" t="str">
        <f>Sheet1!CV1</f>
        <v>DRUM CODE</v>
      </c>
      <c r="BX17" s="53" t="str">
        <f>Sheet1!CW1</f>
        <v>DRUM SIZE (FxbXtx Ft)</v>
      </c>
      <c r="BY17" s="60" t="str">
        <f>Sheet1!CX1</f>
        <v xml:space="preserve">PARTY STANDARD LENGTH (MTR) </v>
      </c>
      <c r="BZ17" s="25"/>
      <c r="CA17" s="25"/>
      <c r="CB17" s="22"/>
      <c r="CC17" s="25"/>
      <c r="CD17" s="9" t="s">
        <v>61</v>
      </c>
      <c r="CE17" s="5" t="s">
        <v>62</v>
      </c>
      <c r="CF17" s="6" t="s">
        <v>63</v>
      </c>
      <c r="CG17" s="5" t="s">
        <v>64</v>
      </c>
      <c r="CH17" s="5" t="s">
        <v>65</v>
      </c>
      <c r="CI17" s="6" t="s">
        <v>66</v>
      </c>
      <c r="CJ17" s="11" t="s">
        <v>67</v>
      </c>
      <c r="CK17" s="6" t="s">
        <v>68</v>
      </c>
      <c r="CL17" s="11" t="s">
        <v>69</v>
      </c>
    </row>
    <row r="18" spans="1:90" s="25" customFormat="1" x14ac:dyDescent="0.25">
      <c r="A18" s="27"/>
      <c r="B18" s="27"/>
      <c r="C18" s="27"/>
      <c r="D18" s="27"/>
      <c r="E18" s="5"/>
      <c r="F18" s="5"/>
      <c r="G18" s="5"/>
      <c r="H18" s="5"/>
      <c r="I18" s="5"/>
      <c r="J18" s="5"/>
      <c r="K18" s="5"/>
      <c r="L18" s="5"/>
      <c r="M18" s="5"/>
      <c r="N18" s="28">
        <v>216</v>
      </c>
      <c r="O18" s="28">
        <f>+IFERROR(VLOOKUP($O$17,Sheet1!J:L,2,0),0)</f>
        <v>0</v>
      </c>
      <c r="P18" s="28">
        <f>+IFERROR(VLOOKUP($P$17,Sheet1!J:M,2,0),0)</f>
        <v>0</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v>878</v>
      </c>
      <c r="Z18" s="29">
        <f>+IFERROR(VLOOKUP($Z$17,Sheet1!F:I,2,0),0)</f>
        <v>0</v>
      </c>
      <c r="AA18" s="29">
        <f>+IFERROR(VLOOKUP($AA$17,Sheet1!F:I,2,0),0)</f>
        <v>0</v>
      </c>
      <c r="AB18" s="29">
        <f>+IFERROR(VLOOKUP($AB$17,Sheet1!F:I,2,0),0)</f>
        <v>0</v>
      </c>
      <c r="AC18" s="29">
        <v>195</v>
      </c>
      <c r="AD18" s="29">
        <f>+IFERROR(VLOOKUP($AD$17,Sheet1!R:U,2,0),0)</f>
        <v>0</v>
      </c>
      <c r="AE18" s="29">
        <v>155</v>
      </c>
      <c r="AF18" s="29">
        <f>+IFERROR(VLOOKUP($AF$17,Sheet1!V:Y,2,0),0)</f>
        <v>0</v>
      </c>
      <c r="AG18" s="29">
        <f>+IFERROR(VLOOKUP($AG$17,Sheet1!V:Y,2,0),0)</f>
        <v>0</v>
      </c>
      <c r="AH18" s="29">
        <f>+IFERROR(VLOOKUP($AH$17,Sheet1!V:Y,2,0),0)</f>
        <v>0</v>
      </c>
      <c r="AI18" s="29">
        <f>+IFERROR(VLOOKUP($AI$17,Sheet1!V:Y,2,0),0)</f>
        <v>0</v>
      </c>
      <c r="AJ18" s="29">
        <f>+IFERROR(VLOOKUP($AJ$17,Sheet1!V:Y,2,0),0)</f>
        <v>0</v>
      </c>
      <c r="AK18" s="30">
        <v>123</v>
      </c>
      <c r="AL18" s="29">
        <f>+IFERROR(VLOOKUP($AL$17,Sheet1!AD2:AG840,2,0),0)</f>
        <v>0</v>
      </c>
      <c r="AM18" s="29">
        <f>+IFERROR(VLOOKUP($AM$17,Sheet1!AD2:AG840,2,0),0)</f>
        <v>0</v>
      </c>
      <c r="AN18" s="29">
        <f>+IFERROR(VLOOKUP($AN$17,Sheet1!AD2:AG840,2,0),0)</f>
        <v>0</v>
      </c>
      <c r="AO18" s="29">
        <f>+IFERROR(VLOOKUP($AO$17,Sheet1!AD2:AG840,2,0),0)</f>
        <v>0</v>
      </c>
      <c r="AP18" s="29">
        <f>+IFERROR(VLOOKUP($AP$17,Sheet1!AD2:AG840,2,0),0)</f>
        <v>0</v>
      </c>
      <c r="AQ18" s="29">
        <v>61</v>
      </c>
      <c r="AR18" s="29">
        <v>88</v>
      </c>
      <c r="AS18" s="29">
        <f>+IFERROR(VLOOKUP($AS$17,Sheet1!AH2:AK840,2,0),0)</f>
        <v>0</v>
      </c>
      <c r="AT18" s="29">
        <f>+IFERROR(VLOOKUP($AT$17,Sheet1!AH2:AK840,2,0),0)</f>
        <v>0</v>
      </c>
      <c r="AU18" s="29">
        <f>+IFERROR(VLOOKUP($AU$17,Sheet1!AH2:AK840,2,0),0)</f>
        <v>0</v>
      </c>
      <c r="AV18" s="29">
        <v>219</v>
      </c>
      <c r="AW18" s="29">
        <f>+IFERROR(VLOOKUP($AW$17,Sheet1!AH2:AK840,2,0),0)</f>
        <v>0</v>
      </c>
      <c r="AX18" s="29">
        <f>+IFERROR(VLOOKUP($AX$17,Sheet1!AH2:AK840,2,0),0)</f>
        <v>0</v>
      </c>
      <c r="AY18" s="29">
        <f>+IFERROR(VLOOKUP($AY$17,Sheet1!AH2:AK840,2,0),0)</f>
        <v>0</v>
      </c>
      <c r="AZ18" s="29">
        <f>+IFERROR(VLOOKUP($AZ$17,Sheet1!AH2:AK840,2,0),0)</f>
        <v>0</v>
      </c>
      <c r="BA18" s="29">
        <v>87</v>
      </c>
      <c r="BB18" s="29">
        <f>+IFERROR(VLOOKUP($BB$17,Sheet1!AH2:AK840,2,0),0)</f>
        <v>0</v>
      </c>
      <c r="BC18" s="29">
        <f>+IFERROR(VLOOKUP($BC$17,Sheet1!AL2:AO840,2,0),0)</f>
        <v>0</v>
      </c>
      <c r="BD18" s="29">
        <f>+IFERROR(VLOOKUP($BD$17,Sheet1!AL2:AO840,2,0),0)</f>
        <v>0</v>
      </c>
      <c r="BE18" s="29">
        <f>+IFERROR(VLOOKUP($BE$17,Sheet1!AL2:AO840,2,0),0)</f>
        <v>0</v>
      </c>
      <c r="BF18" s="29">
        <v>94</v>
      </c>
      <c r="BG18" s="68">
        <v>65</v>
      </c>
      <c r="BH18" s="29">
        <f>+IFERROR(VLOOKUP($BH$17,Sheet1!AL2:AO840,2,0),0)</f>
        <v>0</v>
      </c>
      <c r="BI18" s="29">
        <f>+IFERROR(VLOOKUP($BI$17,Sheet1!AL2:AO840,2,0),0)</f>
        <v>0</v>
      </c>
      <c r="BJ18" s="29">
        <f>+IFERROR(VLOOKUP($BJ$17,Sheet1!AL2:AO840,2,0),0)</f>
        <v>0</v>
      </c>
      <c r="BK18" s="29">
        <f>+IFERROR(VLOOKUP($BK$17,Sheet1!AL2:AO840,2,0),0)</f>
        <v>0</v>
      </c>
      <c r="BL18" s="29">
        <f>+IFERROR(VLOOKUP($BL$17,Sheet1!AL2:AO840,2,0),0)</f>
        <v>0</v>
      </c>
      <c r="BM18" s="30"/>
      <c r="BN18" s="30">
        <f>+IFERROR(VLOOKUP($BN$17,Sheet1!AT2:AW840,2,0),0)</f>
        <v>0</v>
      </c>
      <c r="BO18" s="69">
        <v>350</v>
      </c>
      <c r="BP18" s="32">
        <f>+IFERROR(VLOOKUP($BP$17,Sheet1!BB2:BE840,2,0),0)</f>
        <v>510</v>
      </c>
      <c r="BQ18" s="31">
        <f>+IFERROR(VLOOKUP($BQ$17,Sheet1!BF2:BI840,2,0),0)</f>
        <v>0</v>
      </c>
      <c r="BR18" s="31">
        <f>+IFERROR(VLOOKUP($BR$17,Sheet1!BJ2:BM840,2,0),0)</f>
        <v>0</v>
      </c>
      <c r="BS18" s="31">
        <f>+IFERROR(VLOOKUP($BS$17,Sheet1!BN2:BQ840,2,0),0)</f>
        <v>0</v>
      </c>
      <c r="BT18" s="32">
        <f>+IFERROR(VLOOKUP($BT$17,Sheet1!BR2:BU840,2,0),0)</f>
        <v>440</v>
      </c>
      <c r="BU18" s="31">
        <f>+IFERROR(VLOOKUP($BU$17,Sheet1!BV2:BY840,2,0),0)</f>
        <v>0</v>
      </c>
      <c r="BV18" s="52"/>
      <c r="BW18" s="52"/>
      <c r="BX18" s="52"/>
      <c r="BY18" s="52"/>
      <c r="CD18" s="5"/>
      <c r="CE18" s="5"/>
      <c r="CF18" s="5"/>
      <c r="CG18" s="5"/>
      <c r="CH18" s="5"/>
      <c r="CI18" s="5"/>
      <c r="CJ18" s="5"/>
      <c r="CK18" s="5"/>
      <c r="CL18" s="5"/>
    </row>
    <row r="19" spans="1:90" ht="51" x14ac:dyDescent="0.25">
      <c r="A19" s="1" t="str">
        <f>Sheet1!A13</f>
        <v>ENQ-10773-22-23</v>
      </c>
      <c r="B19" s="51">
        <f>Sheet1!B13</f>
        <v>45135</v>
      </c>
      <c r="C19" s="1" t="str">
        <f>Sheet1!C13</f>
        <v>FA1300083</v>
      </c>
      <c r="D19" s="73" t="str">
        <f>Sheet1!D13</f>
        <v>3 CORE X 400 SQ. MM. AL/ARM - WIRE (XLPE) - 11 KV</v>
      </c>
      <c r="E19" s="74">
        <f t="shared" ref="E19:E32" si="0">CH19+CJ19+CL19</f>
        <v>3241791.6150000002</v>
      </c>
      <c r="F19" s="77">
        <f>ROUNDUP(M35,0)</f>
        <v>86667</v>
      </c>
      <c r="G19" s="75">
        <f t="shared" ref="G19:G32" si="1">E19+F19</f>
        <v>3328458.6150000002</v>
      </c>
      <c r="H19" s="76">
        <f>Sheet1!CP13</f>
        <v>0.18</v>
      </c>
      <c r="I19" s="75">
        <f t="shared" ref="I19:I32" si="2">G19*H19</f>
        <v>599122.55070000002</v>
      </c>
      <c r="J19" s="75">
        <f t="shared" ref="J19:J32" si="3">G19+I19</f>
        <v>3927581.1657000002</v>
      </c>
      <c r="K19" s="73">
        <v>28.5</v>
      </c>
      <c r="L19" s="73" t="str">
        <f>Sheet1!CT13</f>
        <v>KMS</v>
      </c>
      <c r="M19" s="74">
        <f t="shared" ref="M19:M32" si="4">J19*K19</f>
        <v>111936063.22245</v>
      </c>
      <c r="N19" s="78">
        <v>3243</v>
      </c>
      <c r="O19" s="41">
        <f>+IFERROR(VLOOKUP($O$17,Sheet1!J13:L13,3,0),0)</f>
        <v>0</v>
      </c>
      <c r="P19" s="41">
        <f>+IFERROR(VLOOKUP($P$17,Sheet1!J13:M13,3,0),0)</f>
        <v>0</v>
      </c>
      <c r="Q19" s="41">
        <f>+IFERROR(VLOOKUP($Q$17,Sheet1!J13:M13,3,0),0)</f>
        <v>0</v>
      </c>
      <c r="R19" s="41">
        <f>+IFERROR(VLOOKUP($R$17,Sheet1!J13:M13,3,0),0)</f>
        <v>0</v>
      </c>
      <c r="S19" s="41">
        <f>+IFERROR(VLOOKUP($S$17,Sheet1!N13:Q13,3,0),0)</f>
        <v>0</v>
      </c>
      <c r="T19" s="41">
        <f>+IFERROR(VLOOKUP($T$17,Sheet1!N13:Q13,3,0),0)</f>
        <v>0</v>
      </c>
      <c r="U19" s="41">
        <f>+IFERROR(VLOOKUP($U$17,Sheet1!F13:I13,3,0),0)</f>
        <v>0</v>
      </c>
      <c r="V19" s="41">
        <f>+IFERROR(VLOOKUP($V$17,Sheet1!F13:I13,3,0),0)</f>
        <v>0</v>
      </c>
      <c r="W19" s="41">
        <f>+IFERROR(VLOOKUP($W$17,Sheet1!F13:I13,3,0),0)</f>
        <v>0</v>
      </c>
      <c r="X19" s="41">
        <f>+IFERROR(VLOOKUP($X$17,Sheet1!F13:I13,3,0),0)</f>
        <v>0</v>
      </c>
      <c r="Y19" s="78">
        <v>158</v>
      </c>
      <c r="Z19" s="41">
        <f>+IFERROR(VLOOKUP($Z$17,Sheet1!F13:I13,3,0),0)</f>
        <v>0</v>
      </c>
      <c r="AA19" s="41">
        <f>+IFERROR(VLOOKUP($AA$17,Sheet1!F13:I13,3,0),0)</f>
        <v>0</v>
      </c>
      <c r="AB19" s="41">
        <f>+IFERROR(VLOOKUP($AB$17,Sheet1!F13:I13,3,0),0)</f>
        <v>0</v>
      </c>
      <c r="AC19" s="78">
        <v>414</v>
      </c>
      <c r="AD19" s="72">
        <f>+IFERROR(VLOOKUP($AD$17,Sheet1!R13:U13,2,0),0)</f>
        <v>0</v>
      </c>
      <c r="AE19" s="78">
        <v>938</v>
      </c>
      <c r="AF19" s="72">
        <f>+IFERROR(VLOOKUP($AF$17,Sheet1!V13:Y13,3,0),0)</f>
        <v>0</v>
      </c>
      <c r="AG19" s="72">
        <f>+IFERROR(VLOOKUP($AG$17,Sheet1!V13:Y13,3,0),0)</f>
        <v>0</v>
      </c>
      <c r="AH19" s="72">
        <f>+IFERROR(VLOOKUP($AH$17,Sheet1!V13:Y13,3,0),0)</f>
        <v>0</v>
      </c>
      <c r="AI19" s="72">
        <f>+IFERROR(VLOOKUP($AI$17,Sheet1!V13:Y13,3,0),0)</f>
        <v>0</v>
      </c>
      <c r="AJ19" s="72">
        <f>+IFERROR(VLOOKUP($AJ$17,Sheet1!V13:Y13,3,0),0)</f>
        <v>0</v>
      </c>
      <c r="AK19" s="72">
        <f>+IFERROR(VLOOKUP($AK$17,Sheet1!Z13:AB13,3,0),0)</f>
        <v>0</v>
      </c>
      <c r="AL19" s="72">
        <f>+IFERROR(VLOOKUP($AL$17,Sheet1!AD13:AG13,3,0),0)</f>
        <v>0</v>
      </c>
      <c r="AM19" s="72">
        <f>+IFERROR(VLOOKUP($AM$17,Sheet1!AD13:AG13,3,0),0)</f>
        <v>0</v>
      </c>
      <c r="AN19" s="72">
        <f>+IFERROR(VLOOKUP($AN$17,Sheet1!AD13:AG13,3,0),0)</f>
        <v>0</v>
      </c>
      <c r="AO19" s="72">
        <f>+IFERROR(VLOOKUP($AO$17,Sheet1!AD13:AG13,3,0),0)</f>
        <v>0</v>
      </c>
      <c r="AP19" s="72">
        <f>+IFERROR(VLOOKUP($AP$17,Sheet1!AD13:AG13,3,0),0)</f>
        <v>0</v>
      </c>
      <c r="AQ19" s="72">
        <f>+IFERROR(VLOOKUP($AQ$17,Sheet1!AD13:AG13,3,0),0)</f>
        <v>0</v>
      </c>
      <c r="AR19" s="79">
        <v>980</v>
      </c>
      <c r="AS19" s="72">
        <f>+IFERROR(VLOOKUP($AS$17,Sheet1!AH13:AK13,3,0),0)</f>
        <v>0</v>
      </c>
      <c r="AT19" s="72">
        <f>+IFERROR(VLOOKUP($AT$17,Sheet1!AH13:AK13,3,0),0)</f>
        <v>0</v>
      </c>
      <c r="AU19" s="72">
        <f>+IFERROR(VLOOKUP($AU$17,Sheet1!AH13:AK13,3,0),0)</f>
        <v>0</v>
      </c>
      <c r="AV19" s="72">
        <f>+IFERROR(VLOOKUP($AV$17,Sheet1!AH13:AK13,3,0),0)</f>
        <v>0</v>
      </c>
      <c r="AW19" s="72">
        <f>+IFERROR(VLOOKUP($AW$17,Sheet1!AH13:AK13,3,0),0)</f>
        <v>0</v>
      </c>
      <c r="AX19" s="72">
        <f>+IFERROR(VLOOKUP($AX$17,Sheet1!AH13:AK13,3,0),0)</f>
        <v>0</v>
      </c>
      <c r="AY19" s="72">
        <f>+IFERROR(VLOOKUP($AY$17,Sheet1!AH13:AK13,3,0),0)</f>
        <v>0</v>
      </c>
      <c r="AZ19" s="72">
        <f>+IFERROR(VLOOKUP($AZ$17,Sheet1!AH13:AK13,3,0),0)</f>
        <v>0</v>
      </c>
      <c r="BA19" s="79">
        <v>5540</v>
      </c>
      <c r="BB19" s="72">
        <f>+IFERROR(VLOOKUP($BB$17,Sheet1!AH13:AK13,3,0),0)</f>
        <v>0</v>
      </c>
      <c r="BC19" s="72">
        <f>+IFERROR(VLOOKUP($BC$17,Sheet1!AL13:AO13,3,0),0)</f>
        <v>0</v>
      </c>
      <c r="BD19" s="72">
        <f>+IFERROR(VLOOKUP($BD$17,Sheet1!AL13:AO13,3,0),0)</f>
        <v>0</v>
      </c>
      <c r="BE19" s="72">
        <f>+IFERROR(VLOOKUP($BE$17,Sheet1!AL13:AO13,3,0),0)</f>
        <v>0</v>
      </c>
      <c r="BF19" s="79">
        <v>1355</v>
      </c>
      <c r="BG19" s="79">
        <v>997</v>
      </c>
      <c r="BH19" s="72">
        <f>+IFERROR(VLOOKUP($BH$17,Sheet1!AL13:AO13,3,0),0)</f>
        <v>0</v>
      </c>
      <c r="BI19" s="72">
        <f>+IFERROR(VLOOKUP($BI$17,Sheet1!AL13:AO13,3,0),0)</f>
        <v>0</v>
      </c>
      <c r="BJ19" s="72">
        <f>+IFERROR(VLOOKUP($BJ$17,Sheet1!AL13:AO13,3,0),0)</f>
        <v>0</v>
      </c>
      <c r="BK19" s="72">
        <f>+IFERROR(VLOOKUP($BK$17,Sheet1!AL13:AO13,3,0),0)</f>
        <v>0</v>
      </c>
      <c r="BL19" s="72">
        <f>+IFERROR(VLOOKUP($BL$17,Sheet1!AL13:AO13,3,0),0)</f>
        <v>0</v>
      </c>
      <c r="BM19" s="72">
        <f>+IFERROR(VLOOKUP($BM$17,Sheet1!AP13:AS13,3,0),0)</f>
        <v>0</v>
      </c>
      <c r="BN19" s="72">
        <f>+IFERROR(VLOOKUP($BN$17,Sheet1!AT13:AW13,3,0),0)</f>
        <v>0</v>
      </c>
      <c r="BO19" s="79">
        <v>58</v>
      </c>
      <c r="BP19" s="79">
        <v>86</v>
      </c>
      <c r="BQ19" s="72">
        <f>+IFERROR(VLOOKUP($BQ$17,Sheet1!BF13:BI13,3,0),0)</f>
        <v>0</v>
      </c>
      <c r="BR19" s="72">
        <f>+IFERROR(VLOOKUP($BR$17,Sheet1!BJ13:BM13,3,0),0)</f>
        <v>0</v>
      </c>
      <c r="BS19" s="72">
        <f>+IFERROR(VLOOKUP($BS$17,Sheet1!BN13:BQ13,3,0),0)</f>
        <v>0</v>
      </c>
      <c r="BT19" s="79">
        <v>59</v>
      </c>
      <c r="BU19" s="11">
        <f>+IFERROR(VLOOKUP($BU$17,Sheet1!BV13:BY13,3,0),0)</f>
        <v>0</v>
      </c>
      <c r="BV19" s="11" t="str">
        <f>Sheet1!E13</f>
        <v>STEEL</v>
      </c>
      <c r="BW19" s="11" t="str">
        <f>Sheet1!CV13</f>
        <v>SP0400105</v>
      </c>
      <c r="BX19" s="11" t="str">
        <f>Sheet1!CW13</f>
        <v>CORRUGATED DISPATCH STEEL DRUM 2500 X 1500 X 1400</v>
      </c>
      <c r="BY19" s="11">
        <f>Sheet1!CX13</f>
        <v>250</v>
      </c>
      <c r="BZ19" s="3">
        <f>Sheet1!BZ13</f>
        <v>182400</v>
      </c>
      <c r="CA19" s="3">
        <f t="shared" ref="CA19:CA32" si="5">SUMPRODUCT($N$18:$BU$18,N19:BU19)+BZ19</f>
        <v>2098247</v>
      </c>
      <c r="CB19" s="23">
        <f>Sheet1!CB13</f>
        <v>0</v>
      </c>
      <c r="CC19" s="3">
        <f t="shared" ref="CC19:CC32" si="6">CA19*CB19</f>
        <v>0</v>
      </c>
      <c r="CD19" s="47">
        <v>0.5</v>
      </c>
      <c r="CE19" s="3">
        <f t="shared" ref="CE19:CE32" si="7">CA19*CD19</f>
        <v>1049123.5</v>
      </c>
      <c r="CF19" s="47">
        <v>0</v>
      </c>
      <c r="CG19" s="3">
        <f t="shared" ref="CG19:CG32" si="8">CA19*CF19</f>
        <v>0</v>
      </c>
      <c r="CH19" s="3">
        <f t="shared" ref="CH19:CH32" si="9">CA19+CC19+CE19+CG19</f>
        <v>3147370.5</v>
      </c>
      <c r="CI19" s="47">
        <v>0.02</v>
      </c>
      <c r="CJ19" s="80">
        <f t="shared" ref="CJ19:CJ32" si="10">CH19*CI19</f>
        <v>62947.41</v>
      </c>
      <c r="CK19" s="47">
        <v>0.01</v>
      </c>
      <c r="CL19" s="80">
        <f t="shared" ref="CL19:CL32" si="11">CH19*CK19</f>
        <v>31473.705000000002</v>
      </c>
    </row>
    <row r="20" spans="1:90" ht="51" x14ac:dyDescent="0.25">
      <c r="A20" s="1" t="str">
        <f>Sheet1!A15</f>
        <v>ENQ-10773-22-23</v>
      </c>
      <c r="B20" s="51">
        <f>Sheet1!B15</f>
        <v>45135</v>
      </c>
      <c r="C20" s="1" t="str">
        <f>Sheet1!C15</f>
        <v>FA1300091</v>
      </c>
      <c r="D20" s="73" t="str">
        <f>Sheet1!D15</f>
        <v>3 CORE X 300 SQ. MM. AL/ARM - WIRE (XLPE) - 11 KV</v>
      </c>
      <c r="E20" s="74">
        <f t="shared" si="0"/>
        <v>2598299.1150000002</v>
      </c>
      <c r="F20" s="77">
        <f t="shared" ref="F20:F32" si="12">ROUNDUP(M36,0)</f>
        <v>74286</v>
      </c>
      <c r="G20" s="75">
        <f t="shared" si="1"/>
        <v>2672585.1150000002</v>
      </c>
      <c r="H20" s="76">
        <f>Sheet1!CP15</f>
        <v>0.18</v>
      </c>
      <c r="I20" s="75">
        <f t="shared" si="2"/>
        <v>481065.32070000004</v>
      </c>
      <c r="J20" s="75">
        <f t="shared" si="3"/>
        <v>3153650.4357000003</v>
      </c>
      <c r="K20" s="73">
        <v>1.75</v>
      </c>
      <c r="L20" s="73" t="str">
        <f>Sheet1!CT15</f>
        <v>KMS</v>
      </c>
      <c r="M20" s="74">
        <f t="shared" si="4"/>
        <v>5518888.2624750007</v>
      </c>
      <c r="N20" s="41">
        <f>+IFERROR(VLOOKUP($N$17,Sheet1!J15:L15,3,0),0)</f>
        <v>2430</v>
      </c>
      <c r="O20" s="41">
        <f>+IFERROR(VLOOKUP($O$17,Sheet1!J15:L15,3,0),0)</f>
        <v>0</v>
      </c>
      <c r="P20" s="41">
        <f>+IFERROR(VLOOKUP($P$17,Sheet1!J15:M15,3,0),0)</f>
        <v>0</v>
      </c>
      <c r="Q20" s="41">
        <f>+IFERROR(VLOOKUP($Q$17,Sheet1!J15:M15,3,0),0)</f>
        <v>0</v>
      </c>
      <c r="R20" s="41">
        <f>+IFERROR(VLOOKUP($R$17,Sheet1!J15:M15,3,0),0)</f>
        <v>0</v>
      </c>
      <c r="S20" s="41">
        <f>+IFERROR(VLOOKUP($S$17,Sheet1!N15:Q15,3,0),0)</f>
        <v>0</v>
      </c>
      <c r="T20" s="41">
        <f>+IFERROR(VLOOKUP($T$17,Sheet1!N15:Q15,3,0),0)</f>
        <v>0</v>
      </c>
      <c r="U20" s="41">
        <f>+IFERROR(VLOOKUP($U$17,Sheet1!F15:I15,3,0),0)</f>
        <v>0</v>
      </c>
      <c r="V20" s="41">
        <f>+IFERROR(VLOOKUP($V$17,Sheet1!F15:I15,3,0),0)</f>
        <v>0</v>
      </c>
      <c r="W20" s="41">
        <f>+IFERROR(VLOOKUP($W$17,Sheet1!F15:I15,3,0),0)</f>
        <v>0</v>
      </c>
      <c r="X20" s="41">
        <f>+IFERROR(VLOOKUP($X$17,Sheet1!F15:I15,3,0),0)</f>
        <v>0</v>
      </c>
      <c r="Y20" s="78">
        <v>144</v>
      </c>
      <c r="Z20" s="41">
        <f>+IFERROR(VLOOKUP($Z$17,Sheet1!F15:I15,3,0),0)</f>
        <v>0</v>
      </c>
      <c r="AA20" s="41">
        <f>+IFERROR(VLOOKUP($AA$17,Sheet1!F15:I15,3,0),0)</f>
        <v>0</v>
      </c>
      <c r="AB20" s="41">
        <f>+IFERROR(VLOOKUP($AB$17,Sheet1!F15:I15,3,0),0)</f>
        <v>0</v>
      </c>
      <c r="AC20" s="78">
        <v>370</v>
      </c>
      <c r="AD20" s="72">
        <f>+IFERROR(VLOOKUP($AD$17,Sheet1!R15:U15,2,0),0)</f>
        <v>0</v>
      </c>
      <c r="AE20" s="78">
        <v>838</v>
      </c>
      <c r="AF20" s="72">
        <f>+IFERROR(VLOOKUP($AF$17,Sheet1!V15:Y15,3,0),0)</f>
        <v>0</v>
      </c>
      <c r="AG20" s="72">
        <f>+IFERROR(VLOOKUP($AG$17,Sheet1!V15:Y15,3,0),0)</f>
        <v>0</v>
      </c>
      <c r="AH20" s="72">
        <f>+IFERROR(VLOOKUP($AH$17,Sheet1!V15:Y15,3,0),0)</f>
        <v>0</v>
      </c>
      <c r="AI20" s="72">
        <f>+IFERROR(VLOOKUP($AI$17,Sheet1!V15:Y15,3,0),0)</f>
        <v>0</v>
      </c>
      <c r="AJ20" s="72">
        <f>+IFERROR(VLOOKUP($AJ$17,Sheet1!V15:Y15,3,0),0)</f>
        <v>0</v>
      </c>
      <c r="AK20" s="72">
        <f>+IFERROR(VLOOKUP($AK$17,Sheet1!Z15:AB15,3,0),0)</f>
        <v>0</v>
      </c>
      <c r="AL20" s="72">
        <f>+IFERROR(VLOOKUP($AL$17,Sheet1!AD15:AG15,3,0),0)</f>
        <v>0</v>
      </c>
      <c r="AM20" s="72">
        <f>+IFERROR(VLOOKUP($AM$17,Sheet1!AD15:AG15,3,0),0)</f>
        <v>0</v>
      </c>
      <c r="AN20" s="72">
        <f>+IFERROR(VLOOKUP($AN$17,Sheet1!AD15:AG15,3,0),0)</f>
        <v>0</v>
      </c>
      <c r="AO20" s="72">
        <f>+IFERROR(VLOOKUP($AO$17,Sheet1!AD15:AG15,3,0),0)</f>
        <v>0</v>
      </c>
      <c r="AP20" s="72">
        <f>+IFERROR(VLOOKUP($AP$17,Sheet1!AD15:AG15,3,0),0)</f>
        <v>0</v>
      </c>
      <c r="AQ20" s="72">
        <f>+IFERROR(VLOOKUP($AQ$17,Sheet1!AD15:AG15,3,0),0)</f>
        <v>0</v>
      </c>
      <c r="AR20" s="79">
        <v>840</v>
      </c>
      <c r="AS20" s="72">
        <f>+IFERROR(VLOOKUP($AS$17,Sheet1!AH15:AK15,3,0),0)</f>
        <v>0</v>
      </c>
      <c r="AT20" s="72">
        <f>+IFERROR(VLOOKUP($AT$17,Sheet1!AH15:AK15,3,0),0)</f>
        <v>0</v>
      </c>
      <c r="AU20" s="72">
        <f>+IFERROR(VLOOKUP($AU$17,Sheet1!AH15:AK15,3,0),0)</f>
        <v>0</v>
      </c>
      <c r="AV20" s="72">
        <f>+IFERROR(VLOOKUP($AV$17,Sheet1!AH15:AK15,3,0),0)</f>
        <v>0</v>
      </c>
      <c r="AW20" s="72">
        <f>+IFERROR(VLOOKUP($AW$17,Sheet1!AH15:AK15,3,0),0)</f>
        <v>0</v>
      </c>
      <c r="AX20" s="72">
        <f>+IFERROR(VLOOKUP($AX$17,Sheet1!AH15:AK15,3,0),0)</f>
        <v>0</v>
      </c>
      <c r="AY20" s="72">
        <f>+IFERROR(VLOOKUP($AY$17,Sheet1!AH15:AK15,3,0),0)</f>
        <v>0</v>
      </c>
      <c r="AZ20" s="72">
        <f>+IFERROR(VLOOKUP($AZ$17,Sheet1!AH15:AK15,3,0),0)</f>
        <v>0</v>
      </c>
      <c r="BA20" s="79">
        <v>3945</v>
      </c>
      <c r="BB20" s="72">
        <f>+IFERROR(VLOOKUP($BB$17,Sheet1!AH15:AK15,3,0),0)</f>
        <v>0</v>
      </c>
      <c r="BC20" s="72">
        <f>+IFERROR(VLOOKUP($BC$17,Sheet1!AL15:AO15,3,0),0)</f>
        <v>0</v>
      </c>
      <c r="BD20" s="72">
        <f>+IFERROR(VLOOKUP($BD$17,Sheet1!AL15:AO15,3,0),0)</f>
        <v>0</v>
      </c>
      <c r="BE20" s="72">
        <f>+IFERROR(VLOOKUP($BE$17,Sheet1!AL15:AO15,3,0),0)</f>
        <v>0</v>
      </c>
      <c r="BF20" s="79">
        <v>1170</v>
      </c>
      <c r="BG20" s="79">
        <v>830</v>
      </c>
      <c r="BH20" s="72">
        <f>+IFERROR(VLOOKUP($BH$17,Sheet1!AL15:AO15,3,0),0)</f>
        <v>0</v>
      </c>
      <c r="BI20" s="72">
        <f>+IFERROR(VLOOKUP($BI$17,Sheet1!AL15:AO15,3,0),0)</f>
        <v>0</v>
      </c>
      <c r="BJ20" s="72">
        <f>+IFERROR(VLOOKUP($BJ$17,Sheet1!AL15:AO15,3,0),0)</f>
        <v>0</v>
      </c>
      <c r="BK20" s="72">
        <f>+IFERROR(VLOOKUP($BK$17,Sheet1!AL15:AO15,3,0),0)</f>
        <v>0</v>
      </c>
      <c r="BL20" s="72">
        <f>+IFERROR(VLOOKUP($BL$17,Sheet1!AL15:AO15,3,0),0)</f>
        <v>0</v>
      </c>
      <c r="BM20" s="72">
        <f>+IFERROR(VLOOKUP($BM$17,Sheet1!AP15:AS15,3,0),0)</f>
        <v>0</v>
      </c>
      <c r="BN20" s="72">
        <f>+IFERROR(VLOOKUP($BN$17,Sheet1!AT15:AW15,3,0),0)</f>
        <v>0</v>
      </c>
      <c r="BO20" s="79">
        <v>38</v>
      </c>
      <c r="BP20" s="79">
        <v>77</v>
      </c>
      <c r="BQ20" s="72">
        <f>+IFERROR(VLOOKUP($BQ$17,Sheet1!BF15:BI15,3,0),0)</f>
        <v>0</v>
      </c>
      <c r="BR20" s="72">
        <f>+IFERROR(VLOOKUP($BR$17,Sheet1!BJ15:BM15,3,0),0)</f>
        <v>0</v>
      </c>
      <c r="BS20" s="72">
        <f>+IFERROR(VLOOKUP($BS$17,Sheet1!BN15:BQ15,3,0),0)</f>
        <v>0</v>
      </c>
      <c r="BT20" s="79">
        <v>54</v>
      </c>
      <c r="BU20" s="11">
        <f>+IFERROR(VLOOKUP($BU$17,Sheet1!BV15:BY15,3,0),0)</f>
        <v>0</v>
      </c>
      <c r="BV20" s="11" t="str">
        <f>Sheet1!E15</f>
        <v>STEEL</v>
      </c>
      <c r="BW20" s="11" t="str">
        <f>Sheet1!CV15</f>
        <v>SP0400136</v>
      </c>
      <c r="BX20" s="11" t="str">
        <f>Sheet1!CW15</f>
        <v>CORRUGATED DISPATCH STEEL DRUM 2200 X 1300 X 1200 MM</v>
      </c>
      <c r="BY20" s="11">
        <f>Sheet1!CX15</f>
        <v>250</v>
      </c>
      <c r="BZ20" s="3">
        <f>Sheet1!BZ15</f>
        <v>171000</v>
      </c>
      <c r="CA20" s="3">
        <f t="shared" si="5"/>
        <v>1681747</v>
      </c>
      <c r="CB20" s="23">
        <f>Sheet1!CB15</f>
        <v>0</v>
      </c>
      <c r="CC20" s="3">
        <f t="shared" si="6"/>
        <v>0</v>
      </c>
      <c r="CD20" s="47">
        <v>0.5</v>
      </c>
      <c r="CE20" s="3">
        <f t="shared" si="7"/>
        <v>840873.5</v>
      </c>
      <c r="CF20" s="47">
        <v>0</v>
      </c>
      <c r="CG20" s="3">
        <f t="shared" si="8"/>
        <v>0</v>
      </c>
      <c r="CH20" s="3">
        <f t="shared" si="9"/>
        <v>2522620.5</v>
      </c>
      <c r="CI20" s="47">
        <v>0.02</v>
      </c>
      <c r="CJ20" s="80">
        <f t="shared" si="10"/>
        <v>50452.41</v>
      </c>
      <c r="CK20" s="47">
        <v>0.01</v>
      </c>
      <c r="CL20" s="80">
        <f t="shared" si="11"/>
        <v>25226.205000000002</v>
      </c>
    </row>
    <row r="21" spans="1:90" ht="51" x14ac:dyDescent="0.25">
      <c r="A21" s="1" t="str">
        <f>Sheet1!A3</f>
        <v>ENQ-10773-22-23</v>
      </c>
      <c r="B21" s="51">
        <f>Sheet1!B3</f>
        <v>45135</v>
      </c>
      <c r="C21" s="1" t="str">
        <f>Sheet1!C3</f>
        <v>FA1300176</v>
      </c>
      <c r="D21" s="73" t="str">
        <f>Sheet1!D3</f>
        <v>3 CORE X 150 SQ. MM. AL/ARM - WIRE (XLPE) - 11 KV</v>
      </c>
      <c r="E21" s="74">
        <f t="shared" si="0"/>
        <v>1671588.03</v>
      </c>
      <c r="F21" s="77">
        <f t="shared" si="12"/>
        <v>65000</v>
      </c>
      <c r="G21" s="75">
        <f t="shared" si="1"/>
        <v>1736588.03</v>
      </c>
      <c r="H21" s="76">
        <f>Sheet1!CP3</f>
        <v>0.18</v>
      </c>
      <c r="I21" s="75">
        <f t="shared" si="2"/>
        <v>312585.84539999999</v>
      </c>
      <c r="J21" s="75">
        <f t="shared" si="3"/>
        <v>2049173.8754</v>
      </c>
      <c r="K21" s="73">
        <v>1</v>
      </c>
      <c r="L21" s="73" t="str">
        <f>Sheet1!CT3</f>
        <v>KMS</v>
      </c>
      <c r="M21" s="74">
        <f t="shared" si="4"/>
        <v>2049173.8754</v>
      </c>
      <c r="N21" s="41">
        <f>+IFERROR(VLOOKUP($N$17,Sheet1!J3:L3,3,0),0)</f>
        <v>1215</v>
      </c>
      <c r="O21" s="41">
        <f>+IFERROR(VLOOKUP($O$17,Sheet1!J3:L3,3,0),0)</f>
        <v>0</v>
      </c>
      <c r="P21" s="41">
        <f>+IFERROR(VLOOKUP($P$17,Sheet1!J3:M3,3,0),0)</f>
        <v>0</v>
      </c>
      <c r="Q21" s="41">
        <f>+IFERROR(VLOOKUP($Q$17,Sheet1!J3:M3,3,0),0)</f>
        <v>0</v>
      </c>
      <c r="R21" s="41">
        <f>+IFERROR(VLOOKUP($R$17,Sheet1!J3:M3,3,0),0)</f>
        <v>0</v>
      </c>
      <c r="S21" s="41">
        <f>+IFERROR(VLOOKUP($S$17,Sheet1!N3:Q3,3,0),0)</f>
        <v>0</v>
      </c>
      <c r="T21" s="41">
        <f>+IFERROR(VLOOKUP($T$17,Sheet1!N3:Q3,3,0),0)</f>
        <v>0</v>
      </c>
      <c r="U21" s="41">
        <f>+IFERROR(VLOOKUP($U$17,Sheet1!F3:I3,3,0),0)</f>
        <v>0</v>
      </c>
      <c r="V21" s="41">
        <f>+IFERROR(VLOOKUP($V$17,Sheet1!F3:I3,3,0),0)</f>
        <v>0</v>
      </c>
      <c r="W21" s="41">
        <f>+IFERROR(VLOOKUP($W$17,Sheet1!F3:I3,3,0),0)</f>
        <v>0</v>
      </c>
      <c r="X21" s="41">
        <f>+IFERROR(VLOOKUP($X$17,Sheet1!F3:I3,3,0),0)</f>
        <v>0</v>
      </c>
      <c r="Y21" s="78">
        <v>117</v>
      </c>
      <c r="Z21" s="41">
        <f>+IFERROR(VLOOKUP($Z$17,Sheet1!F3:I3,3,0),0)</f>
        <v>0</v>
      </c>
      <c r="AA21" s="41">
        <f>+IFERROR(VLOOKUP($AA$17,Sheet1!F3:I3,3,0),0)</f>
        <v>0</v>
      </c>
      <c r="AB21" s="41">
        <f>+IFERROR(VLOOKUP($AB$17,Sheet1!F3:I3,3,0),0)</f>
        <v>0</v>
      </c>
      <c r="AC21" s="78">
        <v>280</v>
      </c>
      <c r="AD21" s="72">
        <f>+IFERROR(VLOOKUP($AD$17,Sheet1!R3:U3,2,0),0)</f>
        <v>0</v>
      </c>
      <c r="AE21" s="78">
        <v>642</v>
      </c>
      <c r="AF21" s="72">
        <f>+IFERROR(VLOOKUP($AF$17,Sheet1!V3:Y3,3,0),0)</f>
        <v>0</v>
      </c>
      <c r="AG21" s="72">
        <f>+IFERROR(VLOOKUP($AG$17,Sheet1!V3:Y3,3,0),0)</f>
        <v>0</v>
      </c>
      <c r="AH21" s="72">
        <f>+IFERROR(VLOOKUP($AH$17,Sheet1!V3:Y3,3,0),0)</f>
        <v>0</v>
      </c>
      <c r="AI21" s="72">
        <f>+IFERROR(VLOOKUP($AI$17,Sheet1!V3:Y3,3,0),0)</f>
        <v>0</v>
      </c>
      <c r="AJ21" s="72">
        <f>+IFERROR(VLOOKUP($AJ$17,Sheet1!V3:Y3,3,0),0)</f>
        <v>0</v>
      </c>
      <c r="AK21" s="72">
        <f>+IFERROR(VLOOKUP($AK$17,Sheet1!Z3:AB3,3,0),0)</f>
        <v>0</v>
      </c>
      <c r="AL21" s="72">
        <f>+IFERROR(VLOOKUP($AL$17,Sheet1!AD3:AG3,3,0),0)</f>
        <v>0</v>
      </c>
      <c r="AM21" s="72">
        <f>+IFERROR(VLOOKUP($AM$17,Sheet1!AD3:AG3,3,0),0)</f>
        <v>0</v>
      </c>
      <c r="AN21" s="72">
        <f>+IFERROR(VLOOKUP($AN$17,Sheet1!AD3:AG3,3,0),0)</f>
        <v>0</v>
      </c>
      <c r="AO21" s="72">
        <f>+IFERROR(VLOOKUP($AO$17,Sheet1!AD3:AG3,3,0),0)</f>
        <v>0</v>
      </c>
      <c r="AP21" s="72">
        <f>+IFERROR(VLOOKUP($AP$17,Sheet1!AD3:AG3,3,0),0)</f>
        <v>0</v>
      </c>
      <c r="AQ21" s="72">
        <f>+IFERROR(VLOOKUP($AQ$17,Sheet1!AD3:AG3,3,0),0)</f>
        <v>0</v>
      </c>
      <c r="AR21" s="79">
        <v>621</v>
      </c>
      <c r="AS21" s="72">
        <f>+IFERROR(VLOOKUP($AS$17,Sheet1!AH3:AK3,3,0),0)</f>
        <v>0</v>
      </c>
      <c r="AT21" s="72">
        <f>+IFERROR(VLOOKUP($AT$17,Sheet1!AH3:AK3,3,0),0)</f>
        <v>0</v>
      </c>
      <c r="AU21" s="72">
        <f>+IFERROR(VLOOKUP($AU$17,Sheet1!AH3:AK3,3,0),0)</f>
        <v>0</v>
      </c>
      <c r="AV21" s="72">
        <f>+IFERROR(VLOOKUP($AV$17,Sheet1!AH3:AK3,3,0),0)</f>
        <v>0</v>
      </c>
      <c r="AW21" s="72">
        <f>+IFERROR(VLOOKUP($AW$17,Sheet1!AH3:AK3,3,0),0)</f>
        <v>0</v>
      </c>
      <c r="AX21" s="72">
        <f>+IFERROR(VLOOKUP($AX$17,Sheet1!AH3:AK3,3,0),0)</f>
        <v>0</v>
      </c>
      <c r="AY21" s="72">
        <f>+IFERROR(VLOOKUP($AY$17,Sheet1!AH3:AK3,3,0),0)</f>
        <v>0</v>
      </c>
      <c r="AZ21" s="72">
        <f>+IFERROR(VLOOKUP($AZ$17,Sheet1!AH3:AK3,3,0),0)</f>
        <v>0</v>
      </c>
      <c r="BA21" s="79">
        <v>2685</v>
      </c>
      <c r="BB21" s="72">
        <f>+IFERROR(VLOOKUP($BB$17,Sheet1!AH3:AK3,3,0),0)</f>
        <v>0</v>
      </c>
      <c r="BC21" s="72">
        <f>+IFERROR(VLOOKUP($BC$17,Sheet1!AL3:AO3,3,0),0)</f>
        <v>0</v>
      </c>
      <c r="BD21" s="72">
        <f>+IFERROR(VLOOKUP($BD$17,Sheet1!AL3:AO3,3,0),0)</f>
        <v>0</v>
      </c>
      <c r="BE21" s="72">
        <f>+IFERROR(VLOOKUP($BE$17,Sheet1!AL3:AO3,3,0),0)</f>
        <v>0</v>
      </c>
      <c r="BF21" s="79">
        <v>800</v>
      </c>
      <c r="BG21" s="79">
        <v>541</v>
      </c>
      <c r="BH21" s="72">
        <f>+IFERROR(VLOOKUP($BH$17,Sheet1!AL3:AO3,3,0),0)</f>
        <v>0</v>
      </c>
      <c r="BI21" s="72">
        <f>+IFERROR(VLOOKUP($BI$17,Sheet1!AL3:AO3,3,0),0)</f>
        <v>0</v>
      </c>
      <c r="BJ21" s="72">
        <f>+IFERROR(VLOOKUP($BJ$17,Sheet1!AL3:AO3,3,0),0)</f>
        <v>0</v>
      </c>
      <c r="BK21" s="72">
        <f>+IFERROR(VLOOKUP($BK$17,Sheet1!AL3:AO3,3,0),0)</f>
        <v>0</v>
      </c>
      <c r="BL21" s="72">
        <f>+IFERROR(VLOOKUP($BL$17,Sheet1!AL3:AO3,3,0),0)</f>
        <v>0</v>
      </c>
      <c r="BM21" s="72">
        <f>+IFERROR(VLOOKUP($BM$17,Sheet1!AP3:AS3,3,0),0)</f>
        <v>0</v>
      </c>
      <c r="BN21" s="72">
        <f>+IFERROR(VLOOKUP($BN$17,Sheet1!AT3:AW3,3,0),0)</f>
        <v>0</v>
      </c>
      <c r="BO21" s="79">
        <v>18</v>
      </c>
      <c r="BP21" s="79">
        <v>59</v>
      </c>
      <c r="BQ21" s="72">
        <f>+IFERROR(VLOOKUP($BQ$17,Sheet1!BF3:BI3,3,0),0)</f>
        <v>0</v>
      </c>
      <c r="BR21" s="72">
        <f>+IFERROR(VLOOKUP($BR$17,Sheet1!BJ3:BM3,3,0),0)</f>
        <v>0</v>
      </c>
      <c r="BS21" s="72">
        <f>+IFERROR(VLOOKUP($BS$17,Sheet1!BN3:BQ3,3,0),0)</f>
        <v>0</v>
      </c>
      <c r="BT21" s="79">
        <v>44</v>
      </c>
      <c r="BU21" s="11">
        <f>+IFERROR(VLOOKUP($BU$17,Sheet1!BV3:BY3,3,0),0)</f>
        <v>0</v>
      </c>
      <c r="BV21" s="11" t="str">
        <f>Sheet1!E3</f>
        <v>STEEL</v>
      </c>
      <c r="BW21" s="11" t="str">
        <f>Sheet1!CV3</f>
        <v>SP0400111</v>
      </c>
      <c r="BX21" s="11" t="str">
        <f>Sheet1!CW3</f>
        <v>CORRUGATED DISPATCH STEEL DRUM 1900 X 1000 X 1000 MM</v>
      </c>
      <c r="BY21" s="11">
        <f>Sheet1!CX3</f>
        <v>250</v>
      </c>
      <c r="BZ21" s="3">
        <f>Sheet1!BZ3</f>
        <v>108300</v>
      </c>
      <c r="CA21" s="3">
        <f t="shared" si="5"/>
        <v>1081934</v>
      </c>
      <c r="CB21" s="23">
        <f>Sheet1!CB3</f>
        <v>0</v>
      </c>
      <c r="CC21" s="3">
        <f t="shared" si="6"/>
        <v>0</v>
      </c>
      <c r="CD21" s="47">
        <v>0.5</v>
      </c>
      <c r="CE21" s="3">
        <f t="shared" si="7"/>
        <v>540967</v>
      </c>
      <c r="CF21" s="47">
        <v>0</v>
      </c>
      <c r="CG21" s="3">
        <f t="shared" si="8"/>
        <v>0</v>
      </c>
      <c r="CH21" s="3">
        <f t="shared" si="9"/>
        <v>1622901</v>
      </c>
      <c r="CI21" s="47">
        <v>0.02</v>
      </c>
      <c r="CJ21" s="80">
        <f t="shared" si="10"/>
        <v>32458.02</v>
      </c>
      <c r="CK21" s="47">
        <v>0.01</v>
      </c>
      <c r="CL21" s="80">
        <f t="shared" si="11"/>
        <v>16229.01</v>
      </c>
    </row>
    <row r="22" spans="1:90" ht="51" x14ac:dyDescent="0.25">
      <c r="A22" s="1" t="str">
        <f>Sheet1!A6</f>
        <v>ENQ-10773-22-23</v>
      </c>
      <c r="B22" s="51">
        <f>Sheet1!B6</f>
        <v>45135</v>
      </c>
      <c r="C22" s="1" t="str">
        <f>Sheet1!C6</f>
        <v>FA1300197</v>
      </c>
      <c r="D22" s="73" t="str">
        <f>Sheet1!D6</f>
        <v>3 CORE X 120 SQ. MM. AL/ARM - WIRE (XLPE) - 11 KV</v>
      </c>
      <c r="E22" s="74">
        <f t="shared" si="0"/>
        <v>1462048.95</v>
      </c>
      <c r="F22" s="77">
        <f t="shared" si="12"/>
        <v>60000</v>
      </c>
      <c r="G22" s="75">
        <f t="shared" si="1"/>
        <v>1522048.95</v>
      </c>
      <c r="H22" s="76">
        <f>Sheet1!CP6</f>
        <v>0.18</v>
      </c>
      <c r="I22" s="75">
        <f t="shared" si="2"/>
        <v>273968.81099999999</v>
      </c>
      <c r="J22" s="75">
        <f t="shared" si="3"/>
        <v>1796017.7609999999</v>
      </c>
      <c r="K22" s="73">
        <v>6.5</v>
      </c>
      <c r="L22" s="73" t="str">
        <f>Sheet1!CT6</f>
        <v>KMS</v>
      </c>
      <c r="M22" s="74">
        <f t="shared" si="4"/>
        <v>11674115.4465</v>
      </c>
      <c r="N22" s="41">
        <f>+IFERROR(VLOOKUP($N$17,Sheet1!J6:L6,3,0),0)</f>
        <v>972</v>
      </c>
      <c r="O22" s="41">
        <f>+IFERROR(VLOOKUP($O$17,Sheet1!J6:L6,3,0),0)</f>
        <v>0</v>
      </c>
      <c r="P22" s="41">
        <f>+IFERROR(VLOOKUP($P$17,Sheet1!J6:M6,3,0),0)</f>
        <v>0</v>
      </c>
      <c r="Q22" s="41">
        <f>+IFERROR(VLOOKUP($Q$17,Sheet1!J6:M6,3,0),0)</f>
        <v>0</v>
      </c>
      <c r="R22" s="41">
        <f>+IFERROR(VLOOKUP($R$17,Sheet1!J6:M6,3,0),0)</f>
        <v>0</v>
      </c>
      <c r="S22" s="41">
        <f>+IFERROR(VLOOKUP($S$17,Sheet1!N6:Q6,3,0),0)</f>
        <v>0</v>
      </c>
      <c r="T22" s="41">
        <f>+IFERROR(VLOOKUP($T$17,Sheet1!N6:Q6,3,0),0)</f>
        <v>0</v>
      </c>
      <c r="U22" s="41">
        <f>+IFERROR(VLOOKUP($U$17,Sheet1!F6:I6,3,0),0)</f>
        <v>0</v>
      </c>
      <c r="V22" s="41">
        <f>+IFERROR(VLOOKUP($V$17,Sheet1!F6:I6,3,0),0)</f>
        <v>0</v>
      </c>
      <c r="W22" s="41">
        <f>+IFERROR(VLOOKUP($W$17,Sheet1!F6:I6,3,0),0)</f>
        <v>0</v>
      </c>
      <c r="X22" s="41">
        <f>+IFERROR(VLOOKUP($X$17,Sheet1!F6:I6,3,0),0)</f>
        <v>0</v>
      </c>
      <c r="Y22" s="78">
        <v>110</v>
      </c>
      <c r="Z22" s="41">
        <f>+IFERROR(VLOOKUP($Z$17,Sheet1!F6:I6,3,0),0)</f>
        <v>0</v>
      </c>
      <c r="AA22" s="41">
        <f>+IFERROR(VLOOKUP($AA$17,Sheet1!F6:I6,3,0),0)</f>
        <v>0</v>
      </c>
      <c r="AB22" s="41">
        <f>+IFERROR(VLOOKUP($AB$17,Sheet1!F6:I6,3,0),0)</f>
        <v>0</v>
      </c>
      <c r="AC22" s="78">
        <v>258</v>
      </c>
      <c r="AD22" s="72">
        <f>+IFERROR(VLOOKUP($AD$17,Sheet1!R6:U6,2,0),0)</f>
        <v>0</v>
      </c>
      <c r="AE22" s="78">
        <v>596</v>
      </c>
      <c r="AF22" s="72">
        <f>+IFERROR(VLOOKUP($AF$17,Sheet1!V6:Y6,3,0),0)</f>
        <v>0</v>
      </c>
      <c r="AG22" s="72">
        <f>+IFERROR(VLOOKUP($AG$17,Sheet1!V6:Y6,3,0),0)</f>
        <v>0</v>
      </c>
      <c r="AH22" s="72">
        <f>+IFERROR(VLOOKUP($AH$17,Sheet1!V6:Y6,3,0),0)</f>
        <v>0</v>
      </c>
      <c r="AI22" s="72">
        <f>+IFERROR(VLOOKUP($AI$17,Sheet1!V6:Y6,3,0),0)</f>
        <v>0</v>
      </c>
      <c r="AJ22" s="72">
        <f>+IFERROR(VLOOKUP($AJ$17,Sheet1!V6:Y6,3,0),0)</f>
        <v>0</v>
      </c>
      <c r="AK22" s="72">
        <f>+IFERROR(VLOOKUP($AK$17,Sheet1!Z6:AB6,3,0),0)</f>
        <v>0</v>
      </c>
      <c r="AL22" s="72">
        <f>+IFERROR(VLOOKUP($AL$17,Sheet1!AD6:AG6,3,0),0)</f>
        <v>0</v>
      </c>
      <c r="AM22" s="72">
        <f>+IFERROR(VLOOKUP($AM$17,Sheet1!AD6:AG6,3,0),0)</f>
        <v>0</v>
      </c>
      <c r="AN22" s="72">
        <f>+IFERROR(VLOOKUP($AN$17,Sheet1!AD6:AG6,3,0),0)</f>
        <v>0</v>
      </c>
      <c r="AO22" s="72">
        <f>+IFERROR(VLOOKUP($AO$17,Sheet1!AD6:AG6,3,0),0)</f>
        <v>0</v>
      </c>
      <c r="AP22" s="72">
        <f>+IFERROR(VLOOKUP($AP$17,Sheet1!AD6:AG6,3,0),0)</f>
        <v>0</v>
      </c>
      <c r="AQ22" s="72">
        <f>+IFERROR(VLOOKUP($AQ$17,Sheet1!AD6:AG6,3,0),0)</f>
        <v>0</v>
      </c>
      <c r="AR22" s="79">
        <v>513</v>
      </c>
      <c r="AS22" s="72">
        <f>+IFERROR(VLOOKUP($AS$17,Sheet1!AH6:AK6,3,0),0)</f>
        <v>0</v>
      </c>
      <c r="AT22" s="72">
        <f>+IFERROR(VLOOKUP($AT$17,Sheet1!AH6:AK6,3,0),0)</f>
        <v>0</v>
      </c>
      <c r="AU22" s="72">
        <f>+IFERROR(VLOOKUP($AU$17,Sheet1!AH6:AK6,3,0),0)</f>
        <v>0</v>
      </c>
      <c r="AV22" s="72">
        <f>+IFERROR(VLOOKUP($AV$17,Sheet1!AH6:AK6,3,0),0)</f>
        <v>0</v>
      </c>
      <c r="AW22" s="72">
        <f>+IFERROR(VLOOKUP($AW$17,Sheet1!AH6:AK6,3,0),0)</f>
        <v>0</v>
      </c>
      <c r="AX22" s="72">
        <f>+IFERROR(VLOOKUP($AX$17,Sheet1!AH6:AK6,3,0),0)</f>
        <v>0</v>
      </c>
      <c r="AY22" s="72">
        <f>+IFERROR(VLOOKUP($AY$17,Sheet1!AH6:AK6,3,0),0)</f>
        <v>0</v>
      </c>
      <c r="AZ22" s="72">
        <f>+IFERROR(VLOOKUP($AZ$17,Sheet1!AH6:AK6,3,0),0)</f>
        <v>0</v>
      </c>
      <c r="BA22" s="79">
        <v>2404</v>
      </c>
      <c r="BB22" s="72">
        <f>+IFERROR(VLOOKUP($BB$17,Sheet1!AH6:AK6,3,0),0)</f>
        <v>0</v>
      </c>
      <c r="BC22" s="72">
        <f>+IFERROR(VLOOKUP($BC$17,Sheet1!AL6:AO6,3,0),0)</f>
        <v>0</v>
      </c>
      <c r="BD22" s="72">
        <f>+IFERROR(VLOOKUP($BD$17,Sheet1!AL6:AO6,3,0),0)</f>
        <v>0</v>
      </c>
      <c r="BE22" s="72">
        <f>+IFERROR(VLOOKUP($BE$17,Sheet1!AL6:AO6,3,0),0)</f>
        <v>0</v>
      </c>
      <c r="BF22" s="79">
        <v>694</v>
      </c>
      <c r="BG22" s="79">
        <v>479</v>
      </c>
      <c r="BH22" s="72">
        <f>+IFERROR(VLOOKUP($BH$17,Sheet1!AL6:AO6,3,0),0)</f>
        <v>0</v>
      </c>
      <c r="BI22" s="72">
        <f>+IFERROR(VLOOKUP($BI$17,Sheet1!AL6:AO6,3,0),0)</f>
        <v>0</v>
      </c>
      <c r="BJ22" s="72">
        <f>+IFERROR(VLOOKUP($BJ$17,Sheet1!AL6:AO6,3,0),0)</f>
        <v>0</v>
      </c>
      <c r="BK22" s="72">
        <f>+IFERROR(VLOOKUP($BK$17,Sheet1!AL6:AO6,3,0),0)</f>
        <v>0</v>
      </c>
      <c r="BL22" s="72">
        <f>+IFERROR(VLOOKUP($BL$17,Sheet1!AL6:AO6,3,0),0)</f>
        <v>0</v>
      </c>
      <c r="BM22" s="72">
        <f>+IFERROR(VLOOKUP($BM$17,Sheet1!AP6:AS6,3,0),0)</f>
        <v>0</v>
      </c>
      <c r="BN22" s="72">
        <f>+IFERROR(VLOOKUP($BN$17,Sheet1!AT6:AW6,3,0),0)</f>
        <v>0</v>
      </c>
      <c r="BO22" s="79">
        <v>16.5</v>
      </c>
      <c r="BP22" s="79">
        <v>55</v>
      </c>
      <c r="BQ22" s="72">
        <f>+IFERROR(VLOOKUP($BQ$17,Sheet1!BF6:BI6,3,0),0)</f>
        <v>0</v>
      </c>
      <c r="BR22" s="72">
        <f>+IFERROR(VLOOKUP($BR$17,Sheet1!BJ6:BM6,3,0),0)</f>
        <v>0</v>
      </c>
      <c r="BS22" s="72">
        <f>+IFERROR(VLOOKUP($BS$17,Sheet1!BN6:BQ6,3,0),0)</f>
        <v>0</v>
      </c>
      <c r="BT22" s="79">
        <v>40</v>
      </c>
      <c r="BU22" s="11">
        <f>+IFERROR(VLOOKUP($BU$17,Sheet1!BV6:BY6,3,0),0)</f>
        <v>0</v>
      </c>
      <c r="BV22" s="11" t="str">
        <f>Sheet1!E6</f>
        <v>STEEL</v>
      </c>
      <c r="BW22" s="11" t="str">
        <f>Sheet1!CV6</f>
        <v>SP0400118</v>
      </c>
      <c r="BX22" s="11" t="str">
        <f>Sheet1!CW6</f>
        <v>CORRUGATED DISPATCH STEEL DRUM 1700 X 1000 X 1200</v>
      </c>
      <c r="BY22" s="11">
        <f>Sheet1!CX6</f>
        <v>250</v>
      </c>
      <c r="BZ22" s="3">
        <f>Sheet1!BZ6</f>
        <v>95000</v>
      </c>
      <c r="CA22" s="3">
        <f t="shared" si="5"/>
        <v>946310</v>
      </c>
      <c r="CB22" s="23">
        <f>Sheet1!CB6</f>
        <v>0</v>
      </c>
      <c r="CC22" s="3">
        <f t="shared" si="6"/>
        <v>0</v>
      </c>
      <c r="CD22" s="47">
        <v>0.5</v>
      </c>
      <c r="CE22" s="3">
        <f t="shared" si="7"/>
        <v>473155</v>
      </c>
      <c r="CF22" s="47">
        <v>0</v>
      </c>
      <c r="CG22" s="3">
        <f t="shared" si="8"/>
        <v>0</v>
      </c>
      <c r="CH22" s="3">
        <f t="shared" si="9"/>
        <v>1419465</v>
      </c>
      <c r="CI22" s="47">
        <v>0.02</v>
      </c>
      <c r="CJ22" s="80">
        <f t="shared" si="10"/>
        <v>28389.3</v>
      </c>
      <c r="CK22" s="47">
        <v>0.01</v>
      </c>
      <c r="CL22" s="80">
        <f t="shared" si="11"/>
        <v>14194.65</v>
      </c>
    </row>
    <row r="23" spans="1:90" ht="51" x14ac:dyDescent="0.25">
      <c r="A23" s="1" t="str">
        <f>Sheet1!A4</f>
        <v>ENQ-10773-22-23</v>
      </c>
      <c r="B23" s="51">
        <f>Sheet1!B4</f>
        <v>45135</v>
      </c>
      <c r="C23" s="66" t="s">
        <v>233</v>
      </c>
      <c r="D23" s="73" t="s">
        <v>234</v>
      </c>
      <c r="E23" s="74">
        <f t="shared" si="0"/>
        <v>1316664.45</v>
      </c>
      <c r="F23" s="77">
        <f t="shared" si="12"/>
        <v>52000</v>
      </c>
      <c r="G23" s="75">
        <f t="shared" si="1"/>
        <v>1368664.45</v>
      </c>
      <c r="H23" s="76">
        <f>Sheet1!CP4</f>
        <v>0.18</v>
      </c>
      <c r="I23" s="75">
        <f t="shared" si="2"/>
        <v>246359.601</v>
      </c>
      <c r="J23" s="75">
        <f t="shared" si="3"/>
        <v>1615024.051</v>
      </c>
      <c r="K23" s="73">
        <v>2.5</v>
      </c>
      <c r="L23" s="73" t="str">
        <f>Sheet1!CT4</f>
        <v>KMS</v>
      </c>
      <c r="M23" s="74">
        <f t="shared" si="4"/>
        <v>4037560.1274999999</v>
      </c>
      <c r="N23" s="41">
        <f>+IFERROR(VLOOKUP($N$17,Sheet1!J4:L4,3,0),0)</f>
        <v>769.5</v>
      </c>
      <c r="O23" s="41">
        <f>+IFERROR(VLOOKUP($O$17,Sheet1!J4:L4,3,0),0)</f>
        <v>0</v>
      </c>
      <c r="P23" s="41">
        <f>+IFERROR(VLOOKUP($P$17,Sheet1!J4:M4,3,0),0)</f>
        <v>0</v>
      </c>
      <c r="Q23" s="41">
        <f>+IFERROR(VLOOKUP($Q$17,Sheet1!J4:M4,3,0),0)</f>
        <v>0</v>
      </c>
      <c r="R23" s="41">
        <f>+IFERROR(VLOOKUP($R$17,Sheet1!J4:M4,3,0),0)</f>
        <v>0</v>
      </c>
      <c r="S23" s="41">
        <f>+IFERROR(VLOOKUP($S$17,Sheet1!N4:Q4,3,0),0)</f>
        <v>0</v>
      </c>
      <c r="T23" s="41">
        <f>+IFERROR(VLOOKUP($T$17,Sheet1!N4:Q4,3,0),0)</f>
        <v>0</v>
      </c>
      <c r="U23" s="41">
        <f>+IFERROR(VLOOKUP($U$17,Sheet1!F4:I4,3,0),0)</f>
        <v>0</v>
      </c>
      <c r="V23" s="41">
        <f>+IFERROR(VLOOKUP($V$17,Sheet1!F4:I4,3,0),0)</f>
        <v>0</v>
      </c>
      <c r="W23" s="41">
        <f>+IFERROR(VLOOKUP($W$17,Sheet1!F4:I4,3,0),0)</f>
        <v>0</v>
      </c>
      <c r="X23" s="41">
        <f>+IFERROR(VLOOKUP($X$17,Sheet1!F4:I4,3,0),0)</f>
        <v>0</v>
      </c>
      <c r="Y23" s="78">
        <v>102</v>
      </c>
      <c r="Z23" s="41">
        <f>+IFERROR(VLOOKUP($Z$17,Sheet1!F4:I4,3,0),0)</f>
        <v>0</v>
      </c>
      <c r="AA23" s="41">
        <f>+IFERROR(VLOOKUP($AA$17,Sheet1!F4:I4,3,0),0)</f>
        <v>0</v>
      </c>
      <c r="AB23" s="41">
        <f>+IFERROR(VLOOKUP($AB$17,Sheet1!F4:I4,3,0),0)</f>
        <v>0</v>
      </c>
      <c r="AC23" s="78">
        <v>232</v>
      </c>
      <c r="AD23" s="72">
        <f>+IFERROR(VLOOKUP($AD$17,Sheet1!R4:U4,2,0),0)</f>
        <v>0</v>
      </c>
      <c r="AE23" s="78">
        <v>544</v>
      </c>
      <c r="AF23" s="72">
        <f>+IFERROR(VLOOKUP($AF$17,Sheet1!V4:Y4,3,0),0)</f>
        <v>0</v>
      </c>
      <c r="AG23" s="72">
        <f>+IFERROR(VLOOKUP($AG$17,Sheet1!V4:Y4,3,0),0)</f>
        <v>0</v>
      </c>
      <c r="AH23" s="72">
        <f>+IFERROR(VLOOKUP($AH$17,Sheet1!V4:Y4,3,0),0)</f>
        <v>0</v>
      </c>
      <c r="AI23" s="72">
        <f>+IFERROR(VLOOKUP($AI$17,Sheet1!V4:Y4,3,0),0)</f>
        <v>0</v>
      </c>
      <c r="AJ23" s="72">
        <f>+IFERROR(VLOOKUP($AJ$17,Sheet1!V4:Y4,3,0),0)</f>
        <v>0</v>
      </c>
      <c r="AK23" s="72">
        <f>+IFERROR(VLOOKUP($AK$17,Sheet1!Z4:AB4,3,0),0)</f>
        <v>0</v>
      </c>
      <c r="AL23" s="72">
        <f>+IFERROR(VLOOKUP($AL$17,Sheet1!AD4:AG4,3,0),0)</f>
        <v>0</v>
      </c>
      <c r="AM23" s="72">
        <f>+IFERROR(VLOOKUP($AM$17,Sheet1!AD4:AG4,3,0),0)</f>
        <v>0</v>
      </c>
      <c r="AN23" s="72">
        <f>+IFERROR(VLOOKUP($AN$17,Sheet1!AD4:AG4,3,0),0)</f>
        <v>0</v>
      </c>
      <c r="AO23" s="72">
        <f>+IFERROR(VLOOKUP($AO$17,Sheet1!AD4:AG4,3,0),0)</f>
        <v>0</v>
      </c>
      <c r="AP23" s="72">
        <f>+IFERROR(VLOOKUP($AP$17,Sheet1!AD4:AG4,3,0),0)</f>
        <v>0</v>
      </c>
      <c r="AQ23" s="72">
        <f>+IFERROR(VLOOKUP($AQ$17,Sheet1!AD4:AG4,3,0),0)</f>
        <v>0</v>
      </c>
      <c r="AR23" s="79">
        <v>460</v>
      </c>
      <c r="AS23" s="72">
        <f>+IFERROR(VLOOKUP($AS$17,Sheet1!AH4:AK4,3,0),0)</f>
        <v>0</v>
      </c>
      <c r="AT23" s="72">
        <f>+IFERROR(VLOOKUP($AT$17,Sheet1!AH4:AK4,3,0),0)</f>
        <v>0</v>
      </c>
      <c r="AU23" s="72">
        <f>+IFERROR(VLOOKUP($AU$17,Sheet1!AH4:AK4,3,0),0)</f>
        <v>0</v>
      </c>
      <c r="AV23" s="72">
        <f>+IFERROR(VLOOKUP($AV$17,Sheet1!AH4:AK4,3,0),0)</f>
        <v>0</v>
      </c>
      <c r="AW23" s="72">
        <f>+IFERROR(VLOOKUP($AW$17,Sheet1!AH4:AK4,3,0),0)</f>
        <v>0</v>
      </c>
      <c r="AX23" s="72">
        <f>+IFERROR(VLOOKUP($AX$17,Sheet1!AH4:AK4,3,0),0)</f>
        <v>0</v>
      </c>
      <c r="AY23" s="72">
        <f>+IFERROR(VLOOKUP($AY$17,Sheet1!AH4:AK4,3,0),0)</f>
        <v>0</v>
      </c>
      <c r="AZ23" s="72">
        <f>+IFERROR(VLOOKUP($AZ$17,Sheet1!AH4:AK4,3,0),0)</f>
        <v>0</v>
      </c>
      <c r="BA23" s="79">
        <v>2244</v>
      </c>
      <c r="BB23" s="72">
        <f>+IFERROR(VLOOKUP($BB$17,Sheet1!AH4:AK4,3,0),0)</f>
        <v>0</v>
      </c>
      <c r="BC23" s="72">
        <f>+IFERROR(VLOOKUP($BC$17,Sheet1!AL4:AO4,3,0),0)</f>
        <v>0</v>
      </c>
      <c r="BD23" s="72">
        <f>+IFERROR(VLOOKUP($BD$17,Sheet1!AL4:AO4,3,0),0)</f>
        <v>0</v>
      </c>
      <c r="BE23" s="72">
        <f>+IFERROR(VLOOKUP($BE$17,Sheet1!AL4:AO4,3,0),0)</f>
        <v>0</v>
      </c>
      <c r="BF23" s="79">
        <v>656</v>
      </c>
      <c r="BG23" s="79">
        <v>416</v>
      </c>
      <c r="BH23" s="72">
        <f>+IFERROR(VLOOKUP($BH$17,Sheet1!AL4:AO4,3,0),0)</f>
        <v>0</v>
      </c>
      <c r="BI23" s="72">
        <f>+IFERROR(VLOOKUP($BI$17,Sheet1!AL4:AO4,3,0),0)</f>
        <v>0</v>
      </c>
      <c r="BJ23" s="72">
        <f>+IFERROR(VLOOKUP($BJ$17,Sheet1!AL4:AO4,3,0),0)</f>
        <v>0</v>
      </c>
      <c r="BK23" s="72">
        <f>+IFERROR(VLOOKUP($BK$17,Sheet1!AL4:AO4,3,0),0)</f>
        <v>0</v>
      </c>
      <c r="BL23" s="72">
        <f>+IFERROR(VLOOKUP($BL$17,Sheet1!AL4:AO4,3,0),0)</f>
        <v>0</v>
      </c>
      <c r="BM23" s="72"/>
      <c r="BN23" s="72">
        <f>+IFERROR(VLOOKUP($BN$17,Sheet1!AT4:AW4,3,0),0)</f>
        <v>0</v>
      </c>
      <c r="BO23" s="79">
        <v>15</v>
      </c>
      <c r="BP23" s="79">
        <v>50</v>
      </c>
      <c r="BQ23" s="72">
        <f>+IFERROR(VLOOKUP($BQ$17,Sheet1!BF4:BI4,3,0),0)</f>
        <v>0</v>
      </c>
      <c r="BR23" s="72">
        <f>+IFERROR(VLOOKUP($BR$17,Sheet1!BJ4:BM4,3,0),0)</f>
        <v>0</v>
      </c>
      <c r="BS23" s="72">
        <f>+IFERROR(VLOOKUP($BS$17,Sheet1!BN4:BQ4,3,0),0)</f>
        <v>0</v>
      </c>
      <c r="BT23" s="79">
        <v>38</v>
      </c>
      <c r="BU23" s="11">
        <f>+IFERROR(VLOOKUP($BU$17,Sheet1!BV4:BY4,3,0),0)</f>
        <v>0</v>
      </c>
      <c r="BV23" s="11" t="str">
        <f>Sheet1!E4</f>
        <v>STEEL</v>
      </c>
      <c r="BW23" s="11" t="s">
        <v>189</v>
      </c>
      <c r="BX23" s="11" t="s">
        <v>190</v>
      </c>
      <c r="BY23" s="11">
        <f>Sheet1!CX4</f>
        <v>250</v>
      </c>
      <c r="BZ23" s="3">
        <v>95000</v>
      </c>
      <c r="CA23" s="3">
        <f t="shared" si="5"/>
        <v>852210</v>
      </c>
      <c r="CB23" s="23">
        <f>Sheet1!CB4</f>
        <v>0</v>
      </c>
      <c r="CC23" s="3">
        <f t="shared" si="6"/>
        <v>0</v>
      </c>
      <c r="CD23" s="47">
        <v>0.5</v>
      </c>
      <c r="CE23" s="3">
        <f t="shared" si="7"/>
        <v>426105</v>
      </c>
      <c r="CF23" s="47">
        <v>0</v>
      </c>
      <c r="CG23" s="3">
        <f t="shared" si="8"/>
        <v>0</v>
      </c>
      <c r="CH23" s="3">
        <f t="shared" si="9"/>
        <v>1278315</v>
      </c>
      <c r="CI23" s="47">
        <v>0.02</v>
      </c>
      <c r="CJ23" s="80">
        <f t="shared" si="10"/>
        <v>25566.3</v>
      </c>
      <c r="CK23" s="47">
        <v>0.01</v>
      </c>
      <c r="CL23" s="80">
        <f t="shared" si="11"/>
        <v>12783.15</v>
      </c>
    </row>
    <row r="24" spans="1:90" ht="51" x14ac:dyDescent="0.25">
      <c r="A24" s="1" t="str">
        <f>Sheet1!A8</f>
        <v>ENQ-10773-22-23</v>
      </c>
      <c r="B24" s="51">
        <f>Sheet1!B8</f>
        <v>45135</v>
      </c>
      <c r="C24" s="1" t="str">
        <f>Sheet1!C8</f>
        <v>FA1300066</v>
      </c>
      <c r="D24" s="73" t="str">
        <f>Sheet1!D8</f>
        <v>1 CORE X 1000 SQ. MM. AL/ARM (XLPE) - 11 KV</v>
      </c>
      <c r="E24" s="74">
        <f t="shared" si="0"/>
        <v>1852703.7450000001</v>
      </c>
      <c r="F24" s="77" t="e">
        <f t="shared" si="12"/>
        <v>#DIV/0!</v>
      </c>
      <c r="G24" s="75" t="e">
        <f t="shared" si="1"/>
        <v>#DIV/0!</v>
      </c>
      <c r="H24" s="76">
        <f>Sheet1!CP8</f>
        <v>0.18</v>
      </c>
      <c r="I24" s="75" t="e">
        <f t="shared" si="2"/>
        <v>#DIV/0!</v>
      </c>
      <c r="J24" s="75" t="e">
        <f t="shared" si="3"/>
        <v>#DIV/0!</v>
      </c>
      <c r="K24" s="73">
        <v>0</v>
      </c>
      <c r="L24" s="73" t="str">
        <f>Sheet1!CT8</f>
        <v>KMS</v>
      </c>
      <c r="M24" s="74" t="e">
        <f t="shared" si="4"/>
        <v>#DIV/0!</v>
      </c>
      <c r="N24" s="78">
        <v>2732</v>
      </c>
      <c r="O24" s="41">
        <f>+IFERROR(VLOOKUP($O$17,Sheet1!J8:L8,3,0),0)</f>
        <v>0</v>
      </c>
      <c r="P24" s="41">
        <f>+IFERROR(VLOOKUP($P$17,Sheet1!J8:M8,3,0),0)</f>
        <v>0</v>
      </c>
      <c r="Q24" s="41">
        <f>+IFERROR(VLOOKUP($Q$17,Sheet1!J8:M8,3,0),0)</f>
        <v>0</v>
      </c>
      <c r="R24" s="41">
        <f>+IFERROR(VLOOKUP($R$17,Sheet1!J8:M8,3,0),0)</f>
        <v>0</v>
      </c>
      <c r="S24" s="41">
        <f>+IFERROR(VLOOKUP($S$17,Sheet1!N8:Q8,3,0),0)</f>
        <v>0</v>
      </c>
      <c r="T24" s="41">
        <f>+IFERROR(VLOOKUP($T$17,Sheet1!N8:Q8,3,0),0)</f>
        <v>0</v>
      </c>
      <c r="U24" s="41">
        <f>+IFERROR(VLOOKUP($U$17,Sheet1!F8:I8,3,0),0)</f>
        <v>0</v>
      </c>
      <c r="V24" s="41">
        <f>+IFERROR(VLOOKUP($V$17,Sheet1!F8:I8,3,0),0)</f>
        <v>0</v>
      </c>
      <c r="W24" s="41">
        <f>+IFERROR(VLOOKUP($W$17,Sheet1!F8:I8,3,0),0)</f>
        <v>0</v>
      </c>
      <c r="X24" s="41">
        <f>+IFERROR(VLOOKUP($X$17,Sheet1!F8:I8,3,0),0)</f>
        <v>0</v>
      </c>
      <c r="Y24" s="78">
        <v>77</v>
      </c>
      <c r="Z24" s="41">
        <f>+IFERROR(VLOOKUP($Z$17,Sheet1!F8:I8,3,0),0)</f>
        <v>0</v>
      </c>
      <c r="AA24" s="41">
        <f>+IFERROR(VLOOKUP($AA$17,Sheet1!F8:I8,3,0),0)</f>
        <v>0</v>
      </c>
      <c r="AB24" s="41">
        <f>+IFERROR(VLOOKUP($AB$17,Sheet1!F8:I8,3,0),0)</f>
        <v>0</v>
      </c>
      <c r="AC24" s="78">
        <v>230</v>
      </c>
      <c r="AD24" s="72">
        <f>+IFERROR(VLOOKUP($AD$17,Sheet1!R8:U8,2,0),0)</f>
        <v>0</v>
      </c>
      <c r="AE24" s="78">
        <v>476</v>
      </c>
      <c r="AF24" s="72">
        <f>+IFERROR(VLOOKUP($AF$17,Sheet1!V8:Y8,3,0),0)</f>
        <v>0</v>
      </c>
      <c r="AG24" s="72">
        <f>+IFERROR(VLOOKUP($AG$17,Sheet1!V8:Y8,3,0),0)</f>
        <v>0</v>
      </c>
      <c r="AH24" s="72">
        <f>+IFERROR(VLOOKUP($AH$17,Sheet1!V8:Y8,3,0),0)</f>
        <v>0</v>
      </c>
      <c r="AI24" s="72">
        <f>+IFERROR(VLOOKUP($AI$17,Sheet1!V8:Y8,3,0),0)</f>
        <v>0</v>
      </c>
      <c r="AJ24" s="72">
        <f>+IFERROR(VLOOKUP($AJ$17,Sheet1!V8:Y8,3,0),0)</f>
        <v>0</v>
      </c>
      <c r="AK24" s="79">
        <v>19</v>
      </c>
      <c r="AL24" s="72">
        <f>+IFERROR(VLOOKUP($AL$17,Sheet1!AD8:AG8,3,0),0)</f>
        <v>0</v>
      </c>
      <c r="AM24" s="72">
        <f>+IFERROR(VLOOKUP($AM$17,Sheet1!AD8:AG8,3,0),0)</f>
        <v>0</v>
      </c>
      <c r="AN24" s="72">
        <f>+IFERROR(VLOOKUP($AN$17,Sheet1!AD8:AG8,3,0),0)</f>
        <v>0</v>
      </c>
      <c r="AO24" s="72">
        <f>+IFERROR(VLOOKUP($AO$17,Sheet1!AD8:AG8,3,0),0)</f>
        <v>0</v>
      </c>
      <c r="AP24" s="72">
        <f>+IFERROR(VLOOKUP($AP$17,Sheet1!AD8:AG8,3,0),0)</f>
        <v>0</v>
      </c>
      <c r="AQ24" s="79">
        <v>194</v>
      </c>
      <c r="AR24" s="72">
        <f>+IFERROR(VLOOKUP($AR$17,Sheet1!AD8:AG8,3,0),0)</f>
        <v>0</v>
      </c>
      <c r="AS24" s="72">
        <f>+IFERROR(VLOOKUP($AS$17,Sheet1!AH8:AK8,3,0),0)</f>
        <v>0</v>
      </c>
      <c r="AT24" s="72">
        <f>+IFERROR(VLOOKUP($AT$17,Sheet1!AH8:AK8,3,0),0)</f>
        <v>0</v>
      </c>
      <c r="AU24" s="72">
        <f>+IFERROR(VLOOKUP($AU$17,Sheet1!AH8:AK8,3,0),0)</f>
        <v>0</v>
      </c>
      <c r="AV24" s="79">
        <v>1008</v>
      </c>
      <c r="AW24" s="72">
        <f>+IFERROR(VLOOKUP($AW$17,Sheet1!AH8:AK8,3,0),0)</f>
        <v>0</v>
      </c>
      <c r="AX24" s="72">
        <f>+IFERROR(VLOOKUP($AX$17,Sheet1!AH8:AK8,3,0),0)</f>
        <v>0</v>
      </c>
      <c r="AY24" s="72">
        <f>+IFERROR(VLOOKUP($AY$17,Sheet1!AH8:AK8,3,0),0)</f>
        <v>0</v>
      </c>
      <c r="AZ24" s="72">
        <f>+IFERROR(VLOOKUP($AZ$17,Sheet1!AH8:AK8,3,0),0)</f>
        <v>0</v>
      </c>
      <c r="BA24" s="72">
        <f>+IFERROR(VLOOKUP($BA$17,Sheet1!AH8:AK8,3,0),0)</f>
        <v>0</v>
      </c>
      <c r="BB24" s="72">
        <f>+IFERROR(VLOOKUP($BB$17,Sheet1!AH8:AK8,3,0),0)</f>
        <v>0</v>
      </c>
      <c r="BC24" s="72">
        <f>+IFERROR(VLOOKUP($BC$17,Sheet1!AL8:AO8,3,0),0)</f>
        <v>0</v>
      </c>
      <c r="BD24" s="72">
        <f>+IFERROR(VLOOKUP($BD$17,Sheet1!AL8:AO8,3,0),0)</f>
        <v>0</v>
      </c>
      <c r="BE24" s="72">
        <f>+IFERROR(VLOOKUP($BE$17,Sheet1!AL8:AO8,3,0),0)</f>
        <v>0</v>
      </c>
      <c r="BF24" s="79">
        <v>700</v>
      </c>
      <c r="BG24" s="72">
        <f>+IFERROR(VLOOKUP($BG$17,Sheet1!AL8:AO8,3,0),0)</f>
        <v>0</v>
      </c>
      <c r="BH24" s="72">
        <f>+IFERROR(VLOOKUP($BH$17,Sheet1!AL8:AO8,3,0),0)</f>
        <v>0</v>
      </c>
      <c r="BI24" s="72">
        <f>+IFERROR(VLOOKUP($BI$17,Sheet1!AL8:AO8,3,0),0)</f>
        <v>0</v>
      </c>
      <c r="BJ24" s="72">
        <f>+IFERROR(VLOOKUP($BJ$17,Sheet1!AL8:AO8,3,0),0)</f>
        <v>0</v>
      </c>
      <c r="BK24" s="72">
        <f>+IFERROR(VLOOKUP($BK$17,Sheet1!AL8:AO8,3,0),0)</f>
        <v>0</v>
      </c>
      <c r="BL24" s="72">
        <f>+IFERROR(VLOOKUP($BL$17,Sheet1!AL8:AO8,3,0),0)</f>
        <v>0</v>
      </c>
      <c r="BM24" s="72">
        <f>+IFERROR(VLOOKUP($BM$17,Sheet1!AP8:AS8,3,0),0)</f>
        <v>0</v>
      </c>
      <c r="BN24" s="72">
        <f>+IFERROR(VLOOKUP($BN$17,Sheet1!AT8:AW8,3,0),0)</f>
        <v>0</v>
      </c>
      <c r="BO24" s="79">
        <v>39</v>
      </c>
      <c r="BP24" s="79">
        <v>46</v>
      </c>
      <c r="BQ24" s="72">
        <f>+IFERROR(VLOOKUP($BQ$17,Sheet1!BF8:BI8,3,0),0)</f>
        <v>0</v>
      </c>
      <c r="BR24" s="72">
        <f>+IFERROR(VLOOKUP($BR$17,Sheet1!BJ8:BM8,3,0),0)</f>
        <v>0</v>
      </c>
      <c r="BS24" s="72">
        <f>+IFERROR(VLOOKUP($BS$17,Sheet1!BN8:BQ8,3,0),0)</f>
        <v>0</v>
      </c>
      <c r="BT24" s="79">
        <v>42</v>
      </c>
      <c r="BU24" s="11">
        <f>+IFERROR(VLOOKUP($BU$17,Sheet1!BV8:BY8,3,0),0)</f>
        <v>0</v>
      </c>
      <c r="BV24" s="11" t="str">
        <f>Sheet1!E8</f>
        <v>STEEL</v>
      </c>
      <c r="BW24" s="11" t="str">
        <f>Sheet1!CV8</f>
        <v>SP0400107</v>
      </c>
      <c r="BX24" s="11" t="str">
        <f>Sheet1!CW8</f>
        <v>CORRUGATED DISPATCH STEEL DRUM 2150 X 1080 X 1240 MM</v>
      </c>
      <c r="BY24" s="11">
        <f>Sheet1!CX8</f>
        <v>500</v>
      </c>
      <c r="BZ24" s="3">
        <f>Sheet1!BZ8</f>
        <v>66500</v>
      </c>
      <c r="CA24" s="3">
        <f t="shared" si="5"/>
        <v>1199161</v>
      </c>
      <c r="CB24" s="23">
        <f>Sheet1!CB8</f>
        <v>0</v>
      </c>
      <c r="CC24" s="3">
        <f t="shared" si="6"/>
        <v>0</v>
      </c>
      <c r="CD24" s="47">
        <v>0.5</v>
      </c>
      <c r="CE24" s="3">
        <f t="shared" si="7"/>
        <v>599580.5</v>
      </c>
      <c r="CF24" s="47">
        <v>0</v>
      </c>
      <c r="CG24" s="3">
        <f t="shared" si="8"/>
        <v>0</v>
      </c>
      <c r="CH24" s="3">
        <f t="shared" si="9"/>
        <v>1798741.5</v>
      </c>
      <c r="CI24" s="47">
        <v>0.02</v>
      </c>
      <c r="CJ24" s="80">
        <f t="shared" si="10"/>
        <v>35974.83</v>
      </c>
      <c r="CK24" s="47">
        <v>0.01</v>
      </c>
      <c r="CL24" s="80">
        <f t="shared" si="11"/>
        <v>17987.415000000001</v>
      </c>
    </row>
    <row r="25" spans="1:90" ht="51" x14ac:dyDescent="0.25">
      <c r="A25" s="1" t="str">
        <f>Sheet1!A5</f>
        <v>ENQ-10773-22-23</v>
      </c>
      <c r="B25" s="51">
        <f>Sheet1!B5</f>
        <v>45135</v>
      </c>
      <c r="C25" s="1" t="str">
        <f>Sheet1!C5</f>
        <v>FA1300016</v>
      </c>
      <c r="D25" s="73" t="str">
        <f>Sheet1!D5</f>
        <v>1 CORE X 630 SQ. MM. AL/ARM (XLPE)  - 11 KV</v>
      </c>
      <c r="E25" s="74">
        <f t="shared" si="0"/>
        <v>1201875.585</v>
      </c>
      <c r="F25" s="77">
        <f t="shared" si="12"/>
        <v>26000</v>
      </c>
      <c r="G25" s="75">
        <f t="shared" si="1"/>
        <v>1227875.585</v>
      </c>
      <c r="H25" s="76">
        <f>Sheet1!CP5</f>
        <v>0.18</v>
      </c>
      <c r="I25" s="75">
        <f t="shared" si="2"/>
        <v>221017.6053</v>
      </c>
      <c r="J25" s="75">
        <f t="shared" si="3"/>
        <v>1448893.1902999999</v>
      </c>
      <c r="K25" s="73">
        <v>5</v>
      </c>
      <c r="L25" s="73" t="str">
        <f>Sheet1!CT5</f>
        <v>KMS</v>
      </c>
      <c r="M25" s="74">
        <f t="shared" si="4"/>
        <v>7244465.9514999995</v>
      </c>
      <c r="N25" s="78">
        <f>+IFERROR(VLOOKUP($N$17,Sheet1!J5:L5,3,0),0)</f>
        <v>1701</v>
      </c>
      <c r="O25" s="41">
        <f>+IFERROR(VLOOKUP($O$17,Sheet1!J5:L5,3,0),0)</f>
        <v>0</v>
      </c>
      <c r="P25" s="41">
        <f>+IFERROR(VLOOKUP($P$17,Sheet1!J5:M5,3,0),0)</f>
        <v>0</v>
      </c>
      <c r="Q25" s="41">
        <f>+IFERROR(VLOOKUP($Q$17,Sheet1!J5:M5,3,0),0)</f>
        <v>0</v>
      </c>
      <c r="R25" s="41">
        <f>+IFERROR(VLOOKUP($R$17,Sheet1!J5:M5,3,0),0)</f>
        <v>0</v>
      </c>
      <c r="S25" s="41">
        <f>+IFERROR(VLOOKUP($S$17,Sheet1!N5:Q5,3,0),0)</f>
        <v>0</v>
      </c>
      <c r="T25" s="41">
        <f>+IFERROR(VLOOKUP($T$17,Sheet1!N5:Q5,3,0),0)</f>
        <v>0</v>
      </c>
      <c r="U25" s="41">
        <f>+IFERROR(VLOOKUP($U$17,Sheet1!F5:I5,3,0),0)</f>
        <v>0</v>
      </c>
      <c r="V25" s="41">
        <f>+IFERROR(VLOOKUP($V$17,Sheet1!F5:I5,3,0),0)</f>
        <v>0</v>
      </c>
      <c r="W25" s="41">
        <f>+IFERROR(VLOOKUP($W$17,Sheet1!F5:I5,3,0),0)</f>
        <v>0</v>
      </c>
      <c r="X25" s="41">
        <f>+IFERROR(VLOOKUP($X$17,Sheet1!F5:I5,3,0),0)</f>
        <v>0</v>
      </c>
      <c r="Y25" s="78">
        <v>63</v>
      </c>
      <c r="Z25" s="41">
        <f>+IFERROR(VLOOKUP($Z$17,Sheet1!F5:I5,3,0),0)</f>
        <v>0</v>
      </c>
      <c r="AA25" s="41">
        <f>+IFERROR(VLOOKUP($AA$17,Sheet1!F5:I5,3,0),0)</f>
        <v>0</v>
      </c>
      <c r="AB25" s="41">
        <f>+IFERROR(VLOOKUP($AB$17,Sheet1!F5:I5,3,0),0)</f>
        <v>0</v>
      </c>
      <c r="AC25" s="78">
        <v>170</v>
      </c>
      <c r="AD25" s="72">
        <f>+IFERROR(VLOOKUP($AD$17,Sheet1!R5:U5,2,0),0)</f>
        <v>0</v>
      </c>
      <c r="AE25" s="78">
        <v>380</v>
      </c>
      <c r="AF25" s="72">
        <f>+IFERROR(VLOOKUP($AF$17,Sheet1!V5:Y5,3,0),0)</f>
        <v>0</v>
      </c>
      <c r="AG25" s="72">
        <f>+IFERROR(VLOOKUP($AG$17,Sheet1!V5:Y5,3,0),0)</f>
        <v>0</v>
      </c>
      <c r="AH25" s="72">
        <f>+IFERROR(VLOOKUP($AH$17,Sheet1!V5:Y5,3,0),0)</f>
        <v>0</v>
      </c>
      <c r="AI25" s="72">
        <f>+IFERROR(VLOOKUP($AI$17,Sheet1!V5:Y5,3,0),0)</f>
        <v>0</v>
      </c>
      <c r="AJ25" s="72">
        <f>+IFERROR(VLOOKUP($AJ$17,Sheet1!V5:Y5,3,0),0)</f>
        <v>0</v>
      </c>
      <c r="AK25" s="79">
        <v>15</v>
      </c>
      <c r="AL25" s="72">
        <f>+IFERROR(VLOOKUP($AL$17,Sheet1!AD5:AG5,3,0),0)</f>
        <v>0</v>
      </c>
      <c r="AM25" s="72">
        <f>+IFERROR(VLOOKUP($AM$17,Sheet1!AD5:AG5,3,0),0)</f>
        <v>0</v>
      </c>
      <c r="AN25" s="72">
        <f>+IFERROR(VLOOKUP($AN$17,Sheet1!AD5:AG5,3,0),0)</f>
        <v>0</v>
      </c>
      <c r="AO25" s="72">
        <f>+IFERROR(VLOOKUP($AO$17,Sheet1!AD5:AG5,3,0),0)</f>
        <v>0</v>
      </c>
      <c r="AP25" s="72">
        <f>+IFERROR(VLOOKUP($AP$17,Sheet1!AD5:AG5,3,0),0)</f>
        <v>0</v>
      </c>
      <c r="AQ25" s="79">
        <v>140</v>
      </c>
      <c r="AR25" s="72">
        <f>+IFERROR(VLOOKUP($AR$17,Sheet1!AD5:AG5,3,0),0)</f>
        <v>0</v>
      </c>
      <c r="AS25" s="72">
        <f>+IFERROR(VLOOKUP($AS$17,Sheet1!AH5:AK5,3,0),0)</f>
        <v>0</v>
      </c>
      <c r="AT25" s="72">
        <f>+IFERROR(VLOOKUP($AT$17,Sheet1!AH5:AK5,3,0),0)</f>
        <v>0</v>
      </c>
      <c r="AU25" s="72">
        <f>+IFERROR(VLOOKUP($AU$17,Sheet1!AH5:AK5,3,0),0)</f>
        <v>0</v>
      </c>
      <c r="AV25" s="79">
        <v>530</v>
      </c>
      <c r="AW25" s="72">
        <f>+IFERROR(VLOOKUP($AW$17,Sheet1!AH5:AK5,3,0),0)</f>
        <v>0</v>
      </c>
      <c r="AX25" s="72">
        <f>+IFERROR(VLOOKUP($AX$17,Sheet1!AH5:AK5,3,0),0)</f>
        <v>0</v>
      </c>
      <c r="AY25" s="72">
        <f>+IFERROR(VLOOKUP($AY$17,Sheet1!AH5:AK5,3,0),0)</f>
        <v>0</v>
      </c>
      <c r="AZ25" s="72">
        <f>+IFERROR(VLOOKUP($AZ$17,Sheet1!AH5:AK5,3,0),0)</f>
        <v>0</v>
      </c>
      <c r="BA25" s="72">
        <f>+IFERROR(VLOOKUP($BA$17,Sheet1!AH5:AK5,3,0),0)</f>
        <v>0</v>
      </c>
      <c r="BB25" s="72">
        <f>+IFERROR(VLOOKUP($BB$17,Sheet1!AH5:AK5,3,0),0)</f>
        <v>0</v>
      </c>
      <c r="BC25" s="72">
        <f>+IFERROR(VLOOKUP($BC$17,Sheet1!AL5:AO5,3,0),0)</f>
        <v>0</v>
      </c>
      <c r="BD25" s="72">
        <f>+IFERROR(VLOOKUP($BD$17,Sheet1!AL5:AO5,3,0),0)</f>
        <v>0</v>
      </c>
      <c r="BE25" s="72">
        <f>+IFERROR(VLOOKUP($BE$17,Sheet1!AL5:AO5,3,0),0)</f>
        <v>0</v>
      </c>
      <c r="BF25" s="79">
        <v>492</v>
      </c>
      <c r="BG25" s="72">
        <f>+IFERROR(VLOOKUP($BG$17,Sheet1!AL5:AO5,3,0),0)</f>
        <v>0</v>
      </c>
      <c r="BH25" s="72">
        <f>+IFERROR(VLOOKUP($BH$17,Sheet1!AL5:AO5,3,0),0)</f>
        <v>0</v>
      </c>
      <c r="BI25" s="72">
        <f>+IFERROR(VLOOKUP($BI$17,Sheet1!AL5:AO5,3,0),0)</f>
        <v>0</v>
      </c>
      <c r="BJ25" s="72">
        <f>+IFERROR(VLOOKUP($BJ$17,Sheet1!AL5:AO5,3,0),0)</f>
        <v>0</v>
      </c>
      <c r="BK25" s="72">
        <f>+IFERROR(VLOOKUP($BK$17,Sheet1!AL5:AO5,3,0),0)</f>
        <v>0</v>
      </c>
      <c r="BL25" s="72">
        <f>+IFERROR(VLOOKUP($BL$17,Sheet1!AL5:AO5,3,0),0)</f>
        <v>0</v>
      </c>
      <c r="BM25" s="72">
        <f>+IFERROR(VLOOKUP($BM$17,Sheet1!AP5:AS5,3,0),0)</f>
        <v>0</v>
      </c>
      <c r="BN25" s="72">
        <f>+IFERROR(VLOOKUP($BN$17,Sheet1!AT5:AW5,3,0),0)</f>
        <v>0</v>
      </c>
      <c r="BO25" s="79">
        <v>26</v>
      </c>
      <c r="BP25" s="79">
        <v>36</v>
      </c>
      <c r="BQ25" s="72">
        <f>+IFERROR(VLOOKUP($BQ$17,Sheet1!BF5:BI5,3,0),0)</f>
        <v>0</v>
      </c>
      <c r="BR25" s="72">
        <f>+IFERROR(VLOOKUP($BR$17,Sheet1!BJ5:BM5,3,0),0)</f>
        <v>0</v>
      </c>
      <c r="BS25" s="72">
        <f>+IFERROR(VLOOKUP($BS$17,Sheet1!BN5:BQ5,3,0),0)</f>
        <v>0</v>
      </c>
      <c r="BT25" s="79">
        <v>33</v>
      </c>
      <c r="BU25" s="11">
        <f>+IFERROR(VLOOKUP($BU$17,Sheet1!BV5:BY5,3,0),0)</f>
        <v>0</v>
      </c>
      <c r="BV25" s="11" t="str">
        <f>Sheet1!E5</f>
        <v>STEEL</v>
      </c>
      <c r="BW25" s="11" t="str">
        <f>Sheet1!CV5</f>
        <v>SP0400091</v>
      </c>
      <c r="BX25" s="11" t="str">
        <f>Sheet1!CW5</f>
        <v>CORRUGATED DISPATCH STEEL DRUM 1800 X 900 X 1000</v>
      </c>
      <c r="BY25" s="11">
        <f>Sheet1!CX5</f>
        <v>500</v>
      </c>
      <c r="BZ25" s="3">
        <f>Sheet1!BZ5</f>
        <v>48450</v>
      </c>
      <c r="CA25" s="3">
        <f t="shared" si="5"/>
        <v>777913</v>
      </c>
      <c r="CB25" s="23">
        <f>Sheet1!CB5</f>
        <v>0</v>
      </c>
      <c r="CC25" s="3">
        <f t="shared" si="6"/>
        <v>0</v>
      </c>
      <c r="CD25" s="47">
        <v>0.5</v>
      </c>
      <c r="CE25" s="3">
        <f t="shared" si="7"/>
        <v>388956.5</v>
      </c>
      <c r="CF25" s="47">
        <v>0</v>
      </c>
      <c r="CG25" s="3">
        <f t="shared" si="8"/>
        <v>0</v>
      </c>
      <c r="CH25" s="3">
        <f t="shared" si="9"/>
        <v>1166869.5</v>
      </c>
      <c r="CI25" s="47">
        <v>0.02</v>
      </c>
      <c r="CJ25" s="80">
        <f t="shared" si="10"/>
        <v>23337.39</v>
      </c>
      <c r="CK25" s="47">
        <v>0.01</v>
      </c>
      <c r="CL25" s="80">
        <f t="shared" si="11"/>
        <v>11668.695</v>
      </c>
    </row>
    <row r="26" spans="1:90" ht="51" x14ac:dyDescent="0.25">
      <c r="A26" s="1" t="str">
        <f>Sheet1!A11</f>
        <v>ENQ-10773-22-23</v>
      </c>
      <c r="B26" s="51">
        <f>Sheet1!B11</f>
        <v>45135</v>
      </c>
      <c r="C26" s="1" t="str">
        <f>Sheet1!C11</f>
        <v>FA1300047</v>
      </c>
      <c r="D26" s="73" t="str">
        <f>Sheet1!D11</f>
        <v>1 CORE X 400 SQ. MM. AL/ARM (XLPE) - 11 KV</v>
      </c>
      <c r="E26" s="74">
        <f t="shared" si="0"/>
        <v>911866.72499999998</v>
      </c>
      <c r="F26" s="77" t="e">
        <f t="shared" si="12"/>
        <v>#DIV/0!</v>
      </c>
      <c r="G26" s="75" t="e">
        <f t="shared" si="1"/>
        <v>#DIV/0!</v>
      </c>
      <c r="H26" s="76">
        <f>Sheet1!CP11</f>
        <v>0.18</v>
      </c>
      <c r="I26" s="75" t="e">
        <f t="shared" si="2"/>
        <v>#DIV/0!</v>
      </c>
      <c r="J26" s="75" t="e">
        <f t="shared" si="3"/>
        <v>#DIV/0!</v>
      </c>
      <c r="K26" s="73">
        <v>0</v>
      </c>
      <c r="L26" s="73" t="str">
        <f>Sheet1!CT11</f>
        <v>KMS</v>
      </c>
      <c r="M26" s="74" t="e">
        <f t="shared" si="4"/>
        <v>#DIV/0!</v>
      </c>
      <c r="N26" s="41">
        <f>+IFERROR(VLOOKUP($N$17,Sheet1!J11:L11,3,0),0)</f>
        <v>1080</v>
      </c>
      <c r="O26" s="41">
        <f>+IFERROR(VLOOKUP($O$17,Sheet1!J11:L11,3,0),0)</f>
        <v>0</v>
      </c>
      <c r="P26" s="41">
        <f>+IFERROR(VLOOKUP($P$17,Sheet1!J11:M11,3,0),0)</f>
        <v>0</v>
      </c>
      <c r="Q26" s="41">
        <f>+IFERROR(VLOOKUP($Q$17,Sheet1!J11:M11,3,0),0)</f>
        <v>0</v>
      </c>
      <c r="R26" s="41">
        <f>+IFERROR(VLOOKUP($R$17,Sheet1!J11:M11,3,0),0)</f>
        <v>0</v>
      </c>
      <c r="S26" s="41">
        <f>+IFERROR(VLOOKUP($S$17,Sheet1!N11:Q11,3,0),0)</f>
        <v>0</v>
      </c>
      <c r="T26" s="41">
        <f>+IFERROR(VLOOKUP($T$17,Sheet1!N11:Q11,3,0),0)</f>
        <v>0</v>
      </c>
      <c r="U26" s="41">
        <f>+IFERROR(VLOOKUP($U$17,Sheet1!F11:I11,3,0),0)</f>
        <v>0</v>
      </c>
      <c r="V26" s="41">
        <f>+IFERROR(VLOOKUP($V$17,Sheet1!F11:I11,3,0),0)</f>
        <v>0</v>
      </c>
      <c r="W26" s="41">
        <f>+IFERROR(VLOOKUP($W$17,Sheet1!F11:I11,3,0),0)</f>
        <v>0</v>
      </c>
      <c r="X26" s="41">
        <f>+IFERROR(VLOOKUP($X$17,Sheet1!F11:I11,3,0),0)</f>
        <v>0</v>
      </c>
      <c r="Y26" s="78">
        <v>53</v>
      </c>
      <c r="Z26" s="41">
        <f>+IFERROR(VLOOKUP($Z$17,Sheet1!F11:I11,3,0),0)</f>
        <v>0</v>
      </c>
      <c r="AA26" s="41">
        <f>+IFERROR(VLOOKUP($AA$17,Sheet1!F11:I11,3,0),0)</f>
        <v>0</v>
      </c>
      <c r="AB26" s="41">
        <f>+IFERROR(VLOOKUP($AB$17,Sheet1!F11:I11,3,0),0)</f>
        <v>0</v>
      </c>
      <c r="AC26" s="78">
        <v>138</v>
      </c>
      <c r="AD26" s="72">
        <f>+IFERROR(VLOOKUP($AD$17,Sheet1!R11:U11,2,0),0)</f>
        <v>0</v>
      </c>
      <c r="AE26" s="78">
        <v>310</v>
      </c>
      <c r="AF26" s="72">
        <f>+IFERROR(VLOOKUP($AF$17,Sheet1!V11:Y11,3,0),0)</f>
        <v>0</v>
      </c>
      <c r="AG26" s="72">
        <f>+IFERROR(VLOOKUP($AG$17,Sheet1!V11:Y11,3,0),0)</f>
        <v>0</v>
      </c>
      <c r="AH26" s="72">
        <f>+IFERROR(VLOOKUP($AH$17,Sheet1!V11:Y11,3,0),0)</f>
        <v>0</v>
      </c>
      <c r="AI26" s="72">
        <f>+IFERROR(VLOOKUP($AI$17,Sheet1!V11:Y11,3,0),0)</f>
        <v>0</v>
      </c>
      <c r="AJ26" s="72">
        <f>+IFERROR(VLOOKUP($AJ$17,Sheet1!V11:Y11,3,0),0)</f>
        <v>0</v>
      </c>
      <c r="AK26" s="79">
        <v>13</v>
      </c>
      <c r="AL26" s="72">
        <f>+IFERROR(VLOOKUP($AL$17,Sheet1!AD11:AG11,3,0),0)</f>
        <v>0</v>
      </c>
      <c r="AM26" s="72">
        <f>+IFERROR(VLOOKUP($AM$17,Sheet1!AD11:AG11,3,0),0)</f>
        <v>0</v>
      </c>
      <c r="AN26" s="72">
        <f>+IFERROR(VLOOKUP($AN$17,Sheet1!AD11:AG11,3,0),0)</f>
        <v>0</v>
      </c>
      <c r="AO26" s="72">
        <f>+IFERROR(VLOOKUP($AO$17,Sheet1!AD11:AG11,3,0),0)</f>
        <v>0</v>
      </c>
      <c r="AP26" s="72">
        <f>+IFERROR(VLOOKUP($AP$17,Sheet1!AD11:AG11,3,0),0)</f>
        <v>0</v>
      </c>
      <c r="AQ26" s="79">
        <v>102</v>
      </c>
      <c r="AR26" s="72">
        <f>+IFERROR(VLOOKUP($AR$17,Sheet1!AD11:AG11,3,0),0)</f>
        <v>0</v>
      </c>
      <c r="AS26" s="72">
        <f>+IFERROR(VLOOKUP($AS$17,Sheet1!AH11:AK11,3,0),0)</f>
        <v>0</v>
      </c>
      <c r="AT26" s="72">
        <f>+IFERROR(VLOOKUP($AT$17,Sheet1!AH11:AK11,3,0),0)</f>
        <v>0</v>
      </c>
      <c r="AU26" s="72">
        <f>+IFERROR(VLOOKUP($AU$17,Sheet1!AH11:AK11,3,0),0)</f>
        <v>0</v>
      </c>
      <c r="AV26" s="79">
        <v>552</v>
      </c>
      <c r="AW26" s="72">
        <f>+IFERROR(VLOOKUP($AW$17,Sheet1!AH11:AK11,3,0),0)</f>
        <v>0</v>
      </c>
      <c r="AX26" s="72">
        <f>+IFERROR(VLOOKUP($AX$17,Sheet1!AH11:AK11,3,0),0)</f>
        <v>0</v>
      </c>
      <c r="AY26" s="72">
        <f>+IFERROR(VLOOKUP($AY$17,Sheet1!AH11:AK11,3,0),0)</f>
        <v>0</v>
      </c>
      <c r="AZ26" s="72">
        <f>+IFERROR(VLOOKUP($AZ$17,Sheet1!AH11:AK11,3,0),0)</f>
        <v>0</v>
      </c>
      <c r="BA26" s="72">
        <f>+IFERROR(VLOOKUP($BA$17,Sheet1!AH11:AK11,3,0),0)</f>
        <v>0</v>
      </c>
      <c r="BB26" s="72">
        <f>+IFERROR(VLOOKUP($BB$17,Sheet1!AH11:AK11,3,0),0)</f>
        <v>0</v>
      </c>
      <c r="BC26" s="72">
        <f>+IFERROR(VLOOKUP($BC$17,Sheet1!AL11:AO11,3,0),0)</f>
        <v>0</v>
      </c>
      <c r="BD26" s="72">
        <f>+IFERROR(VLOOKUP($BD$17,Sheet1!AL11:AO11,3,0),0)</f>
        <v>0</v>
      </c>
      <c r="BE26" s="72">
        <f>+IFERROR(VLOOKUP($BE$17,Sheet1!AL11:AO11,3,0),0)</f>
        <v>0</v>
      </c>
      <c r="BF26" s="79">
        <v>403</v>
      </c>
      <c r="BG26" s="72">
        <f>+IFERROR(VLOOKUP($BG$17,Sheet1!AL11:AO11,3,0),0)</f>
        <v>0</v>
      </c>
      <c r="BH26" s="72">
        <f>+IFERROR(VLOOKUP($BH$17,Sheet1!AL11:AO11,3,0),0)</f>
        <v>0</v>
      </c>
      <c r="BI26" s="72">
        <f>+IFERROR(VLOOKUP($BI$17,Sheet1!AL11:AO11,3,0),0)</f>
        <v>0</v>
      </c>
      <c r="BJ26" s="72">
        <f>+IFERROR(VLOOKUP($BJ$17,Sheet1!AL11:AO11,3,0),0)</f>
        <v>0</v>
      </c>
      <c r="BK26" s="72">
        <f>+IFERROR(VLOOKUP($BK$17,Sheet1!AL11:AO11,3,0),0)</f>
        <v>0</v>
      </c>
      <c r="BL26" s="72">
        <f>+IFERROR(VLOOKUP($BL$17,Sheet1!AL11:AO11,3,0),0)</f>
        <v>0</v>
      </c>
      <c r="BM26" s="72">
        <f>+IFERROR(VLOOKUP($BM$17,Sheet1!AP11:AS11,3,0),0)</f>
        <v>0</v>
      </c>
      <c r="BN26" s="72">
        <f>+IFERROR(VLOOKUP($BN$17,Sheet1!AT11:AW11,3,0),0)</f>
        <v>0</v>
      </c>
      <c r="BO26" s="79">
        <v>19</v>
      </c>
      <c r="BP26" s="79">
        <v>29</v>
      </c>
      <c r="BQ26" s="72">
        <f>+IFERROR(VLOOKUP($BQ$17,Sheet1!BF11:BI11,3,0),0)</f>
        <v>0</v>
      </c>
      <c r="BR26" s="72">
        <f>+IFERROR(VLOOKUP($BR$17,Sheet1!BJ11:BM11,3,0),0)</f>
        <v>0</v>
      </c>
      <c r="BS26" s="72">
        <f>+IFERROR(VLOOKUP($BS$17,Sheet1!BN11:BQ11,3,0),0)</f>
        <v>0</v>
      </c>
      <c r="BT26" s="79">
        <v>30</v>
      </c>
      <c r="BU26" s="11">
        <f>+IFERROR(VLOOKUP($BU$17,Sheet1!BV11:BY11,3,0),0)</f>
        <v>0</v>
      </c>
      <c r="BV26" s="11" t="str">
        <f>Sheet1!E11</f>
        <v>STEEL</v>
      </c>
      <c r="BW26" s="11" t="str">
        <f>Sheet1!CV11</f>
        <v>SP0400125</v>
      </c>
      <c r="BX26" s="11" t="str">
        <f>Sheet1!CW11</f>
        <v>CORRUGATED DISPATCH STEEL DRUM 1600 X 700 X 915 MM</v>
      </c>
      <c r="BY26" s="11">
        <f>Sheet1!CX11</f>
        <v>500</v>
      </c>
      <c r="BZ26" s="3">
        <f>Sheet1!BZ11</f>
        <v>34200</v>
      </c>
      <c r="CA26" s="3">
        <f t="shared" si="5"/>
        <v>590205</v>
      </c>
      <c r="CB26" s="23">
        <f>Sheet1!CB11</f>
        <v>0</v>
      </c>
      <c r="CC26" s="3">
        <f t="shared" si="6"/>
        <v>0</v>
      </c>
      <c r="CD26" s="47">
        <v>0.5</v>
      </c>
      <c r="CE26" s="3">
        <f t="shared" si="7"/>
        <v>295102.5</v>
      </c>
      <c r="CF26" s="47">
        <v>0</v>
      </c>
      <c r="CG26" s="3">
        <f t="shared" si="8"/>
        <v>0</v>
      </c>
      <c r="CH26" s="3">
        <f t="shared" si="9"/>
        <v>885307.5</v>
      </c>
      <c r="CI26" s="47">
        <v>0.02</v>
      </c>
      <c r="CJ26" s="80">
        <f t="shared" si="10"/>
        <v>17706.150000000001</v>
      </c>
      <c r="CK26" s="47">
        <v>0.01</v>
      </c>
      <c r="CL26" s="80">
        <f t="shared" si="11"/>
        <v>8853.0750000000007</v>
      </c>
    </row>
    <row r="27" spans="1:90" ht="51" x14ac:dyDescent="0.25">
      <c r="A27" s="1" t="str">
        <f>Sheet1!A14</f>
        <v>ENQ-10773-22-23</v>
      </c>
      <c r="B27" s="51">
        <f>Sheet1!B14</f>
        <v>45135</v>
      </c>
      <c r="C27" s="1" t="str">
        <f>Sheet1!C14</f>
        <v>FA1300080</v>
      </c>
      <c r="D27" s="73" t="str">
        <f>Sheet1!D14</f>
        <v>3 CORE X 400 SQ. MM AL/ARM - WIRE (XLPE) - 33 KV</v>
      </c>
      <c r="E27" s="74">
        <f t="shared" si="0"/>
        <v>4221435.9450000003</v>
      </c>
      <c r="F27" s="77">
        <f t="shared" si="12"/>
        <v>130000</v>
      </c>
      <c r="G27" s="75">
        <f t="shared" si="1"/>
        <v>4351435.9450000003</v>
      </c>
      <c r="H27" s="76">
        <f>Sheet1!CP14</f>
        <v>0.18</v>
      </c>
      <c r="I27" s="75">
        <f t="shared" si="2"/>
        <v>783258.47010000004</v>
      </c>
      <c r="J27" s="75">
        <f t="shared" si="3"/>
        <v>5134694.4151000008</v>
      </c>
      <c r="K27" s="73">
        <v>7.5</v>
      </c>
      <c r="L27" s="73" t="str">
        <f>Sheet1!CT14</f>
        <v>KMS</v>
      </c>
      <c r="M27" s="74">
        <f t="shared" si="4"/>
        <v>38510208.113250002</v>
      </c>
      <c r="N27" s="78">
        <v>3243</v>
      </c>
      <c r="O27" s="41">
        <f>+IFERROR(VLOOKUP($O$17,Sheet1!J14:L14,3,0),0)</f>
        <v>0</v>
      </c>
      <c r="P27" s="41">
        <f>+IFERROR(VLOOKUP($P$17,Sheet1!J14:M14,3,0),0)</f>
        <v>0</v>
      </c>
      <c r="Q27" s="41">
        <f>+IFERROR(VLOOKUP($Q$17,Sheet1!J14:M14,3,0),0)</f>
        <v>0</v>
      </c>
      <c r="R27" s="41">
        <f>+IFERROR(VLOOKUP($R$17,Sheet1!J14:M14,3,0),0)</f>
        <v>0</v>
      </c>
      <c r="S27" s="41">
        <f>+IFERROR(VLOOKUP($S$17,Sheet1!N14:Q14,3,0),0)</f>
        <v>0</v>
      </c>
      <c r="T27" s="41">
        <f>+IFERROR(VLOOKUP($T$17,Sheet1!N14:Q14,3,0),0)</f>
        <v>0</v>
      </c>
      <c r="U27" s="41">
        <f>+IFERROR(VLOOKUP($U$17,Sheet1!F14:I14,3,0),0)</f>
        <v>0</v>
      </c>
      <c r="V27" s="41">
        <f>+IFERROR(VLOOKUP($V$17,Sheet1!F14:I14,3,0),0)</f>
        <v>0</v>
      </c>
      <c r="W27" s="41">
        <f>+IFERROR(VLOOKUP($W$17,Sheet1!F14:I14,3,0),0)</f>
        <v>0</v>
      </c>
      <c r="X27" s="41">
        <f>+IFERROR(VLOOKUP($X$17,Sheet1!F14:I14,3,0),0)</f>
        <v>0</v>
      </c>
      <c r="Y27" s="78">
        <v>212</v>
      </c>
      <c r="Z27" s="41">
        <f>+IFERROR(VLOOKUP($Z$17,Sheet1!F14:I14,3,0),0)</f>
        <v>0</v>
      </c>
      <c r="AA27" s="41">
        <f>+IFERROR(VLOOKUP($AA$17,Sheet1!F14:I14,3,0),0)</f>
        <v>0</v>
      </c>
      <c r="AB27" s="41">
        <f>+IFERROR(VLOOKUP($AB$17,Sheet1!F14:I14,3,0),0)</f>
        <v>0</v>
      </c>
      <c r="AC27" s="78">
        <v>515</v>
      </c>
      <c r="AD27" s="72">
        <f>+IFERROR(VLOOKUP($AD$17,Sheet1!R14:U14,2,0),0)</f>
        <v>0</v>
      </c>
      <c r="AE27" s="78">
        <v>2670</v>
      </c>
      <c r="AF27" s="72">
        <f>+IFERROR(VLOOKUP($AF$17,Sheet1!V14:Y14,3,0),0)</f>
        <v>0</v>
      </c>
      <c r="AG27" s="72">
        <f>+IFERROR(VLOOKUP($AG$17,Sheet1!V14:Y14,3,0),0)</f>
        <v>0</v>
      </c>
      <c r="AH27" s="72">
        <f>+IFERROR(VLOOKUP($AH$17,Sheet1!V14:Y14,3,0),0)</f>
        <v>0</v>
      </c>
      <c r="AI27" s="72">
        <f>+IFERROR(VLOOKUP($AI$17,Sheet1!V14:Y14,3,0),0)</f>
        <v>0</v>
      </c>
      <c r="AJ27" s="72">
        <f>+IFERROR(VLOOKUP($AJ$17,Sheet1!V14:Y14,3,0),0)</f>
        <v>0</v>
      </c>
      <c r="AK27" s="72">
        <f>+IFERROR(VLOOKUP($AK$17,Sheet1!Z14:AB14,3,0),0)</f>
        <v>0</v>
      </c>
      <c r="AL27" s="72">
        <f>+IFERROR(VLOOKUP($AL$17,Sheet1!AD14:AG14,3,0),0)</f>
        <v>0</v>
      </c>
      <c r="AM27" s="72">
        <f>+IFERROR(VLOOKUP($AM$17,Sheet1!AD14:AG14,3,0),0)</f>
        <v>0</v>
      </c>
      <c r="AN27" s="72">
        <f>+IFERROR(VLOOKUP($AN$17,Sheet1!AD14:AG14,3,0),0)</f>
        <v>0</v>
      </c>
      <c r="AO27" s="72">
        <f>+IFERROR(VLOOKUP($AO$17,Sheet1!AD14:AG14,3,0),0)</f>
        <v>0</v>
      </c>
      <c r="AP27" s="72">
        <f>+IFERROR(VLOOKUP($AP$17,Sheet1!AD14:AG14,3,0),0)</f>
        <v>0</v>
      </c>
      <c r="AQ27" s="72">
        <f>+IFERROR(VLOOKUP($AQ$17,Sheet1!AD14:AG14,3,0),0)</f>
        <v>0</v>
      </c>
      <c r="AR27" s="79">
        <v>1561</v>
      </c>
      <c r="AS27" s="72">
        <f>+IFERROR(VLOOKUP($AS$17,Sheet1!AH14:AK14,3,0),0)</f>
        <v>0</v>
      </c>
      <c r="AT27" s="72">
        <f>+IFERROR(VLOOKUP($AT$17,Sheet1!AH14:AK14,3,0),0)</f>
        <v>0</v>
      </c>
      <c r="AU27" s="72">
        <f>+IFERROR(VLOOKUP($AU$17,Sheet1!AH14:AK14,3,0),0)</f>
        <v>0</v>
      </c>
      <c r="AV27" s="72">
        <f>+IFERROR(VLOOKUP($AV$17,Sheet1!AH14:AK14,3,0),0)</f>
        <v>0</v>
      </c>
      <c r="AW27" s="72">
        <f>+IFERROR(VLOOKUP($AW$17,Sheet1!AH14:AK14,3,0),0)</f>
        <v>0</v>
      </c>
      <c r="AX27" s="72">
        <f>+IFERROR(VLOOKUP($AX$17,Sheet1!AH14:AK14,3,0),0)</f>
        <v>0</v>
      </c>
      <c r="AY27" s="72">
        <f>+IFERROR(VLOOKUP($AY$17,Sheet1!AH14:AK14,3,0),0)</f>
        <v>0</v>
      </c>
      <c r="AZ27" s="72">
        <f>+IFERROR(VLOOKUP($AZ$17,Sheet1!AH14:AK14,3,0),0)</f>
        <v>0</v>
      </c>
      <c r="BA27" s="79">
        <v>7182</v>
      </c>
      <c r="BB27" s="72">
        <f>+IFERROR(VLOOKUP($BB$17,Sheet1!AH14:AK14,3,0),0)</f>
        <v>0</v>
      </c>
      <c r="BC27" s="72">
        <f>+IFERROR(VLOOKUP($BC$17,Sheet1!AL14:AO14,3,0),0)</f>
        <v>0</v>
      </c>
      <c r="BD27" s="72">
        <f>+IFERROR(VLOOKUP($BD$17,Sheet1!AL14:AO14,3,0),0)</f>
        <v>0</v>
      </c>
      <c r="BE27" s="72">
        <f>+IFERROR(VLOOKUP($BE$17,Sheet1!AL14:AO14,3,0),0)</f>
        <v>0</v>
      </c>
      <c r="BF27" s="79">
        <v>1715</v>
      </c>
      <c r="BG27" s="79">
        <v>1718</v>
      </c>
      <c r="BH27" s="72">
        <f>+IFERROR(VLOOKUP($BH$17,Sheet1!AL14:AO14,3,0),0)</f>
        <v>0</v>
      </c>
      <c r="BI27" s="72">
        <f>+IFERROR(VLOOKUP($BI$17,Sheet1!AL14:AO14,3,0),0)</f>
        <v>0</v>
      </c>
      <c r="BJ27" s="72">
        <f>+IFERROR(VLOOKUP($BJ$17,Sheet1!AL14:AO14,3,0),0)</f>
        <v>0</v>
      </c>
      <c r="BK27" s="72">
        <f>+IFERROR(VLOOKUP($BK$17,Sheet1!AL14:AO14,3,0),0)</f>
        <v>0</v>
      </c>
      <c r="BL27" s="72">
        <f>+IFERROR(VLOOKUP($BL$17,Sheet1!AL14:AO14,3,0),0)</f>
        <v>0</v>
      </c>
      <c r="BM27" s="72">
        <f>+IFERROR(VLOOKUP($BM$17,Sheet1!AP14:AS14,3,0),0)</f>
        <v>0</v>
      </c>
      <c r="BN27" s="72">
        <f>+IFERROR(VLOOKUP($BN$17,Sheet1!AT14:AW14,3,0),0)</f>
        <v>0</v>
      </c>
      <c r="BO27" s="79">
        <v>58</v>
      </c>
      <c r="BP27" s="79">
        <v>104</v>
      </c>
      <c r="BQ27" s="72">
        <f>+IFERROR(VLOOKUP($BQ$17,Sheet1!BF14:BI14,3,0),0)</f>
        <v>0</v>
      </c>
      <c r="BR27" s="72">
        <f>+IFERROR(VLOOKUP($BR$17,Sheet1!BJ14:BM14,3,0),0)</f>
        <v>0</v>
      </c>
      <c r="BS27" s="72">
        <f>+IFERROR(VLOOKUP($BS$17,Sheet1!BN14:BQ14,3,0),0)</f>
        <v>0</v>
      </c>
      <c r="BT27" s="79">
        <v>75</v>
      </c>
      <c r="BU27" s="11">
        <f>+IFERROR(VLOOKUP($BU$17,Sheet1!BV14:BY14,3,0),0)</f>
        <v>0</v>
      </c>
      <c r="BV27" s="11" t="str">
        <f>Sheet1!E14</f>
        <v>STEEL</v>
      </c>
      <c r="BW27" s="11" t="str">
        <f>Sheet1!CV14</f>
        <v>SP0400137</v>
      </c>
      <c r="BX27" s="11" t="str">
        <f>Sheet1!CW14</f>
        <v>CORRUGATED DISPATCH STEEL DRUM 2600 X 1600 X 1600 MM</v>
      </c>
      <c r="BY27" s="11">
        <f>Sheet1!CX14</f>
        <v>250</v>
      </c>
      <c r="BZ27" s="3">
        <f>Sheet1!BZ14</f>
        <v>190000</v>
      </c>
      <c r="CA27" s="3">
        <f t="shared" si="5"/>
        <v>2732321</v>
      </c>
      <c r="CB27" s="23">
        <f>Sheet1!CB14</f>
        <v>0</v>
      </c>
      <c r="CC27" s="3">
        <f t="shared" si="6"/>
        <v>0</v>
      </c>
      <c r="CD27" s="47">
        <v>0.5</v>
      </c>
      <c r="CE27" s="3">
        <f t="shared" si="7"/>
        <v>1366160.5</v>
      </c>
      <c r="CF27" s="47">
        <v>0</v>
      </c>
      <c r="CG27" s="3">
        <f t="shared" si="8"/>
        <v>0</v>
      </c>
      <c r="CH27" s="3">
        <f t="shared" si="9"/>
        <v>4098481.5</v>
      </c>
      <c r="CI27" s="47">
        <v>0.02</v>
      </c>
      <c r="CJ27" s="80">
        <f t="shared" si="10"/>
        <v>81969.63</v>
      </c>
      <c r="CK27" s="47">
        <v>0.01</v>
      </c>
      <c r="CL27" s="80">
        <f t="shared" si="11"/>
        <v>40984.815000000002</v>
      </c>
    </row>
    <row r="28" spans="1:90" ht="51" x14ac:dyDescent="0.25">
      <c r="A28" s="1" t="str">
        <f>Sheet1!A9</f>
        <v>ENQ-10773-22-23</v>
      </c>
      <c r="B28" s="51">
        <f>Sheet1!B9</f>
        <v>45135</v>
      </c>
      <c r="C28" s="1" t="str">
        <f>Sheet1!C9</f>
        <v>FA1300081</v>
      </c>
      <c r="D28" s="73" t="str">
        <f>Sheet1!D9</f>
        <v>3 CORE X 300 SQ. MM. AL/ARM - WIRE (XLPE) - 33 KV</v>
      </c>
      <c r="E28" s="74">
        <f t="shared" si="0"/>
        <v>3709171.1100000003</v>
      </c>
      <c r="F28" s="77">
        <f t="shared" si="12"/>
        <v>156000</v>
      </c>
      <c r="G28" s="75">
        <f t="shared" si="1"/>
        <v>3865171.1100000003</v>
      </c>
      <c r="H28" s="76">
        <f>Sheet1!CP9</f>
        <v>0.18</v>
      </c>
      <c r="I28" s="75">
        <f t="shared" si="2"/>
        <v>695730.79980000004</v>
      </c>
      <c r="J28" s="75">
        <f t="shared" si="3"/>
        <v>4560901.9098000005</v>
      </c>
      <c r="K28" s="73">
        <v>1.25</v>
      </c>
      <c r="L28" s="73" t="str">
        <f>Sheet1!CT9</f>
        <v>KMS</v>
      </c>
      <c r="M28" s="74">
        <f t="shared" si="4"/>
        <v>5701127.3872500006</v>
      </c>
      <c r="N28" s="41">
        <f>+IFERROR(VLOOKUP($N$17,Sheet1!J9:L9,3,0),0)</f>
        <v>2430</v>
      </c>
      <c r="O28" s="41">
        <f>+IFERROR(VLOOKUP($O$17,Sheet1!J9:L9,3,0),0)</f>
        <v>0</v>
      </c>
      <c r="P28" s="41">
        <f>+IFERROR(VLOOKUP($P$17,Sheet1!J9:M9,3,0),0)</f>
        <v>0</v>
      </c>
      <c r="Q28" s="41">
        <f>+IFERROR(VLOOKUP($Q$17,Sheet1!J9:M9,3,0),0)</f>
        <v>0</v>
      </c>
      <c r="R28" s="41">
        <f>+IFERROR(VLOOKUP($R$17,Sheet1!J9:M9,3,0),0)</f>
        <v>0</v>
      </c>
      <c r="S28" s="41">
        <f>+IFERROR(VLOOKUP($S$17,Sheet1!N9:Q9,3,0),0)</f>
        <v>0</v>
      </c>
      <c r="T28" s="41">
        <f>+IFERROR(VLOOKUP($T$17,Sheet1!N9:Q9,3,0),0)</f>
        <v>0</v>
      </c>
      <c r="U28" s="41">
        <f>+IFERROR(VLOOKUP($U$17,Sheet1!F9:I9,3,0),0)</f>
        <v>0</v>
      </c>
      <c r="V28" s="41">
        <f>+IFERROR(VLOOKUP($V$17,Sheet1!F9:I9,3,0),0)</f>
        <v>0</v>
      </c>
      <c r="W28" s="41">
        <f>+IFERROR(VLOOKUP($W$17,Sheet1!F9:I9,3,0),0)</f>
        <v>0</v>
      </c>
      <c r="X28" s="41">
        <f>+IFERROR(VLOOKUP($X$17,Sheet1!F9:I9,3,0),0)</f>
        <v>0</v>
      </c>
      <c r="Y28" s="78">
        <v>193</v>
      </c>
      <c r="Z28" s="41">
        <f>+IFERROR(VLOOKUP($Z$17,Sheet1!F9:I9,3,0),0)</f>
        <v>0</v>
      </c>
      <c r="AA28" s="41">
        <f>+IFERROR(VLOOKUP($AA$17,Sheet1!F9:I9,3,0),0)</f>
        <v>0</v>
      </c>
      <c r="AB28" s="41">
        <f>+IFERROR(VLOOKUP($AB$17,Sheet1!F9:I9,3,0),0)</f>
        <v>0</v>
      </c>
      <c r="AC28" s="78">
        <v>495</v>
      </c>
      <c r="AD28" s="72">
        <f>+IFERROR(VLOOKUP($AD$17,Sheet1!R9:U9,2,0),0)</f>
        <v>0</v>
      </c>
      <c r="AE28" s="78">
        <v>2434</v>
      </c>
      <c r="AF28" s="72">
        <f>+IFERROR(VLOOKUP($AF$17,Sheet1!V9:Y9,3,0),0)</f>
        <v>0</v>
      </c>
      <c r="AG28" s="72">
        <f>+IFERROR(VLOOKUP($AG$17,Sheet1!V9:Y9,3,0),0)</f>
        <v>0</v>
      </c>
      <c r="AH28" s="72">
        <f>+IFERROR(VLOOKUP($AH$17,Sheet1!V9:Y9,3,0),0)</f>
        <v>0</v>
      </c>
      <c r="AI28" s="72">
        <f>+IFERROR(VLOOKUP($AI$17,Sheet1!V9:Y9,3,0),0)</f>
        <v>0</v>
      </c>
      <c r="AJ28" s="72">
        <f>+IFERROR(VLOOKUP($AJ$17,Sheet1!V9:Y9,3,0),0)</f>
        <v>0</v>
      </c>
      <c r="AK28" s="72">
        <f>+IFERROR(VLOOKUP($AK$17,Sheet1!Z9:AB9,3,0),0)</f>
        <v>0</v>
      </c>
      <c r="AL28" s="72">
        <f>+IFERROR(VLOOKUP($AL$17,Sheet1!AD9:AG9,3,0),0)</f>
        <v>0</v>
      </c>
      <c r="AM28" s="72">
        <f>+IFERROR(VLOOKUP($AM$17,Sheet1!AD9:AG9,3,0),0)</f>
        <v>0</v>
      </c>
      <c r="AN28" s="72">
        <f>+IFERROR(VLOOKUP($AN$17,Sheet1!AD9:AG9,3,0),0)</f>
        <v>0</v>
      </c>
      <c r="AO28" s="72">
        <f>+IFERROR(VLOOKUP($AO$17,Sheet1!AD9:AG9,3,0),0)</f>
        <v>0</v>
      </c>
      <c r="AP28" s="72">
        <f>+IFERROR(VLOOKUP($AP$17,Sheet1!AD9:AG9,3,0),0)</f>
        <v>0</v>
      </c>
      <c r="AQ28" s="72">
        <f>+IFERROR(VLOOKUP($AQ$17,Sheet1!AD9:AG9,3,0),0)</f>
        <v>0</v>
      </c>
      <c r="AR28" s="79">
        <v>1382</v>
      </c>
      <c r="AS28" s="72">
        <f>+IFERROR(VLOOKUP($AS$17,Sheet1!AH9:AK9,3,0),0)</f>
        <v>0</v>
      </c>
      <c r="AT28" s="72">
        <f>+IFERROR(VLOOKUP($AT$17,Sheet1!AH9:AK9,3,0),0)</f>
        <v>0</v>
      </c>
      <c r="AU28" s="72">
        <f>+IFERROR(VLOOKUP($AU$17,Sheet1!AH9:AK9,3,0),0)</f>
        <v>0</v>
      </c>
      <c r="AV28" s="72">
        <f>+IFERROR(VLOOKUP($AV$17,Sheet1!AH9:AK9,3,0),0)</f>
        <v>0</v>
      </c>
      <c r="AW28" s="72">
        <f>+IFERROR(VLOOKUP($AW$17,Sheet1!AH9:AK9,3,0),0)</f>
        <v>0</v>
      </c>
      <c r="AX28" s="72">
        <f>+IFERROR(VLOOKUP($AX$17,Sheet1!AH9:AK9,3,0),0)</f>
        <v>0</v>
      </c>
      <c r="AY28" s="72">
        <f>+IFERROR(VLOOKUP($AY$17,Sheet1!AH9:AK9,3,0),0)</f>
        <v>0</v>
      </c>
      <c r="AZ28" s="72">
        <f>+IFERROR(VLOOKUP($AZ$17,Sheet1!AH9:AK9,3,0),0)</f>
        <v>0</v>
      </c>
      <c r="BA28" s="79">
        <v>6668</v>
      </c>
      <c r="BB28" s="72">
        <f>+IFERROR(VLOOKUP($BB$17,Sheet1!AH9:AK9,3,0),0)</f>
        <v>0</v>
      </c>
      <c r="BC28" s="72">
        <f>+IFERROR(VLOOKUP($BC$17,Sheet1!AL9:AO9,3,0),0)</f>
        <v>0</v>
      </c>
      <c r="BD28" s="72">
        <f>+IFERROR(VLOOKUP($BD$17,Sheet1!AL9:AO9,3,0),0)</f>
        <v>0</v>
      </c>
      <c r="BE28" s="72">
        <f>+IFERROR(VLOOKUP($BE$17,Sheet1!AL9:AO9,3,0),0)</f>
        <v>0</v>
      </c>
      <c r="BF28" s="79">
        <v>1613</v>
      </c>
      <c r="BG28" s="79">
        <v>1497</v>
      </c>
      <c r="BH28" s="72">
        <f>+IFERROR(VLOOKUP($BH$17,Sheet1!AL9:AO9,3,0),0)</f>
        <v>0</v>
      </c>
      <c r="BI28" s="72">
        <f>+IFERROR(VLOOKUP($BI$17,Sheet1!AL9:AO9,3,0),0)</f>
        <v>0</v>
      </c>
      <c r="BJ28" s="72">
        <f>+IFERROR(VLOOKUP($BJ$17,Sheet1!AL9:AO9,3,0),0)</f>
        <v>0</v>
      </c>
      <c r="BK28" s="72">
        <f>+IFERROR(VLOOKUP($BK$17,Sheet1!AL9:AO9,3,0),0)</f>
        <v>0</v>
      </c>
      <c r="BL28" s="72">
        <f>+IFERROR(VLOOKUP($BL$17,Sheet1!AL9:AO9,3,0),0)</f>
        <v>0</v>
      </c>
      <c r="BM28" s="72">
        <f>+IFERROR(VLOOKUP($BM$17,Sheet1!AP9:AS9,3,0),0)</f>
        <v>0</v>
      </c>
      <c r="BN28" s="72">
        <f>+IFERROR(VLOOKUP($BN$17,Sheet1!AT9:AW9,3,0),0)</f>
        <v>0</v>
      </c>
      <c r="BO28" s="79">
        <v>38</v>
      </c>
      <c r="BP28" s="79">
        <v>93</v>
      </c>
      <c r="BQ28" s="72">
        <f>+IFERROR(VLOOKUP($BQ$17,Sheet1!BF9:BI9,3,0),0)</f>
        <v>0</v>
      </c>
      <c r="BR28" s="72">
        <f>+IFERROR(VLOOKUP($BR$17,Sheet1!BJ9:BM9,3,0),0)</f>
        <v>0</v>
      </c>
      <c r="BS28" s="72">
        <f>+IFERROR(VLOOKUP($BS$17,Sheet1!BN9:BQ9,3,0),0)</f>
        <v>0</v>
      </c>
      <c r="BT28" s="79">
        <v>71</v>
      </c>
      <c r="BU28" s="11">
        <f>+IFERROR(VLOOKUP($BU$17,Sheet1!BV9:BY9,3,0),0)</f>
        <v>0</v>
      </c>
      <c r="BV28" s="11" t="str">
        <f>Sheet1!E9</f>
        <v>STEEL</v>
      </c>
      <c r="BW28" s="11" t="str">
        <f>Sheet1!CV9</f>
        <v>SP0400137</v>
      </c>
      <c r="BX28" s="11" t="str">
        <f>Sheet1!CW9</f>
        <v>CORRUGATED DISPATCH STEEL DRUM 2600 X 1600 X 1600</v>
      </c>
      <c r="BY28" s="11">
        <f>Sheet1!CX9</f>
        <v>250</v>
      </c>
      <c r="BZ28" s="3">
        <f>Sheet1!BZ9</f>
        <v>190000</v>
      </c>
      <c r="CA28" s="3">
        <f t="shared" si="5"/>
        <v>2400758</v>
      </c>
      <c r="CB28" s="23">
        <f>Sheet1!CB9</f>
        <v>0</v>
      </c>
      <c r="CC28" s="3">
        <f t="shared" si="6"/>
        <v>0</v>
      </c>
      <c r="CD28" s="47">
        <v>0.5</v>
      </c>
      <c r="CE28" s="3">
        <f t="shared" si="7"/>
        <v>1200379</v>
      </c>
      <c r="CF28" s="47">
        <v>0</v>
      </c>
      <c r="CG28" s="3">
        <f t="shared" si="8"/>
        <v>0</v>
      </c>
      <c r="CH28" s="3">
        <f t="shared" si="9"/>
        <v>3601137</v>
      </c>
      <c r="CI28" s="47">
        <v>0.02</v>
      </c>
      <c r="CJ28" s="80">
        <f t="shared" si="10"/>
        <v>72022.740000000005</v>
      </c>
      <c r="CK28" s="47">
        <v>0.01</v>
      </c>
      <c r="CL28" s="80">
        <f t="shared" si="11"/>
        <v>36011.370000000003</v>
      </c>
    </row>
    <row r="29" spans="1:90" ht="51" x14ac:dyDescent="0.25">
      <c r="A29" s="1" t="str">
        <f>Sheet1!A2</f>
        <v>ENQ-10773-22-23</v>
      </c>
      <c r="B29" s="51">
        <f>Sheet1!B2</f>
        <v>45135</v>
      </c>
      <c r="C29" s="1" t="str">
        <f>Sheet1!C2</f>
        <v>FA1300200</v>
      </c>
      <c r="D29" s="73" t="str">
        <f>Sheet1!D2</f>
        <v>3 CORE X 95 SQ. MM. AL/ARM  WIRE (XLPE) - 33 KV</v>
      </c>
      <c r="E29" s="74">
        <f t="shared" si="0"/>
        <v>2262621.6</v>
      </c>
      <c r="F29" s="77">
        <f t="shared" si="12"/>
        <v>130000</v>
      </c>
      <c r="G29" s="75">
        <f t="shared" si="1"/>
        <v>2392621.6</v>
      </c>
      <c r="H29" s="76">
        <f>Sheet1!CP2</f>
        <v>0.18</v>
      </c>
      <c r="I29" s="75">
        <f t="shared" si="2"/>
        <v>430671.88799999998</v>
      </c>
      <c r="J29" s="75">
        <f t="shared" si="3"/>
        <v>2823293.4879999999</v>
      </c>
      <c r="K29" s="73">
        <v>0.5</v>
      </c>
      <c r="L29" s="73" t="str">
        <f>Sheet1!CT2</f>
        <v>KMS</v>
      </c>
      <c r="M29" s="74">
        <f t="shared" si="4"/>
        <v>1411646.7439999999</v>
      </c>
      <c r="N29" s="41">
        <f>+IFERROR(VLOOKUP($N$17,Sheet1!J2:L2,3,0),0)</f>
        <v>769.5</v>
      </c>
      <c r="O29" s="41">
        <f>+IFERROR(VLOOKUP($O$17,Sheet1!J2:L2,3,0),0)</f>
        <v>0</v>
      </c>
      <c r="P29" s="41">
        <f>+IFERROR(VLOOKUP($P$17,Sheet1!J2:M2,3,0),0)</f>
        <v>0</v>
      </c>
      <c r="Q29" s="41">
        <f>+IFERROR(VLOOKUP($Q$17,Sheet1!J2:M2,3,0),0)</f>
        <v>0</v>
      </c>
      <c r="R29" s="41">
        <f>+IFERROR(VLOOKUP($R$17,Sheet1!J2:M2,3,0),0)</f>
        <v>0</v>
      </c>
      <c r="S29" s="41">
        <f>+IFERROR(VLOOKUP($S$17,Sheet1!N2:Q2,3,0),0)</f>
        <v>0</v>
      </c>
      <c r="T29" s="41">
        <f>+IFERROR(VLOOKUP($T$17,Sheet1!N2:Q2,3,0),0)</f>
        <v>0</v>
      </c>
      <c r="U29" s="41">
        <f>+IFERROR(VLOOKUP($U$17,Sheet1!F2:I2,3,0),0)</f>
        <v>0</v>
      </c>
      <c r="V29" s="41">
        <f>+IFERROR(VLOOKUP($V$17,Sheet1!F2:I2,3,0),0)</f>
        <v>0</v>
      </c>
      <c r="W29" s="41">
        <f>+IFERROR(VLOOKUP($W$17,Sheet1!F2:I2,3,0),0)</f>
        <v>0</v>
      </c>
      <c r="X29" s="41">
        <f>+IFERROR(VLOOKUP($X$17,Sheet1!F2:I2,3,0),0)</f>
        <v>0</v>
      </c>
      <c r="Y29" s="78">
        <v>151</v>
      </c>
      <c r="Z29" s="41">
        <f>+IFERROR(VLOOKUP($Z$17,Sheet1!F2:I2,3,0),0)</f>
        <v>0</v>
      </c>
      <c r="AA29" s="41">
        <f>+IFERROR(VLOOKUP($AA$17,Sheet1!F2:I2,3,0),0)</f>
        <v>0</v>
      </c>
      <c r="AB29" s="41">
        <f>+IFERROR(VLOOKUP($AB$17,Sheet1!F2:I2,3,0),0)</f>
        <v>0</v>
      </c>
      <c r="AC29" s="78">
        <v>345</v>
      </c>
      <c r="AD29" s="72">
        <f>+IFERROR(VLOOKUP($AD$17,Sheet1!R2:U2,2,0),0)</f>
        <v>0</v>
      </c>
      <c r="AE29" s="78">
        <v>1725</v>
      </c>
      <c r="AF29" s="72">
        <f>+IFERROR(VLOOKUP($AF$17,Sheet1!V2:Y2,3,0),0)</f>
        <v>0</v>
      </c>
      <c r="AG29" s="72">
        <f>+IFERROR(VLOOKUP($AG$17,Sheet1!V2:Y2,3,0),0)</f>
        <v>0</v>
      </c>
      <c r="AH29" s="72">
        <f>+IFERROR(VLOOKUP($AH$17,Sheet1!V2:Y2,3,0),0)</f>
        <v>0</v>
      </c>
      <c r="AI29" s="72">
        <f>+IFERROR(VLOOKUP($AI$17,Sheet1!V2:Y2,3,0),0)</f>
        <v>0</v>
      </c>
      <c r="AJ29" s="72">
        <f>+IFERROR(VLOOKUP($AJ$17,Sheet1!V2:Y2,3,0),0)</f>
        <v>0</v>
      </c>
      <c r="AK29" s="72">
        <f>+IFERROR(VLOOKUP($AK$17,Sheet1!Z2:AB2,3,0),0)</f>
        <v>0</v>
      </c>
      <c r="AL29" s="72">
        <f>+IFERROR(VLOOKUP($AL$17,Sheet1!AD2:AG2,3,0),0)</f>
        <v>0</v>
      </c>
      <c r="AM29" s="72">
        <f>+IFERROR(VLOOKUP($AM$17,Sheet1!AD2:AG2,3,0),0)</f>
        <v>0</v>
      </c>
      <c r="AN29" s="72">
        <f>+IFERROR(VLOOKUP($AN$17,Sheet1!AD2:AG2,3,0),0)</f>
        <v>0</v>
      </c>
      <c r="AO29" s="72">
        <f>+IFERROR(VLOOKUP($AO$17,Sheet1!AD2:AG2,3,0),0)</f>
        <v>0</v>
      </c>
      <c r="AP29" s="72">
        <f>+IFERROR(VLOOKUP($AP$17,Sheet1!AD2:AG2,3,0),0)</f>
        <v>0</v>
      </c>
      <c r="AQ29" s="72">
        <f>+IFERROR(VLOOKUP($AQ$17,Sheet1!AD2:AG2,3,0),0)</f>
        <v>0</v>
      </c>
      <c r="AR29" s="79">
        <v>914</v>
      </c>
      <c r="AS29" s="72">
        <f>+IFERROR(VLOOKUP($AS$17,Sheet1!AH2:AK2,3,0),0)</f>
        <v>0</v>
      </c>
      <c r="AT29" s="72">
        <f>+IFERROR(VLOOKUP($AT$17,Sheet1!AH2:AK2,3,0),0)</f>
        <v>0</v>
      </c>
      <c r="AU29" s="72">
        <f>+IFERROR(VLOOKUP($AU$17,Sheet1!AH2:AK2,3,0),0)</f>
        <v>0</v>
      </c>
      <c r="AV29" s="72">
        <f>+IFERROR(VLOOKUP($AV$17,Sheet1!AH2:AK2,3,0),0)</f>
        <v>0</v>
      </c>
      <c r="AW29" s="72">
        <f>+IFERROR(VLOOKUP($AW$17,Sheet1!AH2:AK2,3,0),0)</f>
        <v>0</v>
      </c>
      <c r="AX29" s="72">
        <f>+IFERROR(VLOOKUP($AX$17,Sheet1!AH2:AK2,3,0),0)</f>
        <v>0</v>
      </c>
      <c r="AY29" s="72">
        <f>+IFERROR(VLOOKUP($AY$17,Sheet1!AH2:AK2,3,0),0)</f>
        <v>0</v>
      </c>
      <c r="AZ29" s="72">
        <f>+IFERROR(VLOOKUP($AZ$17,Sheet1!AH2:AK2,3,0),0)</f>
        <v>0</v>
      </c>
      <c r="BA29" s="79">
        <v>4135</v>
      </c>
      <c r="BB29" s="72">
        <f>+IFERROR(VLOOKUP($BB$17,Sheet1!AH2:AK2,3,0),0)</f>
        <v>0</v>
      </c>
      <c r="BC29" s="72">
        <f>+IFERROR(VLOOKUP($BC$17,Sheet1!AL2:AO2,3,0),0)</f>
        <v>0</v>
      </c>
      <c r="BD29" s="72">
        <f>+IFERROR(VLOOKUP($BD$17,Sheet1!AL2:AO2,3,0),0)</f>
        <v>0</v>
      </c>
      <c r="BE29" s="72">
        <f>+IFERROR(VLOOKUP($BE$17,Sheet1!AL2:AO2,3,0),0)</f>
        <v>0</v>
      </c>
      <c r="BF29" s="79">
        <v>1282</v>
      </c>
      <c r="BG29" s="79">
        <v>917</v>
      </c>
      <c r="BH29" s="72">
        <f>+IFERROR(VLOOKUP($BH$17,Sheet1!AL2:AO2,3,0),0)</f>
        <v>0</v>
      </c>
      <c r="BI29" s="72">
        <f>+IFERROR(VLOOKUP($BI$17,Sheet1!AL2:AO2,3,0),0)</f>
        <v>0</v>
      </c>
      <c r="BJ29" s="72">
        <f>+IFERROR(VLOOKUP($BJ$17,Sheet1!AL2:AO2,3,0),0)</f>
        <v>0</v>
      </c>
      <c r="BK29" s="72">
        <f>+IFERROR(VLOOKUP($BK$17,Sheet1!AL2:AO2,3,0),0)</f>
        <v>0</v>
      </c>
      <c r="BL29" s="72">
        <f>+IFERROR(VLOOKUP($BL$17,Sheet1!AL2:AO2,3,0),0)</f>
        <v>0</v>
      </c>
      <c r="BM29" s="72">
        <f>+IFERROR(VLOOKUP($BM$17,Sheet1!AP2:AS2,3,0),0)</f>
        <v>0</v>
      </c>
      <c r="BN29" s="72">
        <f>+IFERROR(VLOOKUP($BN$17,Sheet1!AT2:AW2,3,0),0)</f>
        <v>0</v>
      </c>
      <c r="BO29" s="79">
        <v>15</v>
      </c>
      <c r="BP29" s="79">
        <v>66</v>
      </c>
      <c r="BQ29" s="72">
        <f>+IFERROR(VLOOKUP($BQ$17,Sheet1!BF2:BI2,3,0),0)</f>
        <v>0</v>
      </c>
      <c r="BR29" s="72">
        <f>+IFERROR(VLOOKUP($BR$17,Sheet1!BJ2:BM2,3,0),0)</f>
        <v>0</v>
      </c>
      <c r="BS29" s="72">
        <f>+IFERROR(VLOOKUP($BS$17,Sheet1!BN2:BQ2,3,0),0)</f>
        <v>0</v>
      </c>
      <c r="BT29" s="79">
        <v>56</v>
      </c>
      <c r="BU29" s="11">
        <f>+IFERROR(VLOOKUP($BU$17,Sheet1!BV2:BY2,3,0),0)</f>
        <v>0</v>
      </c>
      <c r="BV29" s="11" t="str">
        <f>Sheet1!E2</f>
        <v>STEEL</v>
      </c>
      <c r="BW29" s="11" t="str">
        <f>Sheet1!CV2</f>
        <v>SP0400136</v>
      </c>
      <c r="BX29" s="11" t="str">
        <f>Sheet1!CW2</f>
        <v>CORRUGATED DISPATCH STEEL DRUM 2200 X 1300 X 1200 MM</v>
      </c>
      <c r="BY29" s="11">
        <f>Sheet1!CX2</f>
        <v>250</v>
      </c>
      <c r="BZ29" s="3">
        <f>Sheet1!BZ2</f>
        <v>147200</v>
      </c>
      <c r="CA29" s="3">
        <f t="shared" si="5"/>
        <v>1464480</v>
      </c>
      <c r="CB29" s="23">
        <f>Sheet1!CB2</f>
        <v>0</v>
      </c>
      <c r="CC29" s="3">
        <f t="shared" si="6"/>
        <v>0</v>
      </c>
      <c r="CD29" s="47">
        <v>0.5</v>
      </c>
      <c r="CE29" s="3">
        <f t="shared" si="7"/>
        <v>732240</v>
      </c>
      <c r="CF29" s="47">
        <v>0</v>
      </c>
      <c r="CG29" s="3">
        <f t="shared" si="8"/>
        <v>0</v>
      </c>
      <c r="CH29" s="3">
        <f t="shared" si="9"/>
        <v>2196720</v>
      </c>
      <c r="CI29" s="47">
        <v>0.02</v>
      </c>
      <c r="CJ29" s="80">
        <f t="shared" si="10"/>
        <v>43934.400000000001</v>
      </c>
      <c r="CK29" s="47">
        <v>0.01</v>
      </c>
      <c r="CL29" s="80">
        <f t="shared" si="11"/>
        <v>21967.200000000001</v>
      </c>
    </row>
    <row r="30" spans="1:90" ht="51" x14ac:dyDescent="0.25">
      <c r="A30" s="1" t="str">
        <f>Sheet1!A12</f>
        <v>ENQ-10773-22-23</v>
      </c>
      <c r="B30" s="51">
        <f>Sheet1!B12</f>
        <v>45135</v>
      </c>
      <c r="C30" s="1" t="str">
        <f>Sheet1!C12</f>
        <v>FA1300027</v>
      </c>
      <c r="D30" s="73" t="str">
        <f>Sheet1!D12</f>
        <v>1 CORE X 630 SQ. MM. AL/ARM (XLPE)  - 33 KV</v>
      </c>
      <c r="E30" s="74">
        <f t="shared" si="0"/>
        <v>1563059.5049999999</v>
      </c>
      <c r="F30" s="77">
        <f t="shared" si="12"/>
        <v>33485</v>
      </c>
      <c r="G30" s="75">
        <f t="shared" si="1"/>
        <v>1596544.5049999999</v>
      </c>
      <c r="H30" s="76">
        <f>Sheet1!CP12</f>
        <v>0.18</v>
      </c>
      <c r="I30" s="75">
        <f t="shared" si="2"/>
        <v>287378.01089999999</v>
      </c>
      <c r="J30" s="75">
        <f t="shared" si="3"/>
        <v>1883922.5159</v>
      </c>
      <c r="K30" s="73">
        <v>33</v>
      </c>
      <c r="L30" s="73" t="str">
        <f>Sheet1!CT12</f>
        <v>KMS</v>
      </c>
      <c r="M30" s="74">
        <f t="shared" si="4"/>
        <v>62169443.024700001</v>
      </c>
      <c r="N30" s="78">
        <f>+IFERROR(VLOOKUP($N$17,Sheet1!J12:L12,3,0),0)</f>
        <v>1701</v>
      </c>
      <c r="O30" s="41">
        <f>+IFERROR(VLOOKUP($O$17,Sheet1!J12:L12,3,0),0)</f>
        <v>0</v>
      </c>
      <c r="P30" s="41">
        <f>+IFERROR(VLOOKUP($P$17,Sheet1!J12:M12,3,0),0)</f>
        <v>0</v>
      </c>
      <c r="Q30" s="41">
        <f>+IFERROR(VLOOKUP($Q$17,Sheet1!J12:M12,3,0),0)</f>
        <v>0</v>
      </c>
      <c r="R30" s="41">
        <f>+IFERROR(VLOOKUP($R$17,Sheet1!J12:M12,3,0),0)</f>
        <v>0</v>
      </c>
      <c r="S30" s="41">
        <f>+IFERROR(VLOOKUP($S$17,Sheet1!N12:Q12,3,0),0)</f>
        <v>0</v>
      </c>
      <c r="T30" s="41">
        <f>+IFERROR(VLOOKUP($T$17,Sheet1!N12:Q12,3,0),0)</f>
        <v>0</v>
      </c>
      <c r="U30" s="41">
        <f>+IFERROR(VLOOKUP($U$17,Sheet1!F12:I12,3,0),0)</f>
        <v>0</v>
      </c>
      <c r="V30" s="41">
        <f>+IFERROR(VLOOKUP($V$17,Sheet1!F12:I12,3,0),0)</f>
        <v>0</v>
      </c>
      <c r="W30" s="41">
        <f>+IFERROR(VLOOKUP($W$17,Sheet1!F12:I12,3,0),0)</f>
        <v>0</v>
      </c>
      <c r="X30" s="41">
        <f>+IFERROR(VLOOKUP($X$17,Sheet1!F12:I12,3,0),0)</f>
        <v>0</v>
      </c>
      <c r="Y30" s="78">
        <v>79</v>
      </c>
      <c r="Z30" s="41">
        <f>+IFERROR(VLOOKUP($Z$17,Sheet1!F12:I12,3,0),0)</f>
        <v>0</v>
      </c>
      <c r="AA30" s="41">
        <f>+IFERROR(VLOOKUP($AA$17,Sheet1!F12:I12,3,0),0)</f>
        <v>0</v>
      </c>
      <c r="AB30" s="41">
        <f>+IFERROR(VLOOKUP($AB$17,Sheet1!F12:I12,3,0),0)</f>
        <v>0</v>
      </c>
      <c r="AC30" s="78">
        <v>218</v>
      </c>
      <c r="AD30" s="72">
        <f>+IFERROR(VLOOKUP($AD$17,Sheet1!R12:U12,2,0),0)</f>
        <v>0</v>
      </c>
      <c r="AE30" s="78">
        <v>1055</v>
      </c>
      <c r="AF30" s="72">
        <f>+IFERROR(VLOOKUP($AF$17,Sheet1!V12:Y12,3,0),0)</f>
        <v>0</v>
      </c>
      <c r="AG30" s="72">
        <f>+IFERROR(VLOOKUP($AG$17,Sheet1!V12:Y12,3,0),0)</f>
        <v>0</v>
      </c>
      <c r="AH30" s="72">
        <f>+IFERROR(VLOOKUP($AH$17,Sheet1!V12:Y12,3,0),0)</f>
        <v>0</v>
      </c>
      <c r="AI30" s="72">
        <f>+IFERROR(VLOOKUP($AI$17,Sheet1!V12:Y12,3,0),0)</f>
        <v>0</v>
      </c>
      <c r="AJ30" s="72">
        <f>+IFERROR(VLOOKUP($AJ$17,Sheet1!V12:Y12,3,0),0)</f>
        <v>0</v>
      </c>
      <c r="AK30" s="79">
        <v>18</v>
      </c>
      <c r="AL30" s="72">
        <f>+IFERROR(VLOOKUP($AL$17,Sheet1!AD12:AG12,3,0),0)</f>
        <v>0</v>
      </c>
      <c r="AM30" s="72">
        <f>+IFERROR(VLOOKUP($AM$17,Sheet1!AD12:AG12,3,0),0)</f>
        <v>0</v>
      </c>
      <c r="AN30" s="72">
        <f>+IFERROR(VLOOKUP($AN$17,Sheet1!AD12:AG12,3,0),0)</f>
        <v>0</v>
      </c>
      <c r="AO30" s="72">
        <f>+IFERROR(VLOOKUP($AO$17,Sheet1!AD12:AG12,3,0),0)</f>
        <v>0</v>
      </c>
      <c r="AP30" s="72">
        <f>+IFERROR(VLOOKUP($AP$17,Sheet1!AD12:AG12,3,0),0)</f>
        <v>0</v>
      </c>
      <c r="AQ30" s="79">
        <v>200</v>
      </c>
      <c r="AR30" s="72">
        <f>+IFERROR(VLOOKUP($AR$17,Sheet1!AD12:AG12,3,0),0)</f>
        <v>0</v>
      </c>
      <c r="AS30" s="72">
        <f>+IFERROR(VLOOKUP($AS$17,Sheet1!AH12:AK12,3,0),0)</f>
        <v>0</v>
      </c>
      <c r="AT30" s="72">
        <f>+IFERROR(VLOOKUP($AT$17,Sheet1!AH12:AK12,3,0),0)</f>
        <v>0</v>
      </c>
      <c r="AU30" s="72">
        <f>+IFERROR(VLOOKUP($AU$17,Sheet1!AH12:AK12,3,0),0)</f>
        <v>0</v>
      </c>
      <c r="AV30" s="79">
        <v>828</v>
      </c>
      <c r="AW30" s="72">
        <f>+IFERROR(VLOOKUP($AW$17,Sheet1!AH12:AK12,3,0),0)</f>
        <v>0</v>
      </c>
      <c r="AX30" s="72">
        <f>+IFERROR(VLOOKUP($AX$17,Sheet1!AH12:AK12,3,0),0)</f>
        <v>0</v>
      </c>
      <c r="AY30" s="72">
        <f>+IFERROR(VLOOKUP($AY$17,Sheet1!AH12:AK12,3,0),0)</f>
        <v>0</v>
      </c>
      <c r="AZ30" s="72">
        <f>+IFERROR(VLOOKUP($AZ$17,Sheet1!AH12:AK12,3,0),0)</f>
        <v>0</v>
      </c>
      <c r="BA30" s="72">
        <f>+IFERROR(VLOOKUP($BA$17,Sheet1!AH12:AK12,3,0),0)</f>
        <v>0</v>
      </c>
      <c r="BB30" s="72">
        <f>+IFERROR(VLOOKUP($BB$17,Sheet1!AH12:AK12,3,0),0)</f>
        <v>0</v>
      </c>
      <c r="BC30" s="72">
        <f>+IFERROR(VLOOKUP($BC$17,Sheet1!AL12:AO12,3,0),0)</f>
        <v>0</v>
      </c>
      <c r="BD30" s="72">
        <f>+IFERROR(VLOOKUP($BD$17,Sheet1!AL12:AO12,3,0),0)</f>
        <v>0</v>
      </c>
      <c r="BE30" s="72">
        <f>+IFERROR(VLOOKUP($BE$17,Sheet1!AL12:AO12,3,0),0)</f>
        <v>0</v>
      </c>
      <c r="BF30" s="79">
        <v>760</v>
      </c>
      <c r="BG30" s="72">
        <f>+IFERROR(VLOOKUP($BG$17,Sheet1!AL12:AO12,3,0),0)</f>
        <v>0</v>
      </c>
      <c r="BH30" s="72">
        <f>+IFERROR(VLOOKUP($BH$17,Sheet1!AL12:AO12,3,0),0)</f>
        <v>0</v>
      </c>
      <c r="BI30" s="72">
        <f>+IFERROR(VLOOKUP($BI$17,Sheet1!AL12:AO12,3,0),0)</f>
        <v>0</v>
      </c>
      <c r="BJ30" s="72">
        <f>+IFERROR(VLOOKUP($BJ$17,Sheet1!AL12:AO12,3,0),0)</f>
        <v>0</v>
      </c>
      <c r="BK30" s="72">
        <f>+IFERROR(VLOOKUP($BK$17,Sheet1!AL12:AO12,3,0),0)</f>
        <v>0</v>
      </c>
      <c r="BL30" s="72">
        <f>+IFERROR(VLOOKUP($BL$17,Sheet1!AL12:AO12,3,0),0)</f>
        <v>0</v>
      </c>
      <c r="BM30" s="72">
        <f>+IFERROR(VLOOKUP($BM$17,Sheet1!AP12:AS12,3,0),0)</f>
        <v>0</v>
      </c>
      <c r="BN30" s="72">
        <f>+IFERROR(VLOOKUP($BN$17,Sheet1!AT12:AW12,3,0),0)</f>
        <v>0</v>
      </c>
      <c r="BO30" s="79">
        <v>26</v>
      </c>
      <c r="BP30" s="79">
        <v>41</v>
      </c>
      <c r="BQ30" s="72">
        <f>+IFERROR(VLOOKUP($BQ$17,Sheet1!BF12:BI12,3,0),0)</f>
        <v>0</v>
      </c>
      <c r="BR30" s="72">
        <f>+IFERROR(VLOOKUP($BR$17,Sheet1!BJ12:BM12,3,0),0)</f>
        <v>0</v>
      </c>
      <c r="BS30" s="72">
        <f>+IFERROR(VLOOKUP($BS$17,Sheet1!BN12:BQ12,3,0),0)</f>
        <v>0</v>
      </c>
      <c r="BT30" s="79">
        <v>42</v>
      </c>
      <c r="BU30" s="11">
        <f>+IFERROR(VLOOKUP($BU$17,Sheet1!BV12:BY12,3,0),0)</f>
        <v>0</v>
      </c>
      <c r="BV30" s="11" t="str">
        <f>Sheet1!E12</f>
        <v>STEEL</v>
      </c>
      <c r="BW30" s="11" t="str">
        <f>Sheet1!CV12</f>
        <v>SP0400123</v>
      </c>
      <c r="BX30" s="11" t="str">
        <f>Sheet1!CW12</f>
        <v>CORRUGATED DISPATCH STEEL DRUM 2000 X 1000 X 1200 MM</v>
      </c>
      <c r="BY30" s="11">
        <f>Sheet1!CX12</f>
        <v>500</v>
      </c>
      <c r="BZ30" s="3">
        <f>Sheet1!BZ12</f>
        <v>53200</v>
      </c>
      <c r="CA30" s="3">
        <f t="shared" si="5"/>
        <v>1011689</v>
      </c>
      <c r="CB30" s="23">
        <f>Sheet1!CB12</f>
        <v>0</v>
      </c>
      <c r="CC30" s="3">
        <f t="shared" si="6"/>
        <v>0</v>
      </c>
      <c r="CD30" s="47">
        <v>0.5</v>
      </c>
      <c r="CE30" s="3">
        <f t="shared" si="7"/>
        <v>505844.5</v>
      </c>
      <c r="CF30" s="47">
        <v>0</v>
      </c>
      <c r="CG30" s="3">
        <f t="shared" si="8"/>
        <v>0</v>
      </c>
      <c r="CH30" s="3">
        <f t="shared" si="9"/>
        <v>1517533.5</v>
      </c>
      <c r="CI30" s="47">
        <v>0.02</v>
      </c>
      <c r="CJ30" s="80">
        <f t="shared" si="10"/>
        <v>30350.670000000002</v>
      </c>
      <c r="CK30" s="47">
        <v>0.01</v>
      </c>
      <c r="CL30" s="80">
        <f t="shared" si="11"/>
        <v>15175.335000000001</v>
      </c>
    </row>
    <row r="31" spans="1:90" ht="51" x14ac:dyDescent="0.25">
      <c r="A31" s="1" t="str">
        <f>Sheet1!A10</f>
        <v>ENQ-10773-22-23</v>
      </c>
      <c r="B31" s="51">
        <f>Sheet1!B10</f>
        <v>45135</v>
      </c>
      <c r="C31" s="1" t="str">
        <f>Sheet1!C10</f>
        <v>FA1300018</v>
      </c>
      <c r="D31" s="73" t="str">
        <f>Sheet1!D10</f>
        <v>1 CORE X 400 SQ. MM. AL/ARM (XLPE) - 33 KV</v>
      </c>
      <c r="E31" s="74">
        <f t="shared" si="0"/>
        <v>1212522.1800000002</v>
      </c>
      <c r="F31" s="77">
        <f t="shared" si="12"/>
        <v>26000</v>
      </c>
      <c r="G31" s="75">
        <f t="shared" si="1"/>
        <v>1238522.1800000002</v>
      </c>
      <c r="H31" s="76">
        <f>Sheet1!CP10</f>
        <v>0.18</v>
      </c>
      <c r="I31" s="75">
        <f t="shared" si="2"/>
        <v>222933.99240000002</v>
      </c>
      <c r="J31" s="75">
        <f t="shared" si="3"/>
        <v>1461456.1724000003</v>
      </c>
      <c r="K31" s="73">
        <v>12.5</v>
      </c>
      <c r="L31" s="73" t="str">
        <f>Sheet1!CT10</f>
        <v>KMS</v>
      </c>
      <c r="M31" s="74">
        <f t="shared" si="4"/>
        <v>18268202.155000005</v>
      </c>
      <c r="N31" s="78">
        <v>1081</v>
      </c>
      <c r="O31" s="41">
        <f>+IFERROR(VLOOKUP($O$17,Sheet1!J10:L10,3,0),0)</f>
        <v>0</v>
      </c>
      <c r="P31" s="41">
        <f>+IFERROR(VLOOKUP($P$17,Sheet1!J10:M10,3,0),0)</f>
        <v>0</v>
      </c>
      <c r="Q31" s="41">
        <f>+IFERROR(VLOOKUP($Q$17,Sheet1!J10:M10,3,0),0)</f>
        <v>0</v>
      </c>
      <c r="R31" s="41">
        <f>+IFERROR(VLOOKUP($R$17,Sheet1!J10:M10,3,0),0)</f>
        <v>0</v>
      </c>
      <c r="S31" s="41">
        <f>+IFERROR(VLOOKUP($S$17,Sheet1!N10:Q10,3,0),0)</f>
        <v>0</v>
      </c>
      <c r="T31" s="41">
        <f>+IFERROR(VLOOKUP($T$17,Sheet1!N10:Q10,3,0),0)</f>
        <v>0</v>
      </c>
      <c r="U31" s="41">
        <f>+IFERROR(VLOOKUP($U$17,Sheet1!F10:I10,3,0),0)</f>
        <v>0</v>
      </c>
      <c r="V31" s="41">
        <f>+IFERROR(VLOOKUP($V$17,Sheet1!F10:I10,3,0),0)</f>
        <v>0</v>
      </c>
      <c r="W31" s="41">
        <f>+IFERROR(VLOOKUP($W$17,Sheet1!F10:I10,3,0),0)</f>
        <v>0</v>
      </c>
      <c r="X31" s="41">
        <f>+IFERROR(VLOOKUP($X$17,Sheet1!F10:I10,3,0),0)</f>
        <v>0</v>
      </c>
      <c r="Y31" s="78">
        <v>70</v>
      </c>
      <c r="Z31" s="41">
        <f>+IFERROR(VLOOKUP($Z$17,Sheet1!F10:I10,3,0),0)</f>
        <v>0</v>
      </c>
      <c r="AA31" s="41">
        <f>+IFERROR(VLOOKUP($AA$17,Sheet1!F10:I10,3,0),0)</f>
        <v>0</v>
      </c>
      <c r="AB31" s="41">
        <f>+IFERROR(VLOOKUP($AB$17,Sheet1!F10:I10,3,0),0)</f>
        <v>0</v>
      </c>
      <c r="AC31" s="78">
        <v>171</v>
      </c>
      <c r="AD31" s="72">
        <f>+IFERROR(VLOOKUP($AD$17,Sheet1!R10:U10,2,0),0)</f>
        <v>0</v>
      </c>
      <c r="AE31" s="78">
        <v>885</v>
      </c>
      <c r="AF31" s="72">
        <f>+IFERROR(VLOOKUP($AF$17,Sheet1!V10:Y10,3,0),0)</f>
        <v>0</v>
      </c>
      <c r="AG31" s="72">
        <f>+IFERROR(VLOOKUP($AG$17,Sheet1!V10:Y10,3,0),0)</f>
        <v>0</v>
      </c>
      <c r="AH31" s="72">
        <f>+IFERROR(VLOOKUP($AH$17,Sheet1!V10:Y10,3,0),0)</f>
        <v>0</v>
      </c>
      <c r="AI31" s="72">
        <f>+IFERROR(VLOOKUP($AI$17,Sheet1!V10:Y10,3,0),0)</f>
        <v>0</v>
      </c>
      <c r="AJ31" s="72">
        <f>+IFERROR(VLOOKUP($AJ$17,Sheet1!V10:Y10,3,0),0)</f>
        <v>0</v>
      </c>
      <c r="AK31" s="79">
        <v>16</v>
      </c>
      <c r="AL31" s="72">
        <f>+IFERROR(VLOOKUP($AL$17,Sheet1!AD10:AG10,3,0),0)</f>
        <v>0</v>
      </c>
      <c r="AM31" s="72">
        <f>+IFERROR(VLOOKUP($AM$17,Sheet1!AD10:AG10,3,0),0)</f>
        <v>0</v>
      </c>
      <c r="AN31" s="72">
        <f>+IFERROR(VLOOKUP($AN$17,Sheet1!AD10:AG10,3,0),0)</f>
        <v>0</v>
      </c>
      <c r="AO31" s="72">
        <f>+IFERROR(VLOOKUP($AO$17,Sheet1!AD10:AG10,3,0),0)</f>
        <v>0</v>
      </c>
      <c r="AP31" s="72">
        <f>+IFERROR(VLOOKUP($AP$17,Sheet1!AD10:AG10,3,0),0)</f>
        <v>0</v>
      </c>
      <c r="AQ31" s="79">
        <v>151</v>
      </c>
      <c r="AR31" s="72">
        <f>+IFERROR(VLOOKUP($AR$17,Sheet1!AD10:AG10,3,0),0)</f>
        <v>0</v>
      </c>
      <c r="AS31" s="72">
        <f>+IFERROR(VLOOKUP($AS$17,Sheet1!AH10:AK10,3,0),0)</f>
        <v>0</v>
      </c>
      <c r="AT31" s="72">
        <f>+IFERROR(VLOOKUP($AT$17,Sheet1!AH10:AK10,3,0),0)</f>
        <v>0</v>
      </c>
      <c r="AU31" s="72">
        <f>+IFERROR(VLOOKUP($AU$17,Sheet1!AH10:AK10,3,0),0)</f>
        <v>0</v>
      </c>
      <c r="AV31" s="79">
        <v>731</v>
      </c>
      <c r="AW31" s="72">
        <f>+IFERROR(VLOOKUP($AW$17,Sheet1!AH10:AK10,3,0),0)</f>
        <v>0</v>
      </c>
      <c r="AX31" s="72">
        <f>+IFERROR(VLOOKUP($AX$17,Sheet1!AH10:AK10,3,0),0)</f>
        <v>0</v>
      </c>
      <c r="AY31" s="72">
        <f>+IFERROR(VLOOKUP($AY$17,Sheet1!AH10:AK10,3,0),0)</f>
        <v>0</v>
      </c>
      <c r="AZ31" s="72">
        <f>+IFERROR(VLOOKUP($AZ$17,Sheet1!AH10:AK10,3,0),0)</f>
        <v>0</v>
      </c>
      <c r="BA31" s="72">
        <f>+IFERROR(VLOOKUP($BA$17,Sheet1!AH10:AK10,3,0),0)</f>
        <v>0</v>
      </c>
      <c r="BB31" s="72">
        <f>+IFERROR(VLOOKUP($BB$17,Sheet1!AH10:AK10,3,0),0)</f>
        <v>0</v>
      </c>
      <c r="BC31" s="72">
        <f>+IFERROR(VLOOKUP($BC$17,Sheet1!AL10:AO10,3,0),0)</f>
        <v>0</v>
      </c>
      <c r="BD31" s="72">
        <f>+IFERROR(VLOOKUP($BD$17,Sheet1!AL10:AO10,3,0),0)</f>
        <v>0</v>
      </c>
      <c r="BE31" s="72">
        <f>+IFERROR(VLOOKUP($BE$17,Sheet1!AL10:AO10,3,0),0)</f>
        <v>0</v>
      </c>
      <c r="BF31" s="79">
        <v>580</v>
      </c>
      <c r="BG31" s="72">
        <f>+IFERROR(VLOOKUP($BG$17,Sheet1!AL10:AO10,3,0),0)</f>
        <v>0</v>
      </c>
      <c r="BH31" s="72">
        <f>+IFERROR(VLOOKUP($BH$17,Sheet1!AL10:AO10,3,0),0)</f>
        <v>0</v>
      </c>
      <c r="BI31" s="72">
        <f>+IFERROR(VLOOKUP($BI$17,Sheet1!AL10:AO10,3,0),0)</f>
        <v>0</v>
      </c>
      <c r="BJ31" s="72">
        <f>+IFERROR(VLOOKUP($BJ$17,Sheet1!AL10:AO10,3,0),0)</f>
        <v>0</v>
      </c>
      <c r="BK31" s="72">
        <f>+IFERROR(VLOOKUP($BK$17,Sheet1!AL10:AO10,3,0),0)</f>
        <v>0</v>
      </c>
      <c r="BL31" s="72">
        <f>+IFERROR(VLOOKUP($BL$17,Sheet1!AL10:AO10,3,0),0)</f>
        <v>0</v>
      </c>
      <c r="BM31" s="72">
        <f>+IFERROR(VLOOKUP($BM$17,Sheet1!AP10:AS10,3,0),0)</f>
        <v>0</v>
      </c>
      <c r="BN31" s="72">
        <f>+IFERROR(VLOOKUP($BN$17,Sheet1!AT10:AW10,3,0),0)</f>
        <v>0</v>
      </c>
      <c r="BO31" s="79">
        <v>19</v>
      </c>
      <c r="BP31" s="79">
        <v>35</v>
      </c>
      <c r="BQ31" s="72">
        <f>+IFERROR(VLOOKUP($BQ$17,Sheet1!BF10:BI10,3,0),0)</f>
        <v>0</v>
      </c>
      <c r="BR31" s="72">
        <f>+IFERROR(VLOOKUP($BR$17,Sheet1!BJ10:BM10,3,0),0)</f>
        <v>0</v>
      </c>
      <c r="BS31" s="72">
        <f>+IFERROR(VLOOKUP($BS$17,Sheet1!BN10:BQ10,3,0),0)</f>
        <v>0</v>
      </c>
      <c r="BT31" s="79">
        <v>36</v>
      </c>
      <c r="BU31" s="11">
        <f>+IFERROR(VLOOKUP($BU$17,Sheet1!BV10:BY10,3,0),0)</f>
        <v>0</v>
      </c>
      <c r="BV31" s="11" t="str">
        <f>Sheet1!E10</f>
        <v>STEEL</v>
      </c>
      <c r="BW31" s="11" t="str">
        <f>Sheet1!CV10</f>
        <v>SP0400112</v>
      </c>
      <c r="BX31" s="11" t="str">
        <f>Sheet1!CW10</f>
        <v>CORRUGATED DISPATCH STEEL DRUM 2000 X 1000 X 1000 MM</v>
      </c>
      <c r="BY31" s="11">
        <f>Sheet1!CX10</f>
        <v>500</v>
      </c>
      <c r="BZ31" s="3">
        <f>Sheet1!BZ10</f>
        <v>53200</v>
      </c>
      <c r="CA31" s="3">
        <f t="shared" si="5"/>
        <v>784804</v>
      </c>
      <c r="CB31" s="23">
        <f>Sheet1!CB10</f>
        <v>0</v>
      </c>
      <c r="CC31" s="3">
        <f t="shared" si="6"/>
        <v>0</v>
      </c>
      <c r="CD31" s="47">
        <v>0.5</v>
      </c>
      <c r="CE31" s="3">
        <f t="shared" si="7"/>
        <v>392402</v>
      </c>
      <c r="CF31" s="47">
        <v>0</v>
      </c>
      <c r="CG31" s="3">
        <f t="shared" si="8"/>
        <v>0</v>
      </c>
      <c r="CH31" s="3">
        <f t="shared" si="9"/>
        <v>1177206</v>
      </c>
      <c r="CI31" s="47">
        <v>0.02</v>
      </c>
      <c r="CJ31" s="80">
        <f t="shared" si="10"/>
        <v>23544.12</v>
      </c>
      <c r="CK31" s="47">
        <v>0.01</v>
      </c>
      <c r="CL31" s="80">
        <f t="shared" si="11"/>
        <v>11772.06</v>
      </c>
    </row>
    <row r="32" spans="1:90" ht="51" x14ac:dyDescent="0.25">
      <c r="A32" s="1" t="str">
        <f>Sheet1!A7</f>
        <v>ENQ-10773-22-23</v>
      </c>
      <c r="B32" s="51">
        <f>Sheet1!B7</f>
        <v>45135</v>
      </c>
      <c r="C32" s="1" t="str">
        <f>Sheet1!C7</f>
        <v>FA1300019</v>
      </c>
      <c r="D32" s="73" t="str">
        <f>Sheet1!D7</f>
        <v>1 CORE X 300 SQ. MM. AL/ARM (XLPE)  - 33 KV</v>
      </c>
      <c r="E32" s="74">
        <f t="shared" si="0"/>
        <v>1056143.46</v>
      </c>
      <c r="F32" s="77" t="e">
        <f t="shared" si="12"/>
        <v>#DIV/0!</v>
      </c>
      <c r="G32" s="75" t="e">
        <f t="shared" si="1"/>
        <v>#DIV/0!</v>
      </c>
      <c r="H32" s="76">
        <f>Sheet1!CP7</f>
        <v>0.18</v>
      </c>
      <c r="I32" s="75" t="e">
        <f t="shared" si="2"/>
        <v>#DIV/0!</v>
      </c>
      <c r="J32" s="75" t="e">
        <f t="shared" si="3"/>
        <v>#DIV/0!</v>
      </c>
      <c r="K32" s="73">
        <v>0</v>
      </c>
      <c r="L32" s="73" t="str">
        <f>Sheet1!CT7</f>
        <v>KMS</v>
      </c>
      <c r="M32" s="74" t="e">
        <f t="shared" si="4"/>
        <v>#DIV/0!</v>
      </c>
      <c r="N32" s="41">
        <f>+IFERROR(VLOOKUP($N$17,Sheet1!J7:L7,3,0),0)</f>
        <v>810</v>
      </c>
      <c r="O32" s="41">
        <f>+IFERROR(VLOOKUP($O$17,Sheet1!J7:L7,3,0),0)</f>
        <v>0</v>
      </c>
      <c r="P32" s="41">
        <f>+IFERROR(VLOOKUP($P$17,Sheet1!J7:M7,3,0),0)</f>
        <v>0</v>
      </c>
      <c r="Q32" s="41">
        <f>+IFERROR(VLOOKUP($Q$17,Sheet1!J7:M7,3,0),0)</f>
        <v>0</v>
      </c>
      <c r="R32" s="41">
        <f>+IFERROR(VLOOKUP($R$17,Sheet1!J7:M7,3,0),0)</f>
        <v>0</v>
      </c>
      <c r="S32" s="41">
        <f>+IFERROR(VLOOKUP($S$17,Sheet1!N7:Q7,3,0),0)</f>
        <v>0</v>
      </c>
      <c r="T32" s="41">
        <f>+IFERROR(VLOOKUP($T$17,Sheet1!N7:Q7,3,0),0)</f>
        <v>0</v>
      </c>
      <c r="U32" s="41">
        <f>+IFERROR(VLOOKUP($U$17,Sheet1!F7:I7,3,0),0)</f>
        <v>0</v>
      </c>
      <c r="V32" s="41">
        <f>+IFERROR(VLOOKUP($V$17,Sheet1!F7:I7,3,0),0)</f>
        <v>0</v>
      </c>
      <c r="W32" s="41">
        <f>+IFERROR(VLOOKUP($W$17,Sheet1!F7:I7,3,0),0)</f>
        <v>0</v>
      </c>
      <c r="X32" s="41">
        <f>+IFERROR(VLOOKUP($X$17,Sheet1!F7:I7,3,0),0)</f>
        <v>0</v>
      </c>
      <c r="Y32" s="78">
        <v>65</v>
      </c>
      <c r="Z32" s="41">
        <f>+IFERROR(VLOOKUP($Z$17,Sheet1!F7:I7,3,0),0)</f>
        <v>0</v>
      </c>
      <c r="AA32" s="41">
        <f>+IFERROR(VLOOKUP($AA$17,Sheet1!F7:I7,3,0),0)</f>
        <v>0</v>
      </c>
      <c r="AB32" s="41">
        <f>+IFERROR(VLOOKUP($AB$17,Sheet1!F7:I7,3,0),0)</f>
        <v>0</v>
      </c>
      <c r="AC32" s="78">
        <v>164</v>
      </c>
      <c r="AD32" s="72">
        <f>+IFERROR(VLOOKUP($AD$17,Sheet1!R7:U7,2,0),0)</f>
        <v>0</v>
      </c>
      <c r="AE32" s="78">
        <v>808</v>
      </c>
      <c r="AF32" s="72">
        <f>+IFERROR(VLOOKUP($AF$17,Sheet1!V7:Y7,3,0),0)</f>
        <v>0</v>
      </c>
      <c r="AG32" s="72">
        <f>+IFERROR(VLOOKUP($AG$17,Sheet1!V7:Y7,3,0),0)</f>
        <v>0</v>
      </c>
      <c r="AH32" s="72">
        <f>+IFERROR(VLOOKUP($AH$17,Sheet1!V7:Y7,3,0),0)</f>
        <v>0</v>
      </c>
      <c r="AI32" s="72">
        <f>+IFERROR(VLOOKUP($AI$17,Sheet1!V7:Y7,3,0),0)</f>
        <v>0</v>
      </c>
      <c r="AJ32" s="72">
        <f>+IFERROR(VLOOKUP($AJ$17,Sheet1!V7:Y7,3,0),0)</f>
        <v>0</v>
      </c>
      <c r="AK32" s="79">
        <v>12</v>
      </c>
      <c r="AL32" s="72">
        <f>+IFERROR(VLOOKUP($AL$17,Sheet1!AD7:AG7,3,0),0)</f>
        <v>0</v>
      </c>
      <c r="AM32" s="72">
        <f>+IFERROR(VLOOKUP($AM$17,Sheet1!AD7:AG7,3,0),0)</f>
        <v>0</v>
      </c>
      <c r="AN32" s="72">
        <f>+IFERROR(VLOOKUP($AN$17,Sheet1!AD7:AG7,3,0),0)</f>
        <v>0</v>
      </c>
      <c r="AO32" s="72">
        <f>+IFERROR(VLOOKUP($AO$17,Sheet1!AD7:AG7,3,0),0)</f>
        <v>0</v>
      </c>
      <c r="AP32" s="72">
        <f>+IFERROR(VLOOKUP($AP$17,Sheet1!AD7:AG7,3,0),0)</f>
        <v>0</v>
      </c>
      <c r="AQ32" s="79">
        <v>144</v>
      </c>
      <c r="AR32" s="72">
        <f>+IFERROR(VLOOKUP($AR$17,Sheet1!AD7:AG7,3,0),0)</f>
        <v>0</v>
      </c>
      <c r="AS32" s="72">
        <f>+IFERROR(VLOOKUP($AS$17,Sheet1!AH7:AK7,3,0),0)</f>
        <v>0</v>
      </c>
      <c r="AT32" s="72">
        <f>+IFERROR(VLOOKUP($AT$17,Sheet1!AH7:AK7,3,0),0)</f>
        <v>0</v>
      </c>
      <c r="AU32" s="72">
        <f>+IFERROR(VLOOKUP($AU$17,Sheet1!AH7:AK7,3,0),0)</f>
        <v>0</v>
      </c>
      <c r="AV32" s="79">
        <v>676</v>
      </c>
      <c r="AW32" s="72">
        <f>+IFERROR(VLOOKUP($AW$17,Sheet1!AH7:AK7,3,0),0)</f>
        <v>0</v>
      </c>
      <c r="AX32" s="72">
        <f>+IFERROR(VLOOKUP($AX$17,Sheet1!AH7:AK7,3,0),0)</f>
        <v>0</v>
      </c>
      <c r="AY32" s="72">
        <f>+IFERROR(VLOOKUP($AY$17,Sheet1!AH7:AK7,3,0),0)</f>
        <v>0</v>
      </c>
      <c r="AZ32" s="72">
        <f>+IFERROR(VLOOKUP($AZ$17,Sheet1!AH7:AK7,3,0),0)</f>
        <v>0</v>
      </c>
      <c r="BA32" s="72">
        <f>+IFERROR(VLOOKUP($BA$17,Sheet1!AH7:AK7,3,0),0)</f>
        <v>0</v>
      </c>
      <c r="BB32" s="72">
        <f>+IFERROR(VLOOKUP($BB$17,Sheet1!AH7:AK7,3,0),0)</f>
        <v>0</v>
      </c>
      <c r="BC32" s="72">
        <f>+IFERROR(VLOOKUP($BC$17,Sheet1!AL7:AO7,3,0),0)</f>
        <v>0</v>
      </c>
      <c r="BD32" s="72">
        <f>+IFERROR(VLOOKUP($BD$17,Sheet1!AL7:AO7,3,0),0)</f>
        <v>0</v>
      </c>
      <c r="BE32" s="72">
        <f>+IFERROR(VLOOKUP($BE$17,Sheet1!AL7:AO7,3,0),0)</f>
        <v>0</v>
      </c>
      <c r="BF32" s="79">
        <v>556</v>
      </c>
      <c r="BG32" s="72">
        <f>+IFERROR(VLOOKUP($BG$17,Sheet1!AL7:AO7,3,0),0)</f>
        <v>0</v>
      </c>
      <c r="BH32" s="72">
        <f>+IFERROR(VLOOKUP($BH$17,Sheet1!AL7:AO7,3,0),0)</f>
        <v>0</v>
      </c>
      <c r="BI32" s="72">
        <f>+IFERROR(VLOOKUP($BI$17,Sheet1!AL7:AO7,3,0),0)</f>
        <v>0</v>
      </c>
      <c r="BJ32" s="72">
        <f>+IFERROR(VLOOKUP($BJ$17,Sheet1!AL7:AO7,3,0),0)</f>
        <v>0</v>
      </c>
      <c r="BK32" s="72">
        <f>+IFERROR(VLOOKUP($BK$17,Sheet1!AL7:AO7,3,0),0)</f>
        <v>0</v>
      </c>
      <c r="BL32" s="72">
        <f>+IFERROR(VLOOKUP($BL$17,Sheet1!AL7:AO7,3,0),0)</f>
        <v>0</v>
      </c>
      <c r="BM32" s="72">
        <f>+IFERROR(VLOOKUP($BM$17,Sheet1!AP7:AS7,3,0),0)</f>
        <v>0</v>
      </c>
      <c r="BN32" s="72">
        <f>+IFERROR(VLOOKUP($BN$17,Sheet1!AT7:AW7,3,0),0)</f>
        <v>0</v>
      </c>
      <c r="BO32" s="79">
        <v>13</v>
      </c>
      <c r="BP32" s="79">
        <v>32</v>
      </c>
      <c r="BQ32" s="72">
        <f>+IFERROR(VLOOKUP($BQ$17,Sheet1!BF7:BI7,3,0),0)</f>
        <v>0</v>
      </c>
      <c r="BR32" s="72">
        <f>+IFERROR(VLOOKUP($BR$17,Sheet1!BJ7:BM7,3,0),0)</f>
        <v>0</v>
      </c>
      <c r="BS32" s="72">
        <f>+IFERROR(VLOOKUP($BS$17,Sheet1!BN7:BQ7,3,0),0)</f>
        <v>0</v>
      </c>
      <c r="BT32" s="79">
        <v>35</v>
      </c>
      <c r="BU32" s="11">
        <f>+IFERROR(VLOOKUP($BU$17,Sheet1!BV7:BY7,3,0),0)</f>
        <v>0</v>
      </c>
      <c r="BV32" s="11" t="str">
        <f>Sheet1!E7</f>
        <v>STEEL</v>
      </c>
      <c r="BW32" s="11" t="str">
        <f>Sheet1!CV7</f>
        <v>SP0400110</v>
      </c>
      <c r="BX32" s="11" t="str">
        <f>Sheet1!CW7</f>
        <v>CORRUGATED DISPATCH STEEL DRUM 1600 X 900 X 1000 MM</v>
      </c>
      <c r="BY32" s="11">
        <f>Sheet1!CX7</f>
        <v>500</v>
      </c>
      <c r="BZ32" s="3">
        <f>Sheet1!BZ7</f>
        <v>47500</v>
      </c>
      <c r="CA32" s="3">
        <f t="shared" si="5"/>
        <v>683588</v>
      </c>
      <c r="CB32" s="23">
        <f>Sheet1!CB7</f>
        <v>0</v>
      </c>
      <c r="CC32" s="3">
        <f t="shared" si="6"/>
        <v>0</v>
      </c>
      <c r="CD32" s="47">
        <v>0.5</v>
      </c>
      <c r="CE32" s="3">
        <f t="shared" si="7"/>
        <v>341794</v>
      </c>
      <c r="CF32" s="47">
        <v>0</v>
      </c>
      <c r="CG32" s="3">
        <f t="shared" si="8"/>
        <v>0</v>
      </c>
      <c r="CH32" s="3">
        <f t="shared" si="9"/>
        <v>1025382</v>
      </c>
      <c r="CI32" s="47">
        <v>0.02</v>
      </c>
      <c r="CJ32" s="80">
        <f t="shared" si="10"/>
        <v>20507.64</v>
      </c>
      <c r="CK32" s="47">
        <v>0.01</v>
      </c>
      <c r="CL32" s="80">
        <f t="shared" si="11"/>
        <v>10253.82</v>
      </c>
    </row>
    <row r="34" spans="4:13" ht="30" x14ac:dyDescent="0.25">
      <c r="E34" s="2" t="s">
        <v>224</v>
      </c>
      <c r="F34" s="2" t="s">
        <v>225</v>
      </c>
      <c r="G34" s="61" t="s">
        <v>226</v>
      </c>
      <c r="H34" s="41" t="s">
        <v>227</v>
      </c>
      <c r="I34" s="2" t="s">
        <v>228</v>
      </c>
      <c r="J34" s="2" t="s">
        <v>229</v>
      </c>
      <c r="K34" s="2" t="s">
        <v>230</v>
      </c>
      <c r="L34" s="2" t="s">
        <v>231</v>
      </c>
      <c r="M34" s="62" t="s">
        <v>232</v>
      </c>
    </row>
    <row r="35" spans="4:13" ht="30" x14ac:dyDescent="0.25">
      <c r="D35" s="26" t="str">
        <f>D19</f>
        <v>3 CORE X 400 SQ. MM. AL/ARM - WIRE (XLPE) - 11 KV</v>
      </c>
      <c r="E35" s="61">
        <f>K19</f>
        <v>28.5</v>
      </c>
      <c r="F35" s="63">
        <f>BY19/1000</f>
        <v>0.25</v>
      </c>
      <c r="G35" s="61" t="s">
        <v>237</v>
      </c>
      <c r="H35" s="64">
        <v>65000</v>
      </c>
      <c r="I35" s="63">
        <v>3</v>
      </c>
      <c r="J35" s="61">
        <f>F35*I35</f>
        <v>0.75</v>
      </c>
      <c r="K35" s="61">
        <f>ROUNDUP((E35/J35),0)</f>
        <v>38</v>
      </c>
      <c r="L35" s="61">
        <f>M35*E35</f>
        <v>2470000</v>
      </c>
      <c r="M35" s="65">
        <f>(H35*K35)/E35</f>
        <v>86666.666666666672</v>
      </c>
    </row>
    <row r="36" spans="4:13" ht="30" x14ac:dyDescent="0.25">
      <c r="D36" s="26" t="str">
        <f t="shared" ref="D36:D48" si="13">D20</f>
        <v>3 CORE X 300 SQ. MM. AL/ARM - WIRE (XLPE) - 11 KV</v>
      </c>
      <c r="E36" s="61">
        <f t="shared" ref="E36:E48" si="14">K20</f>
        <v>1.75</v>
      </c>
      <c r="F36" s="63">
        <f t="shared" ref="F36:F48" si="15">BY20/1000</f>
        <v>0.25</v>
      </c>
      <c r="G36" s="61" t="s">
        <v>237</v>
      </c>
      <c r="H36" s="64">
        <v>65000</v>
      </c>
      <c r="I36" s="63">
        <v>4</v>
      </c>
      <c r="J36" s="61">
        <f t="shared" ref="J36:J48" si="16">F36*I36</f>
        <v>1</v>
      </c>
      <c r="K36" s="61">
        <f t="shared" ref="K36:K48" si="17">ROUNDUP((E36/J36),0)</f>
        <v>2</v>
      </c>
      <c r="L36" s="61">
        <f t="shared" ref="L36:L48" si="18">M36*E36</f>
        <v>130000</v>
      </c>
      <c r="M36" s="65">
        <f t="shared" ref="M36:M48" si="19">(H36*K36)/E36</f>
        <v>74285.71428571429</v>
      </c>
    </row>
    <row r="37" spans="4:13" ht="30" x14ac:dyDescent="0.25">
      <c r="D37" s="26" t="str">
        <f t="shared" si="13"/>
        <v>3 CORE X 150 SQ. MM. AL/ARM - WIRE (XLPE) - 11 KV</v>
      </c>
      <c r="E37" s="61">
        <f t="shared" si="14"/>
        <v>1</v>
      </c>
      <c r="F37" s="63">
        <f t="shared" si="15"/>
        <v>0.25</v>
      </c>
      <c r="G37" s="61" t="s">
        <v>237</v>
      </c>
      <c r="H37" s="64">
        <v>65000</v>
      </c>
      <c r="I37" s="63">
        <v>5</v>
      </c>
      <c r="J37" s="61">
        <f t="shared" si="16"/>
        <v>1.25</v>
      </c>
      <c r="K37" s="61">
        <f t="shared" si="17"/>
        <v>1</v>
      </c>
      <c r="L37" s="61">
        <f t="shared" si="18"/>
        <v>65000</v>
      </c>
      <c r="M37" s="65">
        <f t="shared" si="19"/>
        <v>65000</v>
      </c>
    </row>
    <row r="38" spans="4:13" ht="30" x14ac:dyDescent="0.25">
      <c r="D38" s="26" t="str">
        <f t="shared" si="13"/>
        <v>3 CORE X 120 SQ. MM. AL/ARM - WIRE (XLPE) - 11 KV</v>
      </c>
      <c r="E38" s="61">
        <f t="shared" si="14"/>
        <v>6.5</v>
      </c>
      <c r="F38" s="63">
        <f t="shared" si="15"/>
        <v>0.25</v>
      </c>
      <c r="G38" s="61" t="s">
        <v>237</v>
      </c>
      <c r="H38" s="64">
        <v>65000</v>
      </c>
      <c r="I38" s="63">
        <v>5</v>
      </c>
      <c r="J38" s="61">
        <f t="shared" si="16"/>
        <v>1.25</v>
      </c>
      <c r="K38" s="61">
        <f t="shared" si="17"/>
        <v>6</v>
      </c>
      <c r="L38" s="61">
        <f t="shared" si="18"/>
        <v>390000</v>
      </c>
      <c r="M38" s="65">
        <f t="shared" si="19"/>
        <v>60000</v>
      </c>
    </row>
    <row r="39" spans="4:13" ht="30" x14ac:dyDescent="0.25">
      <c r="D39" s="26" t="str">
        <f t="shared" si="13"/>
        <v>3 CORE X 95 SQ. MM. AL/ARM - WIRE (XLPE) - 11 KV</v>
      </c>
      <c r="E39" s="61">
        <f t="shared" si="14"/>
        <v>2.5</v>
      </c>
      <c r="F39" s="63">
        <f t="shared" si="15"/>
        <v>0.25</v>
      </c>
      <c r="G39" s="61" t="s">
        <v>237</v>
      </c>
      <c r="H39" s="64">
        <v>65000</v>
      </c>
      <c r="I39" s="63">
        <v>5</v>
      </c>
      <c r="J39" s="61">
        <f t="shared" si="16"/>
        <v>1.25</v>
      </c>
      <c r="K39" s="61">
        <f t="shared" si="17"/>
        <v>2</v>
      </c>
      <c r="L39" s="61">
        <f t="shared" si="18"/>
        <v>130000</v>
      </c>
      <c r="M39" s="65">
        <f t="shared" si="19"/>
        <v>52000</v>
      </c>
    </row>
    <row r="40" spans="4:13" ht="30" x14ac:dyDescent="0.25">
      <c r="D40" s="26" t="str">
        <f t="shared" si="13"/>
        <v>1 CORE X 1000 SQ. MM. AL/ARM (XLPE) - 11 KV</v>
      </c>
      <c r="E40" s="61">
        <f t="shared" si="14"/>
        <v>0</v>
      </c>
      <c r="F40" s="63">
        <f t="shared" si="15"/>
        <v>0.5</v>
      </c>
      <c r="G40" s="61" t="s">
        <v>237</v>
      </c>
      <c r="H40" s="64">
        <v>65000</v>
      </c>
      <c r="I40" s="63">
        <v>4</v>
      </c>
      <c r="J40" s="61">
        <f t="shared" si="16"/>
        <v>2</v>
      </c>
      <c r="K40" s="61">
        <f t="shared" si="17"/>
        <v>0</v>
      </c>
      <c r="L40" s="61" t="e">
        <f t="shared" si="18"/>
        <v>#DIV/0!</v>
      </c>
      <c r="M40" s="65" t="e">
        <f t="shared" si="19"/>
        <v>#DIV/0!</v>
      </c>
    </row>
    <row r="41" spans="4:13" ht="30" x14ac:dyDescent="0.25">
      <c r="D41" s="26" t="str">
        <f t="shared" si="13"/>
        <v>1 CORE X 630 SQ. MM. AL/ARM (XLPE)  - 11 KV</v>
      </c>
      <c r="E41" s="61">
        <f t="shared" si="14"/>
        <v>5</v>
      </c>
      <c r="F41" s="63">
        <f t="shared" si="15"/>
        <v>0.5</v>
      </c>
      <c r="G41" s="61" t="s">
        <v>237</v>
      </c>
      <c r="H41" s="64">
        <v>65000</v>
      </c>
      <c r="I41" s="63">
        <v>5</v>
      </c>
      <c r="J41" s="61">
        <f t="shared" si="16"/>
        <v>2.5</v>
      </c>
      <c r="K41" s="61">
        <f t="shared" si="17"/>
        <v>2</v>
      </c>
      <c r="L41" s="61">
        <f t="shared" si="18"/>
        <v>130000</v>
      </c>
      <c r="M41" s="65">
        <f t="shared" si="19"/>
        <v>26000</v>
      </c>
    </row>
    <row r="42" spans="4:13" ht="30" x14ac:dyDescent="0.25">
      <c r="D42" s="26" t="str">
        <f t="shared" si="13"/>
        <v>1 CORE X 400 SQ. MM. AL/ARM (XLPE) - 11 KV</v>
      </c>
      <c r="E42" s="61">
        <f t="shared" si="14"/>
        <v>0</v>
      </c>
      <c r="F42" s="63">
        <f t="shared" si="15"/>
        <v>0.5</v>
      </c>
      <c r="G42" s="61" t="s">
        <v>237</v>
      </c>
      <c r="H42" s="64">
        <v>65000</v>
      </c>
      <c r="I42" s="63">
        <v>6</v>
      </c>
      <c r="J42" s="61">
        <f t="shared" si="16"/>
        <v>3</v>
      </c>
      <c r="K42" s="61">
        <f t="shared" si="17"/>
        <v>0</v>
      </c>
      <c r="L42" s="61" t="e">
        <f t="shared" si="18"/>
        <v>#DIV/0!</v>
      </c>
      <c r="M42" s="65" t="e">
        <f t="shared" si="19"/>
        <v>#DIV/0!</v>
      </c>
    </row>
    <row r="43" spans="4:13" ht="30" x14ac:dyDescent="0.25">
      <c r="D43" s="26" t="str">
        <f t="shared" si="13"/>
        <v>3 CORE X 400 SQ. MM AL/ARM - WIRE (XLPE) - 33 KV</v>
      </c>
      <c r="E43" s="61">
        <f t="shared" si="14"/>
        <v>7.5</v>
      </c>
      <c r="F43" s="63">
        <f t="shared" si="15"/>
        <v>0.25</v>
      </c>
      <c r="G43" s="61" t="s">
        <v>237</v>
      </c>
      <c r="H43" s="64">
        <v>65000</v>
      </c>
      <c r="I43" s="63">
        <v>2</v>
      </c>
      <c r="J43" s="61">
        <f t="shared" si="16"/>
        <v>0.5</v>
      </c>
      <c r="K43" s="61">
        <f t="shared" si="17"/>
        <v>15</v>
      </c>
      <c r="L43" s="61">
        <f t="shared" si="18"/>
        <v>975000</v>
      </c>
      <c r="M43" s="65">
        <f t="shared" si="19"/>
        <v>130000</v>
      </c>
    </row>
    <row r="44" spans="4:13" ht="30" x14ac:dyDescent="0.25">
      <c r="D44" s="26" t="str">
        <f t="shared" si="13"/>
        <v>3 CORE X 300 SQ. MM. AL/ARM - WIRE (XLPE) - 33 KV</v>
      </c>
      <c r="E44" s="61">
        <f t="shared" si="14"/>
        <v>1.25</v>
      </c>
      <c r="F44" s="63">
        <f t="shared" si="15"/>
        <v>0.25</v>
      </c>
      <c r="G44" s="61" t="s">
        <v>237</v>
      </c>
      <c r="H44" s="64">
        <v>65000</v>
      </c>
      <c r="I44" s="63">
        <v>2</v>
      </c>
      <c r="J44" s="61">
        <f t="shared" si="16"/>
        <v>0.5</v>
      </c>
      <c r="K44" s="61">
        <f t="shared" si="17"/>
        <v>3</v>
      </c>
      <c r="L44" s="61">
        <f t="shared" si="18"/>
        <v>195000</v>
      </c>
      <c r="M44" s="65">
        <f t="shared" si="19"/>
        <v>156000</v>
      </c>
    </row>
    <row r="45" spans="4:13" ht="30" x14ac:dyDescent="0.25">
      <c r="D45" s="26" t="str">
        <f t="shared" si="13"/>
        <v>3 CORE X 95 SQ. MM. AL/ARM  WIRE (XLPE) - 33 KV</v>
      </c>
      <c r="E45" s="61">
        <f t="shared" si="14"/>
        <v>0.5</v>
      </c>
      <c r="F45" s="63">
        <f t="shared" si="15"/>
        <v>0.25</v>
      </c>
      <c r="G45" s="61" t="s">
        <v>237</v>
      </c>
      <c r="H45" s="64">
        <v>65000</v>
      </c>
      <c r="I45" s="63">
        <v>4</v>
      </c>
      <c r="J45" s="61">
        <f t="shared" si="16"/>
        <v>1</v>
      </c>
      <c r="K45" s="61">
        <f t="shared" si="17"/>
        <v>1</v>
      </c>
      <c r="L45" s="61">
        <f t="shared" si="18"/>
        <v>65000</v>
      </c>
      <c r="M45" s="65">
        <f t="shared" si="19"/>
        <v>130000</v>
      </c>
    </row>
    <row r="46" spans="4:13" ht="30" x14ac:dyDescent="0.25">
      <c r="D46" s="26" t="str">
        <f t="shared" si="13"/>
        <v>1 CORE X 630 SQ. MM. AL/ARM (XLPE)  - 33 KV</v>
      </c>
      <c r="E46" s="61">
        <f t="shared" si="14"/>
        <v>33</v>
      </c>
      <c r="F46" s="63">
        <f t="shared" si="15"/>
        <v>0.5</v>
      </c>
      <c r="G46" s="61" t="s">
        <v>237</v>
      </c>
      <c r="H46" s="64">
        <v>65000</v>
      </c>
      <c r="I46" s="63">
        <v>4</v>
      </c>
      <c r="J46" s="61">
        <f t="shared" si="16"/>
        <v>2</v>
      </c>
      <c r="K46" s="61">
        <f t="shared" si="17"/>
        <v>17</v>
      </c>
      <c r="L46" s="61">
        <f t="shared" si="18"/>
        <v>1105000</v>
      </c>
      <c r="M46" s="65">
        <f t="shared" si="19"/>
        <v>33484.848484848488</v>
      </c>
    </row>
    <row r="47" spans="4:13" ht="30" x14ac:dyDescent="0.25">
      <c r="D47" s="26" t="str">
        <f t="shared" si="13"/>
        <v>1 CORE X 400 SQ. MM. AL/ARM (XLPE) - 33 KV</v>
      </c>
      <c r="E47" s="61">
        <f t="shared" si="14"/>
        <v>12.5</v>
      </c>
      <c r="F47" s="63">
        <f t="shared" si="15"/>
        <v>0.5</v>
      </c>
      <c r="G47" s="61" t="s">
        <v>237</v>
      </c>
      <c r="H47" s="64">
        <v>65000</v>
      </c>
      <c r="I47" s="63">
        <v>5</v>
      </c>
      <c r="J47" s="61">
        <f t="shared" si="16"/>
        <v>2.5</v>
      </c>
      <c r="K47" s="61">
        <f t="shared" si="17"/>
        <v>5</v>
      </c>
      <c r="L47" s="61">
        <f t="shared" si="18"/>
        <v>325000</v>
      </c>
      <c r="M47" s="65">
        <f t="shared" si="19"/>
        <v>26000</v>
      </c>
    </row>
    <row r="48" spans="4:13" ht="30" x14ac:dyDescent="0.25">
      <c r="D48" s="26" t="str">
        <f t="shared" si="13"/>
        <v>1 CORE X 300 SQ. MM. AL/ARM (XLPE)  - 33 KV</v>
      </c>
      <c r="E48" s="61">
        <f t="shared" si="14"/>
        <v>0</v>
      </c>
      <c r="F48" s="63">
        <f t="shared" si="15"/>
        <v>0.5</v>
      </c>
      <c r="G48" s="61" t="s">
        <v>237</v>
      </c>
      <c r="H48" s="64">
        <v>65000</v>
      </c>
      <c r="I48" s="63">
        <v>6</v>
      </c>
      <c r="J48" s="61">
        <f t="shared" si="16"/>
        <v>3</v>
      </c>
      <c r="K48" s="61">
        <f t="shared" si="17"/>
        <v>0</v>
      </c>
      <c r="L48" s="61" t="e">
        <f t="shared" si="18"/>
        <v>#DIV/0!</v>
      </c>
      <c r="M48" s="65" t="e">
        <f t="shared" si="19"/>
        <v>#DIV/0!</v>
      </c>
    </row>
    <row r="51" spans="1:13" ht="51" x14ac:dyDescent="0.25">
      <c r="A51" s="18" t="s">
        <v>0</v>
      </c>
      <c r="B51" s="18" t="s">
        <v>134</v>
      </c>
      <c r="C51" s="18" t="s">
        <v>1</v>
      </c>
      <c r="D51" s="18" t="s">
        <v>2</v>
      </c>
      <c r="E51" s="5" t="s">
        <v>238</v>
      </c>
      <c r="F51" s="11" t="s">
        <v>239</v>
      </c>
      <c r="G51" s="11" t="s">
        <v>240</v>
      </c>
      <c r="H51" s="6" t="s">
        <v>73</v>
      </c>
      <c r="I51" s="11" t="s">
        <v>74</v>
      </c>
      <c r="J51" s="11" t="s">
        <v>241</v>
      </c>
      <c r="K51" s="11" t="s">
        <v>76</v>
      </c>
      <c r="L51" s="11" t="s">
        <v>77</v>
      </c>
      <c r="M51" s="11" t="s">
        <v>78</v>
      </c>
    </row>
    <row r="52" spans="1:13" x14ac:dyDescent="0.25">
      <c r="A52" s="27"/>
      <c r="B52" s="27"/>
      <c r="C52" s="27"/>
      <c r="D52" s="27"/>
      <c r="E52" s="5"/>
      <c r="F52" s="5"/>
      <c r="G52" s="5"/>
      <c r="H52" s="5"/>
      <c r="I52" s="5"/>
      <c r="J52" s="5"/>
      <c r="K52" s="5"/>
      <c r="L52" s="5"/>
      <c r="M52" s="5"/>
    </row>
    <row r="53" spans="1:13" ht="30" x14ac:dyDescent="0.25">
      <c r="A53" s="1" t="str">
        <f>A19</f>
        <v>ENQ-10773-22-23</v>
      </c>
      <c r="B53" s="51">
        <f>B19</f>
        <v>45135</v>
      </c>
      <c r="C53" s="1" t="str">
        <f>C19</f>
        <v>FA1300083</v>
      </c>
      <c r="D53" s="73" t="str">
        <f>D19</f>
        <v>3 CORE X 400 SQ. MM. AL/ARM - WIRE (XLPE) - 11 KV</v>
      </c>
      <c r="E53" s="74">
        <f>ROUNDUP(E19/1000,2)</f>
        <v>3241.8</v>
      </c>
      <c r="F53" s="77">
        <f>ROUNDUP(F19/1000,2)</f>
        <v>86.67</v>
      </c>
      <c r="G53" s="75">
        <f t="shared" ref="G53:G66" si="20">E53+F53</f>
        <v>3328.4700000000003</v>
      </c>
      <c r="H53" s="76">
        <f>H19</f>
        <v>0.18</v>
      </c>
      <c r="I53" s="75">
        <f>ROUND(G53*H53,2)</f>
        <v>599.12</v>
      </c>
      <c r="J53" s="75">
        <f>ROUND(G53+I53,2)</f>
        <v>3927.59</v>
      </c>
      <c r="K53" s="73">
        <f>K19*1000</f>
        <v>28500</v>
      </c>
      <c r="L53" s="73" t="s">
        <v>242</v>
      </c>
      <c r="M53" s="74">
        <f t="shared" ref="M53:M66" si="21">J53*K53</f>
        <v>111936315</v>
      </c>
    </row>
    <row r="54" spans="1:13" ht="30" x14ac:dyDescent="0.25">
      <c r="A54" s="1" t="str">
        <f t="shared" ref="A54:D66" si="22">A20</f>
        <v>ENQ-10773-22-23</v>
      </c>
      <c r="B54" s="51">
        <f t="shared" si="22"/>
        <v>45135</v>
      </c>
      <c r="C54" s="1" t="str">
        <f t="shared" si="22"/>
        <v>FA1300091</v>
      </c>
      <c r="D54" s="73" t="str">
        <f t="shared" si="22"/>
        <v>3 CORE X 300 SQ. MM. AL/ARM - WIRE (XLPE) - 11 KV</v>
      </c>
      <c r="E54" s="74">
        <f t="shared" ref="E54:F66" si="23">ROUNDUP(E20/1000,2)</f>
        <v>2598.3000000000002</v>
      </c>
      <c r="F54" s="77">
        <f t="shared" si="23"/>
        <v>74.290000000000006</v>
      </c>
      <c r="G54" s="75">
        <f t="shared" si="20"/>
        <v>2672.59</v>
      </c>
      <c r="H54" s="76">
        <f t="shared" ref="H54:H66" si="24">H20</f>
        <v>0.18</v>
      </c>
      <c r="I54" s="75">
        <f t="shared" ref="I54:I66" si="25">ROUND(G54*H54,2)</f>
        <v>481.07</v>
      </c>
      <c r="J54" s="75">
        <f t="shared" ref="J54:J66" si="26">ROUND(G54+I54,2)</f>
        <v>3153.66</v>
      </c>
      <c r="K54" s="73">
        <f t="shared" ref="K54:K66" si="27">K20*1000</f>
        <v>1750</v>
      </c>
      <c r="L54" s="73" t="s">
        <v>242</v>
      </c>
      <c r="M54" s="74">
        <f t="shared" si="21"/>
        <v>5518905</v>
      </c>
    </row>
    <row r="55" spans="1:13" ht="30" x14ac:dyDescent="0.25">
      <c r="A55" s="1" t="str">
        <f t="shared" si="22"/>
        <v>ENQ-10773-22-23</v>
      </c>
      <c r="B55" s="51">
        <f t="shared" si="22"/>
        <v>45135</v>
      </c>
      <c r="C55" s="1" t="str">
        <f t="shared" si="22"/>
        <v>FA1300176</v>
      </c>
      <c r="D55" s="73" t="str">
        <f t="shared" si="22"/>
        <v>3 CORE X 150 SQ. MM. AL/ARM - WIRE (XLPE) - 11 KV</v>
      </c>
      <c r="E55" s="74">
        <f t="shared" si="23"/>
        <v>1671.59</v>
      </c>
      <c r="F55" s="77">
        <f t="shared" si="23"/>
        <v>65</v>
      </c>
      <c r="G55" s="75">
        <f t="shared" si="20"/>
        <v>1736.59</v>
      </c>
      <c r="H55" s="76">
        <f t="shared" si="24"/>
        <v>0.18</v>
      </c>
      <c r="I55" s="75">
        <f t="shared" si="25"/>
        <v>312.58999999999997</v>
      </c>
      <c r="J55" s="75">
        <f t="shared" si="26"/>
        <v>2049.1799999999998</v>
      </c>
      <c r="K55" s="73">
        <f t="shared" si="27"/>
        <v>1000</v>
      </c>
      <c r="L55" s="73" t="s">
        <v>242</v>
      </c>
      <c r="M55" s="74">
        <f t="shared" si="21"/>
        <v>2049179.9999999998</v>
      </c>
    </row>
    <row r="56" spans="1:13" ht="30" x14ac:dyDescent="0.25">
      <c r="A56" s="1" t="str">
        <f t="shared" si="22"/>
        <v>ENQ-10773-22-23</v>
      </c>
      <c r="B56" s="51">
        <f t="shared" si="22"/>
        <v>45135</v>
      </c>
      <c r="C56" s="1" t="str">
        <f t="shared" si="22"/>
        <v>FA1300197</v>
      </c>
      <c r="D56" s="73" t="str">
        <f t="shared" si="22"/>
        <v>3 CORE X 120 SQ. MM. AL/ARM - WIRE (XLPE) - 11 KV</v>
      </c>
      <c r="E56" s="74">
        <f t="shared" si="23"/>
        <v>1462.05</v>
      </c>
      <c r="F56" s="77">
        <f t="shared" si="23"/>
        <v>60</v>
      </c>
      <c r="G56" s="75">
        <f t="shared" si="20"/>
        <v>1522.05</v>
      </c>
      <c r="H56" s="76">
        <f t="shared" si="24"/>
        <v>0.18</v>
      </c>
      <c r="I56" s="75">
        <f t="shared" si="25"/>
        <v>273.97000000000003</v>
      </c>
      <c r="J56" s="75">
        <f t="shared" si="26"/>
        <v>1796.02</v>
      </c>
      <c r="K56" s="73">
        <f t="shared" si="27"/>
        <v>6500</v>
      </c>
      <c r="L56" s="73" t="s">
        <v>242</v>
      </c>
      <c r="M56" s="74">
        <f t="shared" si="21"/>
        <v>11674130</v>
      </c>
    </row>
    <row r="57" spans="1:13" ht="30" x14ac:dyDescent="0.25">
      <c r="A57" s="1" t="str">
        <f t="shared" si="22"/>
        <v>ENQ-10773-22-23</v>
      </c>
      <c r="B57" s="51">
        <f t="shared" si="22"/>
        <v>45135</v>
      </c>
      <c r="C57" s="1" t="str">
        <f t="shared" si="22"/>
        <v>FA1300098</v>
      </c>
      <c r="D57" s="73" t="str">
        <f t="shared" si="22"/>
        <v>3 CORE X 95 SQ. MM. AL/ARM - WIRE (XLPE) - 11 KV</v>
      </c>
      <c r="E57" s="74">
        <f t="shared" si="23"/>
        <v>1316.67</v>
      </c>
      <c r="F57" s="77">
        <f t="shared" si="23"/>
        <v>52</v>
      </c>
      <c r="G57" s="75">
        <f t="shared" si="20"/>
        <v>1368.67</v>
      </c>
      <c r="H57" s="76">
        <f t="shared" si="24"/>
        <v>0.18</v>
      </c>
      <c r="I57" s="75">
        <f t="shared" si="25"/>
        <v>246.36</v>
      </c>
      <c r="J57" s="75">
        <f t="shared" si="26"/>
        <v>1615.03</v>
      </c>
      <c r="K57" s="73">
        <f t="shared" si="27"/>
        <v>2500</v>
      </c>
      <c r="L57" s="73" t="s">
        <v>242</v>
      </c>
      <c r="M57" s="74">
        <f t="shared" si="21"/>
        <v>4037575</v>
      </c>
    </row>
    <row r="58" spans="1:13" ht="30" x14ac:dyDescent="0.25">
      <c r="A58" s="1" t="str">
        <f t="shared" si="22"/>
        <v>ENQ-10773-22-23</v>
      </c>
      <c r="B58" s="51">
        <f t="shared" si="22"/>
        <v>45135</v>
      </c>
      <c r="C58" s="1" t="str">
        <f t="shared" si="22"/>
        <v>FA1300066</v>
      </c>
      <c r="D58" s="73" t="str">
        <f t="shared" si="22"/>
        <v>1 CORE X 1000 SQ. MM. AL/ARM (XLPE) - 11 KV</v>
      </c>
      <c r="E58" s="74">
        <f t="shared" si="23"/>
        <v>1852.71</v>
      </c>
      <c r="F58" s="77" t="e">
        <f t="shared" si="23"/>
        <v>#DIV/0!</v>
      </c>
      <c r="G58" s="75" t="e">
        <f t="shared" si="20"/>
        <v>#DIV/0!</v>
      </c>
      <c r="H58" s="76">
        <f t="shared" si="24"/>
        <v>0.18</v>
      </c>
      <c r="I58" s="75" t="e">
        <f t="shared" si="25"/>
        <v>#DIV/0!</v>
      </c>
      <c r="J58" s="75" t="e">
        <f t="shared" si="26"/>
        <v>#DIV/0!</v>
      </c>
      <c r="K58" s="73">
        <f t="shared" si="27"/>
        <v>0</v>
      </c>
      <c r="L58" s="73" t="s">
        <v>242</v>
      </c>
      <c r="M58" s="74" t="e">
        <f t="shared" si="21"/>
        <v>#DIV/0!</v>
      </c>
    </row>
    <row r="59" spans="1:13" ht="30" x14ac:dyDescent="0.25">
      <c r="A59" s="1" t="str">
        <f t="shared" si="22"/>
        <v>ENQ-10773-22-23</v>
      </c>
      <c r="B59" s="51">
        <f t="shared" si="22"/>
        <v>45135</v>
      </c>
      <c r="C59" s="1" t="str">
        <f t="shared" si="22"/>
        <v>FA1300016</v>
      </c>
      <c r="D59" s="73" t="str">
        <f t="shared" si="22"/>
        <v>1 CORE X 630 SQ. MM. AL/ARM (XLPE)  - 11 KV</v>
      </c>
      <c r="E59" s="74">
        <f t="shared" si="23"/>
        <v>1201.8799999999999</v>
      </c>
      <c r="F59" s="77">
        <f t="shared" si="23"/>
        <v>26</v>
      </c>
      <c r="G59" s="75">
        <f t="shared" si="20"/>
        <v>1227.8799999999999</v>
      </c>
      <c r="H59" s="76">
        <f t="shared" si="24"/>
        <v>0.18</v>
      </c>
      <c r="I59" s="75">
        <f t="shared" si="25"/>
        <v>221.02</v>
      </c>
      <c r="J59" s="75">
        <f t="shared" si="26"/>
        <v>1448.9</v>
      </c>
      <c r="K59" s="73">
        <f t="shared" si="27"/>
        <v>5000</v>
      </c>
      <c r="L59" s="73" t="s">
        <v>242</v>
      </c>
      <c r="M59" s="74">
        <f t="shared" si="21"/>
        <v>7244500</v>
      </c>
    </row>
    <row r="60" spans="1:13" ht="30" x14ac:dyDescent="0.25">
      <c r="A60" s="1" t="str">
        <f t="shared" si="22"/>
        <v>ENQ-10773-22-23</v>
      </c>
      <c r="B60" s="51">
        <f t="shared" si="22"/>
        <v>45135</v>
      </c>
      <c r="C60" s="1" t="str">
        <f t="shared" si="22"/>
        <v>FA1300047</v>
      </c>
      <c r="D60" s="73" t="str">
        <f t="shared" si="22"/>
        <v>1 CORE X 400 SQ. MM. AL/ARM (XLPE) - 11 KV</v>
      </c>
      <c r="E60" s="74">
        <f t="shared" si="23"/>
        <v>911.87</v>
      </c>
      <c r="F60" s="77" t="e">
        <f t="shared" si="23"/>
        <v>#DIV/0!</v>
      </c>
      <c r="G60" s="75" t="e">
        <f t="shared" si="20"/>
        <v>#DIV/0!</v>
      </c>
      <c r="H60" s="76">
        <f t="shared" si="24"/>
        <v>0.18</v>
      </c>
      <c r="I60" s="75" t="e">
        <f t="shared" si="25"/>
        <v>#DIV/0!</v>
      </c>
      <c r="J60" s="75" t="e">
        <f t="shared" si="26"/>
        <v>#DIV/0!</v>
      </c>
      <c r="K60" s="73">
        <f t="shared" si="27"/>
        <v>0</v>
      </c>
      <c r="L60" s="73" t="s">
        <v>242</v>
      </c>
      <c r="M60" s="74" t="e">
        <f t="shared" si="21"/>
        <v>#DIV/0!</v>
      </c>
    </row>
    <row r="61" spans="1:13" ht="30" x14ac:dyDescent="0.25">
      <c r="A61" s="1" t="str">
        <f t="shared" si="22"/>
        <v>ENQ-10773-22-23</v>
      </c>
      <c r="B61" s="51">
        <f t="shared" si="22"/>
        <v>45135</v>
      </c>
      <c r="C61" s="1" t="str">
        <f t="shared" si="22"/>
        <v>FA1300080</v>
      </c>
      <c r="D61" s="73" t="str">
        <f t="shared" si="22"/>
        <v>3 CORE X 400 SQ. MM AL/ARM - WIRE (XLPE) - 33 KV</v>
      </c>
      <c r="E61" s="74">
        <f t="shared" si="23"/>
        <v>4221.4400000000005</v>
      </c>
      <c r="F61" s="77">
        <f t="shared" si="23"/>
        <v>130</v>
      </c>
      <c r="G61" s="75">
        <f t="shared" si="20"/>
        <v>4351.4400000000005</v>
      </c>
      <c r="H61" s="76">
        <f t="shared" si="24"/>
        <v>0.18</v>
      </c>
      <c r="I61" s="75">
        <f t="shared" si="25"/>
        <v>783.26</v>
      </c>
      <c r="J61" s="75">
        <f t="shared" si="26"/>
        <v>5134.7</v>
      </c>
      <c r="K61" s="73">
        <f t="shared" si="27"/>
        <v>7500</v>
      </c>
      <c r="L61" s="73" t="s">
        <v>242</v>
      </c>
      <c r="M61" s="74">
        <f t="shared" si="21"/>
        <v>38510250</v>
      </c>
    </row>
    <row r="62" spans="1:13" ht="30" x14ac:dyDescent="0.25">
      <c r="A62" s="1" t="str">
        <f t="shared" si="22"/>
        <v>ENQ-10773-22-23</v>
      </c>
      <c r="B62" s="51">
        <f t="shared" si="22"/>
        <v>45135</v>
      </c>
      <c r="C62" s="1" t="str">
        <f t="shared" si="22"/>
        <v>FA1300081</v>
      </c>
      <c r="D62" s="73" t="str">
        <f t="shared" si="22"/>
        <v>3 CORE X 300 SQ. MM. AL/ARM - WIRE (XLPE) - 33 KV</v>
      </c>
      <c r="E62" s="74">
        <f t="shared" si="23"/>
        <v>3709.1800000000003</v>
      </c>
      <c r="F62" s="77">
        <f t="shared" si="23"/>
        <v>156</v>
      </c>
      <c r="G62" s="75">
        <f t="shared" si="20"/>
        <v>3865.1800000000003</v>
      </c>
      <c r="H62" s="76">
        <f t="shared" si="24"/>
        <v>0.18</v>
      </c>
      <c r="I62" s="75">
        <f t="shared" si="25"/>
        <v>695.73</v>
      </c>
      <c r="J62" s="75">
        <f t="shared" si="26"/>
        <v>4560.91</v>
      </c>
      <c r="K62" s="73">
        <f t="shared" si="27"/>
        <v>1250</v>
      </c>
      <c r="L62" s="73" t="s">
        <v>242</v>
      </c>
      <c r="M62" s="74">
        <f t="shared" si="21"/>
        <v>5701137.5</v>
      </c>
    </row>
    <row r="63" spans="1:13" ht="30" x14ac:dyDescent="0.25">
      <c r="A63" s="1" t="str">
        <f t="shared" si="22"/>
        <v>ENQ-10773-22-23</v>
      </c>
      <c r="B63" s="51">
        <f t="shared" si="22"/>
        <v>45135</v>
      </c>
      <c r="C63" s="1" t="str">
        <f t="shared" si="22"/>
        <v>FA1300200</v>
      </c>
      <c r="D63" s="73" t="str">
        <f t="shared" si="22"/>
        <v>3 CORE X 95 SQ. MM. AL/ARM  WIRE (XLPE) - 33 KV</v>
      </c>
      <c r="E63" s="74">
        <f t="shared" si="23"/>
        <v>2262.63</v>
      </c>
      <c r="F63" s="77">
        <f t="shared" si="23"/>
        <v>130</v>
      </c>
      <c r="G63" s="75">
        <f t="shared" si="20"/>
        <v>2392.63</v>
      </c>
      <c r="H63" s="76">
        <f t="shared" si="24"/>
        <v>0.18</v>
      </c>
      <c r="I63" s="75">
        <f t="shared" si="25"/>
        <v>430.67</v>
      </c>
      <c r="J63" s="75">
        <f t="shared" si="26"/>
        <v>2823.3</v>
      </c>
      <c r="K63" s="73">
        <f t="shared" si="27"/>
        <v>500</v>
      </c>
      <c r="L63" s="73" t="s">
        <v>242</v>
      </c>
      <c r="M63" s="74">
        <f t="shared" si="21"/>
        <v>1411650</v>
      </c>
    </row>
    <row r="64" spans="1:13" ht="30" x14ac:dyDescent="0.25">
      <c r="A64" s="1" t="str">
        <f t="shared" si="22"/>
        <v>ENQ-10773-22-23</v>
      </c>
      <c r="B64" s="51">
        <f t="shared" si="22"/>
        <v>45135</v>
      </c>
      <c r="C64" s="1" t="str">
        <f t="shared" si="22"/>
        <v>FA1300027</v>
      </c>
      <c r="D64" s="73" t="str">
        <f t="shared" si="22"/>
        <v>1 CORE X 630 SQ. MM. AL/ARM (XLPE)  - 33 KV</v>
      </c>
      <c r="E64" s="74">
        <f t="shared" si="23"/>
        <v>1563.06</v>
      </c>
      <c r="F64" s="77">
        <f t="shared" si="23"/>
        <v>33.489999999999995</v>
      </c>
      <c r="G64" s="75">
        <f t="shared" si="20"/>
        <v>1596.55</v>
      </c>
      <c r="H64" s="76">
        <f t="shared" si="24"/>
        <v>0.18</v>
      </c>
      <c r="I64" s="75">
        <f t="shared" si="25"/>
        <v>287.38</v>
      </c>
      <c r="J64" s="75">
        <f t="shared" si="26"/>
        <v>1883.93</v>
      </c>
      <c r="K64" s="73">
        <f t="shared" si="27"/>
        <v>33000</v>
      </c>
      <c r="L64" s="73" t="s">
        <v>242</v>
      </c>
      <c r="M64" s="74">
        <f t="shared" si="21"/>
        <v>62169690</v>
      </c>
    </row>
    <row r="65" spans="1:13" ht="30" x14ac:dyDescent="0.25">
      <c r="A65" s="1" t="str">
        <f t="shared" si="22"/>
        <v>ENQ-10773-22-23</v>
      </c>
      <c r="B65" s="51">
        <f t="shared" si="22"/>
        <v>45135</v>
      </c>
      <c r="C65" s="1" t="str">
        <f t="shared" si="22"/>
        <v>FA1300018</v>
      </c>
      <c r="D65" s="73" t="str">
        <f t="shared" si="22"/>
        <v>1 CORE X 400 SQ. MM. AL/ARM (XLPE) - 33 KV</v>
      </c>
      <c r="E65" s="74">
        <f t="shared" si="23"/>
        <v>1212.53</v>
      </c>
      <c r="F65" s="77">
        <f t="shared" si="23"/>
        <v>26</v>
      </c>
      <c r="G65" s="75">
        <f t="shared" si="20"/>
        <v>1238.53</v>
      </c>
      <c r="H65" s="76">
        <f t="shared" si="24"/>
        <v>0.18</v>
      </c>
      <c r="I65" s="75">
        <f t="shared" si="25"/>
        <v>222.94</v>
      </c>
      <c r="J65" s="75">
        <f t="shared" si="26"/>
        <v>1461.47</v>
      </c>
      <c r="K65" s="73">
        <f t="shared" si="27"/>
        <v>12500</v>
      </c>
      <c r="L65" s="73" t="s">
        <v>242</v>
      </c>
      <c r="M65" s="74">
        <f t="shared" si="21"/>
        <v>18268375</v>
      </c>
    </row>
    <row r="66" spans="1:13" ht="30" x14ac:dyDescent="0.25">
      <c r="A66" s="1" t="str">
        <f t="shared" si="22"/>
        <v>ENQ-10773-22-23</v>
      </c>
      <c r="B66" s="51">
        <f t="shared" si="22"/>
        <v>45135</v>
      </c>
      <c r="C66" s="1" t="str">
        <f t="shared" si="22"/>
        <v>FA1300019</v>
      </c>
      <c r="D66" s="73" t="str">
        <f t="shared" si="22"/>
        <v>1 CORE X 300 SQ. MM. AL/ARM (XLPE)  - 33 KV</v>
      </c>
      <c r="E66" s="74">
        <f t="shared" si="23"/>
        <v>1056.1500000000001</v>
      </c>
      <c r="F66" s="77" t="e">
        <f t="shared" si="23"/>
        <v>#DIV/0!</v>
      </c>
      <c r="G66" s="75" t="e">
        <f t="shared" si="20"/>
        <v>#DIV/0!</v>
      </c>
      <c r="H66" s="76">
        <f t="shared" si="24"/>
        <v>0.18</v>
      </c>
      <c r="I66" s="75" t="e">
        <f t="shared" si="25"/>
        <v>#DIV/0!</v>
      </c>
      <c r="J66" s="75" t="e">
        <f t="shared" si="26"/>
        <v>#DIV/0!</v>
      </c>
      <c r="K66" s="73">
        <f t="shared" si="27"/>
        <v>0</v>
      </c>
      <c r="L66" s="73" t="s">
        <v>242</v>
      </c>
      <c r="M66" s="74" t="e">
        <f t="shared" si="21"/>
        <v>#DIV/0!</v>
      </c>
    </row>
  </sheetData>
  <mergeCells count="19">
    <mergeCell ref="AS16:BB16"/>
    <mergeCell ref="N16:R16"/>
    <mergeCell ref="S16:T16"/>
    <mergeCell ref="U16:AB16"/>
    <mergeCell ref="AC16:AD16"/>
    <mergeCell ref="AE16:AJ16"/>
    <mergeCell ref="AL16:AR16"/>
    <mergeCell ref="B14:R14"/>
    <mergeCell ref="A2:R2"/>
    <mergeCell ref="B4:R4"/>
    <mergeCell ref="B5:R5"/>
    <mergeCell ref="B6:R6"/>
    <mergeCell ref="B7:R7"/>
    <mergeCell ref="B8:R8"/>
    <mergeCell ref="B9:R9"/>
    <mergeCell ref="B10:R10"/>
    <mergeCell ref="B11:R11"/>
    <mergeCell ref="B12:R12"/>
    <mergeCell ref="B13:R13"/>
  </mergeCell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0:W26"/>
  <sheetViews>
    <sheetView showZeros="0" topLeftCell="K12" workbookViewId="0">
      <selection activeCell="U26" sqref="U26"/>
    </sheetView>
  </sheetViews>
  <sheetFormatPr defaultRowHeight="15" x14ac:dyDescent="0.25"/>
  <cols>
    <col min="1" max="1" width="16.85546875" customWidth="1"/>
    <col min="2" max="2" width="10.42578125" bestFit="1" customWidth="1"/>
    <col min="3" max="3" width="11.28515625" customWidth="1"/>
    <col min="4" max="4" width="48.5703125" customWidth="1"/>
    <col min="5" max="5" width="7.85546875" bestFit="1" customWidth="1"/>
    <col min="6" max="6" width="8.28515625" bestFit="1" customWidth="1"/>
    <col min="7" max="7" width="7.5703125" bestFit="1" customWidth="1"/>
    <col min="13" max="13" width="12.28515625" customWidth="1"/>
    <col min="14" max="14" width="12.42578125" customWidth="1"/>
    <col min="15" max="15" width="11.42578125" customWidth="1"/>
    <col min="16" max="18" width="15.28515625" bestFit="1" customWidth="1"/>
    <col min="19" max="19" width="16.28515625" customWidth="1"/>
  </cols>
  <sheetData>
    <row r="10" spans="1:23" ht="38.25" x14ac:dyDescent="0.25">
      <c r="A10" s="18" t="s">
        <v>0</v>
      </c>
      <c r="B10" s="18" t="s">
        <v>134</v>
      </c>
      <c r="C10" s="18" t="s">
        <v>1</v>
      </c>
      <c r="D10" s="18" t="s">
        <v>2</v>
      </c>
      <c r="E10" s="102" t="s">
        <v>76</v>
      </c>
      <c r="F10" s="103"/>
      <c r="G10" s="104"/>
      <c r="H10" s="5" t="s">
        <v>238</v>
      </c>
      <c r="I10" s="105" t="s">
        <v>239</v>
      </c>
      <c r="J10" s="106"/>
      <c r="K10" s="107"/>
      <c r="L10" s="6" t="s">
        <v>73</v>
      </c>
      <c r="M10" s="105" t="s">
        <v>253</v>
      </c>
      <c r="N10" s="106"/>
      <c r="O10" s="107"/>
      <c r="P10" s="105" t="s">
        <v>253</v>
      </c>
      <c r="Q10" s="106"/>
      <c r="R10" s="107"/>
      <c r="S10" s="11" t="s">
        <v>260</v>
      </c>
      <c r="U10" s="105" t="s">
        <v>262</v>
      </c>
      <c r="V10" s="106"/>
      <c r="W10" s="107"/>
    </row>
    <row r="11" spans="1:23" x14ac:dyDescent="0.25">
      <c r="A11" s="27"/>
      <c r="B11" s="27"/>
      <c r="C11" s="27"/>
      <c r="D11" s="27"/>
      <c r="E11" s="85" t="s">
        <v>243</v>
      </c>
      <c r="F11" s="85" t="s">
        <v>244</v>
      </c>
      <c r="G11" s="85" t="s">
        <v>245</v>
      </c>
      <c r="H11" s="5"/>
      <c r="I11" s="85" t="s">
        <v>243</v>
      </c>
      <c r="J11" s="85" t="s">
        <v>244</v>
      </c>
      <c r="K11" s="85" t="s">
        <v>245</v>
      </c>
      <c r="L11" s="5"/>
      <c r="M11" s="85" t="s">
        <v>243</v>
      </c>
      <c r="N11" s="85" t="s">
        <v>244</v>
      </c>
      <c r="O11" s="85" t="s">
        <v>245</v>
      </c>
      <c r="P11" s="85" t="s">
        <v>243</v>
      </c>
      <c r="Q11" s="85" t="s">
        <v>244</v>
      </c>
      <c r="R11" s="85" t="s">
        <v>245</v>
      </c>
      <c r="S11" s="5"/>
      <c r="U11" s="85" t="s">
        <v>243</v>
      </c>
      <c r="V11" s="85" t="s">
        <v>244</v>
      </c>
      <c r="W11" s="85" t="s">
        <v>245</v>
      </c>
    </row>
    <row r="12" spans="1:23" x14ac:dyDescent="0.25">
      <c r="A12" s="27"/>
      <c r="B12" s="27"/>
      <c r="C12" s="27"/>
      <c r="D12" s="27"/>
      <c r="E12" s="85" t="s">
        <v>246</v>
      </c>
      <c r="F12" s="85" t="s">
        <v>247</v>
      </c>
      <c r="G12" s="85" t="s">
        <v>248</v>
      </c>
      <c r="H12" s="5" t="s">
        <v>249</v>
      </c>
      <c r="I12" s="85" t="s">
        <v>250</v>
      </c>
      <c r="J12" s="85" t="s">
        <v>251</v>
      </c>
      <c r="K12" s="85" t="s">
        <v>252</v>
      </c>
      <c r="L12" s="81">
        <v>0.18</v>
      </c>
      <c r="M12" s="85" t="s">
        <v>254</v>
      </c>
      <c r="N12" s="85" t="s">
        <v>255</v>
      </c>
      <c r="O12" s="85" t="s">
        <v>256</v>
      </c>
      <c r="P12" s="85" t="s">
        <v>257</v>
      </c>
      <c r="Q12" s="85" t="s">
        <v>258</v>
      </c>
      <c r="R12" s="85" t="s">
        <v>259</v>
      </c>
      <c r="S12" s="85" t="s">
        <v>261</v>
      </c>
    </row>
    <row r="13" spans="1:23" x14ac:dyDescent="0.25">
      <c r="A13" s="1" t="s">
        <v>168</v>
      </c>
      <c r="B13" s="51">
        <v>45135</v>
      </c>
      <c r="C13" s="1" t="s">
        <v>215</v>
      </c>
      <c r="D13" s="73" t="s">
        <v>216</v>
      </c>
      <c r="E13" s="73">
        <f>TPNODL!K53</f>
        <v>12600</v>
      </c>
      <c r="F13" s="73">
        <f>TPWODL!K53</f>
        <v>0</v>
      </c>
      <c r="G13" s="73">
        <f>TPCODL!K53</f>
        <v>28500</v>
      </c>
      <c r="H13" s="82">
        <v>3235.57</v>
      </c>
      <c r="I13" s="74">
        <f>IFERROR(TPNODL!F53,0)</f>
        <v>94.45</v>
      </c>
      <c r="J13" s="74">
        <f>IFERROR(TPWODL!F53,0)</f>
        <v>0</v>
      </c>
      <c r="K13" s="77">
        <f>IFERROR(TPCODL!F53,0)</f>
        <v>86.67</v>
      </c>
      <c r="L13" s="83">
        <v>0.18</v>
      </c>
      <c r="M13" s="84">
        <f>ROUND((H13+I13)*1.18,2)</f>
        <v>3929.42</v>
      </c>
      <c r="N13" s="84">
        <f t="shared" ref="N13:N26" si="0">ROUND((H13+J13)*1.18,2)</f>
        <v>3817.97</v>
      </c>
      <c r="O13" s="84">
        <f t="shared" ref="O13:O26" si="1">ROUND((H13+K13)*1.18,2)</f>
        <v>3920.24</v>
      </c>
      <c r="P13" s="74">
        <f>ROUND(E13*M13,2)</f>
        <v>49510692</v>
      </c>
      <c r="Q13" s="74">
        <f>ROUND(F13*N13,2)</f>
        <v>0</v>
      </c>
      <c r="R13" s="74">
        <f>ROUND(G13*O13,2)</f>
        <v>111726840</v>
      </c>
      <c r="S13" s="75">
        <f>P13+Q13+R13</f>
        <v>161237532</v>
      </c>
      <c r="U13" s="86">
        <f>TPNODL!E53</f>
        <v>3241.8</v>
      </c>
      <c r="V13" s="86">
        <f>TPWODL!E53</f>
        <v>3241.8</v>
      </c>
      <c r="W13" s="86">
        <f>TPCODL!E53</f>
        <v>3241.8</v>
      </c>
    </row>
    <row r="14" spans="1:23" x14ac:dyDescent="0.25">
      <c r="A14" s="1" t="s">
        <v>168</v>
      </c>
      <c r="B14" s="51">
        <v>45135</v>
      </c>
      <c r="C14" s="1" t="s">
        <v>222</v>
      </c>
      <c r="D14" s="73" t="s">
        <v>223</v>
      </c>
      <c r="E14" s="73">
        <f>TPNODL!K54</f>
        <v>38400</v>
      </c>
      <c r="F14" s="73">
        <f>TPWODL!K54</f>
        <v>114000</v>
      </c>
      <c r="G14" s="73">
        <f>TPCODL!K54</f>
        <v>1750</v>
      </c>
      <c r="H14" s="82">
        <v>2593.44</v>
      </c>
      <c r="I14" s="74">
        <f>IFERROR(TPNODL!F54,0)</f>
        <v>71.100000000000009</v>
      </c>
      <c r="J14" s="74">
        <f>IFERROR(TPWODL!F54,0)</f>
        <v>65</v>
      </c>
      <c r="K14" s="77">
        <f>IFERROR(TPCODL!F54,0)</f>
        <v>74.290000000000006</v>
      </c>
      <c r="L14" s="83">
        <v>0.18</v>
      </c>
      <c r="M14" s="84">
        <f t="shared" ref="M14:M26" si="2">ROUND((H14+I14)*1.18,2)</f>
        <v>3144.16</v>
      </c>
      <c r="N14" s="84">
        <f t="shared" si="0"/>
        <v>3136.96</v>
      </c>
      <c r="O14" s="84">
        <f t="shared" si="1"/>
        <v>3147.92</v>
      </c>
      <c r="P14" s="74">
        <f t="shared" ref="P14:P26" si="3">ROUND(E14*M14,2)</f>
        <v>120735744</v>
      </c>
      <c r="Q14" s="74">
        <f t="shared" ref="Q14:Q26" si="4">ROUND(F14*N14,2)</f>
        <v>357613440</v>
      </c>
      <c r="R14" s="74">
        <f t="shared" ref="R14:R26" si="5">ROUND(G14*O14,2)</f>
        <v>5508860</v>
      </c>
      <c r="S14" s="75">
        <f t="shared" ref="S14:S26" si="6">P14+Q14+R14</f>
        <v>483858044</v>
      </c>
      <c r="U14" s="86">
        <f>TPNODL!E54</f>
        <v>2598.3000000000002</v>
      </c>
      <c r="V14" s="86">
        <f>TPWODL!E54</f>
        <v>2598.3000000000002</v>
      </c>
      <c r="W14" s="86">
        <f>TPCODL!E54</f>
        <v>2598.3000000000002</v>
      </c>
    </row>
    <row r="15" spans="1:23" x14ac:dyDescent="0.25">
      <c r="A15" s="1" t="s">
        <v>168</v>
      </c>
      <c r="B15" s="51">
        <v>45135</v>
      </c>
      <c r="C15" s="1" t="s">
        <v>177</v>
      </c>
      <c r="D15" s="73" t="s">
        <v>178</v>
      </c>
      <c r="E15" s="73">
        <f>TPNODL!K55</f>
        <v>0</v>
      </c>
      <c r="F15" s="73">
        <f>TPWODL!K55</f>
        <v>0</v>
      </c>
      <c r="G15" s="73">
        <f>TPCODL!K55</f>
        <v>1000</v>
      </c>
      <c r="H15" s="82">
        <v>1668.81</v>
      </c>
      <c r="I15" s="74">
        <f>IFERROR(TPNODL!F55,0)</f>
        <v>0</v>
      </c>
      <c r="J15" s="74">
        <f>IFERROR(TPWODL!F55,0)</f>
        <v>0</v>
      </c>
      <c r="K15" s="77">
        <f>IFERROR(TPCODL!F55,0)</f>
        <v>65</v>
      </c>
      <c r="L15" s="83">
        <v>0.18</v>
      </c>
      <c r="M15" s="84">
        <f t="shared" si="2"/>
        <v>1969.2</v>
      </c>
      <c r="N15" s="84">
        <f t="shared" si="0"/>
        <v>1969.2</v>
      </c>
      <c r="O15" s="84">
        <f t="shared" si="1"/>
        <v>2045.9</v>
      </c>
      <c r="P15" s="74">
        <f t="shared" si="3"/>
        <v>0</v>
      </c>
      <c r="Q15" s="74">
        <f t="shared" si="4"/>
        <v>0</v>
      </c>
      <c r="R15" s="74">
        <f t="shared" si="5"/>
        <v>2045900</v>
      </c>
      <c r="S15" s="75">
        <f t="shared" si="6"/>
        <v>2045900</v>
      </c>
      <c r="U15" s="86">
        <f>TPNODL!E55</f>
        <v>1671.59</v>
      </c>
      <c r="V15" s="86">
        <f>TPWODL!E55</f>
        <v>1671.59</v>
      </c>
      <c r="W15" s="86">
        <f>TPCODL!E55</f>
        <v>1671.59</v>
      </c>
    </row>
    <row r="16" spans="1:23" x14ac:dyDescent="0.25">
      <c r="A16" s="1" t="s">
        <v>168</v>
      </c>
      <c r="B16" s="51">
        <v>45135</v>
      </c>
      <c r="C16" s="1" t="s">
        <v>187</v>
      </c>
      <c r="D16" s="73" t="s">
        <v>188</v>
      </c>
      <c r="E16" s="73">
        <f>TPNODL!K56</f>
        <v>1000</v>
      </c>
      <c r="F16" s="73">
        <f>TPWODL!K56</f>
        <v>0</v>
      </c>
      <c r="G16" s="73">
        <f>TPCODL!K56</f>
        <v>6500</v>
      </c>
      <c r="H16" s="82">
        <v>1459.7</v>
      </c>
      <c r="I16" s="74">
        <f>IFERROR(TPNODL!F56,0)</f>
        <v>70</v>
      </c>
      <c r="J16" s="74">
        <f>IFERROR(TPWODL!F56,0)</f>
        <v>0</v>
      </c>
      <c r="K16" s="77">
        <f>IFERROR(TPCODL!F56,0)</f>
        <v>60</v>
      </c>
      <c r="L16" s="83">
        <v>0.18</v>
      </c>
      <c r="M16" s="84">
        <f t="shared" si="2"/>
        <v>1805.05</v>
      </c>
      <c r="N16" s="84">
        <f t="shared" si="0"/>
        <v>1722.45</v>
      </c>
      <c r="O16" s="84">
        <f t="shared" si="1"/>
        <v>1793.25</v>
      </c>
      <c r="P16" s="74">
        <f t="shared" si="3"/>
        <v>1805050</v>
      </c>
      <c r="Q16" s="74">
        <f t="shared" si="4"/>
        <v>0</v>
      </c>
      <c r="R16" s="74">
        <f t="shared" si="5"/>
        <v>11656125</v>
      </c>
      <c r="S16" s="75">
        <f t="shared" si="6"/>
        <v>13461175</v>
      </c>
      <c r="U16" s="86">
        <f>TPNODL!E56</f>
        <v>1462.05</v>
      </c>
      <c r="V16" s="86">
        <f>TPWODL!E56</f>
        <v>1462.05</v>
      </c>
      <c r="W16" s="86">
        <f>TPCODL!E56</f>
        <v>1462.05</v>
      </c>
    </row>
    <row r="17" spans="1:23" x14ac:dyDescent="0.25">
      <c r="A17" s="1" t="s">
        <v>168</v>
      </c>
      <c r="B17" s="51">
        <v>45135</v>
      </c>
      <c r="C17" s="1" t="s">
        <v>233</v>
      </c>
      <c r="D17" s="73" t="s">
        <v>234</v>
      </c>
      <c r="E17" s="73">
        <f>TPNODL!K57</f>
        <v>0</v>
      </c>
      <c r="F17" s="73">
        <f>TPWODL!K57</f>
        <v>0</v>
      </c>
      <c r="G17" s="73">
        <f>TPCODL!K57</f>
        <v>2500</v>
      </c>
      <c r="H17" s="82">
        <v>1314.69</v>
      </c>
      <c r="I17" s="74">
        <f>IFERROR(TPNODL!F57,0)</f>
        <v>0</v>
      </c>
      <c r="J17" s="74">
        <f>IFERROR(TPWODL!F57,0)</f>
        <v>0</v>
      </c>
      <c r="K17" s="77">
        <f>IFERROR(TPCODL!F57,0)</f>
        <v>52</v>
      </c>
      <c r="L17" s="83">
        <v>0.18</v>
      </c>
      <c r="M17" s="84">
        <f t="shared" si="2"/>
        <v>1551.33</v>
      </c>
      <c r="N17" s="84">
        <f t="shared" si="0"/>
        <v>1551.33</v>
      </c>
      <c r="O17" s="84">
        <f t="shared" si="1"/>
        <v>1612.69</v>
      </c>
      <c r="P17" s="74">
        <f t="shared" si="3"/>
        <v>0</v>
      </c>
      <c r="Q17" s="74">
        <f t="shared" si="4"/>
        <v>0</v>
      </c>
      <c r="R17" s="74">
        <f t="shared" si="5"/>
        <v>4031725</v>
      </c>
      <c r="S17" s="75">
        <f t="shared" si="6"/>
        <v>4031725</v>
      </c>
      <c r="U17" s="86">
        <f>TPNODL!E57</f>
        <v>1316.67</v>
      </c>
      <c r="V17" s="86">
        <f>TPWODL!E57</f>
        <v>1316.67</v>
      </c>
      <c r="W17" s="86">
        <f>TPCODL!E57</f>
        <v>1316.67</v>
      </c>
    </row>
    <row r="18" spans="1:23" x14ac:dyDescent="0.25">
      <c r="A18" s="1" t="s">
        <v>168</v>
      </c>
      <c r="B18" s="51">
        <v>45135</v>
      </c>
      <c r="C18" s="1" t="s">
        <v>195</v>
      </c>
      <c r="D18" s="73" t="s">
        <v>196</v>
      </c>
      <c r="E18" s="73">
        <f>TPNODL!K58</f>
        <v>0</v>
      </c>
      <c r="F18" s="73">
        <f>TPWODL!K58</f>
        <v>15000</v>
      </c>
      <c r="G18" s="73">
        <f>TPCODL!K58</f>
        <v>0</v>
      </c>
      <c r="H18" s="82">
        <v>1847.89</v>
      </c>
      <c r="I18" s="74">
        <f>IFERROR(TPNODL!F58,0)</f>
        <v>0</v>
      </c>
      <c r="J18" s="74">
        <f>IFERROR(TPWODL!F58,0)</f>
        <v>34.669999999999995</v>
      </c>
      <c r="K18" s="77">
        <f>IFERROR(TPCODL!F58,0)</f>
        <v>0</v>
      </c>
      <c r="L18" s="83">
        <v>0.18</v>
      </c>
      <c r="M18" s="84">
        <f t="shared" si="2"/>
        <v>2180.5100000000002</v>
      </c>
      <c r="N18" s="84">
        <f t="shared" si="0"/>
        <v>2221.42</v>
      </c>
      <c r="O18" s="84">
        <f t="shared" si="1"/>
        <v>2180.5100000000002</v>
      </c>
      <c r="P18" s="74">
        <f t="shared" si="3"/>
        <v>0</v>
      </c>
      <c r="Q18" s="74">
        <f t="shared" si="4"/>
        <v>33321300</v>
      </c>
      <c r="R18" s="74">
        <f t="shared" si="5"/>
        <v>0</v>
      </c>
      <c r="S18" s="75">
        <f t="shared" si="6"/>
        <v>33321300</v>
      </c>
      <c r="U18" s="86">
        <f>TPNODL!E58</f>
        <v>1852.71</v>
      </c>
      <c r="V18" s="86">
        <f>TPWODL!E58</f>
        <v>1852.71</v>
      </c>
      <c r="W18" s="86">
        <f>TPCODL!E58</f>
        <v>1852.71</v>
      </c>
    </row>
    <row r="19" spans="1:23" x14ac:dyDescent="0.25">
      <c r="A19" s="1" t="s">
        <v>168</v>
      </c>
      <c r="B19" s="51">
        <v>45135</v>
      </c>
      <c r="C19" s="1" t="s">
        <v>183</v>
      </c>
      <c r="D19" s="73" t="s">
        <v>184</v>
      </c>
      <c r="E19" s="73">
        <f>TPNODL!K59</f>
        <v>0</v>
      </c>
      <c r="F19" s="73">
        <f>TPWODL!K59</f>
        <v>0</v>
      </c>
      <c r="G19" s="73">
        <f>TPCODL!K59</f>
        <v>5000</v>
      </c>
      <c r="H19" s="82">
        <v>1198.77</v>
      </c>
      <c r="I19" s="74">
        <f>IFERROR(TPNODL!F59,0)</f>
        <v>0</v>
      </c>
      <c r="J19" s="74">
        <f>IFERROR(TPWODL!F59,0)</f>
        <v>0</v>
      </c>
      <c r="K19" s="77">
        <f>IFERROR(TPCODL!F59,0)</f>
        <v>26</v>
      </c>
      <c r="L19" s="83">
        <v>0.18</v>
      </c>
      <c r="M19" s="84">
        <f t="shared" si="2"/>
        <v>1414.55</v>
      </c>
      <c r="N19" s="84">
        <f t="shared" si="0"/>
        <v>1414.55</v>
      </c>
      <c r="O19" s="84">
        <f t="shared" si="1"/>
        <v>1445.23</v>
      </c>
      <c r="P19" s="74">
        <f t="shared" si="3"/>
        <v>0</v>
      </c>
      <c r="Q19" s="74">
        <f t="shared" si="4"/>
        <v>0</v>
      </c>
      <c r="R19" s="74">
        <f t="shared" si="5"/>
        <v>7226150</v>
      </c>
      <c r="S19" s="75">
        <f t="shared" si="6"/>
        <v>7226150</v>
      </c>
      <c r="U19" s="86">
        <f>TPNODL!E59</f>
        <v>1201.8799999999999</v>
      </c>
      <c r="V19" s="86">
        <f>TPWODL!E59</f>
        <v>1201.8799999999999</v>
      </c>
      <c r="W19" s="86">
        <f>TPCODL!E59</f>
        <v>1201.8799999999999</v>
      </c>
    </row>
    <row r="20" spans="1:23" x14ac:dyDescent="0.25">
      <c r="A20" s="1" t="s">
        <v>168</v>
      </c>
      <c r="B20" s="51">
        <v>45135</v>
      </c>
      <c r="C20" s="1" t="s">
        <v>207</v>
      </c>
      <c r="D20" s="73" t="s">
        <v>208</v>
      </c>
      <c r="E20" s="73">
        <f>TPNODL!K60</f>
        <v>0</v>
      </c>
      <c r="F20" s="73">
        <f>TPWODL!K60</f>
        <v>40000</v>
      </c>
      <c r="G20" s="73">
        <f>TPCODL!K60</f>
        <v>0</v>
      </c>
      <c r="H20" s="82">
        <v>909.79</v>
      </c>
      <c r="I20" s="74">
        <f>IFERROR(TPNODL!F60,0)</f>
        <v>0</v>
      </c>
      <c r="J20" s="74">
        <f>IFERROR(TPWODL!F60,0)</f>
        <v>22.75</v>
      </c>
      <c r="K20" s="77">
        <f>IFERROR(TPCODL!F60,0)</f>
        <v>0</v>
      </c>
      <c r="L20" s="83">
        <v>0.18</v>
      </c>
      <c r="M20" s="84">
        <f t="shared" si="2"/>
        <v>1073.55</v>
      </c>
      <c r="N20" s="84">
        <f t="shared" si="0"/>
        <v>1100.4000000000001</v>
      </c>
      <c r="O20" s="84">
        <f t="shared" si="1"/>
        <v>1073.55</v>
      </c>
      <c r="P20" s="74">
        <f t="shared" si="3"/>
        <v>0</v>
      </c>
      <c r="Q20" s="74">
        <f t="shared" si="4"/>
        <v>44016000</v>
      </c>
      <c r="R20" s="74">
        <f t="shared" si="5"/>
        <v>0</v>
      </c>
      <c r="S20" s="75">
        <f t="shared" si="6"/>
        <v>44016000</v>
      </c>
      <c r="U20" s="86">
        <f>TPNODL!E60</f>
        <v>911.87</v>
      </c>
      <c r="V20" s="86">
        <f>TPWODL!E60</f>
        <v>911.87</v>
      </c>
      <c r="W20" s="86">
        <f>TPCODL!E60</f>
        <v>911.87</v>
      </c>
    </row>
    <row r="21" spans="1:23" x14ac:dyDescent="0.25">
      <c r="A21" s="1" t="s">
        <v>168</v>
      </c>
      <c r="B21" s="51">
        <v>45135</v>
      </c>
      <c r="C21" s="1" t="s">
        <v>219</v>
      </c>
      <c r="D21" s="73" t="s">
        <v>220</v>
      </c>
      <c r="E21" s="73">
        <f>TPNODL!K61</f>
        <v>36000</v>
      </c>
      <c r="F21" s="73">
        <f>TPWODL!K61</f>
        <v>60000</v>
      </c>
      <c r="G21" s="73">
        <f>TPCODL!K61</f>
        <v>7500</v>
      </c>
      <c r="H21" s="82">
        <v>4214.79</v>
      </c>
      <c r="I21" s="74">
        <f>IFERROR(TPNODL!F61,0)</f>
        <v>140</v>
      </c>
      <c r="J21" s="74">
        <f>IFERROR(TPWODL!F61,0)</f>
        <v>130</v>
      </c>
      <c r="K21" s="77">
        <f>IFERROR(TPCODL!F61,0)</f>
        <v>130</v>
      </c>
      <c r="L21" s="83">
        <v>0.18</v>
      </c>
      <c r="M21" s="84">
        <f t="shared" si="2"/>
        <v>5138.6499999999996</v>
      </c>
      <c r="N21" s="84">
        <f t="shared" si="0"/>
        <v>5126.8500000000004</v>
      </c>
      <c r="O21" s="84">
        <f t="shared" si="1"/>
        <v>5126.8500000000004</v>
      </c>
      <c r="P21" s="74">
        <f t="shared" si="3"/>
        <v>184991400</v>
      </c>
      <c r="Q21" s="74">
        <f t="shared" si="4"/>
        <v>307611000</v>
      </c>
      <c r="R21" s="74">
        <f t="shared" si="5"/>
        <v>38451375</v>
      </c>
      <c r="S21" s="75">
        <f t="shared" si="6"/>
        <v>531053775</v>
      </c>
      <c r="U21" s="86">
        <f>TPNODL!E61</f>
        <v>4221.4400000000005</v>
      </c>
      <c r="V21" s="86">
        <f>TPWODL!E61</f>
        <v>4221.4400000000005</v>
      </c>
      <c r="W21" s="86">
        <f>TPCODL!E61</f>
        <v>4221.4400000000005</v>
      </c>
    </row>
    <row r="22" spans="1:23" x14ac:dyDescent="0.25">
      <c r="A22" s="1" t="s">
        <v>168</v>
      </c>
      <c r="B22" s="51">
        <v>45135</v>
      </c>
      <c r="C22" s="1" t="s">
        <v>199</v>
      </c>
      <c r="D22" s="73" t="s">
        <v>200</v>
      </c>
      <c r="E22" s="73">
        <f>TPNODL!K62</f>
        <v>10000</v>
      </c>
      <c r="F22" s="73">
        <f>TPWODL!K62</f>
        <v>13000</v>
      </c>
      <c r="G22" s="73">
        <f>TPCODL!K62</f>
        <v>1250</v>
      </c>
      <c r="H22" s="82">
        <v>3703.9300000000003</v>
      </c>
      <c r="I22" s="74">
        <f>IFERROR(TPNODL!F62,0)</f>
        <v>140</v>
      </c>
      <c r="J22" s="74">
        <f>IFERROR(TPWODL!F62,0)</f>
        <v>130</v>
      </c>
      <c r="K22" s="77">
        <f>IFERROR(TPCODL!F62,0)</f>
        <v>156</v>
      </c>
      <c r="L22" s="83">
        <v>0.18</v>
      </c>
      <c r="M22" s="84">
        <f t="shared" si="2"/>
        <v>4535.84</v>
      </c>
      <c r="N22" s="84">
        <f t="shared" si="0"/>
        <v>4524.04</v>
      </c>
      <c r="O22" s="84">
        <f t="shared" si="1"/>
        <v>4554.72</v>
      </c>
      <c r="P22" s="74">
        <f t="shared" si="3"/>
        <v>45358400</v>
      </c>
      <c r="Q22" s="74">
        <f t="shared" si="4"/>
        <v>58812520</v>
      </c>
      <c r="R22" s="74">
        <f t="shared" si="5"/>
        <v>5693400</v>
      </c>
      <c r="S22" s="75">
        <f t="shared" si="6"/>
        <v>109864320</v>
      </c>
      <c r="U22" s="86">
        <f>TPNODL!E62</f>
        <v>3709.1800000000003</v>
      </c>
      <c r="V22" s="86">
        <f>TPWODL!E62</f>
        <v>3709.1800000000003</v>
      </c>
      <c r="W22" s="86">
        <f>TPCODL!E62</f>
        <v>3709.1800000000003</v>
      </c>
    </row>
    <row r="23" spans="1:23" x14ac:dyDescent="0.25">
      <c r="A23" s="1" t="s">
        <v>168</v>
      </c>
      <c r="B23" s="51">
        <v>45135</v>
      </c>
      <c r="C23" s="1" t="s">
        <v>169</v>
      </c>
      <c r="D23" s="73" t="s">
        <v>170</v>
      </c>
      <c r="E23" s="73">
        <f>TPNODL!K63</f>
        <v>0</v>
      </c>
      <c r="F23" s="73">
        <f>TPWODL!K63</f>
        <v>0</v>
      </c>
      <c r="G23" s="73">
        <f>TPCODL!K63</f>
        <v>500</v>
      </c>
      <c r="H23" s="82">
        <v>2260.2700000000004</v>
      </c>
      <c r="I23" s="74">
        <f>IFERROR(TPNODL!F63,0)</f>
        <v>0</v>
      </c>
      <c r="J23" s="74">
        <f>IFERROR(TPWODL!F63,0)</f>
        <v>0</v>
      </c>
      <c r="K23" s="77">
        <f>IFERROR(TPCODL!F63,0)</f>
        <v>130</v>
      </c>
      <c r="L23" s="83">
        <v>0.18</v>
      </c>
      <c r="M23" s="84">
        <f t="shared" si="2"/>
        <v>2667.12</v>
      </c>
      <c r="N23" s="84">
        <f t="shared" si="0"/>
        <v>2667.12</v>
      </c>
      <c r="O23" s="84">
        <f t="shared" si="1"/>
        <v>2820.52</v>
      </c>
      <c r="P23" s="74">
        <f t="shared" si="3"/>
        <v>0</v>
      </c>
      <c r="Q23" s="74">
        <f t="shared" si="4"/>
        <v>0</v>
      </c>
      <c r="R23" s="74">
        <f t="shared" si="5"/>
        <v>1410260</v>
      </c>
      <c r="S23" s="75">
        <f t="shared" si="6"/>
        <v>1410260</v>
      </c>
      <c r="U23" s="86">
        <f>TPNODL!E63</f>
        <v>2262.63</v>
      </c>
      <c r="V23" s="86">
        <f>TPWODL!E63</f>
        <v>2262.63</v>
      </c>
      <c r="W23" s="86">
        <f>TPCODL!E63</f>
        <v>2262.63</v>
      </c>
    </row>
    <row r="24" spans="1:23" x14ac:dyDescent="0.25">
      <c r="A24" s="1" t="s">
        <v>168</v>
      </c>
      <c r="B24" s="51">
        <v>45135</v>
      </c>
      <c r="C24" s="1" t="s">
        <v>211</v>
      </c>
      <c r="D24" s="73" t="s">
        <v>212</v>
      </c>
      <c r="E24" s="73">
        <f>TPNODL!K64</f>
        <v>0</v>
      </c>
      <c r="F24" s="73">
        <f>TPWODL!K64</f>
        <v>0</v>
      </c>
      <c r="G24" s="73">
        <f>TPCODL!K64</f>
        <v>33000</v>
      </c>
      <c r="H24" s="82">
        <v>1559.83</v>
      </c>
      <c r="I24" s="74">
        <f>IFERROR(TPNODL!F64,0)</f>
        <v>0</v>
      </c>
      <c r="J24" s="74">
        <f>IFERROR(TPWODL!F64,0)</f>
        <v>0</v>
      </c>
      <c r="K24" s="77">
        <f>IFERROR(TPCODL!F64,0)</f>
        <v>33.489999999999995</v>
      </c>
      <c r="L24" s="83">
        <v>0.18</v>
      </c>
      <c r="M24" s="84">
        <f t="shared" si="2"/>
        <v>1840.6</v>
      </c>
      <c r="N24" s="84">
        <f t="shared" si="0"/>
        <v>1840.6</v>
      </c>
      <c r="O24" s="84">
        <f t="shared" si="1"/>
        <v>1880.12</v>
      </c>
      <c r="P24" s="74">
        <f t="shared" si="3"/>
        <v>0</v>
      </c>
      <c r="Q24" s="74">
        <f t="shared" si="4"/>
        <v>0</v>
      </c>
      <c r="R24" s="74">
        <f t="shared" si="5"/>
        <v>62043960</v>
      </c>
      <c r="S24" s="75">
        <f t="shared" si="6"/>
        <v>62043960</v>
      </c>
      <c r="U24" s="86">
        <f>TPNODL!E64</f>
        <v>1563.06</v>
      </c>
      <c r="V24" s="86">
        <f>TPWODL!E64</f>
        <v>1563.06</v>
      </c>
      <c r="W24" s="86">
        <f>TPCODL!E64</f>
        <v>1563.06</v>
      </c>
    </row>
    <row r="25" spans="1:23" x14ac:dyDescent="0.25">
      <c r="A25" s="1" t="s">
        <v>168</v>
      </c>
      <c r="B25" s="51">
        <v>45135</v>
      </c>
      <c r="C25" s="1" t="s">
        <v>203</v>
      </c>
      <c r="D25" s="73" t="s">
        <v>204</v>
      </c>
      <c r="E25" s="73">
        <f>TPNODL!K65</f>
        <v>0</v>
      </c>
      <c r="F25" s="73">
        <f>TPWODL!K65</f>
        <v>13000</v>
      </c>
      <c r="G25" s="73">
        <f>TPCODL!K65</f>
        <v>12500</v>
      </c>
      <c r="H25" s="82">
        <v>1210.32</v>
      </c>
      <c r="I25" s="74">
        <f>IFERROR(TPNODL!F65,0)</f>
        <v>0</v>
      </c>
      <c r="J25" s="74">
        <f>IFERROR(TPWODL!F65,0)</f>
        <v>30</v>
      </c>
      <c r="K25" s="77">
        <f>IFERROR(TPCODL!F65,0)</f>
        <v>26</v>
      </c>
      <c r="L25" s="83">
        <v>0.18</v>
      </c>
      <c r="M25" s="84">
        <f t="shared" si="2"/>
        <v>1428.18</v>
      </c>
      <c r="N25" s="84">
        <f t="shared" si="0"/>
        <v>1463.58</v>
      </c>
      <c r="O25" s="84">
        <f t="shared" si="1"/>
        <v>1458.86</v>
      </c>
      <c r="P25" s="74">
        <f t="shared" si="3"/>
        <v>0</v>
      </c>
      <c r="Q25" s="74">
        <f t="shared" si="4"/>
        <v>19026540</v>
      </c>
      <c r="R25" s="74">
        <f t="shared" si="5"/>
        <v>18235750</v>
      </c>
      <c r="S25" s="75">
        <f t="shared" si="6"/>
        <v>37262290</v>
      </c>
      <c r="U25" s="86">
        <f>TPNODL!E65</f>
        <v>1212.53</v>
      </c>
      <c r="V25" s="86">
        <f>TPWODL!E65</f>
        <v>1212.53</v>
      </c>
      <c r="W25" s="86">
        <f>TPCODL!E65</f>
        <v>1212.53</v>
      </c>
    </row>
    <row r="26" spans="1:23" x14ac:dyDescent="0.25">
      <c r="A26" s="1" t="s">
        <v>168</v>
      </c>
      <c r="B26" s="51">
        <v>45135</v>
      </c>
      <c r="C26" s="1" t="s">
        <v>191</v>
      </c>
      <c r="D26" s="73" t="s">
        <v>192</v>
      </c>
      <c r="E26" s="73">
        <f>TPNODL!K66</f>
        <v>0</v>
      </c>
      <c r="F26" s="73">
        <f>TPWODL!K66</f>
        <v>13000</v>
      </c>
      <c r="G26" s="73">
        <f>TPCODL!K66</f>
        <v>0</v>
      </c>
      <c r="H26" s="82">
        <v>1054.3900000000001</v>
      </c>
      <c r="I26" s="74">
        <f>IFERROR(TPNODL!F66,0)</f>
        <v>0</v>
      </c>
      <c r="J26" s="74">
        <f>IFERROR(TPWODL!F66,0)</f>
        <v>25</v>
      </c>
      <c r="K26" s="77">
        <f>IFERROR(TPCODL!F66,0)</f>
        <v>0</v>
      </c>
      <c r="L26" s="83">
        <v>0.18</v>
      </c>
      <c r="M26" s="84">
        <f t="shared" si="2"/>
        <v>1244.18</v>
      </c>
      <c r="N26" s="84">
        <f t="shared" si="0"/>
        <v>1273.68</v>
      </c>
      <c r="O26" s="84">
        <f t="shared" si="1"/>
        <v>1244.18</v>
      </c>
      <c r="P26" s="74">
        <f t="shared" si="3"/>
        <v>0</v>
      </c>
      <c r="Q26" s="74">
        <f t="shared" si="4"/>
        <v>16557840</v>
      </c>
      <c r="R26" s="74">
        <f t="shared" si="5"/>
        <v>0</v>
      </c>
      <c r="S26" s="75">
        <f t="shared" si="6"/>
        <v>16557840</v>
      </c>
      <c r="U26" s="86">
        <f>TPNODL!E66</f>
        <v>1056.1500000000001</v>
      </c>
      <c r="V26" s="86">
        <f>TPWODL!E66</f>
        <v>1056.1500000000001</v>
      </c>
      <c r="W26" s="86">
        <f>TPCODL!E66</f>
        <v>1056.1500000000001</v>
      </c>
    </row>
  </sheetData>
  <mergeCells count="5">
    <mergeCell ref="E10:G10"/>
    <mergeCell ref="I10:K10"/>
    <mergeCell ref="M10:O10"/>
    <mergeCell ref="P10:R10"/>
    <mergeCell ref="U10:W10"/>
  </mergeCells>
  <pageMargins left="0.70866141732283472" right="0.70866141732283472" top="0.74803149606299213" bottom="0.74803149606299213" header="0.31496062992125984" footer="0.31496062992125984"/>
  <pageSetup scale="4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TPNODL</vt:lpstr>
      <vt:lpstr>TPWODL</vt:lpstr>
      <vt:lpstr>TPCODL</vt:lpstr>
      <vt:lpstr>PRICE BID FORMAT</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2023-07-31T14:12:29Z</cp:lastPrinted>
  <dcterms:created xsi:type="dcterms:W3CDTF">2021-04-03T12:13:55Z</dcterms:created>
  <dcterms:modified xsi:type="dcterms:W3CDTF">2023-08-01T09:20:42Z</dcterms:modified>
</cp:coreProperties>
</file>