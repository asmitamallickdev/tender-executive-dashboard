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E:\working\2026-27\06_JUNE 2026\TATAPOWER-CONDUCTOR-19613\"/>
    </mc:Choice>
  </mc:AlternateContent>
  <xr:revisionPtr revIDLastSave="0" documentId="13_ncr:1_{CB912FD4-14A2-43D0-A0AD-9999A062C2E3}" xr6:coauthVersionLast="47" xr6:coauthVersionMax="47" xr10:uidLastSave="{00000000-0000-0000-0000-000000000000}"/>
  <bookViews>
    <workbookView xWindow="435" yWindow="6675" windowWidth="28710" windowHeight="927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4" l="1"/>
  <c r="T12" i="6"/>
  <c r="T11" i="6"/>
  <c r="R12" i="6"/>
  <c r="R11" i="6"/>
  <c r="Q12" i="6"/>
  <c r="S12" i="6" s="1"/>
  <c r="Q11" i="6"/>
  <c r="S11" i="6" s="1"/>
  <c r="Z12" i="6"/>
  <c r="Z11" i="6"/>
  <c r="X12" i="6"/>
  <c r="X11" i="6"/>
  <c r="W12" i="6"/>
  <c r="W11" i="6"/>
  <c r="V12" i="6"/>
  <c r="Y12" i="6" s="1"/>
  <c r="AA12" i="6" s="1"/>
  <c r="V11" i="6"/>
  <c r="Y11" i="6" s="1"/>
  <c r="AA11" i="6" s="1"/>
  <c r="X9" i="6"/>
  <c r="W9" i="6"/>
  <c r="V9" i="6"/>
  <c r="A12" i="6"/>
  <c r="A11" i="6"/>
  <c r="K27" i="4" l="1"/>
  <c r="K28" i="4"/>
  <c r="H28" i="4"/>
  <c r="H27" i="4"/>
  <c r="CK22" i="4" l="1"/>
  <c r="CK21" i="4"/>
  <c r="N28" i="4" l="1"/>
  <c r="N27" i="4"/>
  <c r="F28" i="4"/>
  <c r="J28" i="4" s="1"/>
  <c r="F27" i="4" l="1"/>
  <c r="J27" i="4" l="1"/>
  <c r="CX21" i="4"/>
  <c r="CM21" i="4"/>
  <c r="CF21" i="4"/>
  <c r="CE21" i="4"/>
  <c r="CD21" i="4"/>
  <c r="CC21" i="4"/>
  <c r="CB21" i="4"/>
  <c r="CA21" i="4"/>
  <c r="BZ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L21" i="4"/>
  <c r="K21" i="4"/>
  <c r="H21" i="4"/>
  <c r="D21" i="4"/>
  <c r="D27" i="4" s="1"/>
  <c r="C21" i="4"/>
  <c r="A21" i="4"/>
  <c r="S22" i="4"/>
  <c r="S20" i="4"/>
  <c r="R22" i="4"/>
  <c r="R20" i="4"/>
  <c r="AT22" i="4"/>
  <c r="AT20" i="4"/>
  <c r="Q22" i="4"/>
  <c r="Q20" i="4"/>
  <c r="BU22" i="4"/>
  <c r="BU20" i="4"/>
  <c r="AY22" i="4"/>
  <c r="AY20" i="4"/>
  <c r="L22" i="4"/>
  <c r="K22" i="4"/>
  <c r="E28" i="4" s="1"/>
  <c r="L28" i="4" s="1"/>
  <c r="M28" i="4" s="1"/>
  <c r="F22" i="4" s="1"/>
  <c r="H22" i="4"/>
  <c r="CX22" i="4"/>
  <c r="BA27" i="4" l="1"/>
  <c r="CG27" i="4" s="1"/>
  <c r="CH27" i="4" s="1"/>
  <c r="E27" i="4"/>
  <c r="L27" i="4" s="1"/>
  <c r="M27" i="4" s="1"/>
  <c r="F21" i="4" s="1"/>
  <c r="BP22" i="4" l="1"/>
  <c r="BP20" i="4"/>
  <c r="BE22" i="4" l="1"/>
  <c r="BE20" i="4"/>
  <c r="AN22" i="4" l="1"/>
  <c r="AN20" i="4"/>
  <c r="AM22" i="4"/>
  <c r="AM20" i="4"/>
  <c r="AO22" i="4"/>
  <c r="AO20" i="4"/>
  <c r="AG22" i="4" l="1"/>
  <c r="CM22" i="4" l="1"/>
  <c r="A22" i="4" l="1"/>
  <c r="W20" i="4" l="1"/>
  <c r="V20" i="4"/>
  <c r="AE22" i="4" l="1"/>
  <c r="AD22" i="4"/>
  <c r="AC22" i="4"/>
  <c r="AB22" i="4"/>
  <c r="AA22" i="4"/>
  <c r="Z22" i="4"/>
  <c r="Y22" i="4"/>
  <c r="X22" i="4"/>
  <c r="W22" i="4"/>
  <c r="V22" i="4"/>
  <c r="CF22" i="4"/>
  <c r="CE22" i="4"/>
  <c r="CD22" i="4"/>
  <c r="CC22" i="4"/>
  <c r="CB22" i="4"/>
  <c r="CA22" i="4"/>
  <c r="BZ22" i="4"/>
  <c r="CD20" i="4"/>
  <c r="CE20" i="4"/>
  <c r="CF20" i="4"/>
  <c r="CC20" i="4"/>
  <c r="CB20" i="4"/>
  <c r="CA20" i="4"/>
  <c r="BZ20" i="4"/>
  <c r="BX20" i="4"/>
  <c r="BX22" i="4"/>
  <c r="BW22" i="4"/>
  <c r="BV22" i="4"/>
  <c r="BT22" i="4"/>
  <c r="BS22" i="4"/>
  <c r="BR22" i="4"/>
  <c r="BQ22" i="4"/>
  <c r="BO22" i="4"/>
  <c r="BN22" i="4"/>
  <c r="BM22" i="4"/>
  <c r="BL22" i="4"/>
  <c r="BW20" i="4"/>
  <c r="BV20" i="4"/>
  <c r="BT20" i="4"/>
  <c r="BS20" i="4"/>
  <c r="BR20" i="4"/>
  <c r="BQ20" i="4"/>
  <c r="BO20" i="4"/>
  <c r="BN20" i="4"/>
  <c r="BM20" i="4"/>
  <c r="BL20" i="4"/>
  <c r="BK22" i="4"/>
  <c r="BJ22" i="4"/>
  <c r="BI22" i="4"/>
  <c r="BH22" i="4"/>
  <c r="BG22" i="4"/>
  <c r="BF22" i="4"/>
  <c r="BD22" i="4"/>
  <c r="BC22" i="4"/>
  <c r="BB22" i="4"/>
  <c r="BK20" i="4"/>
  <c r="BJ20" i="4"/>
  <c r="BI20" i="4"/>
  <c r="BH20" i="4"/>
  <c r="BG20" i="4"/>
  <c r="BF20" i="4"/>
  <c r="BD20" i="4"/>
  <c r="BC20" i="4"/>
  <c r="BB20" i="4"/>
  <c r="AZ20" i="4"/>
  <c r="AZ22" i="4"/>
  <c r="AX22" i="4"/>
  <c r="AW22" i="4"/>
  <c r="AV22" i="4"/>
  <c r="AU22" i="4"/>
  <c r="AS22" i="4"/>
  <c r="AR22" i="4"/>
  <c r="AX20" i="4"/>
  <c r="AW20" i="4"/>
  <c r="AV20" i="4"/>
  <c r="AU20" i="4"/>
  <c r="AS20" i="4"/>
  <c r="AR20" i="4"/>
  <c r="AQ20" i="4"/>
  <c r="AQ22" i="4"/>
  <c r="AP22" i="4"/>
  <c r="AL22" i="4"/>
  <c r="AK22" i="4"/>
  <c r="AJ22" i="4"/>
  <c r="AI22" i="4"/>
  <c r="AH22" i="4"/>
  <c r="AP20" i="4"/>
  <c r="AL20" i="4"/>
  <c r="AK20" i="4"/>
  <c r="AH20" i="4"/>
  <c r="AJ20" i="4"/>
  <c r="AI20" i="4"/>
  <c r="AG20" i="4"/>
  <c r="AF22" i="4"/>
  <c r="AF20" i="4"/>
  <c r="AE20" i="4" l="1"/>
  <c r="AD20" i="4"/>
  <c r="AC20" i="4"/>
  <c r="AB20" i="4"/>
  <c r="AA20" i="4"/>
  <c r="Z20" i="4"/>
  <c r="Y20" i="4"/>
  <c r="X20" i="4"/>
  <c r="U20" i="4" l="1"/>
  <c r="T20" i="4"/>
  <c r="P20" i="4"/>
  <c r="O20" i="4"/>
  <c r="U22" i="4"/>
  <c r="T22" i="4"/>
  <c r="P22" i="4"/>
  <c r="O22" i="4"/>
  <c r="BA28" i="4" s="1"/>
  <c r="CG28" i="4" s="1"/>
  <c r="CH28" i="4" s="1"/>
  <c r="D22" i="4"/>
  <c r="D28" i="4" s="1"/>
  <c r="C22" i="4"/>
  <c r="CL21" i="4" l="1"/>
  <c r="CL22" i="4"/>
  <c r="CP21" i="4" l="1"/>
  <c r="CN21" i="4"/>
  <c r="CR21" i="4"/>
  <c r="CN22" i="4"/>
  <c r="CP22" i="4"/>
  <c r="CR22" i="4"/>
  <c r="CS21" i="4" l="1"/>
  <c r="CY21" i="4" s="1"/>
  <c r="CS22" i="4"/>
  <c r="CW21" i="4" l="1"/>
  <c r="CU21" i="4"/>
  <c r="CY22" i="4"/>
  <c r="CU22" i="4"/>
  <c r="CW22" i="4"/>
  <c r="E21" i="4" l="1"/>
  <c r="P11" i="6" s="1"/>
  <c r="E22" i="4"/>
  <c r="U11" i="6" l="1"/>
  <c r="AB11" i="6" s="1"/>
  <c r="AC11" i="6" s="1"/>
  <c r="AG11" i="6" s="1"/>
  <c r="G22" i="4"/>
  <c r="I22" i="4" s="1"/>
  <c r="J22" i="4" s="1"/>
  <c r="M22" i="4" s="1"/>
  <c r="P12" i="6"/>
  <c r="G21" i="4"/>
  <c r="I21" i="4" s="1"/>
  <c r="J21" i="4" s="1"/>
  <c r="M21" i="4" s="1"/>
  <c r="U12" i="6" l="1"/>
  <c r="AB12" i="6" s="1"/>
  <c r="AC12" i="6" s="1"/>
  <c r="AG1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<sst xmlns="http://schemas.openxmlformats.org/spreadsheetml/2006/main" count="353" uniqueCount="297">
  <si>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</si>
  <si>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</si>
  <si>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</si>
  <si>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</si>
  <si>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</si>
  <si>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</si>
  <si>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</si>
  <si>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</si>
  <si>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</si>
  <si>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</si>
  <si>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</si>
  <si>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</si>
  <si>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</si>
  <si>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</si>
  <si>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</si>
  <si>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</si>
  <si>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</si>
  <si>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</si>
  <si>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</si>
  <si>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</si>
  <si>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</si>
  <si>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</si>
  <si>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</si>
  <si>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</si>
  <si>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</si>
  <si>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</si>
  <si>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</si>
  <si>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</si>
  <si>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</si>
  <si>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</si>
  <si>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</si>
  <si>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</si>
  <si>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</si>
  <si>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</si>
  <si>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</si>
  <si>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</si>
  <si>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</si>
  <si>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</si>
  <si>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</si>
  <si>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</si>
  <si>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</si>
  <si>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</si>
  <si>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</si>
  <si>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</si>
  <si>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</si>
  <si>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</si>
  <si>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</si>
  <si>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</si>
  <si>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</si>
  <si>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</si>
  <si>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</si>
  <si>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</si>
  <si>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</si>
  <si>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</si>
  <si>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</si>
  <si>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</si>
  <si>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</si>
  <si>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</si>
  <si>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</si>
  <si>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</si>
  <si>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</si>
  <si>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</si>
  <si>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</si>
  <si>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</si>
  <si>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</si>
  <si>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</si>
  <si>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</si>
  <si>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</si>
  <si>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</si>
  <si>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</si>
  <si>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</si>
  <si>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</si>
  <si>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</si>
  <si>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</si>
  <si>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</si>
  <si>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</si>
  <si>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</si>
  <si>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</si>
  <si>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</si>
  <si>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</si>
  <si>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</si>
  <si>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</si>
  <si>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</si>
  <si>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</si>
  <si>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</si>
  <si>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</si>
  <si>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</si>
  <si>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</si>
  <si>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</si>
  <si>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</si>
  <si>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</si>
  <si>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</si>
  <si>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</si>
  <si>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</si>
  <si>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</si>
  <si>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</si>
  <si>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</si>
  <si>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</si>
  <si>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</si>
  <si>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</si>
  <si>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</si>
  <si>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</si>
  <si>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</si>
  <si>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</si>
  <si>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</si>
  <si>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</si>
  <si>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</si>
  <si>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</si>
  <si>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</si>
  <si>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</si>
  <si>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</si>
  <si>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</si>
  <si>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</si>
  <si>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</si>
  <si>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</si>
  <si>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</si>
  <si>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</si>
  <si>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</si>
  <si>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</si>
  <si>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</si>
  <si>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</si>
  <si>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</si>
  <si>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</si>
  <si>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</si>
  <si>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</si>
  <si>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</si>
  <si>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</si>
  <si>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</si>
  <si>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</si>
  <si>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</si>
  <si>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</si>
  <si>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</si>
  <si>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</si>
  <si>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</si>
  <si>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</si>
  <si>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</si>
  <si>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</si>
  <si>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</si>
  <si>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</si>
  <si>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</si>
  <si>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</si>
  <si>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</si>
  <si>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</si>
  <si>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</si>
  <si>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</si>
  <si>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</si>
  <si>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</si>
  <si>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</si>
  <si>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</si>
  <si>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</si>
  <si>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</si>
  <si>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</si>
  <si>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</si>
  <si>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</si>
  <si>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</si>
  <si>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</si>
  <si>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</si>
  <si>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</si>
  <si>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</si>
  <si>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</si>
  <si>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</si>
  <si>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</si>
  <si>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</si>
  <si>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</si>
  <si>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</si>
  <si>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</si>
  <si>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</si>
  <si>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</si>
  <si>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</si>
  <si>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</si>
  <si>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</si>
  <si>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</si>
  <si>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</si>
  <si>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</si>
  <si>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</si>
  <si>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</si>
  <si>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</si>
  <si>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</si>
  <si>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</si>
  <si>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</si>
  <si>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</si>
  <si>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</si>
  <si>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</si>
  <si>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</si>
  <si>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</si>
  <si>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</si>
  <si>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</si>
  <si>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</si>
  <si>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</si>
  <si>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</si>
  <si>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</si>
  <si>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</si>
  <si>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</si>
  <si>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</si>
  <si>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</si>
  <si>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</si>
  <si>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</si>
  <si>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</si>
  <si>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</si>
  <si>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</si>
  <si>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</si>
  <si>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</si>
  <si>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</si>
  <si>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</si>
  <si>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</si>
  <si>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</si>
  <si>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</si>
  <si>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</si>
  <si>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</si>
  <si>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</si>
  <si>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</si>
  <si>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</si>
  <si>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</si>
  <si>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</si>
  <si>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</si>
  <si>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</si>
  <si>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</si>
  <si>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</si>
  <si>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</si>
  <si>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</si>
  <si>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ENQ-19613-25-26</t>
  </si>
  <si>
    <t>FC3700003</t>
  </si>
  <si>
    <t>ACSR : PANTHER CONDUCTOR - 200 SQ. MM. (30/7/3.00)</t>
  </si>
  <si>
    <t>WOOD</t>
  </si>
  <si>
    <t>KMS</t>
  </si>
  <si>
    <t>MD0100061</t>
  </si>
  <si>
    <t>DRUM - 56 X 24 X 32 X 3</t>
  </si>
  <si>
    <t>FC6100002</t>
  </si>
  <si>
    <t>ACSR : MOOSE CONDUCTOR - 520 SQ. MM. (54/7/3.53)</t>
  </si>
  <si>
    <t>STEEL</t>
  </si>
  <si>
    <t>SP0400125</t>
  </si>
  <si>
    <t>CORRUGATED DISPATCH STEEL DRUM 1600 X 700 X 915 MM</t>
  </si>
  <si>
    <t>SP0400139</t>
  </si>
  <si>
    <t>CORRUGATED DISPATCH STEEL DRUM 2130 X 890 X 965</t>
  </si>
  <si>
    <t>25 MT TRAILOR</t>
  </si>
  <si>
    <t>CONDUCTO WEIGHT KG/KM</t>
  </si>
  <si>
    <t>DRUM WEIGHT</t>
  </si>
  <si>
    <t>CONDUCTOR+DRUM WEIGHT</t>
  </si>
  <si>
    <t>TRAOILOR WEIGHT</t>
  </si>
  <si>
    <t>TENDER SPECIFICATION NO ()</t>
  </si>
  <si>
    <t>TENDER DESCRIPTION  ()</t>
  </si>
  <si>
    <t>Last Date &amp; Time of Submission ()</t>
  </si>
  <si>
    <t>REVERSE AUCTION</t>
  </si>
  <si>
    <t>Price ()</t>
  </si>
  <si>
    <t>Validity  ()</t>
  </si>
  <si>
    <t>Delivery  ()</t>
  </si>
  <si>
    <t>Payment Terms ()</t>
  </si>
  <si>
    <t>Standard length ()</t>
  </si>
  <si>
    <t>Packing  ()</t>
  </si>
  <si>
    <t>Technical Specification</t>
  </si>
  <si>
    <t>The Tata Power Company Ltd, Mumbai</t>
  </si>
  <si>
    <t>Tender Reference: CC27FK005</t>
  </si>
  <si>
    <t>Supply of ACSR Moose &amp; ACSR Panther Conductor for Tata Power Transmission, Mumbai.</t>
  </si>
  <si>
    <t>27th May 2026, 1500 Hrs</t>
  </si>
  <si>
    <t>Tata Power reserves the right to conduct the reverse auction AND / OR Manual Negotiations for the products/ services being asked for in the tender. Only Technical Qualified Bids will be allowed to participate in e-auction. Date and time of e-auction will be intimated through E-Tender system to Authorized Person of Interested Bidder.
Only those bidders who are techno-commercially qualified shall be eligible to participate further in RA process. However, the original H1 bidder (whose price bid is the highest post techno-commercial evaluation) shall not be allowed to participate in further RA process provided minimum three technocommercially qualified bids are available.</t>
  </si>
  <si>
    <t>Variable Basis.
Subscript ‘0’ = refers to base price, i.e.
a) For Aluminium (A0) - CASH LME USD 4,200 Per MT.
b) For Exchange Rate (F0) - Basic Average SBI TT SELL reference rate INR 99.00 Per USD.
c) For Current Custom Duty including cess (CD0) - 8.25%.
d) For Steel (B0) - For HTGS Domes􀆟c Price as per CACMAI Circular – April 2026</t>
  </si>
  <si>
    <t>Bids shall remain valid for 180 days from the due date of submission of the bid. Price submitted as part of E-auction / Negotiation shall remain valid for 90 days from date of E-auction / Negotiation.</t>
  </si>
  <si>
    <t>iii) Delivery Schedule –
Lot 1: ACSR Moose Conductor
 Delivery is expected tentatively October 2026 onwards (subject to site requirement).
Lot 2: ACSR Panther Conductor
 Delivery is expected tentatively September 2026 onwards (subject to site requirement).</t>
  </si>
  <si>
    <t>a. 100% payment (inclusive of taxes &amp; duties) shall be paid through "Letter of Credit" (LC) with 60 days
usance period from the date of delivery of material at buyer’s site.
b. LC shall be opened along with manufacturing clearance. LC opening charges shall be to buyer’s account.
c. Interest of 60 days of usance period shall be to seller's (supplier) account.</t>
  </si>
  <si>
    <t>The standard length of the conductor shall be As per table below.
Dog/Wolf = 3000 Mtr Tolerance 5%
Panther = 2400 Mtr Tolerance 5%
Moose/Bison = 2000 Mtr Tolerance 5%
Only one length of conductor shall be wound on each drum.</t>
  </si>
  <si>
    <t>The conductor shall be supplied in non-returnable strong metal drums provided with lagging of adequate strength, and displacement during transit, storage and subsequent handling and stringing operations in the field. The drum shall confirm to IS: 1778-1980 except otherwise specified hereinafter.</t>
  </si>
  <si>
    <t>PROVISIONAL</t>
  </si>
  <si>
    <t>NET VA</t>
  </si>
  <si>
    <t>INS %</t>
  </si>
  <si>
    <t>INT %</t>
  </si>
  <si>
    <t>MFG %</t>
  </si>
  <si>
    <t>GROSS VA%</t>
  </si>
  <si>
    <t>VA</t>
  </si>
  <si>
    <t>RMC+DRUM</t>
  </si>
  <si>
    <t>DRUM</t>
  </si>
  <si>
    <t>RMC</t>
  </si>
  <si>
    <t>C</t>
  </si>
  <si>
    <t>CD0</t>
  </si>
  <si>
    <t>fo</t>
  </si>
  <si>
    <t>Alo</t>
  </si>
  <si>
    <t>Date</t>
  </si>
  <si>
    <t>Cd1</t>
  </si>
  <si>
    <t>VALUE ADDITION CALCULATION</t>
  </si>
  <si>
    <t>Billing Price/PKM</t>
  </si>
  <si>
    <t>((A1*F1*(1+Cd1))-(A0*F0*(1+Cd0))*C))
PVC per KM</t>
  </si>
  <si>
    <t>A0*f0*(1+CD0)</t>
  </si>
  <si>
    <t>A1*f1*(1+CD1)</t>
  </si>
  <si>
    <t>Ex-Work
Po</t>
  </si>
  <si>
    <t>FACTORS</t>
  </si>
  <si>
    <t>Applicable Date</t>
  </si>
  <si>
    <t>Date of Inspection</t>
  </si>
  <si>
    <t>Item</t>
  </si>
  <si>
    <t>New Price in Rs/KM (P1) = Old Price(P0) + (( Aı x Fı x(1+ Cd1)) - (Aо x Fo x (1+Cd0 )))*C + D*(B1-B0)</t>
  </si>
  <si>
    <t>P0 = Offered Base Price in INR/KM.
A = EC grade Aluminium Ingots in USD/MT - LME.
F = Exchange Rate in INR/USD.
C = Weight of Aluminium in MT/KM.
CD = Custom Duty.
D = Weight of HTGS Wire in MT/KM.
B = Price of HTGS Wire in INR/MT.</t>
  </si>
  <si>
    <t>D</t>
  </si>
  <si>
    <t>B0</t>
  </si>
  <si>
    <t>B1</t>
  </si>
  <si>
    <t>D*(B1-B0)</t>
  </si>
  <si>
    <t>Specify in tender document</t>
  </si>
  <si>
    <t>Subscript ‘0’ = refers to base price, i.e.
a) For Aluminium (A0) - CASH LME USD 4,200 Per MT.
b) For Exchange Rate (F0) - Basic Average SBI TT SELL reference rate INR 99.00 Per USD.
c) For Current Custom Duty including cess (CD0) - 8.25%.
d) For Steel (B0) - For HTGS Domestic Price as per CACMAI Circular – April 2026</t>
  </si>
  <si>
    <t>f1</t>
  </si>
  <si>
    <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</si>
</sst>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0"/>
    <numFmt numFmtId="171" formatCode="0.0000"/>
    <numFmt numFmtId="172" formatCode="0.0"/>
    <numFmt numFmtId="173" formatCode="&quot;Rs.&quot;#,##0.00"/>
    <numFmt numFmtId="174" formatCode="&quot;Rs.&quot;#,##0"/>
    <numFmt numFmtId="175" formatCode="_([$$-409]* #,##0.00_);_([$$-409]* \(#,##0.00\);_([$$-409]* &quot;-&quot;??_);_(@_)"/>
  </numFmts>
  <fonts count="5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sz val="10"/>
      <name val="Calibri"/>
      <family val="2"/>
      <scheme val="minor"/>
    </font>
    <font>
      <b/>
      <sz val="10"/>
      <name val="Calibri"/>
      <family val="2"/>
      <scheme val="minor"/>
    </font>
    <font>
      <b/>
      <sz val="11"/>
      <name val="Calibri"/>
      <family val="2"/>
      <scheme val="minor"/>
    </font>
    <font>
      <b/>
      <sz val="10"/>
      <color rgb="FF000000"/>
      <name val="Arial"/>
      <family val="2"/>
    </font>
    <font>
      <b/>
      <sz val="10"/>
      <name val="Verdana"/>
      <family val="2"/>
    </font>
    <font>
      <sz val="10"/>
      <name val="Arial"/>
      <family val="2"/>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4"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1" fillId="0" borderId="0"/>
    <xf numFmtId="43" fontId="1" fillId="0" borderId="0" applyFont="0" applyFill="0" applyBorder="0" applyAlignment="0" applyProtection="0"/>
    <xf numFmtId="0" fontId="41" fillId="0" borderId="0"/>
    <xf numFmtId="0" fontId="51" fillId="0" borderId="0"/>
    <xf numFmtId="9" fontId="41" fillId="0" borderId="0" applyFont="0" applyFill="0" applyBorder="0" applyAlignment="0" applyProtection="0"/>
  </cellStyleXfs>
  <cellXfs count="221">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164" fontId="0" fillId="0" borderId="0" xfId="1" applyFont="1" applyAlignment="1">
      <alignment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0" fillId="5" borderId="1" xfId="0" applyFont="1" applyFill="1" applyBorder="1" applyAlignment="1">
      <alignment horizontal="center" vertical="center" wrapText="1"/>
    </xf>
    <xf numFmtId="3" fontId="40"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1"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3" fontId="0" fillId="0" borderId="0" xfId="0" applyNumberFormat="1" applyAlignment="1">
      <alignment wrapText="1"/>
    </xf>
    <xf numFmtId="2" fontId="0" fillId="0" borderId="1" xfId="0" applyNumberFormat="1" applyBorder="1" applyAlignment="1">
      <alignment horizontal="center" vertical="center"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45" fillId="0" borderId="3" xfId="0" applyFont="1" applyBorder="1" applyAlignment="1">
      <alignment horizontal="left" vertical="top" wrapText="1"/>
    </xf>
    <xf numFmtId="0" fontId="45" fillId="0" borderId="4" xfId="0" applyFont="1" applyBorder="1" applyAlignment="1">
      <alignment horizontal="lef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164" fontId="0" fillId="0" borderId="1" xfId="1" applyFont="1" applyBorder="1" applyAlignment="1">
      <alignment vertical="center" wrapText="1"/>
    </xf>
    <xf numFmtId="0" fontId="41" fillId="0" borderId="0" xfId="6"/>
    <xf numFmtId="0" fontId="7" fillId="0" borderId="0" xfId="0" applyFont="1" applyAlignment="1">
      <alignment vertical="center" wrapText="1"/>
    </xf>
    <xf numFmtId="0" fontId="7" fillId="0" borderId="0" xfId="0" applyFont="1" applyAlignment="1">
      <alignment horizontal="justify" vertical="center" wrapText="1"/>
    </xf>
    <xf numFmtId="0" fontId="49" fillId="0" borderId="0" xfId="0" applyFont="1" applyAlignment="1">
      <alignment vertical="center" wrapText="1"/>
    </xf>
    <xf numFmtId="0" fontId="50" fillId="0" borderId="0" xfId="6" applyFont="1"/>
    <xf numFmtId="0" fontId="41" fillId="0" borderId="0" xfId="6" applyAlignment="1">
      <alignment wrapText="1"/>
    </xf>
    <xf numFmtId="171" fontId="46" fillId="0" borderId="11" xfId="7" applyNumberFormat="1" applyFont="1" applyBorder="1" applyAlignment="1">
      <alignment horizontal="center" vertical="center" wrapText="1"/>
    </xf>
    <xf numFmtId="170" fontId="46" fillId="0" borderId="12" xfId="7" applyNumberFormat="1" applyFont="1" applyBorder="1" applyAlignment="1">
      <alignment vertical="center" wrapText="1"/>
    </xf>
    <xf numFmtId="2" fontId="46" fillId="0" borderId="13" xfId="7" applyNumberFormat="1" applyFont="1" applyBorder="1" applyAlignment="1">
      <alignment horizontal="center" vertical="center" wrapText="1"/>
    </xf>
    <xf numFmtId="172" fontId="46" fillId="0" borderId="12" xfId="7" applyNumberFormat="1" applyFont="1" applyBorder="1" applyAlignment="1">
      <alignment horizontal="center" vertical="center" wrapText="1"/>
    </xf>
    <xf numFmtId="2" fontId="46" fillId="0" borderId="12" xfId="7" applyNumberFormat="1" applyFont="1" applyBorder="1" applyAlignment="1">
      <alignment horizontal="center" vertical="center" wrapText="1"/>
    </xf>
    <xf numFmtId="2" fontId="46" fillId="0" borderId="11" xfId="7" applyNumberFormat="1" applyFont="1" applyBorder="1" applyAlignment="1">
      <alignment horizontal="center" vertical="center" wrapText="1"/>
    </xf>
    <xf numFmtId="14" fontId="46" fillId="0" borderId="13" xfId="7" applyNumberFormat="1" applyFont="1" applyBorder="1" applyAlignment="1">
      <alignment horizontal="center" vertical="center" wrapText="1"/>
    </xf>
    <xf numFmtId="14" fontId="46" fillId="0" borderId="14" xfId="7" applyNumberFormat="1" applyFont="1" applyBorder="1" applyAlignment="1">
      <alignment horizontal="center" vertical="center" wrapText="1"/>
    </xf>
    <xf numFmtId="0" fontId="41" fillId="0" borderId="15" xfId="6" applyBorder="1" applyAlignment="1">
      <alignment wrapText="1"/>
    </xf>
    <xf numFmtId="10" fontId="50" fillId="0" borderId="16" xfId="7" applyNumberFormat="1" applyFont="1" applyBorder="1" applyAlignment="1">
      <alignment vertical="center"/>
    </xf>
    <xf numFmtId="10" fontId="51" fillId="0" borderId="11" xfId="7" applyNumberFormat="1" applyBorder="1" applyAlignment="1">
      <alignment vertical="center"/>
    </xf>
    <xf numFmtId="10" fontId="50" fillId="0" borderId="13" xfId="8" applyNumberFormat="1" applyFont="1" applyFill="1" applyBorder="1" applyAlignment="1">
      <alignment vertical="center"/>
    </xf>
    <xf numFmtId="173" fontId="51" fillId="0" borderId="17" xfId="7" applyNumberFormat="1" applyBorder="1" applyAlignment="1">
      <alignment vertical="center"/>
    </xf>
    <xf numFmtId="173" fontId="52" fillId="0" borderId="17" xfId="7" applyNumberFormat="1" applyFont="1" applyBorder="1" applyAlignment="1">
      <alignment vertical="center"/>
    </xf>
    <xf numFmtId="2" fontId="51" fillId="0" borderId="18" xfId="7" applyNumberFormat="1" applyBorder="1" applyAlignment="1">
      <alignment horizontal="center" vertical="center"/>
    </xf>
    <xf numFmtId="2" fontId="51" fillId="0" borderId="13" xfId="7" applyNumberFormat="1" applyBorder="1" applyAlignment="1">
      <alignment horizontal="center" vertical="center"/>
    </xf>
    <xf numFmtId="171" fontId="46" fillId="0" borderId="10" xfId="7" applyNumberFormat="1" applyFont="1" applyBorder="1" applyAlignment="1">
      <alignment horizontal="center" vertical="center" wrapText="1"/>
    </xf>
    <xf numFmtId="10" fontId="46" fillId="0" borderId="4" xfId="2" applyNumberFormat="1" applyFont="1" applyBorder="1" applyAlignment="1">
      <alignment horizontal="center" vertical="center" wrapText="1"/>
    </xf>
    <xf numFmtId="14" fontId="46" fillId="11" borderId="10" xfId="7" applyNumberFormat="1" applyFont="1" applyFill="1" applyBorder="1" applyAlignment="1">
      <alignment horizontal="center" vertical="center" wrapText="1"/>
    </xf>
    <xf numFmtId="14" fontId="53" fillId="11" borderId="10" xfId="7" applyNumberFormat="1" applyFont="1" applyFill="1" applyBorder="1" applyAlignment="1">
      <alignment horizontal="center" vertical="center" wrapText="1"/>
    </xf>
    <xf numFmtId="14" fontId="53" fillId="0" borderId="19" xfId="7" applyNumberFormat="1" applyFont="1" applyBorder="1" applyAlignment="1">
      <alignment horizontal="center" vertical="center" wrapText="1"/>
    </xf>
    <xf numFmtId="0" fontId="41" fillId="0" borderId="20" xfId="6" applyBorder="1" applyAlignment="1">
      <alignment wrapText="1"/>
    </xf>
    <xf numFmtId="0" fontId="51" fillId="0" borderId="21" xfId="7" applyBorder="1"/>
    <xf numFmtId="1" fontId="51" fillId="0" borderId="1" xfId="7" applyNumberFormat="1" applyBorder="1"/>
    <xf numFmtId="1" fontId="51" fillId="0" borderId="1" xfId="7" applyNumberFormat="1" applyBorder="1" applyAlignment="1">
      <alignment horizontal="center"/>
    </xf>
    <xf numFmtId="1" fontId="52" fillId="0" borderId="10" xfId="7" applyNumberFormat="1" applyFont="1" applyBorder="1"/>
    <xf numFmtId="1" fontId="51" fillId="0" borderId="22" xfId="7" applyNumberFormat="1" applyBorder="1"/>
    <xf numFmtId="174" fontId="52" fillId="0" borderId="23" xfId="7" applyNumberFormat="1" applyFont="1" applyBorder="1" applyAlignment="1">
      <alignment horizontal="center" vertical="center" wrapText="1"/>
    </xf>
    <xf numFmtId="174" fontId="52" fillId="0" borderId="10" xfId="7" applyNumberFormat="1" applyFont="1" applyBorder="1" applyAlignment="1">
      <alignment horizontal="center" vertical="center" wrapText="1"/>
    </xf>
    <xf numFmtId="0" fontId="46" fillId="0" borderId="24" xfId="7" applyFont="1" applyBorder="1" applyAlignment="1">
      <alignment horizontal="center" vertical="center" wrapText="1"/>
    </xf>
    <xf numFmtId="0" fontId="47" fillId="0" borderId="25" xfId="7" applyFont="1" applyBorder="1" applyAlignment="1">
      <alignment horizontal="center" vertical="center" wrapText="1"/>
    </xf>
    <xf numFmtId="2" fontId="47" fillId="0" borderId="10" xfId="7" applyNumberFormat="1" applyFont="1" applyBorder="1" applyAlignment="1">
      <alignment horizontal="center" vertical="center" wrapText="1"/>
    </xf>
    <xf numFmtId="14" fontId="46" fillId="0" borderId="25" xfId="7" applyNumberFormat="1" applyFont="1" applyBorder="1" applyAlignment="1">
      <alignment horizontal="center" vertical="center" wrapText="1"/>
    </xf>
    <xf numFmtId="14" fontId="46" fillId="0" borderId="26" xfId="7" applyNumberFormat="1" applyFont="1" applyBorder="1" applyAlignment="1">
      <alignment horizontal="center" vertical="center" wrapText="1"/>
    </xf>
    <xf numFmtId="14" fontId="46" fillId="0" borderId="24" xfId="7" applyNumberFormat="1" applyFont="1" applyBorder="1" applyAlignment="1">
      <alignment horizontal="center" vertical="center" wrapText="1"/>
    </xf>
    <xf numFmtId="0" fontId="46" fillId="0" borderId="27" xfId="7" applyFont="1" applyBorder="1" applyAlignment="1">
      <alignment horizontal="left" vertical="center" wrapText="1"/>
    </xf>
    <xf numFmtId="0" fontId="46" fillId="0" borderId="28" xfId="7" applyFont="1" applyBorder="1"/>
    <xf numFmtId="0" fontId="41" fillId="0" borderId="29" xfId="6" applyBorder="1"/>
    <xf numFmtId="0" fontId="41" fillId="0" borderId="20" xfId="6" applyBorder="1"/>
    <xf numFmtId="0" fontId="52" fillId="0" borderId="30" xfId="7" applyFont="1" applyBorder="1" applyAlignment="1">
      <alignment horizontal="center" vertical="center" wrapText="1"/>
    </xf>
    <xf numFmtId="0" fontId="52" fillId="0" borderId="31" xfId="7" applyFont="1" applyBorder="1" applyAlignment="1">
      <alignment horizontal="center" vertical="center" wrapText="1"/>
    </xf>
    <xf numFmtId="0" fontId="52" fillId="0" borderId="9" xfId="7" applyFont="1" applyBorder="1" applyAlignment="1">
      <alignment horizontal="center" vertical="center" wrapText="1"/>
    </xf>
    <xf numFmtId="0" fontId="52" fillId="0" borderId="32" xfId="7" applyFont="1" applyBorder="1" applyAlignment="1">
      <alignment horizontal="center" vertical="center" wrapText="1"/>
    </xf>
    <xf numFmtId="0" fontId="47" fillId="0" borderId="10" xfId="7" applyFont="1" applyBorder="1" applyAlignment="1">
      <alignment horizontal="center" vertical="center" wrapText="1"/>
    </xf>
    <xf numFmtId="0" fontId="46" fillId="0" borderId="0" xfId="7" applyFont="1"/>
    <xf numFmtId="0" fontId="47" fillId="0" borderId="0" xfId="6" applyFont="1" applyAlignment="1">
      <alignment vertical="center"/>
    </xf>
    <xf numFmtId="14" fontId="46" fillId="0" borderId="0" xfId="6" applyNumberFormat="1" applyFont="1" applyAlignment="1">
      <alignment horizontal="center"/>
    </xf>
    <xf numFmtId="0" fontId="46" fillId="0" borderId="0" xfId="6" applyFont="1" applyAlignment="1">
      <alignment horizontal="center"/>
    </xf>
    <xf numFmtId="0" fontId="41" fillId="0" borderId="0" xfId="6" applyAlignment="1">
      <alignment horizontal="center"/>
    </xf>
    <xf numFmtId="0" fontId="47" fillId="0" borderId="0" xfId="6" applyFont="1" applyAlignment="1">
      <alignment horizontal="center" vertical="center"/>
    </xf>
    <xf numFmtId="164" fontId="53" fillId="0" borderId="4" xfId="1" applyFont="1" applyBorder="1" applyAlignment="1">
      <alignment horizontal="center" vertical="center" wrapText="1"/>
    </xf>
    <xf numFmtId="164" fontId="46" fillId="0" borderId="4" xfId="1" applyFont="1" applyBorder="1" applyAlignment="1">
      <alignment horizontal="center" vertical="center" wrapText="1"/>
    </xf>
    <xf numFmtId="164" fontId="46" fillId="0" borderId="10" xfId="1" applyFont="1" applyBorder="1" applyAlignment="1">
      <alignment horizontal="center" vertical="center" wrapText="1"/>
    </xf>
    <xf numFmtId="164" fontId="46" fillId="0" borderId="4" xfId="1" applyFont="1" applyBorder="1" applyAlignment="1">
      <alignment vertical="center" wrapText="1"/>
    </xf>
    <xf numFmtId="164" fontId="46" fillId="10" borderId="1" xfId="1" applyFont="1" applyFill="1" applyBorder="1" applyAlignment="1">
      <alignment horizontal="center" vertical="center" wrapText="1"/>
    </xf>
    <xf numFmtId="164" fontId="46" fillId="9" borderId="1" xfId="1" applyFont="1" applyFill="1" applyBorder="1" applyAlignment="1">
      <alignment horizontal="center" vertical="center" wrapText="1"/>
    </xf>
    <xf numFmtId="14" fontId="41" fillId="0" borderId="0" xfId="6" applyNumberFormat="1"/>
    <xf numFmtId="175" fontId="41" fillId="0" borderId="0" xfId="1" applyNumberFormat="1" applyFont="1"/>
    <xf numFmtId="175" fontId="41" fillId="0" borderId="0" xfId="6" applyNumberFormat="1"/>
    <xf numFmtId="0" fontId="41" fillId="0" borderId="2" xfId="6" applyBorder="1" applyAlignment="1">
      <alignment horizontal="center" vertical="top" wrapText="1"/>
    </xf>
    <xf numFmtId="0" fontId="50" fillId="0" borderId="0" xfId="6" applyFont="1" applyAlignment="1">
      <alignment vertical="top" wrapText="1"/>
    </xf>
    <xf numFmtId="0" fontId="0" fillId="0" borderId="1" xfId="0" applyBorder="1" applyAlignment="1">
      <alignment vertical="center" wrapText="1"/>
    </xf>
    <xf numFmtId="0" fontId="45" fillId="0" borderId="1" xfId="0" applyFont="1" applyBorder="1" applyAlignment="1">
      <alignment horizontal="left" vertical="top" wrapText="1"/>
    </xf>
    <xf numFmtId="0" fontId="45" fillId="0" borderId="2" xfId="0" applyFont="1" applyBorder="1" applyAlignment="1">
      <alignment horizontal="left" vertical="top" wrapText="1"/>
    </xf>
    <xf numFmtId="0" fontId="45" fillId="0" borderId="3" xfId="0" applyFont="1" applyBorder="1" applyAlignment="1">
      <alignment horizontal="left" vertical="top" wrapText="1"/>
    </xf>
    <xf numFmtId="0" fontId="45" fillId="0" borderId="4" xfId="0" applyFont="1" applyBorder="1" applyAlignment="1">
      <alignment horizontal="left" vertical="top" wrapText="1"/>
    </xf>
    <xf numFmtId="0" fontId="45" fillId="0" borderId="2" xfId="0" applyFont="1" applyBorder="1" applyAlignment="1">
      <alignment vertical="top" wrapText="1"/>
    </xf>
    <xf numFmtId="0" fontId="45" fillId="0" borderId="3" xfId="0" applyFont="1" applyBorder="1" applyAlignment="1">
      <alignment vertical="top" wrapText="1"/>
    </xf>
    <xf numFmtId="0" fontId="45" fillId="0" borderId="2" xfId="0" applyFont="1" applyBorder="1" applyAlignment="1">
      <alignment horizontal="justify" vertical="top" wrapText="1"/>
    </xf>
    <xf numFmtId="0" fontId="45" fillId="0" borderId="3" xfId="0" applyFont="1" applyBorder="1" applyAlignment="1">
      <alignment horizontal="justify" vertical="top" wrapText="1"/>
    </xf>
    <xf numFmtId="0" fontId="45" fillId="0" borderId="4" xfId="0" applyFont="1" applyBorder="1" applyAlignment="1">
      <alignment horizontal="justify" vertical="top" wrapText="1"/>
    </xf>
    <xf numFmtId="0" fontId="44" fillId="0" borderId="6" xfId="0" applyFont="1" applyBorder="1" applyAlignment="1">
      <alignment horizontal="center"/>
    </xf>
    <xf numFmtId="0" fontId="44" fillId="0" borderId="7" xfId="0" applyFont="1" applyBorder="1" applyAlignment="1">
      <alignment horizontal="center"/>
    </xf>
    <xf numFmtId="0" fontId="44" fillId="0" borderId="8" xfId="0" applyFont="1" applyBorder="1" applyAlignment="1">
      <alignment horizontal="center"/>
    </xf>
    <xf numFmtId="0" fontId="45" fillId="0" borderId="1" xfId="0" applyFont="1" applyBorder="1" applyAlignment="1">
      <alignment horizontal="left" vertical="top"/>
    </xf>
    <xf numFmtId="0" fontId="45" fillId="0" borderId="1" xfId="0" quotePrefix="1" applyFont="1" applyBorder="1" applyAlignment="1">
      <alignment horizontal="left" vertical="top" wrapText="1"/>
    </xf>
    <xf numFmtId="0" fontId="39" fillId="5" borderId="2"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39"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6" xfId="7" applyFont="1" applyBorder="1" applyAlignment="1">
      <alignment horizontal="center" vertical="center"/>
    </xf>
    <xf numFmtId="0" fontId="52" fillId="0" borderId="7" xfId="7" applyFont="1" applyBorder="1" applyAlignment="1">
      <alignment horizontal="center" vertical="center"/>
    </xf>
    <xf numFmtId="0" fontId="52" fillId="0" borderId="8" xfId="7" applyFont="1" applyBorder="1" applyAlignment="1">
      <alignment horizontal="center" vertical="center"/>
    </xf>
    <xf numFmtId="0" fontId="47" fillId="0" borderId="1" xfId="7" applyFont="1" applyBorder="1" applyAlignment="1">
      <alignment horizontal="center" vertical="center" wrapText="1"/>
    </xf>
    <xf numFmtId="0" fontId="47" fillId="0" borderId="9" xfId="7" applyFont="1" applyBorder="1" applyAlignment="1">
      <alignment horizontal="center" vertical="center" wrapText="1"/>
    </xf>
    <xf numFmtId="0" fontId="47" fillId="0" borderId="10" xfId="7" applyFont="1" applyBorder="1" applyAlignment="1">
      <alignment horizontal="center" vertical="center" wrapText="1"/>
    </xf>
    <xf numFmtId="0" fontId="47" fillId="0" borderId="31" xfId="7" applyFont="1" applyBorder="1" applyAlignment="1">
      <alignment horizontal="center" vertical="center" wrapText="1"/>
    </xf>
    <xf numFmtId="0" fontId="52" fillId="0" borderId="42" xfId="7" applyFont="1" applyBorder="1" applyAlignment="1">
      <alignment horizontal="center" vertical="center"/>
    </xf>
    <xf numFmtId="0" fontId="52" fillId="0" borderId="41" xfId="7" applyFont="1" applyBorder="1" applyAlignment="1">
      <alignment horizontal="center" vertical="center"/>
    </xf>
    <xf numFmtId="0" fontId="52" fillId="0" borderId="40" xfId="7" applyFont="1" applyBorder="1" applyAlignment="1">
      <alignment horizontal="center" vertical="center"/>
    </xf>
    <xf numFmtId="0" fontId="52" fillId="0" borderId="38" xfId="7" applyFont="1" applyBorder="1" applyAlignment="1">
      <alignment horizontal="center" vertical="center"/>
    </xf>
    <xf numFmtId="0" fontId="52" fillId="0" borderId="37" xfId="7" applyFont="1" applyBorder="1" applyAlignment="1">
      <alignment horizontal="center" vertical="center"/>
    </xf>
    <xf numFmtId="0" fontId="52" fillId="0" borderId="36" xfId="7" applyFont="1" applyBorder="1" applyAlignment="1">
      <alignment horizontal="center" vertical="center"/>
    </xf>
    <xf numFmtId="0" fontId="47" fillId="0" borderId="42" xfId="7" applyFont="1" applyBorder="1" applyAlignment="1">
      <alignment horizontal="center" vertical="center" wrapText="1"/>
    </xf>
    <xf numFmtId="0" fontId="47" fillId="0" borderId="40" xfId="7" applyFont="1" applyBorder="1" applyAlignment="1">
      <alignment horizontal="center" vertical="center" wrapText="1"/>
    </xf>
    <xf numFmtId="0" fontId="47" fillId="0" borderId="33" xfId="7" applyFont="1" applyBorder="1" applyAlignment="1">
      <alignment horizontal="center" vertical="center" wrapText="1"/>
    </xf>
    <xf numFmtId="0" fontId="47" fillId="0" borderId="34" xfId="7" applyFont="1" applyBorder="1" applyAlignment="1">
      <alignment horizontal="center" vertical="center" wrapText="1"/>
    </xf>
    <xf numFmtId="0" fontId="50" fillId="0" borderId="29" xfId="6" applyFont="1" applyBorder="1" applyAlignment="1">
      <alignment horizontal="center" vertical="center"/>
    </xf>
    <xf numFmtId="0" fontId="50" fillId="0" borderId="20" xfId="6" applyFont="1" applyBorder="1" applyAlignment="1">
      <alignment horizontal="center" vertical="center"/>
    </xf>
    <xf numFmtId="0" fontId="50" fillId="0" borderId="35" xfId="6" applyFont="1" applyBorder="1" applyAlignment="1">
      <alignment horizontal="center" vertical="center"/>
    </xf>
    <xf numFmtId="0" fontId="50" fillId="0" borderId="29" xfId="6" applyFont="1" applyBorder="1" applyAlignment="1">
      <alignment horizontal="center" vertical="center" wrapText="1"/>
    </xf>
    <xf numFmtId="0" fontId="50" fillId="0" borderId="20" xfId="6" applyFont="1" applyBorder="1" applyAlignment="1">
      <alignment horizontal="center" vertical="center" wrapText="1"/>
    </xf>
    <xf numFmtId="0" fontId="47" fillId="0" borderId="28" xfId="7" applyFont="1" applyBorder="1" applyAlignment="1">
      <alignment horizontal="center" vertical="center" wrapText="1"/>
    </xf>
    <xf numFmtId="0" fontId="47" fillId="0" borderId="45" xfId="7" applyFont="1" applyBorder="1" applyAlignment="1">
      <alignment horizontal="center" vertical="center" wrapText="1"/>
    </xf>
    <xf numFmtId="0" fontId="47" fillId="0" borderId="44" xfId="7" applyFont="1" applyBorder="1" applyAlignment="1">
      <alignment horizontal="center" vertical="center" wrapText="1"/>
    </xf>
    <xf numFmtId="0" fontId="47" fillId="0" borderId="43" xfId="7" applyFont="1" applyBorder="1" applyAlignment="1">
      <alignment horizontal="center" vertical="center" wrapText="1"/>
    </xf>
    <xf numFmtId="0" fontId="47" fillId="0" borderId="39" xfId="7" applyFont="1" applyBorder="1" applyAlignment="1">
      <alignment horizontal="center" vertical="center" wrapText="1"/>
    </xf>
    <xf numFmtId="164" fontId="0" fillId="0" borderId="0" xfId="0" applyNumberFormat="1"/>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10489F41-5793-437E-A209-247AC9DE81C2}"/>
    <cellStyle name="Normal 6 2" xfId="6" xr:uid="{D56611A7-DA48-440F-8375-4D02FCA5EF9B}"/>
    <cellStyle name="Percent" xfId="2" builtinId="5"/>
    <cellStyle name="Percent 2" xfId="8" xr:uid="{1F30D4AF-F2BF-4125-8C78-29A870BD7588}"/>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5"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2" t="s">
        <v>138</v>
      </c>
      <c r="G1" s="52" t="s">
        <v>139</v>
      </c>
      <c r="H1" s="52" t="s">
        <v>140</v>
      </c>
      <c r="I1" s="52" t="s">
        <v>141</v>
      </c>
      <c r="J1" s="47" t="s">
        <v>82</v>
      </c>
      <c r="K1" s="47" t="s">
        <v>142</v>
      </c>
      <c r="L1" s="47" t="s">
        <v>143</v>
      </c>
      <c r="M1" s="47" t="s">
        <v>144</v>
      </c>
      <c r="N1" s="46" t="s">
        <v>4</v>
      </c>
      <c r="O1" s="46" t="s">
        <v>145</v>
      </c>
      <c r="P1" s="46" t="s">
        <v>146</v>
      </c>
      <c r="Q1" s="46" t="s">
        <v>147</v>
      </c>
      <c r="R1" s="50" t="s">
        <v>148</v>
      </c>
      <c r="S1" s="50" t="s">
        <v>149</v>
      </c>
      <c r="T1" s="50" t="s">
        <v>150</v>
      </c>
      <c r="U1" s="50" t="s">
        <v>151</v>
      </c>
      <c r="V1" s="49" t="s">
        <v>6</v>
      </c>
      <c r="W1" s="49" t="s">
        <v>152</v>
      </c>
      <c r="X1" s="49" t="s">
        <v>153</v>
      </c>
      <c r="Y1" s="49" t="s">
        <v>154</v>
      </c>
      <c r="Z1" s="1" t="s">
        <v>155</v>
      </c>
      <c r="AA1" s="1" t="s">
        <v>156</v>
      </c>
      <c r="AB1" s="1" t="s">
        <v>157</v>
      </c>
      <c r="AC1" s="1" t="s">
        <v>158</v>
      </c>
      <c r="AD1" s="48" t="s">
        <v>8</v>
      </c>
      <c r="AE1" s="48" t="s">
        <v>159</v>
      </c>
      <c r="AF1" s="48" t="s">
        <v>160</v>
      </c>
      <c r="AG1" s="48" t="s">
        <v>161</v>
      </c>
      <c r="AH1" s="49" t="s">
        <v>9</v>
      </c>
      <c r="AI1" s="49" t="s">
        <v>162</v>
      </c>
      <c r="AJ1" s="49" t="s">
        <v>163</v>
      </c>
      <c r="AK1" s="49" t="s">
        <v>164</v>
      </c>
      <c r="AL1" s="1" t="s">
        <v>10</v>
      </c>
      <c r="AM1" s="1" t="s">
        <v>165</v>
      </c>
      <c r="AN1" s="1" t="s">
        <v>166</v>
      </c>
      <c r="AO1" s="1" t="s">
        <v>167</v>
      </c>
      <c r="AP1" s="51" t="s">
        <v>168</v>
      </c>
      <c r="AQ1" s="51" t="s">
        <v>169</v>
      </c>
      <c r="AR1" s="51" t="s">
        <v>170</v>
      </c>
      <c r="AS1" s="51"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7"/>
      <c r="C2" s="1" t="s">
        <v>221</v>
      </c>
      <c r="D2" s="1" t="s">
        <v>222</v>
      </c>
      <c r="E2" s="1" t="s">
        <v>223</v>
      </c>
      <c r="F2" s="52"/>
      <c r="G2" s="52"/>
      <c r="H2" s="52">
        <v>0</v>
      </c>
      <c r="I2" s="52"/>
      <c r="J2" s="47" t="s">
        <v>41</v>
      </c>
      <c r="K2" s="47"/>
      <c r="L2" s="47">
        <v>588</v>
      </c>
      <c r="M2" s="47"/>
      <c r="N2" s="46"/>
      <c r="O2" s="46"/>
      <c r="P2" s="46">
        <v>0</v>
      </c>
      <c r="Q2" s="46"/>
      <c r="R2" s="50"/>
      <c r="S2" s="50"/>
      <c r="T2" s="50">
        <v>0</v>
      </c>
      <c r="U2" s="50"/>
      <c r="V2" s="49"/>
      <c r="W2" s="49"/>
      <c r="X2" s="49">
        <v>0</v>
      </c>
      <c r="Y2" s="49"/>
      <c r="Z2" s="1"/>
      <c r="AA2" s="1"/>
      <c r="AB2" s="1">
        <v>0</v>
      </c>
      <c r="AC2" s="1"/>
      <c r="AD2" s="48"/>
      <c r="AE2" s="48"/>
      <c r="AF2" s="48">
        <v>0</v>
      </c>
      <c r="AG2" s="48"/>
      <c r="AH2" s="49" t="s">
        <v>55</v>
      </c>
      <c r="AI2" s="49"/>
      <c r="AJ2" s="49">
        <v>388</v>
      </c>
      <c r="AK2" s="49"/>
      <c r="AL2" s="1"/>
      <c r="AM2" s="1"/>
      <c r="AN2" s="1">
        <v>0</v>
      </c>
      <c r="AO2" s="1"/>
      <c r="AP2" s="51"/>
      <c r="AQ2" s="51"/>
      <c r="AR2" s="51">
        <v>0</v>
      </c>
      <c r="AS2" s="51"/>
      <c r="AT2" s="1" t="s">
        <v>50</v>
      </c>
      <c r="AU2" s="1"/>
      <c r="AV2" s="1">
        <v>0</v>
      </c>
      <c r="AW2" s="1"/>
      <c r="AX2" s="1"/>
      <c r="AY2" s="1"/>
      <c r="AZ2" s="1">
        <v>0</v>
      </c>
      <c r="BA2" s="1"/>
      <c r="BB2" s="1"/>
      <c r="BC2" s="1"/>
      <c r="BD2" s="1">
        <v>0</v>
      </c>
      <c r="BE2" s="1"/>
      <c r="BF2" s="1"/>
      <c r="BG2" s="1"/>
      <c r="BH2" s="1">
        <v>0</v>
      </c>
      <c r="BI2" s="1"/>
      <c r="BJ2" s="1"/>
      <c r="BK2" s="1"/>
      <c r="BL2" s="1">
        <v>0</v>
      </c>
      <c r="BM2" s="64"/>
      <c r="BN2" s="1"/>
      <c r="BO2" s="1"/>
      <c r="BP2" s="1">
        <v>0</v>
      </c>
      <c r="BQ2" s="1"/>
      <c r="BR2" s="1"/>
      <c r="BS2" s="1"/>
      <c r="BT2" s="1">
        <v>0</v>
      </c>
      <c r="BU2" s="1"/>
      <c r="BV2" s="1"/>
      <c r="BW2" s="1"/>
      <c r="BX2" s="1">
        <v>0</v>
      </c>
      <c r="BY2" s="1"/>
      <c r="BZ2" s="1">
        <v>3956</v>
      </c>
      <c r="CA2" s="1">
        <v>3956</v>
      </c>
      <c r="CB2" s="54"/>
      <c r="CC2" s="1"/>
      <c r="CD2" s="54"/>
      <c r="CE2" s="1"/>
      <c r="CF2" s="54"/>
      <c r="CG2" s="1"/>
      <c r="CH2" s="1">
        <v>3956</v>
      </c>
      <c r="CI2" s="54"/>
      <c r="CJ2" s="1"/>
      <c r="CK2" s="54"/>
      <c r="CL2" s="1"/>
      <c r="CM2" s="1"/>
      <c r="CN2" s="1"/>
      <c r="CO2" s="1">
        <v>3956</v>
      </c>
      <c r="CP2" s="54"/>
      <c r="CQ2" s="1">
        <v>3956</v>
      </c>
      <c r="CR2" s="54">
        <v>0.18</v>
      </c>
      <c r="CS2" s="1">
        <v>712.08</v>
      </c>
      <c r="CT2" s="1">
        <v>4668.08</v>
      </c>
      <c r="CU2" s="53">
        <v>20</v>
      </c>
      <c r="CV2" s="53" t="s">
        <v>224</v>
      </c>
      <c r="CW2" s="53">
        <v>93362</v>
      </c>
      <c r="CX2" s="1"/>
      <c r="CY2" s="10" t="s">
        <v>225</v>
      </c>
      <c r="CZ2" s="10" t="s">
        <v>226</v>
      </c>
    </row>
    <row r="3" spans="1:104" s="10" customFormat="1" ht="18" customHeight="1" x14ac:dyDescent="0.25">
      <c r="A3" s="6" t="s">
        <v>220</v>
      </c>
      <c r="B3" s="57"/>
      <c r="C3" s="1" t="s">
        <v>227</v>
      </c>
      <c r="D3" s="1" t="s">
        <v>228</v>
      </c>
      <c r="E3" s="1" t="s">
        <v>229</v>
      </c>
      <c r="F3" s="52"/>
      <c r="G3" s="52"/>
      <c r="H3" s="52">
        <v>0</v>
      </c>
      <c r="I3" s="52"/>
      <c r="J3" s="47" t="s">
        <v>41</v>
      </c>
      <c r="K3" s="47"/>
      <c r="L3" s="47">
        <v>1467</v>
      </c>
      <c r="M3" s="47"/>
      <c r="N3" s="46"/>
      <c r="O3" s="46"/>
      <c r="P3" s="46">
        <v>0</v>
      </c>
      <c r="Q3" s="46"/>
      <c r="R3" s="50"/>
      <c r="S3" s="50"/>
      <c r="T3" s="50">
        <v>0</v>
      </c>
      <c r="U3" s="50"/>
      <c r="V3" s="49"/>
      <c r="W3" s="49"/>
      <c r="X3" s="49">
        <v>0</v>
      </c>
      <c r="Y3" s="49"/>
      <c r="Z3" s="1"/>
      <c r="AA3" s="1"/>
      <c r="AB3" s="1">
        <v>0</v>
      </c>
      <c r="AC3" s="1"/>
      <c r="AD3" s="48"/>
      <c r="AE3" s="48"/>
      <c r="AF3" s="48">
        <v>0</v>
      </c>
      <c r="AG3" s="48"/>
      <c r="AH3" s="49" t="s">
        <v>55</v>
      </c>
      <c r="AI3" s="49"/>
      <c r="AJ3" s="49">
        <v>537</v>
      </c>
      <c r="AK3" s="49"/>
      <c r="AL3" s="1"/>
      <c r="AM3" s="1"/>
      <c r="AN3" s="1">
        <v>0</v>
      </c>
      <c r="AO3" s="1"/>
      <c r="AP3" s="51"/>
      <c r="AQ3" s="51"/>
      <c r="AR3" s="51">
        <v>0</v>
      </c>
      <c r="AS3" s="51"/>
      <c r="AT3" s="1" t="s">
        <v>50</v>
      </c>
      <c r="AU3" s="1"/>
      <c r="AV3" s="1">
        <v>0</v>
      </c>
      <c r="AW3" s="1"/>
      <c r="AX3" s="1"/>
      <c r="AY3" s="1"/>
      <c r="AZ3" s="1">
        <v>0</v>
      </c>
      <c r="BA3" s="1"/>
      <c r="BB3" s="1"/>
      <c r="BC3" s="1"/>
      <c r="BD3" s="1">
        <v>0</v>
      </c>
      <c r="BE3" s="1"/>
      <c r="BF3" s="1"/>
      <c r="BG3" s="1"/>
      <c r="BH3" s="1">
        <v>0</v>
      </c>
      <c r="BI3" s="1"/>
      <c r="BJ3" s="1"/>
      <c r="BK3" s="1"/>
      <c r="BL3" s="1">
        <v>0</v>
      </c>
      <c r="BM3" s="64"/>
      <c r="BN3" s="1"/>
      <c r="BO3" s="1"/>
      <c r="BP3" s="1">
        <v>0</v>
      </c>
      <c r="BQ3" s="1"/>
      <c r="BR3" s="1"/>
      <c r="BS3" s="1"/>
      <c r="BT3" s="1">
        <v>0</v>
      </c>
      <c r="BU3" s="1"/>
      <c r="BV3" s="1"/>
      <c r="BW3" s="1"/>
      <c r="BX3" s="1">
        <v>0</v>
      </c>
      <c r="BY3" s="1"/>
      <c r="BZ3" s="1">
        <v>20900</v>
      </c>
      <c r="CA3" s="1">
        <v>20900</v>
      </c>
      <c r="CB3" s="54"/>
      <c r="CC3" s="1"/>
      <c r="CD3" s="54"/>
      <c r="CE3" s="1"/>
      <c r="CF3" s="54"/>
      <c r="CG3" s="1"/>
      <c r="CH3" s="1">
        <v>20900</v>
      </c>
      <c r="CI3" s="54"/>
      <c r="CJ3" s="1"/>
      <c r="CK3" s="54"/>
      <c r="CL3" s="1"/>
      <c r="CM3" s="1"/>
      <c r="CN3" s="1"/>
      <c r="CO3" s="1">
        <v>20900</v>
      </c>
      <c r="CP3" s="54"/>
      <c r="CQ3" s="1">
        <v>20900</v>
      </c>
      <c r="CR3" s="54">
        <v>0.18</v>
      </c>
      <c r="CS3" s="1">
        <v>3762</v>
      </c>
      <c r="CT3" s="1">
        <v>24662</v>
      </c>
      <c r="CU3" s="53">
        <v>360</v>
      </c>
      <c r="CV3" s="53" t="s">
        <v>224</v>
      </c>
      <c r="CW3" s="53">
        <v>8878320</v>
      </c>
      <c r="CX3" s="1"/>
      <c r="CY3" s="10" t="s">
        <v>230</v>
      </c>
      <c r="CZ3" s="10" t="s">
        <v>231</v>
      </c>
    </row>
    <row r="4" spans="1:104" s="10" customFormat="1" ht="18" customHeight="1" x14ac:dyDescent="0.25">
      <c r="A4" s="6"/>
      <c r="B4" s="57"/>
      <c r="C4" s="1"/>
      <c r="D4" s="1"/>
      <c r="E4" s="1"/>
      <c r="F4" s="52"/>
      <c r="G4" s="52"/>
      <c r="H4" s="52"/>
      <c r="I4" s="52"/>
      <c r="J4" s="47"/>
      <c r="K4" s="47"/>
      <c r="L4" s="47"/>
      <c r="M4" s="47"/>
      <c r="N4" s="46"/>
      <c r="O4" s="46"/>
      <c r="P4" s="46"/>
      <c r="Q4" s="46"/>
      <c r="R4" s="50"/>
      <c r="S4" s="50"/>
      <c r="T4" s="50"/>
      <c r="U4" s="50"/>
      <c r="V4" s="49"/>
      <c r="W4" s="49"/>
      <c r="X4" s="49"/>
      <c r="Y4" s="49"/>
      <c r="Z4" s="1"/>
      <c r="AA4" s="1"/>
      <c r="AB4" s="1"/>
      <c r="AC4" s="1"/>
      <c r="AD4" s="48"/>
      <c r="AE4" s="48"/>
      <c r="AF4" s="48"/>
      <c r="AG4" s="48"/>
      <c r="AH4" s="49"/>
      <c r="AI4" s="49"/>
      <c r="AJ4" s="49"/>
      <c r="AK4" s="49"/>
      <c r="AL4" s="1"/>
      <c r="AM4" s="1"/>
      <c r="AN4" s="1"/>
      <c r="AO4" s="1"/>
      <c r="AP4" s="51"/>
      <c r="AQ4" s="51"/>
      <c r="AR4" s="51"/>
      <c r="AS4" s="51"/>
      <c r="AT4" s="1"/>
      <c r="AU4" s="1"/>
      <c r="AV4" s="1"/>
      <c r="AW4" s="1"/>
      <c r="AX4" s="1"/>
      <c r="AY4" s="1"/>
      <c r="AZ4" s="1"/>
      <c r="BA4" s="1"/>
      <c r="BB4" s="1"/>
      <c r="BC4" s="1"/>
      <c r="BD4" s="1"/>
      <c r="BE4" s="1"/>
      <c r="BF4" s="1"/>
      <c r="BG4" s="1"/>
      <c r="BH4" s="1"/>
      <c r="BI4" s="1"/>
      <c r="BJ4" s="1"/>
      <c r="BK4" s="1"/>
      <c r="BL4" s="1"/>
      <c r="BM4" s="64"/>
      <c r="BN4" s="1"/>
      <c r="BO4" s="1"/>
      <c r="BP4" s="1"/>
      <c r="BQ4" s="1"/>
      <c r="BR4" s="1"/>
      <c r="BS4" s="1"/>
      <c r="BT4" s="1"/>
      <c r="BU4" s="1"/>
      <c r="BV4" s="1"/>
      <c r="BW4" s="1"/>
      <c r="BX4" s="1"/>
      <c r="BY4" s="1"/>
      <c r="BZ4" s="1"/>
      <c r="CA4" s="1"/>
      <c r="CB4" s="54"/>
      <c r="CC4" s="1"/>
      <c r="CD4" s="54"/>
      <c r="CE4" s="1"/>
      <c r="CF4" s="54"/>
      <c r="CG4" s="1"/>
      <c r="CH4" s="1"/>
      <c r="CI4" s="54"/>
      <c r="CJ4" s="1"/>
      <c r="CK4" s="54"/>
      <c r="CL4" s="1"/>
      <c r="CM4" s="1"/>
      <c r="CN4" s="1"/>
      <c r="CO4" s="1"/>
      <c r="CP4" s="54"/>
      <c r="CQ4" s="1"/>
      <c r="CR4" s="54"/>
      <c r="CS4" s="1"/>
      <c r="CT4" s="1"/>
      <c r="CU4" s="53"/>
      <c r="CV4" s="53"/>
      <c r="CW4" s="53"/>
      <c r="CX4" s="1"/>
    </row>
    <row r="5" spans="1:104" s="10" customFormat="1" ht="18" customHeight="1" x14ac:dyDescent="0.25">
      <c r="A5" s="6"/>
      <c r="B5" s="57"/>
      <c r="C5" s="1"/>
      <c r="D5" s="1"/>
      <c r="E5" s="1"/>
      <c r="F5" s="52"/>
      <c r="G5" s="52"/>
      <c r="H5" s="52"/>
      <c r="I5" s="52"/>
      <c r="J5" s="47"/>
      <c r="K5" s="47"/>
      <c r="L5" s="47"/>
      <c r="M5" s="47"/>
      <c r="N5" s="46"/>
      <c r="O5" s="46"/>
      <c r="P5" s="46"/>
      <c r="Q5" s="46"/>
      <c r="R5" s="50"/>
      <c r="S5" s="50"/>
      <c r="T5" s="50"/>
      <c r="U5" s="50"/>
      <c r="V5" s="49"/>
      <c r="W5" s="49"/>
      <c r="X5" s="49"/>
      <c r="Y5" s="49"/>
      <c r="Z5" s="1"/>
      <c r="AA5" s="1"/>
      <c r="AB5" s="1"/>
      <c r="AC5" s="1"/>
      <c r="AD5" s="48"/>
      <c r="AE5" s="48"/>
      <c r="AF5" s="48"/>
      <c r="AG5" s="48"/>
      <c r="AH5" s="49"/>
      <c r="AI5" s="49"/>
      <c r="AJ5" s="49"/>
      <c r="AK5" s="49"/>
      <c r="AL5" s="1"/>
      <c r="AM5" s="1"/>
      <c r="AN5" s="1"/>
      <c r="AO5" s="1"/>
      <c r="AP5" s="51"/>
      <c r="AQ5" s="51"/>
      <c r="AR5" s="51"/>
      <c r="AS5" s="5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4"/>
      <c r="CC5" s="1"/>
      <c r="CD5" s="54"/>
      <c r="CE5" s="1"/>
      <c r="CF5" s="54"/>
      <c r="CG5" s="1"/>
      <c r="CH5" s="1"/>
      <c r="CI5" s="54"/>
      <c r="CJ5" s="1"/>
      <c r="CK5" s="54"/>
      <c r="CL5" s="1"/>
      <c r="CM5" s="1"/>
      <c r="CN5" s="1"/>
      <c r="CO5" s="1"/>
      <c r="CP5" s="54"/>
      <c r="CQ5" s="1"/>
      <c r="CR5" s="1"/>
      <c r="CS5" s="1"/>
      <c r="CT5" s="1"/>
      <c r="CU5" s="53"/>
      <c r="CV5" s="53"/>
      <c r="CW5" s="53"/>
      <c r="CX5" s="1"/>
    </row>
    <row r="6" spans="1:104" s="10" customFormat="1" ht="18" customHeight="1" x14ac:dyDescent="0.25">
      <c r="A6" s="6"/>
      <c r="B6" s="57"/>
      <c r="C6" s="1"/>
      <c r="D6" s="1"/>
      <c r="E6" s="1"/>
      <c r="F6" s="52"/>
      <c r="G6" s="52"/>
      <c r="H6" s="52"/>
      <c r="I6" s="52"/>
      <c r="J6" s="47"/>
      <c r="K6" s="47"/>
      <c r="L6" s="47"/>
      <c r="M6" s="47"/>
      <c r="N6" s="46"/>
      <c r="O6" s="46"/>
      <c r="P6" s="46"/>
      <c r="Q6" s="46"/>
      <c r="R6" s="50"/>
      <c r="S6" s="50"/>
      <c r="T6" s="50"/>
      <c r="U6" s="50"/>
      <c r="V6" s="49"/>
      <c r="W6" s="49"/>
      <c r="X6" s="49"/>
      <c r="Y6" s="49"/>
      <c r="Z6" s="1"/>
      <c r="AA6" s="1"/>
      <c r="AB6" s="1"/>
      <c r="AC6" s="1"/>
      <c r="AD6" s="48"/>
      <c r="AE6" s="48"/>
      <c r="AF6" s="48"/>
      <c r="AG6" s="48"/>
      <c r="AH6" s="49"/>
      <c r="AI6" s="49"/>
      <c r="AJ6" s="49"/>
      <c r="AK6" s="49"/>
      <c r="AL6" s="1"/>
      <c r="AM6" s="1"/>
      <c r="AN6" s="1"/>
      <c r="AO6" s="1"/>
      <c r="AP6" s="51"/>
      <c r="AQ6" s="51"/>
      <c r="AR6" s="51"/>
      <c r="AS6" s="5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4"/>
      <c r="CC6" s="1"/>
      <c r="CD6" s="54"/>
      <c r="CE6" s="1"/>
      <c r="CF6" s="54"/>
      <c r="CG6" s="1"/>
      <c r="CH6" s="1"/>
      <c r="CI6" s="54"/>
      <c r="CJ6" s="1"/>
      <c r="CK6" s="54"/>
      <c r="CL6" s="1"/>
      <c r="CM6" s="1"/>
      <c r="CN6" s="1"/>
      <c r="CO6" s="1"/>
      <c r="CP6" s="54"/>
      <c r="CQ6" s="1"/>
      <c r="CR6" s="1"/>
      <c r="CS6" s="1"/>
      <c r="CT6" s="1"/>
      <c r="CU6" s="53"/>
      <c r="CV6" s="53"/>
      <c r="CW6" s="53"/>
      <c r="CX6" s="1"/>
    </row>
    <row r="7" spans="1:104" s="10" customFormat="1" ht="18" customHeight="1" x14ac:dyDescent="0.25">
      <c r="A7" s="6"/>
      <c r="B7" s="57"/>
      <c r="C7" s="1"/>
      <c r="D7" s="1"/>
      <c r="E7" s="1"/>
      <c r="F7" s="52"/>
      <c r="G7" s="52"/>
      <c r="H7" s="52"/>
      <c r="I7" s="52"/>
      <c r="J7" s="47"/>
      <c r="K7" s="47"/>
      <c r="L7" s="47"/>
      <c r="M7" s="47"/>
      <c r="N7" s="46"/>
      <c r="O7" s="46"/>
      <c r="P7" s="46"/>
      <c r="Q7" s="46"/>
      <c r="R7" s="50"/>
      <c r="S7" s="50"/>
      <c r="T7" s="50"/>
      <c r="U7" s="50"/>
      <c r="V7" s="49"/>
      <c r="W7" s="49"/>
      <c r="X7" s="49"/>
      <c r="Y7" s="49"/>
      <c r="Z7" s="1"/>
      <c r="AA7" s="1"/>
      <c r="AB7" s="1"/>
      <c r="AC7" s="1"/>
      <c r="AD7" s="48"/>
      <c r="AE7" s="48"/>
      <c r="AF7" s="48"/>
      <c r="AG7" s="48"/>
      <c r="AH7" s="49"/>
      <c r="AI7" s="49"/>
      <c r="AJ7" s="49"/>
      <c r="AK7" s="49"/>
      <c r="AL7" s="1"/>
      <c r="AM7" s="1"/>
      <c r="AN7" s="1"/>
      <c r="AO7" s="1"/>
      <c r="AP7" s="51"/>
      <c r="AQ7" s="51"/>
      <c r="AR7" s="51"/>
      <c r="AS7" s="5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4"/>
      <c r="CC7" s="1"/>
      <c r="CD7" s="54"/>
      <c r="CE7" s="1"/>
      <c r="CF7" s="54"/>
      <c r="CG7" s="1"/>
      <c r="CH7" s="1"/>
      <c r="CI7" s="54"/>
      <c r="CJ7" s="1"/>
      <c r="CK7" s="54"/>
      <c r="CL7" s="1"/>
      <c r="CM7" s="1"/>
      <c r="CN7" s="1"/>
      <c r="CO7" s="1"/>
      <c r="CP7" s="54"/>
      <c r="CQ7" s="1"/>
      <c r="CR7" s="1"/>
      <c r="CS7" s="1"/>
      <c r="CT7" s="1"/>
      <c r="CU7" s="53"/>
      <c r="CV7" s="53"/>
      <c r="CW7" s="53"/>
      <c r="CX7" s="1"/>
    </row>
    <row r="8" spans="1:104" s="10" customFormat="1" ht="18" customHeight="1" x14ac:dyDescent="0.25">
      <c r="A8" s="6"/>
      <c r="B8" s="57"/>
      <c r="C8" s="1"/>
      <c r="D8" s="1"/>
      <c r="E8" s="1"/>
      <c r="F8" s="52"/>
      <c r="G8" s="52"/>
      <c r="H8" s="52"/>
      <c r="I8" s="52"/>
      <c r="J8" s="47"/>
      <c r="K8" s="47"/>
      <c r="L8" s="47"/>
      <c r="M8" s="47"/>
      <c r="N8" s="46"/>
      <c r="O8" s="46"/>
      <c r="P8" s="46"/>
      <c r="Q8" s="46"/>
      <c r="R8" s="50"/>
      <c r="S8" s="50"/>
      <c r="T8" s="50"/>
      <c r="U8" s="50"/>
      <c r="V8" s="49"/>
      <c r="W8" s="49"/>
      <c r="X8" s="49"/>
      <c r="Y8" s="49"/>
      <c r="Z8" s="1"/>
      <c r="AA8" s="1"/>
      <c r="AB8" s="1"/>
      <c r="AC8" s="1"/>
      <c r="AD8" s="48"/>
      <c r="AE8" s="48"/>
      <c r="AF8" s="48"/>
      <c r="AG8" s="48"/>
      <c r="AH8" s="49"/>
      <c r="AI8" s="49"/>
      <c r="AJ8" s="49"/>
      <c r="AK8" s="49"/>
      <c r="AL8" s="1"/>
      <c r="AM8" s="1"/>
      <c r="AN8" s="1"/>
      <c r="AO8" s="1"/>
      <c r="AP8" s="51"/>
      <c r="AQ8" s="51"/>
      <c r="AR8" s="51"/>
      <c r="AS8" s="5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4"/>
      <c r="CC8" s="1"/>
      <c r="CD8" s="54"/>
      <c r="CE8" s="1"/>
      <c r="CF8" s="54"/>
      <c r="CG8" s="1"/>
      <c r="CH8" s="1"/>
      <c r="CI8" s="54"/>
      <c r="CJ8" s="1"/>
      <c r="CK8" s="54"/>
      <c r="CL8" s="1"/>
      <c r="CM8" s="1"/>
      <c r="CN8" s="1"/>
      <c r="CO8" s="1"/>
      <c r="CP8" s="54"/>
      <c r="CQ8" s="1"/>
      <c r="CR8" s="1"/>
      <c r="CS8" s="1"/>
      <c r="CT8" s="1"/>
      <c r="CU8" s="53"/>
      <c r="CV8" s="53"/>
      <c r="CW8" s="53"/>
      <c r="CX8" s="1"/>
    </row>
    <row r="9" spans="1:104" s="10" customFormat="1" ht="18" customHeight="1" x14ac:dyDescent="0.25">
      <c r="A9" s="6"/>
      <c r="B9" s="57"/>
      <c r="C9" s="1"/>
      <c r="D9" s="1"/>
      <c r="E9" s="1"/>
      <c r="F9" s="52"/>
      <c r="G9" s="52"/>
      <c r="H9" s="52"/>
      <c r="I9" s="52"/>
      <c r="J9" s="47"/>
      <c r="K9" s="47"/>
      <c r="L9" s="47"/>
      <c r="M9" s="47"/>
      <c r="N9" s="46"/>
      <c r="O9" s="46"/>
      <c r="P9" s="46"/>
      <c r="Q9" s="46"/>
      <c r="R9" s="50"/>
      <c r="S9" s="50"/>
      <c r="T9" s="50"/>
      <c r="U9" s="50"/>
      <c r="V9" s="49"/>
      <c r="W9" s="49"/>
      <c r="X9" s="49"/>
      <c r="Y9" s="49"/>
      <c r="Z9" s="1"/>
      <c r="AA9" s="1"/>
      <c r="AB9" s="1"/>
      <c r="AC9" s="1"/>
      <c r="AD9" s="48"/>
      <c r="AE9" s="48"/>
      <c r="AF9" s="48"/>
      <c r="AG9" s="48"/>
      <c r="AH9" s="49"/>
      <c r="AI9" s="49"/>
      <c r="AJ9" s="49"/>
      <c r="AK9" s="49"/>
      <c r="AL9" s="1"/>
      <c r="AM9" s="1"/>
      <c r="AN9" s="1"/>
      <c r="AO9" s="1"/>
      <c r="AP9" s="51"/>
      <c r="AQ9" s="51"/>
      <c r="AR9" s="51"/>
      <c r="AS9" s="5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4"/>
      <c r="CC9" s="1"/>
      <c r="CD9" s="54"/>
      <c r="CE9" s="1"/>
      <c r="CF9" s="54"/>
      <c r="CG9" s="1"/>
      <c r="CH9" s="1"/>
      <c r="CI9" s="54"/>
      <c r="CJ9" s="1"/>
      <c r="CK9" s="54"/>
      <c r="CL9" s="1"/>
      <c r="CM9" s="1"/>
      <c r="CN9" s="1"/>
      <c r="CO9" s="1"/>
      <c r="CP9" s="54"/>
      <c r="CQ9" s="1"/>
      <c r="CR9" s="1"/>
      <c r="CS9" s="1"/>
      <c r="CT9" s="1"/>
      <c r="CU9" s="53"/>
      <c r="CV9" s="53"/>
      <c r="CW9" s="53"/>
      <c r="CX9" s="1"/>
    </row>
    <row r="10" spans="1:104" s="10" customFormat="1" ht="18" customHeight="1" x14ac:dyDescent="0.25">
      <c r="A10" s="6"/>
      <c r="B10" s="57"/>
      <c r="C10" s="1"/>
      <c r="D10" s="1"/>
      <c r="E10" s="1"/>
      <c r="F10" s="52"/>
      <c r="G10" s="52"/>
      <c r="H10" s="52"/>
      <c r="I10" s="52"/>
      <c r="J10" s="47"/>
      <c r="K10" s="47"/>
      <c r="L10" s="47"/>
      <c r="M10" s="47"/>
      <c r="N10" s="46"/>
      <c r="O10" s="46"/>
      <c r="P10" s="46"/>
      <c r="Q10" s="46"/>
      <c r="R10" s="50"/>
      <c r="S10" s="50"/>
      <c r="T10" s="50"/>
      <c r="U10" s="50"/>
      <c r="V10" s="49"/>
      <c r="W10" s="49"/>
      <c r="X10" s="49"/>
      <c r="Y10" s="49"/>
      <c r="Z10" s="1"/>
      <c r="AA10" s="1"/>
      <c r="AB10" s="1"/>
      <c r="AC10" s="1"/>
      <c r="AD10" s="48"/>
      <c r="AE10" s="48"/>
      <c r="AF10" s="48"/>
      <c r="AG10" s="48"/>
      <c r="AH10" s="49"/>
      <c r="AI10" s="49"/>
      <c r="AJ10" s="49"/>
      <c r="AK10" s="49"/>
      <c r="AL10" s="1"/>
      <c r="AM10" s="1"/>
      <c r="AN10" s="1"/>
      <c r="AO10" s="1"/>
      <c r="AP10" s="51"/>
      <c r="AQ10" s="51"/>
      <c r="AR10" s="51"/>
      <c r="AS10" s="5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4"/>
      <c r="CC10" s="1"/>
      <c r="CD10" s="54"/>
      <c r="CE10" s="1"/>
      <c r="CF10" s="54"/>
      <c r="CG10" s="1"/>
      <c r="CH10" s="1"/>
      <c r="CI10" s="54"/>
      <c r="CJ10" s="1"/>
      <c r="CK10" s="54"/>
      <c r="CL10" s="1"/>
      <c r="CM10" s="1"/>
      <c r="CN10" s="1"/>
      <c r="CO10" s="1"/>
      <c r="CP10" s="54"/>
      <c r="CQ10" s="1"/>
      <c r="CR10" s="1"/>
      <c r="CS10" s="1"/>
      <c r="CT10" s="1"/>
      <c r="CU10" s="53"/>
      <c r="CV10" s="53"/>
      <c r="CW10" s="53"/>
      <c r="CX10" s="1"/>
    </row>
    <row r="11" spans="1:104" s="10" customFormat="1" ht="18" customHeight="1" x14ac:dyDescent="0.25">
      <c r="A11" s="6"/>
      <c r="B11" s="57"/>
      <c r="C11" s="1"/>
      <c r="D11" s="1"/>
      <c r="E11" s="1"/>
      <c r="F11" s="52"/>
      <c r="G11" s="52"/>
      <c r="H11" s="52"/>
      <c r="I11" s="52"/>
      <c r="J11" s="47"/>
      <c r="K11" s="47"/>
      <c r="L11" s="47"/>
      <c r="M11" s="47"/>
      <c r="N11" s="46"/>
      <c r="O11" s="46"/>
      <c r="P11" s="46"/>
      <c r="Q11" s="46"/>
      <c r="R11" s="50"/>
      <c r="S11" s="50"/>
      <c r="T11" s="50"/>
      <c r="U11" s="50"/>
      <c r="V11" s="49"/>
      <c r="W11" s="49"/>
      <c r="X11" s="49"/>
      <c r="Y11" s="49"/>
      <c r="Z11" s="1"/>
      <c r="AA11" s="1"/>
      <c r="AB11" s="1"/>
      <c r="AC11" s="1"/>
      <c r="AD11" s="48"/>
      <c r="AE11" s="48"/>
      <c r="AF11" s="48"/>
      <c r="AG11" s="48"/>
      <c r="AH11" s="49"/>
      <c r="AI11" s="49"/>
      <c r="AJ11" s="49"/>
      <c r="AK11" s="49"/>
      <c r="AL11" s="1"/>
      <c r="AM11" s="1"/>
      <c r="AN11" s="1"/>
      <c r="AO11" s="1"/>
      <c r="AP11" s="51"/>
      <c r="AQ11" s="51"/>
      <c r="AR11" s="51"/>
      <c r="AS11" s="5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4"/>
      <c r="CC11" s="1"/>
      <c r="CD11" s="54"/>
      <c r="CE11" s="1"/>
      <c r="CF11" s="54"/>
      <c r="CG11" s="1"/>
      <c r="CH11" s="1"/>
      <c r="CI11" s="54"/>
      <c r="CJ11" s="1"/>
      <c r="CK11" s="54"/>
      <c r="CL11" s="1"/>
      <c r="CM11" s="1"/>
      <c r="CN11" s="1"/>
      <c r="CO11" s="1"/>
      <c r="CP11" s="54"/>
      <c r="CQ11" s="1"/>
      <c r="CR11" s="1"/>
      <c r="CS11" s="1"/>
      <c r="CT11" s="1"/>
      <c r="CU11" s="53"/>
      <c r="CV11" s="53"/>
      <c r="CW11" s="53"/>
      <c r="CX11" s="1"/>
    </row>
    <row r="12" spans="1:104" s="10" customFormat="1" ht="18" customHeight="1" x14ac:dyDescent="0.25">
      <c r="A12" s="6"/>
      <c r="B12" s="57"/>
      <c r="C12" s="1"/>
      <c r="D12" s="1"/>
      <c r="E12" s="1"/>
      <c r="F12" s="52"/>
      <c r="G12" s="52"/>
      <c r="H12" s="52"/>
      <c r="I12" s="52"/>
      <c r="J12" s="47"/>
      <c r="K12" s="47"/>
      <c r="L12" s="47"/>
      <c r="M12" s="47"/>
      <c r="N12" s="46"/>
      <c r="O12" s="46"/>
      <c r="P12" s="46"/>
      <c r="Q12" s="46"/>
      <c r="R12" s="50"/>
      <c r="S12" s="50"/>
      <c r="T12" s="50"/>
      <c r="U12" s="50"/>
      <c r="V12" s="49"/>
      <c r="W12" s="49"/>
      <c r="X12" s="49"/>
      <c r="Y12" s="49"/>
      <c r="Z12" s="1"/>
      <c r="AA12" s="1"/>
      <c r="AB12" s="1"/>
      <c r="AC12" s="1"/>
      <c r="AD12" s="48"/>
      <c r="AE12" s="48"/>
      <c r="AF12" s="48"/>
      <c r="AG12" s="48"/>
      <c r="AH12" s="49"/>
      <c r="AI12" s="49"/>
      <c r="AJ12" s="49"/>
      <c r="AK12" s="49"/>
      <c r="AL12" s="1"/>
      <c r="AM12" s="1"/>
      <c r="AN12" s="1"/>
      <c r="AO12" s="1"/>
      <c r="AP12" s="51"/>
      <c r="AQ12" s="51"/>
      <c r="AR12" s="51"/>
      <c r="AS12" s="5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4"/>
      <c r="CC12" s="1"/>
      <c r="CD12" s="54"/>
      <c r="CE12" s="1"/>
      <c r="CF12" s="54"/>
      <c r="CG12" s="1"/>
      <c r="CH12" s="1"/>
      <c r="CI12" s="54"/>
      <c r="CJ12" s="1"/>
      <c r="CK12" s="54"/>
      <c r="CL12" s="1"/>
      <c r="CM12" s="1"/>
      <c r="CN12" s="1"/>
      <c r="CO12" s="1"/>
      <c r="CP12" s="54"/>
      <c r="CQ12" s="1"/>
      <c r="CR12" s="1"/>
      <c r="CS12" s="1"/>
      <c r="CT12" s="1"/>
      <c r="CU12" s="53"/>
      <c r="CV12" s="53"/>
      <c r="CW12" s="53"/>
      <c r="CX12" s="1"/>
    </row>
    <row r="13" spans="1:104" s="10" customFormat="1" ht="18" customHeight="1" x14ac:dyDescent="0.25">
      <c r="A13" s="6"/>
      <c r="B13" s="57"/>
      <c r="C13" s="1"/>
      <c r="D13" s="1"/>
      <c r="E13" s="1"/>
      <c r="F13" s="52"/>
      <c r="G13" s="52"/>
      <c r="H13" s="52"/>
      <c r="I13" s="52"/>
      <c r="J13" s="47"/>
      <c r="K13" s="47"/>
      <c r="L13" s="47"/>
      <c r="M13" s="47"/>
      <c r="N13" s="46"/>
      <c r="O13" s="46"/>
      <c r="P13" s="46"/>
      <c r="Q13" s="46"/>
      <c r="R13" s="50"/>
      <c r="S13" s="50"/>
      <c r="T13" s="50"/>
      <c r="U13" s="50"/>
      <c r="V13" s="49"/>
      <c r="W13" s="49"/>
      <c r="X13" s="49"/>
      <c r="Y13" s="49"/>
      <c r="Z13" s="1"/>
      <c r="AA13" s="1"/>
      <c r="AB13" s="1"/>
      <c r="AC13" s="1"/>
      <c r="AD13" s="48"/>
      <c r="AE13" s="48"/>
      <c r="AF13" s="48"/>
      <c r="AG13" s="48"/>
      <c r="AH13" s="49"/>
      <c r="AI13" s="49"/>
      <c r="AJ13" s="49"/>
      <c r="AK13" s="49"/>
      <c r="AL13" s="1"/>
      <c r="AM13" s="1"/>
      <c r="AN13" s="1"/>
      <c r="AO13" s="1"/>
      <c r="AP13" s="51"/>
      <c r="AQ13" s="51"/>
      <c r="AR13" s="51"/>
      <c r="AS13" s="5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4"/>
      <c r="CC13" s="1"/>
      <c r="CD13" s="54"/>
      <c r="CE13" s="1"/>
      <c r="CF13" s="54"/>
      <c r="CG13" s="1"/>
      <c r="CH13" s="1"/>
      <c r="CI13" s="54"/>
      <c r="CJ13" s="1"/>
      <c r="CK13" s="54"/>
      <c r="CL13" s="1"/>
      <c r="CM13" s="1"/>
      <c r="CN13" s="1"/>
      <c r="CO13" s="1"/>
      <c r="CP13" s="54"/>
      <c r="CQ13" s="1"/>
      <c r="CR13" s="1"/>
      <c r="CS13" s="1"/>
      <c r="CT13" s="1"/>
      <c r="CU13" s="53"/>
      <c r="CV13" s="53"/>
      <c r="CW13" s="53"/>
      <c r="CX13" s="1"/>
    </row>
    <row r="14" spans="1:104" s="10" customFormat="1" ht="18" customHeight="1" x14ac:dyDescent="0.25">
      <c r="A14" s="6"/>
      <c r="B14" s="6"/>
      <c r="C14" s="1"/>
      <c r="D14" s="1"/>
      <c r="E14" s="1"/>
      <c r="F14" s="52"/>
      <c r="G14" s="52"/>
      <c r="H14" s="52"/>
      <c r="I14" s="52"/>
      <c r="J14" s="47"/>
      <c r="K14" s="47"/>
      <c r="L14" s="47"/>
      <c r="M14" s="47"/>
      <c r="N14" s="46"/>
      <c r="O14" s="46"/>
      <c r="P14" s="46"/>
      <c r="Q14" s="46"/>
      <c r="R14" s="50"/>
      <c r="S14" s="50"/>
      <c r="T14" s="50"/>
      <c r="U14" s="50"/>
      <c r="V14" s="49"/>
      <c r="W14" s="49"/>
      <c r="X14" s="49"/>
      <c r="Y14" s="49"/>
      <c r="Z14" s="1"/>
      <c r="AA14" s="1"/>
      <c r="AB14" s="1"/>
      <c r="AC14" s="1"/>
      <c r="AD14" s="48"/>
      <c r="AE14" s="48"/>
      <c r="AF14" s="48"/>
      <c r="AG14" s="48"/>
      <c r="AH14" s="49"/>
      <c r="AI14" s="49"/>
      <c r="AJ14" s="49"/>
      <c r="AK14" s="49"/>
      <c r="AL14" s="1"/>
      <c r="AM14" s="1"/>
      <c r="AN14" s="1"/>
      <c r="AO14" s="1"/>
      <c r="AP14" s="51"/>
      <c r="AQ14" s="51"/>
      <c r="AR14" s="51"/>
      <c r="AS14" s="5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3"/>
      <c r="CW14" s="53"/>
      <c r="CX14" s="1"/>
    </row>
    <row r="15" spans="1:104" s="10" customFormat="1" ht="18" customHeight="1" x14ac:dyDescent="0.25">
      <c r="A15" s="6"/>
      <c r="B15" s="6"/>
      <c r="C15" s="1"/>
      <c r="D15" s="1"/>
      <c r="E15" s="1"/>
      <c r="F15" s="52"/>
      <c r="G15" s="52"/>
      <c r="H15" s="52"/>
      <c r="I15" s="52"/>
      <c r="J15" s="47"/>
      <c r="K15" s="47"/>
      <c r="L15" s="47"/>
      <c r="M15" s="47"/>
      <c r="N15" s="46"/>
      <c r="O15" s="46"/>
      <c r="P15" s="46"/>
      <c r="Q15" s="46"/>
      <c r="R15" s="50"/>
      <c r="S15" s="50"/>
      <c r="T15" s="50"/>
      <c r="U15" s="50"/>
      <c r="V15" s="49"/>
      <c r="W15" s="49"/>
      <c r="X15" s="49"/>
      <c r="Y15" s="49"/>
      <c r="Z15" s="1"/>
      <c r="AA15" s="1"/>
      <c r="AB15" s="1"/>
      <c r="AC15" s="1"/>
      <c r="AD15" s="48"/>
      <c r="AE15" s="48"/>
      <c r="AF15" s="48"/>
      <c r="AG15" s="48"/>
      <c r="AH15" s="49"/>
      <c r="AI15" s="49"/>
      <c r="AJ15" s="49"/>
      <c r="AK15" s="49"/>
      <c r="AL15" s="1"/>
      <c r="AM15" s="1"/>
      <c r="AN15" s="1"/>
      <c r="AO15" s="1"/>
      <c r="AP15" s="51"/>
      <c r="AQ15" s="51"/>
      <c r="AR15" s="51"/>
      <c r="AS15" s="5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3"/>
      <c r="CW15" s="53"/>
      <c r="CX15" s="1"/>
    </row>
    <row r="16" spans="1:104" s="10" customFormat="1" ht="18" customHeight="1" x14ac:dyDescent="0.25">
      <c r="A16" s="6"/>
      <c r="B16" s="6"/>
      <c r="C16" s="1"/>
      <c r="D16" s="1"/>
      <c r="E16" s="1"/>
      <c r="F16" s="52"/>
      <c r="G16" s="52"/>
      <c r="H16" s="52"/>
      <c r="I16" s="52"/>
      <c r="J16" s="47"/>
      <c r="K16" s="47"/>
      <c r="L16" s="47"/>
      <c r="M16" s="47"/>
      <c r="N16" s="46"/>
      <c r="O16" s="46"/>
      <c r="P16" s="46"/>
      <c r="Q16" s="46"/>
      <c r="R16" s="50"/>
      <c r="S16" s="50"/>
      <c r="T16" s="50"/>
      <c r="U16" s="50"/>
      <c r="V16" s="49"/>
      <c r="W16" s="49"/>
      <c r="X16" s="49"/>
      <c r="Y16" s="49"/>
      <c r="Z16" s="1"/>
      <c r="AA16" s="1"/>
      <c r="AB16" s="1"/>
      <c r="AC16" s="1"/>
      <c r="AD16" s="48"/>
      <c r="AE16" s="48"/>
      <c r="AF16" s="48"/>
      <c r="AG16" s="48"/>
      <c r="AH16" s="49"/>
      <c r="AI16" s="49"/>
      <c r="AJ16" s="49"/>
      <c r="AK16" s="49"/>
      <c r="AL16" s="1"/>
      <c r="AM16" s="1"/>
      <c r="AN16" s="1"/>
      <c r="AO16" s="1"/>
      <c r="AP16" s="51"/>
      <c r="AQ16" s="51"/>
      <c r="AR16" s="51"/>
      <c r="AS16" s="5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3"/>
      <c r="CW16" s="53"/>
      <c r="CX16" s="1"/>
    </row>
    <row r="17" spans="1:102" s="10" customFormat="1" ht="18" customHeight="1" x14ac:dyDescent="0.25">
      <c r="A17" s="6"/>
      <c r="B17" s="6"/>
      <c r="C17" s="1"/>
      <c r="D17" s="1"/>
      <c r="E17" s="1"/>
      <c r="F17" s="52"/>
      <c r="G17" s="52"/>
      <c r="H17" s="52"/>
      <c r="I17" s="52"/>
      <c r="J17" s="47"/>
      <c r="K17" s="47"/>
      <c r="L17" s="47"/>
      <c r="M17" s="47"/>
      <c r="N17" s="46"/>
      <c r="O17" s="46"/>
      <c r="P17" s="46"/>
      <c r="Q17" s="46"/>
      <c r="R17" s="50"/>
      <c r="S17" s="50"/>
      <c r="T17" s="50"/>
      <c r="U17" s="50"/>
      <c r="V17" s="49"/>
      <c r="W17" s="49"/>
      <c r="X17" s="49"/>
      <c r="Y17" s="49"/>
      <c r="Z17" s="1"/>
      <c r="AA17" s="1"/>
      <c r="AB17" s="1"/>
      <c r="AC17" s="1"/>
      <c r="AD17" s="48"/>
      <c r="AE17" s="48"/>
      <c r="AF17" s="48"/>
      <c r="AG17" s="48"/>
      <c r="AH17" s="49"/>
      <c r="AI17" s="49"/>
      <c r="AJ17" s="49"/>
      <c r="AK17" s="49"/>
      <c r="AL17" s="1"/>
      <c r="AM17" s="1"/>
      <c r="AN17" s="1"/>
      <c r="AO17" s="1"/>
      <c r="AP17" s="51"/>
      <c r="AQ17" s="51"/>
      <c r="AR17" s="51"/>
      <c r="AS17" s="5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3"/>
      <c r="CW17" s="53"/>
      <c r="CX17" s="1"/>
    </row>
    <row r="18" spans="1:102" s="10" customFormat="1" ht="18" customHeight="1" x14ac:dyDescent="0.25">
      <c r="A18" s="6"/>
      <c r="B18" s="6"/>
      <c r="C18" s="1"/>
      <c r="D18" s="1"/>
      <c r="E18" s="1"/>
      <c r="F18" s="52"/>
      <c r="G18" s="52"/>
      <c r="H18" s="52"/>
      <c r="I18" s="52"/>
      <c r="J18" s="47"/>
      <c r="K18" s="47"/>
      <c r="L18" s="47"/>
      <c r="M18" s="47"/>
      <c r="N18" s="46"/>
      <c r="O18" s="46"/>
      <c r="P18" s="46"/>
      <c r="Q18" s="46"/>
      <c r="R18" s="50"/>
      <c r="S18" s="50"/>
      <c r="T18" s="50"/>
      <c r="U18" s="50"/>
      <c r="V18" s="49"/>
      <c r="W18" s="49"/>
      <c r="X18" s="49"/>
      <c r="Y18" s="49"/>
      <c r="Z18" s="1"/>
      <c r="AA18" s="1"/>
      <c r="AB18" s="1"/>
      <c r="AC18" s="1"/>
      <c r="AD18" s="48"/>
      <c r="AE18" s="48"/>
      <c r="AF18" s="48"/>
      <c r="AG18" s="48"/>
      <c r="AH18" s="49"/>
      <c r="AI18" s="49"/>
      <c r="AJ18" s="49"/>
      <c r="AK18" s="49"/>
      <c r="AL18" s="1"/>
      <c r="AM18" s="1"/>
      <c r="AN18" s="1"/>
      <c r="AO18" s="1"/>
      <c r="AP18" s="51"/>
      <c r="AQ18" s="51"/>
      <c r="AR18" s="51"/>
      <c r="AS18" s="5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3"/>
      <c r="CW18" s="53"/>
      <c r="CX18" s="1"/>
    </row>
    <row r="19" spans="1:102" s="10" customFormat="1" ht="18" customHeight="1" x14ac:dyDescent="0.25">
      <c r="A19" s="6"/>
      <c r="B19" s="6"/>
      <c r="C19" s="1"/>
      <c r="D19" s="1"/>
      <c r="E19" s="1"/>
      <c r="F19" s="52"/>
      <c r="G19" s="52"/>
      <c r="H19" s="52"/>
      <c r="I19" s="52"/>
      <c r="J19" s="47"/>
      <c r="K19" s="47"/>
      <c r="L19" s="47"/>
      <c r="M19" s="47"/>
      <c r="N19" s="46"/>
      <c r="O19" s="46"/>
      <c r="P19" s="46"/>
      <c r="Q19" s="46"/>
      <c r="R19" s="50"/>
      <c r="S19" s="50"/>
      <c r="T19" s="50"/>
      <c r="U19" s="50"/>
      <c r="V19" s="49"/>
      <c r="W19" s="49"/>
      <c r="X19" s="49"/>
      <c r="Y19" s="49"/>
      <c r="Z19" s="1"/>
      <c r="AA19" s="1"/>
      <c r="AB19" s="1"/>
      <c r="AC19" s="1"/>
      <c r="AD19" s="48"/>
      <c r="AE19" s="48"/>
      <c r="AF19" s="48"/>
      <c r="AG19" s="48"/>
      <c r="AH19" s="49"/>
      <c r="AI19" s="49"/>
      <c r="AJ19" s="49"/>
      <c r="AK19" s="49"/>
      <c r="AL19" s="1"/>
      <c r="AM19" s="1"/>
      <c r="AN19" s="1"/>
      <c r="AO19" s="1"/>
      <c r="AP19" s="51"/>
      <c r="AQ19" s="51"/>
      <c r="AR19" s="51"/>
      <c r="AS19" s="5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3"/>
      <c r="CW19" s="53"/>
      <c r="CX19" s="1"/>
    </row>
    <row r="20" spans="1:102" s="10" customFormat="1" ht="18" customHeight="1" x14ac:dyDescent="0.25">
      <c r="A20" s="6"/>
      <c r="B20" s="6"/>
      <c r="C20" s="1"/>
      <c r="D20" s="1"/>
      <c r="E20" s="1"/>
      <c r="F20" s="52"/>
      <c r="G20" s="52"/>
      <c r="H20" s="52"/>
      <c r="I20" s="52"/>
      <c r="J20" s="47"/>
      <c r="K20" s="47"/>
      <c r="L20" s="47"/>
      <c r="M20" s="47"/>
      <c r="N20" s="46"/>
      <c r="O20" s="46"/>
      <c r="P20" s="46"/>
      <c r="Q20" s="46"/>
      <c r="R20" s="50"/>
      <c r="S20" s="50"/>
      <c r="T20" s="50"/>
      <c r="U20" s="50"/>
      <c r="V20" s="49"/>
      <c r="W20" s="49"/>
      <c r="X20" s="49"/>
      <c r="Y20" s="49"/>
      <c r="Z20" s="1"/>
      <c r="AA20" s="1"/>
      <c r="AB20" s="1"/>
      <c r="AC20" s="1"/>
      <c r="AD20" s="48"/>
      <c r="AE20" s="48"/>
      <c r="AF20" s="48"/>
      <c r="AG20" s="48"/>
      <c r="AH20" s="49"/>
      <c r="AI20" s="49"/>
      <c r="AJ20" s="49"/>
      <c r="AK20" s="49"/>
      <c r="AL20" s="1"/>
      <c r="AM20" s="1"/>
      <c r="AN20" s="1"/>
      <c r="AO20" s="1"/>
      <c r="AP20" s="51"/>
      <c r="AQ20" s="51"/>
      <c r="AR20" s="51"/>
      <c r="AS20" s="5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3"/>
      <c r="CW20" s="53"/>
      <c r="CX20" s="1"/>
    </row>
    <row r="21" spans="1:102" s="10" customFormat="1" ht="18" customHeight="1" x14ac:dyDescent="0.25">
      <c r="A21" s="6"/>
      <c r="B21" s="6"/>
      <c r="C21" s="1"/>
      <c r="D21" s="1"/>
      <c r="E21" s="1"/>
      <c r="F21" s="52"/>
      <c r="G21" s="52"/>
      <c r="H21" s="52"/>
      <c r="I21" s="52"/>
      <c r="J21" s="47"/>
      <c r="K21" s="47"/>
      <c r="L21" s="47"/>
      <c r="M21" s="47"/>
      <c r="N21" s="46"/>
      <c r="O21" s="46"/>
      <c r="P21" s="46"/>
      <c r="Q21" s="46"/>
      <c r="R21" s="50"/>
      <c r="S21" s="50"/>
      <c r="T21" s="50"/>
      <c r="U21" s="50"/>
      <c r="V21" s="49"/>
      <c r="W21" s="49"/>
      <c r="X21" s="49"/>
      <c r="Y21" s="49"/>
      <c r="Z21" s="1"/>
      <c r="AA21" s="1"/>
      <c r="AB21" s="1"/>
      <c r="AC21" s="1"/>
      <c r="AD21" s="48"/>
      <c r="AE21" s="48"/>
      <c r="AF21" s="48"/>
      <c r="AG21" s="48"/>
      <c r="AH21" s="49"/>
      <c r="AI21" s="49"/>
      <c r="AJ21" s="49"/>
      <c r="AK21" s="49"/>
      <c r="AL21" s="1"/>
      <c r="AM21" s="1"/>
      <c r="AN21" s="1"/>
      <c r="AO21" s="1"/>
      <c r="AP21" s="51"/>
      <c r="AQ21" s="51"/>
      <c r="AR21" s="51"/>
      <c r="AS21" s="5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3"/>
      <c r="CW21" s="53"/>
      <c r="CX21" s="1"/>
    </row>
    <row r="22" spans="1:102" s="10" customFormat="1" ht="18" customHeight="1" x14ac:dyDescent="0.25">
      <c r="A22" s="6"/>
      <c r="B22" s="6"/>
      <c r="C22" s="1"/>
      <c r="D22" s="1"/>
      <c r="E22" s="1"/>
      <c r="F22" s="52"/>
      <c r="G22" s="52"/>
      <c r="H22" s="52"/>
      <c r="I22" s="52"/>
      <c r="J22" s="47"/>
      <c r="K22" s="47"/>
      <c r="L22" s="47"/>
      <c r="M22" s="47"/>
      <c r="N22" s="46"/>
      <c r="O22" s="46"/>
      <c r="P22" s="46"/>
      <c r="Q22" s="46"/>
      <c r="R22" s="50"/>
      <c r="S22" s="50"/>
      <c r="T22" s="50"/>
      <c r="U22" s="50"/>
      <c r="V22" s="49"/>
      <c r="W22" s="49"/>
      <c r="X22" s="49"/>
      <c r="Y22" s="49"/>
      <c r="Z22" s="1"/>
      <c r="AA22" s="1"/>
      <c r="AB22" s="1"/>
      <c r="AC22" s="1"/>
      <c r="AD22" s="48"/>
      <c r="AE22" s="48"/>
      <c r="AF22" s="48"/>
      <c r="AG22" s="48"/>
      <c r="AH22" s="49"/>
      <c r="AI22" s="49"/>
      <c r="AJ22" s="49"/>
      <c r="AK22" s="49"/>
      <c r="AL22" s="1"/>
      <c r="AM22" s="1"/>
      <c r="AN22" s="1"/>
      <c r="AO22" s="1"/>
      <c r="AP22" s="51"/>
      <c r="AQ22" s="51"/>
      <c r="AR22" s="51"/>
      <c r="AS22" s="5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3"/>
      <c r="CW22" s="53"/>
      <c r="CX22" s="1"/>
    </row>
    <row r="23" spans="1:102" s="10" customFormat="1" ht="18" customHeight="1" x14ac:dyDescent="0.25">
      <c r="A23" s="6"/>
      <c r="B23" s="6"/>
      <c r="C23" s="1"/>
      <c r="D23" s="1"/>
      <c r="E23" s="1"/>
      <c r="F23" s="52"/>
      <c r="G23" s="52"/>
      <c r="H23" s="52"/>
      <c r="I23" s="52"/>
      <c r="J23" s="47"/>
      <c r="K23" s="47"/>
      <c r="L23" s="47"/>
      <c r="M23" s="47"/>
      <c r="N23" s="46"/>
      <c r="O23" s="46"/>
      <c r="P23" s="46"/>
      <c r="Q23" s="46"/>
      <c r="R23" s="50"/>
      <c r="S23" s="50"/>
      <c r="T23" s="50"/>
      <c r="U23" s="50"/>
      <c r="V23" s="49"/>
      <c r="W23" s="49"/>
      <c r="X23" s="49"/>
      <c r="Y23" s="49"/>
      <c r="Z23" s="1"/>
      <c r="AA23" s="1"/>
      <c r="AB23" s="1"/>
      <c r="AC23" s="1"/>
      <c r="AD23" s="48"/>
      <c r="AE23" s="48"/>
      <c r="AF23" s="48"/>
      <c r="AG23" s="48"/>
      <c r="AH23" s="49"/>
      <c r="AI23" s="49"/>
      <c r="AJ23" s="49"/>
      <c r="AK23" s="49"/>
      <c r="AL23" s="1"/>
      <c r="AM23" s="1"/>
      <c r="AN23" s="1"/>
      <c r="AO23" s="1"/>
      <c r="AP23" s="51"/>
      <c r="AQ23" s="51"/>
      <c r="AR23" s="51"/>
      <c r="AS23" s="5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3"/>
      <c r="CW23" s="53"/>
      <c r="CX23" s="1"/>
    </row>
    <row r="24" spans="1:102" s="10" customFormat="1" ht="18" customHeight="1" x14ac:dyDescent="0.25">
      <c r="A24" s="6"/>
      <c r="B24" s="6"/>
      <c r="C24" s="1"/>
      <c r="D24" s="1"/>
      <c r="E24" s="1"/>
      <c r="F24" s="52"/>
      <c r="G24" s="52"/>
      <c r="H24" s="52"/>
      <c r="I24" s="52"/>
      <c r="J24" s="47"/>
      <c r="K24" s="47"/>
      <c r="L24" s="47"/>
      <c r="M24" s="47"/>
      <c r="N24" s="46"/>
      <c r="O24" s="46"/>
      <c r="P24" s="46"/>
      <c r="Q24" s="46"/>
      <c r="R24" s="50"/>
      <c r="S24" s="50"/>
      <c r="T24" s="50"/>
      <c r="U24" s="50"/>
      <c r="V24" s="49"/>
      <c r="W24" s="49"/>
      <c r="X24" s="49"/>
      <c r="Y24" s="49"/>
      <c r="Z24" s="1"/>
      <c r="AA24" s="1"/>
      <c r="AB24" s="1"/>
      <c r="AC24" s="1"/>
      <c r="AD24" s="48"/>
      <c r="AE24" s="48"/>
      <c r="AF24" s="48"/>
      <c r="AG24" s="48"/>
      <c r="AH24" s="49"/>
      <c r="AI24" s="49"/>
      <c r="AJ24" s="49"/>
      <c r="AK24" s="49"/>
      <c r="AL24" s="1"/>
      <c r="AM24" s="1"/>
      <c r="AN24" s="1"/>
      <c r="AO24" s="1"/>
      <c r="AP24" s="51"/>
      <c r="AQ24" s="51"/>
      <c r="AR24" s="51"/>
      <c r="AS24" s="5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3"/>
      <c r="CW24" s="53"/>
      <c r="CX24" s="1"/>
    </row>
    <row r="25" spans="1:102" s="10" customFormat="1" ht="18" customHeight="1" x14ac:dyDescent="0.25">
      <c r="A25" s="6"/>
      <c r="B25" s="6"/>
      <c r="C25" s="1"/>
      <c r="D25" s="1"/>
      <c r="E25" s="1"/>
      <c r="F25" s="52"/>
      <c r="G25" s="52"/>
      <c r="H25" s="52"/>
      <c r="I25" s="52"/>
      <c r="J25" s="47"/>
      <c r="K25" s="47"/>
      <c r="L25" s="47"/>
      <c r="M25" s="47"/>
      <c r="N25" s="46"/>
      <c r="O25" s="46"/>
      <c r="P25" s="46"/>
      <c r="Q25" s="46"/>
      <c r="R25" s="50"/>
      <c r="S25" s="50"/>
      <c r="T25" s="50"/>
      <c r="U25" s="50"/>
      <c r="V25" s="49"/>
      <c r="W25" s="49"/>
      <c r="X25" s="49"/>
      <c r="Y25" s="49"/>
      <c r="Z25" s="1"/>
      <c r="AA25" s="1"/>
      <c r="AB25" s="1"/>
      <c r="AC25" s="1"/>
      <c r="AD25" s="48"/>
      <c r="AE25" s="48"/>
      <c r="AF25" s="48"/>
      <c r="AG25" s="48"/>
      <c r="AH25" s="49"/>
      <c r="AI25" s="49"/>
      <c r="AJ25" s="49"/>
      <c r="AK25" s="49"/>
      <c r="AL25" s="1"/>
      <c r="AM25" s="1"/>
      <c r="AN25" s="1"/>
      <c r="AO25" s="1"/>
      <c r="AP25" s="51"/>
      <c r="AQ25" s="51"/>
      <c r="AR25" s="51"/>
      <c r="AS25" s="5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3"/>
      <c r="CW25" s="53"/>
      <c r="CX25" s="1"/>
    </row>
    <row r="26" spans="1:102" s="10" customFormat="1" ht="18" customHeight="1" x14ac:dyDescent="0.25">
      <c r="A26" s="6"/>
      <c r="B26" s="6"/>
      <c r="C26" s="1"/>
      <c r="D26" s="1"/>
      <c r="E26" s="1"/>
      <c r="F26" s="52"/>
      <c r="G26" s="52"/>
      <c r="H26" s="52"/>
      <c r="I26" s="52"/>
      <c r="J26" s="47"/>
      <c r="K26" s="47"/>
      <c r="L26" s="47"/>
      <c r="M26" s="47"/>
      <c r="N26" s="46"/>
      <c r="O26" s="46"/>
      <c r="P26" s="46"/>
      <c r="Q26" s="46"/>
      <c r="R26" s="50"/>
      <c r="S26" s="50"/>
      <c r="T26" s="50"/>
      <c r="U26" s="50"/>
      <c r="V26" s="49"/>
      <c r="W26" s="49"/>
      <c r="X26" s="49"/>
      <c r="Y26" s="49"/>
      <c r="Z26" s="1"/>
      <c r="AA26" s="1"/>
      <c r="AB26" s="1"/>
      <c r="AC26" s="1"/>
      <c r="AD26" s="48"/>
      <c r="AE26" s="48"/>
      <c r="AF26" s="48"/>
      <c r="AG26" s="48"/>
      <c r="AH26" s="49"/>
      <c r="AI26" s="49"/>
      <c r="AJ26" s="49"/>
      <c r="AK26" s="49"/>
      <c r="AL26" s="1"/>
      <c r="AM26" s="1"/>
      <c r="AN26" s="1"/>
      <c r="AO26" s="1"/>
      <c r="AP26" s="51"/>
      <c r="AQ26" s="51"/>
      <c r="AR26" s="51"/>
      <c r="AS26" s="5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3"/>
      <c r="CW26" s="53"/>
      <c r="CX26" s="1"/>
    </row>
    <row r="27" spans="1:102" s="10" customFormat="1" ht="18" customHeight="1" x14ac:dyDescent="0.25">
      <c r="A27" s="6"/>
      <c r="B27" s="6"/>
      <c r="C27" s="1"/>
      <c r="D27" s="1"/>
      <c r="E27" s="1"/>
      <c r="F27" s="52"/>
      <c r="G27" s="52"/>
      <c r="H27" s="52"/>
      <c r="I27" s="52"/>
      <c r="J27" s="47"/>
      <c r="K27" s="47"/>
      <c r="L27" s="47"/>
      <c r="M27" s="47"/>
      <c r="N27" s="46"/>
      <c r="O27" s="46"/>
      <c r="P27" s="46"/>
      <c r="Q27" s="46"/>
      <c r="R27" s="50"/>
      <c r="S27" s="50"/>
      <c r="T27" s="50"/>
      <c r="U27" s="50"/>
      <c r="V27" s="49"/>
      <c r="W27" s="49"/>
      <c r="X27" s="49"/>
      <c r="Y27" s="49"/>
      <c r="Z27" s="1"/>
      <c r="AA27" s="1"/>
      <c r="AB27" s="1"/>
      <c r="AC27" s="1"/>
      <c r="AD27" s="48"/>
      <c r="AE27" s="48"/>
      <c r="AF27" s="48"/>
      <c r="AG27" s="48"/>
      <c r="AH27" s="49"/>
      <c r="AI27" s="49"/>
      <c r="AJ27" s="49"/>
      <c r="AK27" s="49"/>
      <c r="AL27" s="1"/>
      <c r="AM27" s="1"/>
      <c r="AN27" s="1"/>
      <c r="AO27" s="1"/>
      <c r="AP27" s="51"/>
      <c r="AQ27" s="51"/>
      <c r="AR27" s="51"/>
      <c r="AS27" s="5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3"/>
      <c r="CW27" s="53"/>
      <c r="CX27" s="1"/>
    </row>
    <row r="28" spans="1:102" s="10" customFormat="1" ht="18" customHeight="1" x14ac:dyDescent="0.25">
      <c r="A28" s="6"/>
      <c r="B28" s="6"/>
      <c r="C28" s="1"/>
      <c r="D28" s="1"/>
      <c r="E28" s="1"/>
      <c r="F28" s="52"/>
      <c r="G28" s="52"/>
      <c r="H28" s="52"/>
      <c r="I28" s="52"/>
      <c r="J28" s="47"/>
      <c r="K28" s="47"/>
      <c r="L28" s="47"/>
      <c r="M28" s="47"/>
      <c r="N28" s="46"/>
      <c r="O28" s="46"/>
      <c r="P28" s="46"/>
      <c r="Q28" s="46"/>
      <c r="R28" s="50"/>
      <c r="S28" s="50"/>
      <c r="T28" s="50"/>
      <c r="U28" s="50"/>
      <c r="V28" s="49"/>
      <c r="W28" s="49"/>
      <c r="X28" s="49"/>
      <c r="Y28" s="49"/>
      <c r="Z28" s="1"/>
      <c r="AA28" s="1"/>
      <c r="AB28" s="1"/>
      <c r="AC28" s="1"/>
      <c r="AD28" s="48"/>
      <c r="AE28" s="48"/>
      <c r="AF28" s="48"/>
      <c r="AG28" s="48"/>
      <c r="AH28" s="49"/>
      <c r="AI28" s="49"/>
      <c r="AJ28" s="49"/>
      <c r="AK28" s="49"/>
      <c r="AL28" s="1"/>
      <c r="AM28" s="1"/>
      <c r="AN28" s="1"/>
      <c r="AO28" s="1"/>
      <c r="AP28" s="51"/>
      <c r="AQ28" s="51"/>
      <c r="AR28" s="51"/>
      <c r="AS28" s="5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3"/>
      <c r="CW28" s="53"/>
      <c r="CX28" s="1"/>
    </row>
    <row r="29" spans="1:102" s="10" customFormat="1" ht="18" customHeight="1" x14ac:dyDescent="0.25">
      <c r="A29" s="6"/>
      <c r="B29" s="6"/>
      <c r="C29" s="1"/>
      <c r="D29" s="1"/>
      <c r="E29" s="1"/>
      <c r="F29" s="52"/>
      <c r="G29" s="52"/>
      <c r="H29" s="52"/>
      <c r="I29" s="52"/>
      <c r="J29" s="47"/>
      <c r="K29" s="47"/>
      <c r="L29" s="47"/>
      <c r="M29" s="47"/>
      <c r="N29" s="46"/>
      <c r="O29" s="46"/>
      <c r="P29" s="46"/>
      <c r="Q29" s="46"/>
      <c r="R29" s="50"/>
      <c r="S29" s="50"/>
      <c r="T29" s="50"/>
      <c r="U29" s="50"/>
      <c r="V29" s="49"/>
      <c r="W29" s="49"/>
      <c r="X29" s="49"/>
      <c r="Y29" s="49"/>
      <c r="Z29" s="1"/>
      <c r="AA29" s="1"/>
      <c r="AB29" s="1"/>
      <c r="AC29" s="1"/>
      <c r="AD29" s="48"/>
      <c r="AE29" s="48"/>
      <c r="AF29" s="48"/>
      <c r="AG29" s="48"/>
      <c r="AH29" s="49"/>
      <c r="AI29" s="49"/>
      <c r="AJ29" s="49"/>
      <c r="AK29" s="49"/>
      <c r="AL29" s="1"/>
      <c r="AM29" s="1"/>
      <c r="AN29" s="1"/>
      <c r="AO29" s="1"/>
      <c r="AP29" s="51"/>
      <c r="AQ29" s="51"/>
      <c r="AR29" s="51"/>
      <c r="AS29" s="5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3"/>
      <c r="CW29" s="53"/>
      <c r="CX29" s="1"/>
    </row>
    <row r="30" spans="1:102" s="10" customFormat="1" ht="18" customHeight="1" x14ac:dyDescent="0.25">
      <c r="A30" s="6"/>
      <c r="B30" s="6"/>
      <c r="C30" s="1"/>
      <c r="D30" s="1"/>
      <c r="E30" s="1"/>
      <c r="F30" s="52"/>
      <c r="G30" s="52"/>
      <c r="H30" s="52"/>
      <c r="I30" s="52"/>
      <c r="J30" s="47"/>
      <c r="K30" s="47"/>
      <c r="L30" s="47"/>
      <c r="M30" s="47"/>
      <c r="N30" s="46"/>
      <c r="O30" s="46"/>
      <c r="P30" s="46"/>
      <c r="Q30" s="46"/>
      <c r="R30" s="50"/>
      <c r="S30" s="50"/>
      <c r="T30" s="50"/>
      <c r="U30" s="50"/>
      <c r="V30" s="49"/>
      <c r="W30" s="49"/>
      <c r="X30" s="49"/>
      <c r="Y30" s="49"/>
      <c r="Z30" s="1"/>
      <c r="AA30" s="1"/>
      <c r="AB30" s="1"/>
      <c r="AC30" s="1"/>
      <c r="AD30" s="48"/>
      <c r="AE30" s="48"/>
      <c r="AF30" s="48"/>
      <c r="AG30" s="48"/>
      <c r="AH30" s="49"/>
      <c r="AI30" s="49"/>
      <c r="AJ30" s="49"/>
      <c r="AK30" s="49"/>
      <c r="AL30" s="1"/>
      <c r="AM30" s="1"/>
      <c r="AN30" s="1"/>
      <c r="AO30" s="1"/>
      <c r="AP30" s="51"/>
      <c r="AQ30" s="51"/>
      <c r="AR30" s="51"/>
      <c r="AS30" s="5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3"/>
      <c r="CW30" s="53"/>
      <c r="CX30" s="1"/>
    </row>
    <row r="31" spans="1:102" s="10" customFormat="1" ht="18" customHeight="1" x14ac:dyDescent="0.25">
      <c r="A31" s="6"/>
      <c r="B31" s="6"/>
      <c r="C31" s="1"/>
      <c r="D31" s="1"/>
      <c r="E31" s="1"/>
      <c r="F31" s="52"/>
      <c r="G31" s="52"/>
      <c r="H31" s="52"/>
      <c r="I31" s="52"/>
      <c r="J31" s="47"/>
      <c r="K31" s="47"/>
      <c r="L31" s="47"/>
      <c r="M31" s="47"/>
      <c r="N31" s="46"/>
      <c r="O31" s="46"/>
      <c r="P31" s="46"/>
      <c r="Q31" s="46"/>
      <c r="R31" s="50"/>
      <c r="S31" s="50"/>
      <c r="T31" s="50"/>
      <c r="U31" s="50"/>
      <c r="V31" s="49"/>
      <c r="W31" s="49"/>
      <c r="X31" s="49"/>
      <c r="Y31" s="49"/>
      <c r="Z31" s="1"/>
      <c r="AA31" s="1"/>
      <c r="AB31" s="1"/>
      <c r="AC31" s="1"/>
      <c r="AD31" s="48"/>
      <c r="AE31" s="48"/>
      <c r="AF31" s="48"/>
      <c r="AG31" s="48"/>
      <c r="AH31" s="49"/>
      <c r="AI31" s="49"/>
      <c r="AJ31" s="49"/>
      <c r="AK31" s="49"/>
      <c r="AL31" s="1"/>
      <c r="AM31" s="1"/>
      <c r="AN31" s="1"/>
      <c r="AO31" s="1"/>
      <c r="AP31" s="51"/>
      <c r="AQ31" s="51"/>
      <c r="AR31" s="51"/>
      <c r="AS31" s="5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3"/>
      <c r="CW31" s="53"/>
      <c r="CX31" s="1"/>
    </row>
    <row r="32" spans="1:102" s="10" customFormat="1" ht="18" customHeight="1" x14ac:dyDescent="0.25">
      <c r="A32" s="6"/>
      <c r="B32" s="6"/>
      <c r="C32" s="1"/>
      <c r="D32" s="1"/>
      <c r="E32" s="1"/>
      <c r="F32" s="52"/>
      <c r="G32" s="52"/>
      <c r="H32" s="52"/>
      <c r="I32" s="52"/>
      <c r="J32" s="47"/>
      <c r="K32" s="47"/>
      <c r="L32" s="47"/>
      <c r="M32" s="47"/>
      <c r="N32" s="46"/>
      <c r="O32" s="46"/>
      <c r="P32" s="46"/>
      <c r="Q32" s="46"/>
      <c r="R32" s="50"/>
      <c r="S32" s="50"/>
      <c r="T32" s="50"/>
      <c r="U32" s="50"/>
      <c r="V32" s="49"/>
      <c r="W32" s="49"/>
      <c r="X32" s="49"/>
      <c r="Y32" s="49"/>
      <c r="Z32" s="1"/>
      <c r="AA32" s="1"/>
      <c r="AB32" s="1"/>
      <c r="AC32" s="1"/>
      <c r="AD32" s="48"/>
      <c r="AE32" s="48"/>
      <c r="AF32" s="48"/>
      <c r="AG32" s="48"/>
      <c r="AH32" s="49"/>
      <c r="AI32" s="49"/>
      <c r="AJ32" s="49"/>
      <c r="AK32" s="49"/>
      <c r="AL32" s="1"/>
      <c r="AM32" s="1"/>
      <c r="AN32" s="1"/>
      <c r="AO32" s="1"/>
      <c r="AP32" s="51"/>
      <c r="AQ32" s="51"/>
      <c r="AR32" s="51"/>
      <c r="AS32" s="5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3"/>
      <c r="CW32" s="53"/>
      <c r="CX32" s="1"/>
    </row>
    <row r="33" spans="1:102" s="10" customFormat="1" ht="18" customHeight="1" x14ac:dyDescent="0.25">
      <c r="A33" s="6"/>
      <c r="B33" s="6"/>
      <c r="C33" s="1"/>
      <c r="D33" s="1"/>
      <c r="E33" s="1"/>
      <c r="F33" s="52"/>
      <c r="G33" s="52"/>
      <c r="H33" s="52"/>
      <c r="I33" s="52"/>
      <c r="J33" s="47"/>
      <c r="K33" s="47"/>
      <c r="L33" s="47"/>
      <c r="M33" s="47"/>
      <c r="N33" s="46"/>
      <c r="O33" s="46"/>
      <c r="P33" s="46"/>
      <c r="Q33" s="46"/>
      <c r="R33" s="50"/>
      <c r="S33" s="50"/>
      <c r="T33" s="50"/>
      <c r="U33" s="50"/>
      <c r="V33" s="49"/>
      <c r="W33" s="49"/>
      <c r="X33" s="49"/>
      <c r="Y33" s="49"/>
      <c r="Z33" s="1"/>
      <c r="AA33" s="1"/>
      <c r="AB33" s="1"/>
      <c r="AC33" s="1"/>
      <c r="AD33" s="48"/>
      <c r="AE33" s="48"/>
      <c r="AF33" s="48"/>
      <c r="AG33" s="48"/>
      <c r="AH33" s="49"/>
      <c r="AI33" s="49"/>
      <c r="AJ33" s="49"/>
      <c r="AK33" s="49"/>
      <c r="AL33" s="1"/>
      <c r="AM33" s="1"/>
      <c r="AN33" s="1"/>
      <c r="AO33" s="1"/>
      <c r="AP33" s="51"/>
      <c r="AQ33" s="51"/>
      <c r="AR33" s="51"/>
      <c r="AS33" s="5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3"/>
      <c r="CW33" s="53"/>
      <c r="CX33" s="1"/>
    </row>
    <row r="34" spans="1:102" s="10" customFormat="1" ht="18" customHeight="1" x14ac:dyDescent="0.25">
      <c r="A34" s="6"/>
      <c r="B34" s="6"/>
      <c r="C34" s="1"/>
      <c r="D34" s="1"/>
      <c r="E34" s="1"/>
      <c r="F34" s="52"/>
      <c r="G34" s="52"/>
      <c r="H34" s="52"/>
      <c r="I34" s="52"/>
      <c r="J34" s="47"/>
      <c r="K34" s="47"/>
      <c r="L34" s="47"/>
      <c r="M34" s="47"/>
      <c r="N34" s="46"/>
      <c r="O34" s="46"/>
      <c r="P34" s="46"/>
      <c r="Q34" s="46"/>
      <c r="R34" s="50"/>
      <c r="S34" s="50"/>
      <c r="T34" s="50"/>
      <c r="U34" s="50"/>
      <c r="V34" s="49"/>
      <c r="W34" s="49"/>
      <c r="X34" s="49"/>
      <c r="Y34" s="49"/>
      <c r="Z34" s="1"/>
      <c r="AA34" s="1"/>
      <c r="AB34" s="1"/>
      <c r="AC34" s="1"/>
      <c r="AD34" s="48"/>
      <c r="AE34" s="48"/>
      <c r="AF34" s="48"/>
      <c r="AG34" s="48"/>
      <c r="AH34" s="49"/>
      <c r="AI34" s="49"/>
      <c r="AJ34" s="49"/>
      <c r="AK34" s="49"/>
      <c r="AL34" s="1"/>
      <c r="AM34" s="1"/>
      <c r="AN34" s="1"/>
      <c r="AO34" s="1"/>
      <c r="AP34" s="51"/>
      <c r="AQ34" s="51"/>
      <c r="AR34" s="51"/>
      <c r="AS34" s="5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3"/>
      <c r="CW34" s="53"/>
      <c r="CX34" s="1"/>
    </row>
    <row r="35" spans="1:102" s="10" customFormat="1" ht="18" customHeight="1" x14ac:dyDescent="0.25">
      <c r="A35" s="6"/>
      <c r="B35" s="6"/>
      <c r="C35" s="1"/>
      <c r="D35" s="1"/>
      <c r="E35" s="1"/>
      <c r="F35" s="52"/>
      <c r="G35" s="52"/>
      <c r="H35" s="52"/>
      <c r="I35" s="52"/>
      <c r="J35" s="47"/>
      <c r="K35" s="47"/>
      <c r="L35" s="47"/>
      <c r="M35" s="47"/>
      <c r="N35" s="46"/>
      <c r="O35" s="46"/>
      <c r="P35" s="46"/>
      <c r="Q35" s="46"/>
      <c r="R35" s="50"/>
      <c r="S35" s="50"/>
      <c r="T35" s="50"/>
      <c r="U35" s="50"/>
      <c r="V35" s="49"/>
      <c r="W35" s="49"/>
      <c r="X35" s="49"/>
      <c r="Y35" s="49"/>
      <c r="Z35" s="1"/>
      <c r="AA35" s="1"/>
      <c r="AB35" s="1"/>
      <c r="AC35" s="1"/>
      <c r="AD35" s="48"/>
      <c r="AE35" s="48"/>
      <c r="AF35" s="48"/>
      <c r="AG35" s="48"/>
      <c r="AH35" s="49"/>
      <c r="AI35" s="49"/>
      <c r="AJ35" s="49"/>
      <c r="AK35" s="49"/>
      <c r="AL35" s="1"/>
      <c r="AM35" s="1"/>
      <c r="AN35" s="1"/>
      <c r="AO35" s="1"/>
      <c r="AP35" s="51"/>
      <c r="AQ35" s="51"/>
      <c r="AR35" s="51"/>
      <c r="AS35" s="5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3"/>
      <c r="CW35" s="53"/>
      <c r="CX35" s="1"/>
    </row>
    <row r="36" spans="1:102" s="10" customFormat="1" ht="18" customHeight="1" x14ac:dyDescent="0.25">
      <c r="A36" s="6"/>
      <c r="B36" s="6"/>
      <c r="C36" s="1"/>
      <c r="D36" s="1"/>
      <c r="E36" s="1"/>
      <c r="F36" s="52"/>
      <c r="G36" s="52"/>
      <c r="H36" s="52"/>
      <c r="I36" s="52"/>
      <c r="J36" s="47"/>
      <c r="K36" s="47"/>
      <c r="L36" s="47"/>
      <c r="M36" s="47"/>
      <c r="N36" s="46"/>
      <c r="O36" s="46"/>
      <c r="P36" s="46"/>
      <c r="Q36" s="46"/>
      <c r="R36" s="50"/>
      <c r="S36" s="50"/>
      <c r="T36" s="50"/>
      <c r="U36" s="50"/>
      <c r="V36" s="49"/>
      <c r="W36" s="49"/>
      <c r="X36" s="49"/>
      <c r="Y36" s="49"/>
      <c r="Z36" s="1"/>
      <c r="AA36" s="1"/>
      <c r="AB36" s="1"/>
      <c r="AC36" s="1"/>
      <c r="AD36" s="48"/>
      <c r="AE36" s="48"/>
      <c r="AF36" s="48"/>
      <c r="AG36" s="48"/>
      <c r="AH36" s="49"/>
      <c r="AI36" s="49"/>
      <c r="AJ36" s="49"/>
      <c r="AK36" s="49"/>
      <c r="AL36" s="1"/>
      <c r="AM36" s="1"/>
      <c r="AN36" s="1"/>
      <c r="AO36" s="1"/>
      <c r="AP36" s="51"/>
      <c r="AQ36" s="51"/>
      <c r="AR36" s="51"/>
      <c r="AS36" s="5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3"/>
      <c r="CW36" s="53"/>
      <c r="CX36" s="1"/>
    </row>
    <row r="37" spans="1:102" s="10" customFormat="1" ht="18" customHeight="1" x14ac:dyDescent="0.25">
      <c r="A37" s="6"/>
      <c r="B37" s="6"/>
      <c r="C37" s="1"/>
      <c r="D37" s="1"/>
      <c r="E37" s="1"/>
      <c r="F37" s="52"/>
      <c r="G37" s="52"/>
      <c r="H37" s="52"/>
      <c r="I37" s="52"/>
      <c r="J37" s="47"/>
      <c r="K37" s="47"/>
      <c r="L37" s="47"/>
      <c r="M37" s="47"/>
      <c r="N37" s="46"/>
      <c r="O37" s="46"/>
      <c r="P37" s="46"/>
      <c r="Q37" s="46"/>
      <c r="R37" s="50"/>
      <c r="S37" s="50"/>
      <c r="T37" s="50"/>
      <c r="U37" s="50"/>
      <c r="V37" s="49"/>
      <c r="W37" s="49"/>
      <c r="X37" s="49"/>
      <c r="Y37" s="49"/>
      <c r="Z37" s="1"/>
      <c r="AA37" s="1"/>
      <c r="AB37" s="1"/>
      <c r="AC37" s="1"/>
      <c r="AD37" s="48"/>
      <c r="AE37" s="48"/>
      <c r="AF37" s="48"/>
      <c r="AG37" s="48"/>
      <c r="AH37" s="49"/>
      <c r="AI37" s="49"/>
      <c r="AJ37" s="49"/>
      <c r="AK37" s="49"/>
      <c r="AL37" s="1"/>
      <c r="AM37" s="1"/>
      <c r="AN37" s="1"/>
      <c r="AO37" s="1"/>
      <c r="AP37" s="51"/>
      <c r="AQ37" s="51"/>
      <c r="AR37" s="51"/>
      <c r="AS37" s="5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3"/>
      <c r="CW37" s="53"/>
      <c r="CX37" s="1"/>
    </row>
    <row r="38" spans="1:102" s="10" customFormat="1" ht="18" customHeight="1" x14ac:dyDescent="0.25">
      <c r="A38" s="6"/>
      <c r="B38" s="6"/>
      <c r="C38" s="1"/>
      <c r="D38" s="1"/>
      <c r="E38" s="1"/>
      <c r="F38" s="52"/>
      <c r="G38" s="52"/>
      <c r="H38" s="52"/>
      <c r="I38" s="52"/>
      <c r="J38" s="47"/>
      <c r="K38" s="47"/>
      <c r="L38" s="47"/>
      <c r="M38" s="47"/>
      <c r="N38" s="46"/>
      <c r="O38" s="46"/>
      <c r="P38" s="46"/>
      <c r="Q38" s="46"/>
      <c r="R38" s="50"/>
      <c r="S38" s="50"/>
      <c r="T38" s="50"/>
      <c r="U38" s="50"/>
      <c r="V38" s="49"/>
      <c r="W38" s="49"/>
      <c r="X38" s="49"/>
      <c r="Y38" s="49"/>
      <c r="Z38" s="1"/>
      <c r="AA38" s="1"/>
      <c r="AB38" s="1"/>
      <c r="AC38" s="1"/>
      <c r="AD38" s="48"/>
      <c r="AE38" s="48"/>
      <c r="AF38" s="48"/>
      <c r="AG38" s="48"/>
      <c r="AH38" s="49"/>
      <c r="AI38" s="49"/>
      <c r="AJ38" s="49"/>
      <c r="AK38" s="49"/>
      <c r="AL38" s="1"/>
      <c r="AM38" s="1"/>
      <c r="AN38" s="1"/>
      <c r="AO38" s="1"/>
      <c r="AP38" s="51"/>
      <c r="AQ38" s="51"/>
      <c r="AR38" s="51"/>
      <c r="AS38" s="5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3"/>
      <c r="CW38" s="53"/>
      <c r="CX38" s="1"/>
    </row>
    <row r="39" spans="1:102" s="10" customFormat="1" ht="18" customHeight="1" x14ac:dyDescent="0.25">
      <c r="A39" s="6"/>
      <c r="B39" s="6"/>
      <c r="C39" s="1"/>
      <c r="D39" s="1"/>
      <c r="E39" s="1"/>
      <c r="F39" s="52"/>
      <c r="G39" s="52"/>
      <c r="H39" s="52"/>
      <c r="I39" s="52"/>
      <c r="J39" s="47"/>
      <c r="K39" s="47"/>
      <c r="L39" s="47"/>
      <c r="M39" s="47"/>
      <c r="N39" s="46"/>
      <c r="O39" s="46"/>
      <c r="P39" s="46"/>
      <c r="Q39" s="46"/>
      <c r="R39" s="50"/>
      <c r="S39" s="50"/>
      <c r="T39" s="50"/>
      <c r="U39" s="50"/>
      <c r="V39" s="49"/>
      <c r="W39" s="49"/>
      <c r="X39" s="49"/>
      <c r="Y39" s="49"/>
      <c r="Z39" s="1"/>
      <c r="AA39" s="1"/>
      <c r="AB39" s="1"/>
      <c r="AC39" s="1"/>
      <c r="AD39" s="48"/>
      <c r="AE39" s="48"/>
      <c r="AF39" s="48"/>
      <c r="AG39" s="48"/>
      <c r="AH39" s="49"/>
      <c r="AI39" s="49"/>
      <c r="AJ39" s="49"/>
      <c r="AK39" s="49"/>
      <c r="AL39" s="1"/>
      <c r="AM39" s="1"/>
      <c r="AN39" s="1"/>
      <c r="AO39" s="1"/>
      <c r="AP39" s="51"/>
      <c r="AQ39" s="51"/>
      <c r="AR39" s="51"/>
      <c r="AS39" s="5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3"/>
      <c r="CW39" s="53"/>
      <c r="CX39" s="1"/>
    </row>
    <row r="40" spans="1:102" s="10" customFormat="1" ht="18" customHeight="1" x14ac:dyDescent="0.25">
      <c r="A40" s="6"/>
      <c r="B40" s="6"/>
      <c r="C40" s="1"/>
      <c r="D40" s="1"/>
      <c r="E40" s="1"/>
      <c r="F40" s="52"/>
      <c r="G40" s="52"/>
      <c r="H40" s="52"/>
      <c r="I40" s="52"/>
      <c r="J40" s="47"/>
      <c r="K40" s="47"/>
      <c r="L40" s="47"/>
      <c r="M40" s="47"/>
      <c r="N40" s="46"/>
      <c r="O40" s="46"/>
      <c r="P40" s="46"/>
      <c r="Q40" s="46"/>
      <c r="R40" s="50"/>
      <c r="S40" s="50"/>
      <c r="T40" s="50"/>
      <c r="U40" s="50"/>
      <c r="V40" s="49"/>
      <c r="W40" s="49"/>
      <c r="X40" s="49"/>
      <c r="Y40" s="49"/>
      <c r="Z40" s="1"/>
      <c r="AA40" s="1"/>
      <c r="AB40" s="1"/>
      <c r="AC40" s="1"/>
      <c r="AD40" s="48"/>
      <c r="AE40" s="48"/>
      <c r="AF40" s="48"/>
      <c r="AG40" s="48"/>
      <c r="AH40" s="49"/>
      <c r="AI40" s="49"/>
      <c r="AJ40" s="49"/>
      <c r="AK40" s="49"/>
      <c r="AL40" s="1"/>
      <c r="AM40" s="1"/>
      <c r="AN40" s="1"/>
      <c r="AO40" s="1"/>
      <c r="AP40" s="51"/>
      <c r="AQ40" s="51"/>
      <c r="AR40" s="51"/>
      <c r="AS40" s="5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3"/>
      <c r="CW40" s="53"/>
      <c r="CX40" s="1"/>
    </row>
    <row r="41" spans="1:102" s="10" customFormat="1" ht="18" customHeight="1" x14ac:dyDescent="0.25">
      <c r="A41" s="6"/>
      <c r="B41" s="6"/>
      <c r="C41" s="1"/>
      <c r="D41" s="1"/>
      <c r="E41" s="1"/>
      <c r="F41" s="52"/>
      <c r="G41" s="52"/>
      <c r="H41" s="52"/>
      <c r="I41" s="52"/>
      <c r="J41" s="47"/>
      <c r="K41" s="47"/>
      <c r="L41" s="47"/>
      <c r="M41" s="47"/>
      <c r="N41" s="46"/>
      <c r="O41" s="46"/>
      <c r="P41" s="46"/>
      <c r="Q41" s="46"/>
      <c r="R41" s="50"/>
      <c r="S41" s="50"/>
      <c r="T41" s="50"/>
      <c r="U41" s="50"/>
      <c r="V41" s="49"/>
      <c r="W41" s="49"/>
      <c r="X41" s="49"/>
      <c r="Y41" s="49"/>
      <c r="Z41" s="1"/>
      <c r="AA41" s="1"/>
      <c r="AB41" s="1"/>
      <c r="AC41" s="1"/>
      <c r="AD41" s="48"/>
      <c r="AE41" s="48"/>
      <c r="AF41" s="48"/>
      <c r="AG41" s="48"/>
      <c r="AH41" s="49"/>
      <c r="AI41" s="49"/>
      <c r="AJ41" s="49"/>
      <c r="AK41" s="49"/>
      <c r="AL41" s="1"/>
      <c r="AM41" s="1"/>
      <c r="AN41" s="1"/>
      <c r="AO41" s="1"/>
      <c r="AP41" s="51"/>
      <c r="AQ41" s="51"/>
      <c r="AR41" s="51"/>
      <c r="AS41" s="5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3"/>
      <c r="CW41" s="53"/>
      <c r="CX41" s="1"/>
    </row>
    <row r="42" spans="1:102" s="10" customFormat="1" ht="18" customHeight="1" x14ac:dyDescent="0.25">
      <c r="A42" s="6"/>
      <c r="B42" s="6"/>
      <c r="C42" s="1"/>
      <c r="D42" s="1"/>
      <c r="E42" s="1"/>
      <c r="F42" s="52"/>
      <c r="G42" s="52"/>
      <c r="H42" s="52"/>
      <c r="I42" s="52"/>
      <c r="J42" s="47"/>
      <c r="K42" s="47"/>
      <c r="L42" s="47"/>
      <c r="M42" s="47"/>
      <c r="N42" s="46"/>
      <c r="O42" s="46"/>
      <c r="P42" s="46"/>
      <c r="Q42" s="46"/>
      <c r="R42" s="50"/>
      <c r="S42" s="50"/>
      <c r="T42" s="50"/>
      <c r="U42" s="50"/>
      <c r="V42" s="49"/>
      <c r="W42" s="49"/>
      <c r="X42" s="49"/>
      <c r="Y42" s="49"/>
      <c r="Z42" s="1"/>
      <c r="AA42" s="1"/>
      <c r="AB42" s="1"/>
      <c r="AC42" s="1"/>
      <c r="AD42" s="48"/>
      <c r="AE42" s="48"/>
      <c r="AF42" s="48"/>
      <c r="AG42" s="48"/>
      <c r="AH42" s="49"/>
      <c r="AI42" s="49"/>
      <c r="AJ42" s="49"/>
      <c r="AK42" s="49"/>
      <c r="AL42" s="1"/>
      <c r="AM42" s="1"/>
      <c r="AN42" s="1"/>
      <c r="AO42" s="1"/>
      <c r="AP42" s="51"/>
      <c r="AQ42" s="51"/>
      <c r="AR42" s="51"/>
      <c r="AS42" s="5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3"/>
      <c r="CW42" s="53"/>
      <c r="CX42" s="1"/>
    </row>
    <row r="43" spans="1:102" s="10" customFormat="1" ht="18" customHeight="1" x14ac:dyDescent="0.25">
      <c r="A43" s="6"/>
      <c r="B43" s="6"/>
      <c r="C43" s="1"/>
      <c r="D43" s="1"/>
      <c r="E43" s="1"/>
      <c r="F43" s="52"/>
      <c r="G43" s="52"/>
      <c r="H43" s="52"/>
      <c r="I43" s="52"/>
      <c r="J43" s="47"/>
      <c r="K43" s="47"/>
      <c r="L43" s="47"/>
      <c r="M43" s="47"/>
      <c r="N43" s="46"/>
      <c r="O43" s="46"/>
      <c r="P43" s="46"/>
      <c r="Q43" s="46"/>
      <c r="R43" s="50"/>
      <c r="S43" s="50"/>
      <c r="T43" s="50"/>
      <c r="U43" s="50"/>
      <c r="V43" s="49"/>
      <c r="W43" s="49"/>
      <c r="X43" s="49"/>
      <c r="Y43" s="49"/>
      <c r="Z43" s="1"/>
      <c r="AA43" s="1"/>
      <c r="AB43" s="1"/>
      <c r="AC43" s="1"/>
      <c r="AD43" s="48"/>
      <c r="AE43" s="48"/>
      <c r="AF43" s="48"/>
      <c r="AG43" s="48"/>
      <c r="AH43" s="49"/>
      <c r="AI43" s="49"/>
      <c r="AJ43" s="49"/>
      <c r="AK43" s="49"/>
      <c r="AL43" s="1"/>
      <c r="AM43" s="1"/>
      <c r="AN43" s="1"/>
      <c r="AO43" s="1"/>
      <c r="AP43" s="51"/>
      <c r="AQ43" s="51"/>
      <c r="AR43" s="51"/>
      <c r="AS43" s="5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3"/>
      <c r="CW43" s="53"/>
      <c r="CX43" s="1"/>
    </row>
    <row r="44" spans="1:102" s="10" customFormat="1" ht="18" customHeight="1" x14ac:dyDescent="0.25">
      <c r="A44" s="6"/>
      <c r="B44" s="6"/>
      <c r="C44" s="1"/>
      <c r="D44" s="1"/>
      <c r="E44" s="1"/>
      <c r="F44" s="52"/>
      <c r="G44" s="52"/>
      <c r="H44" s="52"/>
      <c r="I44" s="52"/>
      <c r="J44" s="47"/>
      <c r="K44" s="47"/>
      <c r="L44" s="47"/>
      <c r="M44" s="47"/>
      <c r="N44" s="46"/>
      <c r="O44" s="46"/>
      <c r="P44" s="46"/>
      <c r="Q44" s="46"/>
      <c r="R44" s="50"/>
      <c r="S44" s="50"/>
      <c r="T44" s="50"/>
      <c r="U44" s="50"/>
      <c r="V44" s="49"/>
      <c r="W44" s="49"/>
      <c r="X44" s="49"/>
      <c r="Y44" s="49"/>
      <c r="Z44" s="1"/>
      <c r="AA44" s="1"/>
      <c r="AB44" s="1"/>
      <c r="AC44" s="1"/>
      <c r="AD44" s="48"/>
      <c r="AE44" s="48"/>
      <c r="AF44" s="48"/>
      <c r="AG44" s="48"/>
      <c r="AH44" s="49"/>
      <c r="AI44" s="49"/>
      <c r="AJ44" s="49"/>
      <c r="AK44" s="49"/>
      <c r="AL44" s="1"/>
      <c r="AM44" s="1"/>
      <c r="AN44" s="1"/>
      <c r="AO44" s="1"/>
      <c r="AP44" s="51"/>
      <c r="AQ44" s="51"/>
      <c r="AR44" s="51"/>
      <c r="AS44" s="5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3"/>
      <c r="CW44" s="53"/>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4"/>
  <sheetViews>
    <sheetView showZeros="0" tabSelected="1" topLeftCell="A18" zoomScale="85" zoomScaleNormal="85" workbookViewId="0">
      <selection activeCell="M24" sqref="M24"/>
    </sheetView>
  </sheetViews>
  <sheetFormatPr defaultRowHeight="15" x14ac:dyDescent="0.25"/>
  <cols>
    <col min="1" max="1" width="14.140625" bestFit="1" customWidth="1"/>
    <col min="2" max="2" width="16.28515625" style="56" bestFit="1" customWidth="1"/>
    <col min="3" max="3" width="10.28515625" bestFit="1" customWidth="1"/>
    <col min="4" max="4" width="37.5703125" bestFit="1" customWidth="1"/>
    <col min="5" max="5" width="13.7109375" style="2" bestFit="1" customWidth="1"/>
    <col min="6" max="6" width="10.28515625" bestFit="1" customWidth="1"/>
    <col min="7" max="7" width="15.42578125" bestFit="1" customWidth="1"/>
    <col min="8" max="8" width="13.5703125" style="5" customWidth="1"/>
    <col min="9" max="9" width="11.7109375" bestFit="1" customWidth="1"/>
    <col min="10" max="10" width="13.140625" bestFit="1" customWidth="1"/>
    <col min="11" max="11" width="10.28515625" bestFit="1" customWidth="1"/>
    <col min="12" max="12" width="8.140625" bestFit="1" customWidth="1"/>
    <col min="13" max="13" width="15.7109375" customWidth="1"/>
    <col min="14" max="14" width="7.85546875" style="15" customWidth="1"/>
    <col min="15" max="52" width="7.85546875" style="15" hidden="1" customWidth="1"/>
    <col min="53" max="53" width="7.85546875" style="15" customWidth="1"/>
    <col min="54" max="76" width="7.85546875" style="15" hidden="1" customWidth="1"/>
    <col min="77" max="77" width="7.85546875" style="15" customWidth="1"/>
    <col min="78" max="84" width="7.85546875" style="15" hidden="1" customWidth="1"/>
    <col min="85" max="85" width="7.85546875" style="15" customWidth="1"/>
    <col min="86" max="86" width="11" style="15" customWidth="1"/>
    <col min="87" max="87" width="27.285156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89"/>
      <c r="B1" s="89"/>
      <c r="C1" s="89"/>
      <c r="D1" s="89"/>
      <c r="E1" s="89"/>
      <c r="F1" s="89"/>
      <c r="G1" s="89"/>
      <c r="H1" s="89"/>
      <c r="I1" s="89"/>
      <c r="J1" s="89"/>
      <c r="K1" s="89"/>
      <c r="L1" s="89"/>
      <c r="M1" s="89"/>
      <c r="N1" s="89"/>
      <c r="O1" s="89"/>
      <c r="P1" s="89"/>
      <c r="Q1" s="89"/>
      <c r="R1" s="89"/>
    </row>
    <row r="2" spans="1:18" ht="23.25" thickBot="1" x14ac:dyDescent="0.5">
      <c r="A2" s="176" t="s">
        <v>250</v>
      </c>
      <c r="B2" s="177"/>
      <c r="C2" s="177"/>
      <c r="D2" s="177"/>
      <c r="E2" s="177"/>
      <c r="F2" s="177"/>
      <c r="G2" s="177"/>
      <c r="H2" s="177"/>
      <c r="I2" s="177"/>
      <c r="J2" s="177"/>
      <c r="K2" s="177"/>
      <c r="L2" s="177"/>
      <c r="M2" s="177"/>
      <c r="N2" s="177"/>
      <c r="O2" s="177"/>
      <c r="P2" s="177"/>
      <c r="Q2" s="177"/>
      <c r="R2" s="178"/>
    </row>
    <row r="3" spans="1:18" ht="15.75" thickBot="1" x14ac:dyDescent="0.3">
      <c r="B3"/>
      <c r="E3"/>
      <c r="H3"/>
      <c r="N3"/>
      <c r="O3"/>
      <c r="P3"/>
      <c r="Q3"/>
      <c r="R3"/>
    </row>
    <row r="4" spans="1:18" ht="45.75" thickBot="1" x14ac:dyDescent="0.3">
      <c r="A4" s="90" t="s">
        <v>239</v>
      </c>
      <c r="B4" s="179" t="s">
        <v>251</v>
      </c>
      <c r="C4" s="179"/>
      <c r="D4" s="179"/>
      <c r="E4" s="179"/>
      <c r="F4" s="179"/>
      <c r="G4" s="179"/>
      <c r="H4" s="179"/>
      <c r="I4" s="179"/>
      <c r="J4" s="179"/>
      <c r="K4" s="179"/>
      <c r="L4" s="179"/>
      <c r="M4" s="179"/>
      <c r="N4" s="179"/>
      <c r="O4" s="179"/>
      <c r="P4" s="179"/>
      <c r="Q4" s="179"/>
      <c r="R4" s="179"/>
    </row>
    <row r="5" spans="1:18" ht="45" x14ac:dyDescent="0.25">
      <c r="A5" s="90" t="s">
        <v>240</v>
      </c>
      <c r="B5" s="167" t="s">
        <v>252</v>
      </c>
      <c r="C5" s="179"/>
      <c r="D5" s="179"/>
      <c r="E5" s="179"/>
      <c r="F5" s="179"/>
      <c r="G5" s="179"/>
      <c r="H5" s="179"/>
      <c r="I5" s="179"/>
      <c r="J5" s="179"/>
      <c r="K5" s="179"/>
      <c r="L5" s="179"/>
      <c r="M5" s="179"/>
      <c r="N5" s="179"/>
      <c r="O5" s="179"/>
      <c r="P5" s="179"/>
      <c r="Q5" s="179"/>
      <c r="R5" s="179"/>
    </row>
    <row r="6" spans="1:18" ht="45" x14ac:dyDescent="0.25">
      <c r="A6" s="91" t="s">
        <v>241</v>
      </c>
      <c r="B6" s="180" t="s">
        <v>253</v>
      </c>
      <c r="C6" s="179"/>
      <c r="D6" s="179"/>
      <c r="E6" s="179"/>
      <c r="F6" s="179"/>
      <c r="G6" s="179"/>
      <c r="H6" s="179"/>
      <c r="I6" s="179"/>
      <c r="J6" s="179"/>
      <c r="K6" s="179"/>
      <c r="L6" s="179"/>
      <c r="M6" s="179"/>
      <c r="N6" s="179"/>
      <c r="O6" s="179"/>
      <c r="P6" s="179"/>
      <c r="Q6" s="179"/>
      <c r="R6" s="179"/>
    </row>
    <row r="7" spans="1:18" ht="65.25" customHeight="1" x14ac:dyDescent="0.25">
      <c r="A7" s="91" t="s">
        <v>242</v>
      </c>
      <c r="B7" s="167" t="s">
        <v>254</v>
      </c>
      <c r="C7" s="179"/>
      <c r="D7" s="179"/>
      <c r="E7" s="179"/>
      <c r="F7" s="179"/>
      <c r="G7" s="179"/>
      <c r="H7" s="179"/>
      <c r="I7" s="179"/>
      <c r="J7" s="179"/>
      <c r="K7" s="179"/>
      <c r="L7" s="179"/>
      <c r="M7" s="179"/>
      <c r="N7" s="179"/>
      <c r="O7" s="179"/>
      <c r="P7" s="179"/>
      <c r="Q7" s="179"/>
      <c r="R7" s="179"/>
    </row>
    <row r="8" spans="1:18" ht="102" customHeight="1" x14ac:dyDescent="0.25">
      <c r="A8" s="91" t="s">
        <v>243</v>
      </c>
      <c r="B8" s="167" t="s">
        <v>255</v>
      </c>
      <c r="C8" s="167"/>
      <c r="D8" s="167"/>
      <c r="E8" s="167"/>
      <c r="F8" s="167"/>
      <c r="G8" s="167"/>
      <c r="H8" s="167"/>
      <c r="I8" s="167"/>
      <c r="J8" s="167"/>
      <c r="K8" s="167"/>
      <c r="L8" s="167"/>
      <c r="M8" s="167"/>
      <c r="N8" s="167"/>
      <c r="O8" s="167"/>
      <c r="P8" s="167"/>
      <c r="Q8" s="167"/>
      <c r="R8" s="167"/>
    </row>
    <row r="9" spans="1:18" ht="30" customHeight="1" x14ac:dyDescent="0.25">
      <c r="A9" s="91" t="s">
        <v>244</v>
      </c>
      <c r="B9" s="168" t="s">
        <v>256</v>
      </c>
      <c r="C9" s="169"/>
      <c r="D9" s="169"/>
      <c r="E9" s="169"/>
      <c r="F9" s="169"/>
      <c r="G9" s="169"/>
      <c r="H9" s="169"/>
      <c r="I9" s="169"/>
      <c r="J9" s="169"/>
      <c r="K9" s="169"/>
      <c r="L9" s="169"/>
      <c r="M9" s="169"/>
      <c r="N9" s="169"/>
      <c r="O9" s="169"/>
      <c r="P9" s="169"/>
      <c r="Q9" s="169"/>
      <c r="R9" s="170"/>
    </row>
    <row r="10" spans="1:18" ht="64.5" customHeight="1" x14ac:dyDescent="0.25">
      <c r="A10" s="91" t="s">
        <v>245</v>
      </c>
      <c r="B10" s="171" t="s">
        <v>257</v>
      </c>
      <c r="C10" s="172"/>
      <c r="D10" s="172"/>
      <c r="E10" s="172"/>
      <c r="F10" s="172"/>
      <c r="G10" s="172"/>
      <c r="H10" s="172"/>
      <c r="I10" s="172"/>
      <c r="J10" s="172"/>
      <c r="K10" s="172"/>
      <c r="L10" s="172"/>
      <c r="M10" s="172"/>
      <c r="N10" s="172"/>
      <c r="O10" s="172"/>
      <c r="P10" s="172"/>
      <c r="Q10" s="92"/>
      <c r="R10" s="93"/>
    </row>
    <row r="11" spans="1:18" ht="60.75" customHeight="1" x14ac:dyDescent="0.25">
      <c r="A11" s="91" t="s">
        <v>246</v>
      </c>
      <c r="B11" s="173" t="s">
        <v>258</v>
      </c>
      <c r="C11" s="174"/>
      <c r="D11" s="174"/>
      <c r="E11" s="174"/>
      <c r="F11" s="174"/>
      <c r="G11" s="174"/>
      <c r="H11" s="174"/>
      <c r="I11" s="174"/>
      <c r="J11" s="174"/>
      <c r="K11" s="174"/>
      <c r="L11" s="174"/>
      <c r="M11" s="174"/>
      <c r="N11" s="174"/>
      <c r="O11" s="174"/>
      <c r="P11" s="174"/>
      <c r="Q11" s="174"/>
      <c r="R11" s="175"/>
    </row>
    <row r="12" spans="1:18" ht="81.75" customHeight="1" x14ac:dyDescent="0.25">
      <c r="A12" s="94" t="s">
        <v>247</v>
      </c>
      <c r="B12" s="166" t="s">
        <v>259</v>
      </c>
      <c r="C12" s="166"/>
      <c r="D12" s="166"/>
      <c r="E12" s="166"/>
      <c r="F12" s="166"/>
      <c r="G12" s="166"/>
      <c r="H12" s="166"/>
      <c r="I12" s="166"/>
      <c r="J12" s="166"/>
      <c r="K12" s="166"/>
      <c r="L12" s="166"/>
      <c r="M12" s="166"/>
      <c r="N12" s="166"/>
      <c r="O12" s="166"/>
      <c r="P12" s="166"/>
      <c r="Q12" s="166"/>
      <c r="R12" s="166"/>
    </row>
    <row r="13" spans="1:18" ht="36" customHeight="1" x14ac:dyDescent="0.25">
      <c r="A13" s="94" t="s">
        <v>248</v>
      </c>
      <c r="B13" s="166" t="s">
        <v>260</v>
      </c>
      <c r="C13" s="166"/>
      <c r="D13" s="166"/>
      <c r="E13" s="166"/>
      <c r="F13" s="166"/>
      <c r="G13" s="166"/>
      <c r="H13" s="166"/>
      <c r="I13" s="166"/>
      <c r="J13" s="166"/>
      <c r="K13" s="166"/>
      <c r="L13" s="166"/>
      <c r="M13" s="166"/>
      <c r="N13" s="166"/>
      <c r="O13" s="166"/>
      <c r="P13" s="166"/>
      <c r="Q13" s="166"/>
      <c r="R13" s="166"/>
    </row>
    <row r="14" spans="1:18" ht="30" x14ac:dyDescent="0.25">
      <c r="A14" s="95" t="s">
        <v>249</v>
      </c>
      <c r="B14" s="166"/>
      <c r="C14" s="166"/>
      <c r="D14" s="166"/>
      <c r="E14" s="166"/>
      <c r="F14" s="166"/>
      <c r="G14" s="166"/>
      <c r="H14" s="166"/>
      <c r="I14" s="166"/>
      <c r="J14" s="166"/>
      <c r="K14" s="166"/>
      <c r="L14" s="166"/>
      <c r="M14" s="166"/>
      <c r="N14" s="166"/>
      <c r="O14" s="166"/>
      <c r="P14" s="166"/>
      <c r="Q14" s="166"/>
      <c r="R14" s="166"/>
    </row>
    <row r="18" spans="1:104" s="22" customFormat="1" ht="28.9" customHeight="1" x14ac:dyDescent="0.25">
      <c r="A18" s="77"/>
      <c r="B18" s="77"/>
      <c r="C18" s="78"/>
      <c r="D18" s="78"/>
      <c r="E18" s="26"/>
      <c r="H18" s="27"/>
      <c r="N18" s="188" t="s">
        <v>82</v>
      </c>
      <c r="O18" s="188"/>
      <c r="P18" s="188"/>
      <c r="Q18" s="188"/>
      <c r="R18" s="188"/>
      <c r="S18" s="188"/>
      <c r="T18" s="188"/>
      <c r="U18" s="188"/>
      <c r="V18" s="189" t="s">
        <v>4</v>
      </c>
      <c r="W18" s="189"/>
      <c r="X18" s="190" t="s">
        <v>3</v>
      </c>
      <c r="Y18" s="190"/>
      <c r="Z18" s="190"/>
      <c r="AA18" s="190"/>
      <c r="AB18" s="190"/>
      <c r="AC18" s="190"/>
      <c r="AD18" s="190"/>
      <c r="AE18" s="190"/>
      <c r="AF18" s="191" t="s">
        <v>5</v>
      </c>
      <c r="AG18" s="191"/>
      <c r="AH18" s="192" t="s">
        <v>6</v>
      </c>
      <c r="AI18" s="192"/>
      <c r="AJ18" s="192"/>
      <c r="AK18" s="192"/>
      <c r="AL18" s="192"/>
      <c r="AM18" s="192"/>
      <c r="AN18" s="192"/>
      <c r="AO18" s="192"/>
      <c r="AP18" s="192"/>
      <c r="AQ18" s="33" t="s">
        <v>7</v>
      </c>
      <c r="AR18" s="184" t="s">
        <v>8</v>
      </c>
      <c r="AS18" s="185"/>
      <c r="AT18" s="185"/>
      <c r="AU18" s="185"/>
      <c r="AV18" s="185"/>
      <c r="AW18" s="185"/>
      <c r="AX18" s="185"/>
      <c r="AY18" s="185"/>
      <c r="AZ18" s="185"/>
      <c r="BA18" s="186" t="s">
        <v>9</v>
      </c>
      <c r="BB18" s="186"/>
      <c r="BC18" s="186"/>
      <c r="BD18" s="186"/>
      <c r="BE18" s="186"/>
      <c r="BF18" s="186"/>
      <c r="BG18" s="186"/>
      <c r="BH18" s="186"/>
      <c r="BI18" s="186"/>
      <c r="BJ18" s="186"/>
      <c r="BK18" s="186"/>
      <c r="BL18" s="187" t="s">
        <v>10</v>
      </c>
      <c r="BM18" s="187"/>
      <c r="BN18" s="187"/>
      <c r="BO18" s="187"/>
      <c r="BP18" s="187"/>
      <c r="BQ18" s="187"/>
      <c r="BR18" s="187"/>
      <c r="BS18" s="187"/>
      <c r="BT18" s="187"/>
      <c r="BU18" s="187"/>
      <c r="BV18" s="187"/>
      <c r="BW18" s="187"/>
      <c r="BX18" s="35" t="s">
        <v>11</v>
      </c>
      <c r="BY18" s="37" t="s">
        <v>12</v>
      </c>
      <c r="BZ18" s="30" t="s">
        <v>13</v>
      </c>
      <c r="CA18" s="32" t="s">
        <v>14</v>
      </c>
      <c r="CB18" s="31" t="s">
        <v>15</v>
      </c>
      <c r="CC18" s="39" t="s">
        <v>16</v>
      </c>
      <c r="CD18" s="41" t="s">
        <v>17</v>
      </c>
      <c r="CE18" s="36" t="s">
        <v>18</v>
      </c>
      <c r="CF18" s="30" t="s">
        <v>19</v>
      </c>
      <c r="CG18" s="181" t="s">
        <v>84</v>
      </c>
      <c r="CH18" s="182"/>
      <c r="CI18" s="182"/>
      <c r="CJ18" s="183"/>
      <c r="CK18" s="59" t="s">
        <v>20</v>
      </c>
      <c r="CL18" s="23" t="s">
        <v>21</v>
      </c>
      <c r="CM18" s="24" t="s">
        <v>40</v>
      </c>
      <c r="CN18" s="23" t="s">
        <v>81</v>
      </c>
      <c r="CO18" s="25"/>
      <c r="CP18" s="26"/>
      <c r="CQ18" s="27"/>
      <c r="CR18" s="26"/>
      <c r="CS18" s="26"/>
      <c r="CT18" s="27"/>
      <c r="CV18" s="27"/>
      <c r="CZ18" s="22" t="s">
        <v>126</v>
      </c>
    </row>
    <row r="19" spans="1:104" s="11" customFormat="1" ht="89.25" x14ac:dyDescent="0.25">
      <c r="A19" s="69" t="s">
        <v>0</v>
      </c>
      <c r="B19" s="70" t="s">
        <v>85</v>
      </c>
      <c r="C19" s="69" t="s">
        <v>1</v>
      </c>
      <c r="D19" s="69" t="s">
        <v>2</v>
      </c>
      <c r="E19" s="3" t="s">
        <v>31</v>
      </c>
      <c r="F19" s="9" t="s">
        <v>32</v>
      </c>
      <c r="G19" s="9" t="s">
        <v>33</v>
      </c>
      <c r="H19" s="4" t="s">
        <v>34</v>
      </c>
      <c r="I19" s="9" t="s">
        <v>35</v>
      </c>
      <c r="J19" s="9" t="s">
        <v>36</v>
      </c>
      <c r="K19" s="9" t="s">
        <v>37</v>
      </c>
      <c r="L19" s="9" t="s">
        <v>38</v>
      </c>
      <c r="M19" s="9" t="s">
        <v>39</v>
      </c>
      <c r="N19" s="71" t="s">
        <v>41</v>
      </c>
      <c r="O19" s="71" t="s">
        <v>46</v>
      </c>
      <c r="P19" s="71" t="s">
        <v>43</v>
      </c>
      <c r="Q19" s="71" t="s">
        <v>123</v>
      </c>
      <c r="R19" s="71" t="s">
        <v>124</v>
      </c>
      <c r="S19" s="71" t="s">
        <v>125</v>
      </c>
      <c r="T19" s="71" t="s">
        <v>44</v>
      </c>
      <c r="U19" s="71" t="s">
        <v>45</v>
      </c>
      <c r="V19" s="71" t="s">
        <v>41</v>
      </c>
      <c r="W19" s="71" t="s">
        <v>46</v>
      </c>
      <c r="X19" s="72" t="s">
        <v>53</v>
      </c>
      <c r="Y19" s="72" t="s">
        <v>57</v>
      </c>
      <c r="Z19" s="72" t="s">
        <v>60</v>
      </c>
      <c r="AA19" s="72" t="s">
        <v>65</v>
      </c>
      <c r="AB19" s="72" t="s">
        <v>69</v>
      </c>
      <c r="AC19" s="72" t="s">
        <v>71</v>
      </c>
      <c r="AD19" s="72" t="s">
        <v>73</v>
      </c>
      <c r="AE19" s="72" t="s">
        <v>75</v>
      </c>
      <c r="AF19" s="72" t="s">
        <v>52</v>
      </c>
      <c r="AG19" s="72" t="s">
        <v>56</v>
      </c>
      <c r="AH19" s="72" t="s">
        <v>51</v>
      </c>
      <c r="AI19" s="72" t="s">
        <v>47</v>
      </c>
      <c r="AJ19" s="72" t="s">
        <v>59</v>
      </c>
      <c r="AK19" s="72" t="s">
        <v>64</v>
      </c>
      <c r="AL19" s="72" t="s">
        <v>68</v>
      </c>
      <c r="AM19" s="72" t="s">
        <v>87</v>
      </c>
      <c r="AN19" s="72" t="s">
        <v>88</v>
      </c>
      <c r="AO19" s="72" t="s">
        <v>86</v>
      </c>
      <c r="AP19" s="72" t="s">
        <v>94</v>
      </c>
      <c r="AQ19" s="73" t="s">
        <v>7</v>
      </c>
      <c r="AR19" s="72" t="s">
        <v>54</v>
      </c>
      <c r="AS19" s="72" t="s">
        <v>58</v>
      </c>
      <c r="AT19" s="72" t="s">
        <v>63</v>
      </c>
      <c r="AU19" s="72" t="s">
        <v>61</v>
      </c>
      <c r="AV19" s="72" t="s">
        <v>66</v>
      </c>
      <c r="AW19" s="72" t="s">
        <v>70</v>
      </c>
      <c r="AX19" s="72" t="s">
        <v>48</v>
      </c>
      <c r="AY19" s="72" t="s">
        <v>122</v>
      </c>
      <c r="AZ19" s="72" t="s">
        <v>74</v>
      </c>
      <c r="BA19" s="72" t="s">
        <v>55</v>
      </c>
      <c r="BB19" s="72" t="s">
        <v>42</v>
      </c>
      <c r="BC19" s="72" t="s">
        <v>62</v>
      </c>
      <c r="BD19" s="72" t="s">
        <v>67</v>
      </c>
      <c r="BE19" s="72" t="s">
        <v>89</v>
      </c>
      <c r="BF19" s="72" t="s">
        <v>72</v>
      </c>
      <c r="BG19" s="72" t="s">
        <v>49</v>
      </c>
      <c r="BH19" s="72" t="s">
        <v>76</v>
      </c>
      <c r="BI19" s="72" t="s">
        <v>77</v>
      </c>
      <c r="BJ19" s="72" t="s">
        <v>78</v>
      </c>
      <c r="BK19" s="72" t="s">
        <v>80</v>
      </c>
      <c r="BL19" s="72" t="s">
        <v>54</v>
      </c>
      <c r="BM19" s="72" t="s">
        <v>58</v>
      </c>
      <c r="BN19" s="72" t="s">
        <v>63</v>
      </c>
      <c r="BO19" s="72" t="s">
        <v>61</v>
      </c>
      <c r="BP19" s="72" t="s">
        <v>90</v>
      </c>
      <c r="BQ19" s="72" t="s">
        <v>95</v>
      </c>
      <c r="BR19" s="72" t="s">
        <v>91</v>
      </c>
      <c r="BS19" s="72" t="s">
        <v>66</v>
      </c>
      <c r="BT19" s="72" t="s">
        <v>48</v>
      </c>
      <c r="BU19" s="72" t="s">
        <v>122</v>
      </c>
      <c r="BV19" s="72" t="s">
        <v>74</v>
      </c>
      <c r="BW19" s="72" t="s">
        <v>79</v>
      </c>
      <c r="BX19" s="73" t="s">
        <v>11</v>
      </c>
      <c r="BY19" s="73" t="s">
        <v>50</v>
      </c>
      <c r="BZ19" s="74" t="s">
        <v>13</v>
      </c>
      <c r="CA19" s="75" t="s">
        <v>14</v>
      </c>
      <c r="CB19" s="74" t="s">
        <v>15</v>
      </c>
      <c r="CC19" s="74" t="s">
        <v>16</v>
      </c>
      <c r="CD19" s="74" t="s">
        <v>17</v>
      </c>
      <c r="CE19" s="75" t="s">
        <v>18</v>
      </c>
      <c r="CF19" s="74" t="s">
        <v>19</v>
      </c>
      <c r="CG19" s="63" t="s">
        <v>83</v>
      </c>
      <c r="CH19" s="63" t="s">
        <v>92</v>
      </c>
      <c r="CI19" s="63" t="s">
        <v>93</v>
      </c>
      <c r="CJ19" s="63"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55"/>
      <c r="C20" s="16"/>
      <c r="D20" s="16"/>
      <c r="E20" s="3"/>
      <c r="F20" s="66"/>
      <c r="G20" s="58"/>
      <c r="H20" s="3"/>
      <c r="I20" s="3"/>
      <c r="J20" s="3"/>
      <c r="K20" s="67"/>
      <c r="L20" s="3"/>
      <c r="M20" s="3"/>
      <c r="N20" s="17">
        <v>450</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v>84</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v>213</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0"/>
      <c r="CH20" s="60"/>
      <c r="CI20" s="60"/>
      <c r="CJ20" s="60"/>
      <c r="CO20" s="3"/>
      <c r="CP20" s="3"/>
      <c r="CQ20" s="3"/>
      <c r="CR20" s="3"/>
      <c r="CS20" s="3"/>
      <c r="CT20" s="3"/>
      <c r="CU20" s="3"/>
      <c r="CV20" s="3"/>
      <c r="CW20" s="3"/>
      <c r="CX20" s="3"/>
      <c r="CY20" s="3"/>
    </row>
    <row r="21" spans="1:104" s="22" customFormat="1" ht="30" x14ac:dyDescent="0.25">
      <c r="A21" s="6" t="str">
        <f>Sheet1!A3</f>
        <v>ENQ-19613-25-26</v>
      </c>
      <c r="B21" s="76">
        <v>46113</v>
      </c>
      <c r="C21" s="6" t="str">
        <f>Sheet1!C3</f>
        <v>FC6100002</v>
      </c>
      <c r="D21" s="6" t="str">
        <f>Sheet1!D3</f>
        <v>ACSR : MOOSE CONDUCTOR - 520 SQ. MM. (54/7/3.53)</v>
      </c>
      <c r="E21" s="23">
        <f>CS21+CU21+CW21+CY21</f>
        <v>811377.88560000004</v>
      </c>
      <c r="F21" s="98">
        <f>ROUNDUP(M27,0)</f>
        <v>17188</v>
      </c>
      <c r="G21" s="28">
        <f>E21+F21</f>
        <v>828565.88560000004</v>
      </c>
      <c r="H21" s="29">
        <f>Sheet1!CR3</f>
        <v>0.18</v>
      </c>
      <c r="I21" s="28">
        <f>G21*H21</f>
        <v>149141.85940799999</v>
      </c>
      <c r="J21" s="28">
        <f>G21+I21</f>
        <v>977707.74500800006</v>
      </c>
      <c r="K21" s="68">
        <f>Sheet1!CU3</f>
        <v>360</v>
      </c>
      <c r="L21" s="65" t="str">
        <f>Sheet1!CV3</f>
        <v>KMS</v>
      </c>
      <c r="M21" s="23">
        <f>J21*K21</f>
        <v>351974788.20288002</v>
      </c>
      <c r="N21" s="97">
        <f>+IFERROR(VLOOKUP($N$19,Sheet1!J3:L3,3,0),0)</f>
        <v>1467</v>
      </c>
      <c r="O21" s="97">
        <f>+IFERROR(VLOOKUP($O$19,Sheet1!J3:L3,3,0),0)</f>
        <v>0</v>
      </c>
      <c r="P21" s="97">
        <f>+IFERROR(VLOOKUP($P$19,Sheet1!J3:M3,3,0),0)</f>
        <v>0</v>
      </c>
      <c r="Q21" s="97">
        <f>+IFERROR(VLOOKUP($Q$19,Sheet1!J3:M3,3,0),0)</f>
        <v>0</v>
      </c>
      <c r="R21" s="97">
        <f>+IFERROR(VLOOKUP($R$19,Sheet1!J3:M3,3,0),0)</f>
        <v>0</v>
      </c>
      <c r="S21" s="97">
        <f>+IFERROR(VLOOKUP($S$19,Sheet1!J3:M3,3,0),0)</f>
        <v>0</v>
      </c>
      <c r="T21" s="97">
        <f>+IFERROR(VLOOKUP($T$19,Sheet1!J3:M3,3,0),0)</f>
        <v>0</v>
      </c>
      <c r="U21" s="97">
        <f>+IFERROR(VLOOKUP($U$19,Sheet1!J3:M3,3,0),0)</f>
        <v>0</v>
      </c>
      <c r="V21" s="97">
        <f>+IFERROR(VLOOKUP($V$19,Sheet1!N3:Q3,3,0),0)</f>
        <v>0</v>
      </c>
      <c r="W21" s="97">
        <f>+IFERROR(VLOOKUP($W$19,Sheet1!N3:Q3,3,0),0)</f>
        <v>0</v>
      </c>
      <c r="X21" s="97">
        <f>+IFERROR(VLOOKUP($X$19,Sheet1!F3:I3,3,0),0)</f>
        <v>0</v>
      </c>
      <c r="Y21" s="97">
        <f>+IFERROR(VLOOKUP($Y$19,Sheet1!F3:I3,3,0),0)</f>
        <v>0</v>
      </c>
      <c r="Z21" s="97">
        <f>+IFERROR(VLOOKUP($Z$19,Sheet1!F3:I3,3,0),0)</f>
        <v>0</v>
      </c>
      <c r="AA21" s="97">
        <f>+IFERROR(VLOOKUP($AA$19,Sheet1!F3:I3,3,0),0)</f>
        <v>0</v>
      </c>
      <c r="AB21" s="97">
        <f>+IFERROR(VLOOKUP($AB$19,Sheet1!F3:I3,3,0),0)</f>
        <v>0</v>
      </c>
      <c r="AC21" s="97">
        <f>+IFERROR(VLOOKUP($AC$19,Sheet1!F3:I3,3,0),0)</f>
        <v>0</v>
      </c>
      <c r="AD21" s="97">
        <f>+IFERROR(VLOOKUP($AD$19,Sheet1!F3:I3,3,0),0)</f>
        <v>0</v>
      </c>
      <c r="AE21" s="97">
        <f>+IFERROR(VLOOKUP($AE$19,Sheet1!F3:I3,3,0),0)</f>
        <v>0</v>
      </c>
      <c r="AF21" s="97">
        <f>+IFERROR(VLOOKUP($AF$19,Sheet1!R3:U3,3,0),0)</f>
        <v>0</v>
      </c>
      <c r="AG21" s="96">
        <f>+IFERROR(VLOOKUP($AG$19,Sheet1!R3:U3,3,0),0)</f>
        <v>0</v>
      </c>
      <c r="AH21" s="97">
        <f>+IFERROR(VLOOKUP($AH$19,Sheet1!V3:Y3,3,0),0)</f>
        <v>0</v>
      </c>
      <c r="AI21" s="96">
        <f>+IFERROR(VLOOKUP($AI$19,Sheet1!V3:Y3,3,0),0)</f>
        <v>0</v>
      </c>
      <c r="AJ21" s="96">
        <f>+IFERROR(VLOOKUP($AJ$19,Sheet1!V3:Y3,3,0),0)</f>
        <v>0</v>
      </c>
      <c r="AK21" s="96">
        <f>+IFERROR(VLOOKUP($AK$19,Sheet1!V3:Y3,3,0),0)</f>
        <v>0</v>
      </c>
      <c r="AL21" s="96">
        <f>+IFERROR(VLOOKUP($AL$19,Sheet1!V3:Y3,3,0),0)</f>
        <v>0</v>
      </c>
      <c r="AM21" s="96">
        <f>+IFERROR(VLOOKUP($AM$19,Sheet1!V3:Y3,3,0),0)</f>
        <v>0</v>
      </c>
      <c r="AN21" s="96">
        <f>+IFERROR(VLOOKUP($AN$19,Sheet1!V3:Y3,3,0),0)</f>
        <v>0</v>
      </c>
      <c r="AO21" s="96">
        <f>+IFERROR(VLOOKUP($AO$19,Sheet1!V3:Y3,3,0),0)</f>
        <v>0</v>
      </c>
      <c r="AP21" s="96">
        <f>+IFERROR(VLOOKUP($AP$19,Sheet1!V3:Y3,3,0),0)</f>
        <v>0</v>
      </c>
      <c r="AQ21" s="96">
        <f>+IFERROR(VLOOKUP($AQ$19,Sheet1!Z3:AB3,3,0),0)</f>
        <v>0</v>
      </c>
      <c r="AR21" s="96">
        <f>+IFERROR(VLOOKUP($AR$19,Sheet1!AD3:AG3,3,0),0)</f>
        <v>0</v>
      </c>
      <c r="AS21" s="96">
        <f>+IFERROR(VLOOKUP($AS$19,Sheet1!AD3:AG3,3,0),0)</f>
        <v>0</v>
      </c>
      <c r="AT21" s="96">
        <f>+IFERROR(VLOOKUP($AT$19,Sheet1!AD3:AG3,3,0),0)</f>
        <v>0</v>
      </c>
      <c r="AU21" s="96">
        <f>+IFERROR(VLOOKUP($AU$19,Sheet1!AD3:AG3,3,0),0)</f>
        <v>0</v>
      </c>
      <c r="AV21" s="96">
        <f>+IFERROR(VLOOKUP($AV$19,Sheet1!AD3:AG3,3,0),0)</f>
        <v>0</v>
      </c>
      <c r="AW21" s="96">
        <f>+IFERROR(VLOOKUP($AW$19,Sheet1!AD3:AG3,3,0),0)</f>
        <v>0</v>
      </c>
      <c r="AX21" s="96">
        <f>+IFERROR(VLOOKUP($AX$19,Sheet1!AD3:AG3,3,0),0)</f>
        <v>0</v>
      </c>
      <c r="AY21" s="96">
        <f>+IFERROR(VLOOKUP($AY$19,Sheet1!AD3:AG3,3,0),0)</f>
        <v>0</v>
      </c>
      <c r="AZ21" s="96">
        <f>+IFERROR(VLOOKUP($AZ$19,Sheet1!AD3:AG3,3,0),0)</f>
        <v>0</v>
      </c>
      <c r="BA21" s="96">
        <f>+IFERROR(VLOOKUP($BA$19,Sheet1!AH3:AK3,3,0),0)</f>
        <v>537</v>
      </c>
      <c r="BB21" s="96">
        <f>+IFERROR(VLOOKUP($BB$19,Sheet1!AH3:AK3,3,0),0)</f>
        <v>0</v>
      </c>
      <c r="BC21" s="96">
        <f>+IFERROR(VLOOKUP($BC$19,Sheet1!AH3:AK3,3,0),0)</f>
        <v>0</v>
      </c>
      <c r="BD21" s="96">
        <f>+IFERROR(VLOOKUP($BD$19,Sheet1!AH3:AK3,3,0),0)</f>
        <v>0</v>
      </c>
      <c r="BE21" s="96">
        <f>+IFERROR(VLOOKUP($BE$19,Sheet1!AH3:AK3,3,0),0)</f>
        <v>0</v>
      </c>
      <c r="BF21" s="96">
        <f>+IFERROR(VLOOKUP($BF$19,Sheet1!AH3:AK3,3,0),0)</f>
        <v>0</v>
      </c>
      <c r="BG21" s="96">
        <f>+IFERROR(VLOOKUP($BG$19,Sheet1!AH3:AK3,3,0),0)</f>
        <v>0</v>
      </c>
      <c r="BH21" s="96">
        <f>+IFERROR(VLOOKUP($BH$19,Sheet1!AH3:AK3,3,0),0)</f>
        <v>0</v>
      </c>
      <c r="BI21" s="96">
        <f>+IFERROR(VLOOKUP($BI$19,Sheet1!AH3:AK3,3,0),0)</f>
        <v>0</v>
      </c>
      <c r="BJ21" s="96">
        <f>+IFERROR(VLOOKUP($BJ$19,Sheet1!AH3:AK3,3,0),0)</f>
        <v>0</v>
      </c>
      <c r="BK21" s="96">
        <f>+IFERROR(VLOOKUP($BK$19,Sheet1!AH3:AK3,3,0),0)</f>
        <v>0</v>
      </c>
      <c r="BL21" s="96">
        <f>+IFERROR(VLOOKUP($BL$19,Sheet1!AL3:AO3,3,0),0)</f>
        <v>0</v>
      </c>
      <c r="BM21" s="96">
        <f>+IFERROR(VLOOKUP($BM$19,Sheet1!AL3:AO3,3,0),0)</f>
        <v>0</v>
      </c>
      <c r="BN21" s="96">
        <f>+IFERROR(VLOOKUP($BN$19,Sheet1!AL3:AO3,3,0),0)</f>
        <v>0</v>
      </c>
      <c r="BO21" s="96">
        <f>+IFERROR(VLOOKUP($BO$19,Sheet1!AL3:AO3,3,0),0)</f>
        <v>0</v>
      </c>
      <c r="BP21" s="96">
        <f>+IFERROR(VLOOKUP($BP$19,Sheet1!AL3:AO3,3,0),0)</f>
        <v>0</v>
      </c>
      <c r="BQ21" s="96">
        <f>+IFERROR(VLOOKUP($BQ$19,Sheet1!AL3:AO3,3,0),0)</f>
        <v>0</v>
      </c>
      <c r="BR21" s="96">
        <f>+IFERROR(VLOOKUP($BR$19,Sheet1!AL3:AO3,3,0),0)</f>
        <v>0</v>
      </c>
      <c r="BS21" s="96">
        <f>+IFERROR(VLOOKUP($BS$19,Sheet1!AL3:AO3,3,0),0)</f>
        <v>0</v>
      </c>
      <c r="BT21" s="96">
        <f>+IFERROR(VLOOKUP($BT$19,Sheet1!AL3:AO3,3,0),0)</f>
        <v>0</v>
      </c>
      <c r="BU21" s="96">
        <f>+IFERROR(VLOOKUP($BU$19,Sheet1!AL3:AO3,3,0),0)</f>
        <v>0</v>
      </c>
      <c r="BV21" s="96">
        <f>+IFERROR(VLOOKUP($BV$19,Sheet1!AL3:AO3,3,0),0)</f>
        <v>0</v>
      </c>
      <c r="BW21" s="96">
        <f>+IFERROR(VLOOKUP($BW$19,Sheet1!AL3:AO3,3,0),0)</f>
        <v>0</v>
      </c>
      <c r="BX21" s="96">
        <f>+IFERROR(VLOOKUP($BX$19,Sheet1!AP3:AS3,3,0),0)</f>
        <v>0</v>
      </c>
      <c r="BY21" s="96">
        <v>72</v>
      </c>
      <c r="BZ21" s="38">
        <f>+IFERROR(VLOOKUP($BZ$19,Sheet1!AX3:BA3,3,0),0)</f>
        <v>0</v>
      </c>
      <c r="CA21" s="40">
        <f>+IFERROR(VLOOKUP($CA$19,Sheet1!BB3:BE3,3,0),0)</f>
        <v>0</v>
      </c>
      <c r="CB21" s="42">
        <f>+IFERROR(VLOOKUP($CB$19,Sheet1!BF3:BI3,3,0),0)</f>
        <v>0</v>
      </c>
      <c r="CC21" s="43">
        <f>+IFERROR(VLOOKUP($CC$19,Sheet1!BJ3:BM3,3,0),0)</f>
        <v>0</v>
      </c>
      <c r="CD21" s="44">
        <f>+IFERROR(VLOOKUP($CD$19,Sheet1!BN3:BQ3,3,0),0)</f>
        <v>0</v>
      </c>
      <c r="CE21" s="34">
        <f>+IFERROR(VLOOKUP($CE$19,Sheet1!BR3:BU3,3,0),0)</f>
        <v>0</v>
      </c>
      <c r="CF21" s="38">
        <f>+IFERROR(VLOOKUP($CF$19,Sheet1!BV3:BY3,3,0),0)</f>
        <v>0</v>
      </c>
      <c r="CG21" s="61" t="s">
        <v>229</v>
      </c>
      <c r="CH21" s="62" t="s">
        <v>232</v>
      </c>
      <c r="CI21" s="62" t="s">
        <v>233</v>
      </c>
      <c r="CJ21" s="62">
        <v>2000</v>
      </c>
      <c r="CK21" s="23">
        <f>17600/2</f>
        <v>8800</v>
      </c>
      <c r="CL21" s="23">
        <f>SUMPRODUCT($N$20:$CF$20,N21:CF21)+CK21</f>
        <v>729394</v>
      </c>
      <c r="CM21" s="24">
        <f>Sheet1!CB3</f>
        <v>0</v>
      </c>
      <c r="CN21" s="23">
        <f>CL21*CM21</f>
        <v>0</v>
      </c>
      <c r="CO21" s="84">
        <v>0.08</v>
      </c>
      <c r="CP21" s="23">
        <f>CL21*CO21</f>
        <v>58351.520000000004</v>
      </c>
      <c r="CQ21" s="84">
        <v>0</v>
      </c>
      <c r="CR21" s="23">
        <f>CL21*CQ21</f>
        <v>0</v>
      </c>
      <c r="CS21" s="23">
        <f>CL21+CN21+CP21+CR21</f>
        <v>787745.52</v>
      </c>
      <c r="CT21" s="84">
        <v>0.02</v>
      </c>
      <c r="CU21" s="6">
        <f>CS21*CT21</f>
        <v>15754.910400000001</v>
      </c>
      <c r="CV21" s="84">
        <v>0.01</v>
      </c>
      <c r="CW21" s="6">
        <f>CS21*CV21</f>
        <v>7877.4552000000003</v>
      </c>
      <c r="CX21" s="84">
        <f>Sheet1!CM3</f>
        <v>0</v>
      </c>
      <c r="CY21" s="6">
        <f>CX21*CS21</f>
        <v>0</v>
      </c>
    </row>
    <row r="22" spans="1:104" s="22" customFormat="1" ht="30" x14ac:dyDescent="0.25">
      <c r="A22" s="6" t="str">
        <f>Sheet1!A2</f>
        <v>ENQ-19613-25-26</v>
      </c>
      <c r="B22" s="76">
        <v>46113</v>
      </c>
      <c r="C22" s="6" t="str">
        <f>Sheet1!C2</f>
        <v>FC3700003</v>
      </c>
      <c r="D22" s="6" t="str">
        <f>Sheet1!D2</f>
        <v>ACSR : PANTHER CONDUCTOR - 200 SQ. MM. (30/7/3.00)</v>
      </c>
      <c r="E22" s="23">
        <f>CS22+CU22+CW22+CY22</f>
        <v>342023.69520000002</v>
      </c>
      <c r="F22" s="98">
        <f>ROUNDUP(M28,0)</f>
        <v>7219</v>
      </c>
      <c r="G22" s="28">
        <f>E22+F22</f>
        <v>349242.69520000002</v>
      </c>
      <c r="H22" s="29">
        <f>Sheet1!CR2</f>
        <v>0.18</v>
      </c>
      <c r="I22" s="28">
        <f>G22*H22</f>
        <v>62863.685136</v>
      </c>
      <c r="J22" s="28">
        <f>G22+I22</f>
        <v>412106.380336</v>
      </c>
      <c r="K22" s="68">
        <f>Sheet1!CU2</f>
        <v>20</v>
      </c>
      <c r="L22" s="65" t="str">
        <f>Sheet1!CV2</f>
        <v>KMS</v>
      </c>
      <c r="M22" s="23">
        <f>J22*K22</f>
        <v>8242127.6067200005</v>
      </c>
      <c r="N22" s="97">
        <v>590</v>
      </c>
      <c r="O22" s="97">
        <f>+IFERROR(VLOOKUP($O$19,Sheet1!J2:L2,3,0),0)</f>
        <v>0</v>
      </c>
      <c r="P22" s="97">
        <f>+IFERROR(VLOOKUP($P$19,Sheet1!J2:M2,3,0),0)</f>
        <v>0</v>
      </c>
      <c r="Q22" s="97">
        <f>+IFERROR(VLOOKUP($Q$19,Sheet1!J2:M2,3,0),0)</f>
        <v>0</v>
      </c>
      <c r="R22" s="97">
        <f>+IFERROR(VLOOKUP($R$19,Sheet1!J2:M2,3,0),0)</f>
        <v>0</v>
      </c>
      <c r="S22" s="97">
        <f>+IFERROR(VLOOKUP($S$19,Sheet1!J2:M2,3,0),0)</f>
        <v>0</v>
      </c>
      <c r="T22" s="97">
        <f>+IFERROR(VLOOKUP($T$19,Sheet1!J2:M2,3,0),0)</f>
        <v>0</v>
      </c>
      <c r="U22" s="97">
        <f>+IFERROR(VLOOKUP($U$19,Sheet1!J2:M2,3,0),0)</f>
        <v>0</v>
      </c>
      <c r="V22" s="97">
        <f>+IFERROR(VLOOKUP($V$19,Sheet1!N2:Q2,3,0),0)</f>
        <v>0</v>
      </c>
      <c r="W22" s="97">
        <f>+IFERROR(VLOOKUP($W$19,Sheet1!N2:Q2,3,0),0)</f>
        <v>0</v>
      </c>
      <c r="X22" s="97">
        <f>+IFERROR(VLOOKUP($X$19,Sheet1!F2:I2,3,0),0)</f>
        <v>0</v>
      </c>
      <c r="Y22" s="97">
        <f>+IFERROR(VLOOKUP($Y$19,Sheet1!F2:I2,3,0),0)</f>
        <v>0</v>
      </c>
      <c r="Z22" s="97">
        <f>+IFERROR(VLOOKUP($Z$19,Sheet1!F2:I2,3,0),0)</f>
        <v>0</v>
      </c>
      <c r="AA22" s="97">
        <f>+IFERROR(VLOOKUP($AA$19,Sheet1!F2:I2,3,0),0)</f>
        <v>0</v>
      </c>
      <c r="AB22" s="97">
        <f>+IFERROR(VLOOKUP($AB$19,Sheet1!F2:I2,3,0),0)</f>
        <v>0</v>
      </c>
      <c r="AC22" s="97">
        <f>+IFERROR(VLOOKUP($AC$19,Sheet1!F2:I2,3,0),0)</f>
        <v>0</v>
      </c>
      <c r="AD22" s="97">
        <f>+IFERROR(VLOOKUP($AD$19,Sheet1!F2:I2,3,0),0)</f>
        <v>0</v>
      </c>
      <c r="AE22" s="97">
        <f>+IFERROR(VLOOKUP($AE$19,Sheet1!F2:I2,3,0),0)</f>
        <v>0</v>
      </c>
      <c r="AF22" s="97">
        <f>+IFERROR(VLOOKUP($AF$19,Sheet1!R2:U2,3,0),0)</f>
        <v>0</v>
      </c>
      <c r="AG22" s="96">
        <f>+IFERROR(VLOOKUP($AG$19,Sheet1!R2:U2,3,0),0)</f>
        <v>0</v>
      </c>
      <c r="AH22" s="97">
        <f>+IFERROR(VLOOKUP($AH$19,Sheet1!V2:Y2,3,0),0)</f>
        <v>0</v>
      </c>
      <c r="AI22" s="96">
        <f>+IFERROR(VLOOKUP($AI$19,Sheet1!V2:Y2,3,0),0)</f>
        <v>0</v>
      </c>
      <c r="AJ22" s="96">
        <f>+IFERROR(VLOOKUP($AJ$19,Sheet1!V2:Y2,3,0),0)</f>
        <v>0</v>
      </c>
      <c r="AK22" s="96">
        <f>+IFERROR(VLOOKUP($AK$19,Sheet1!V2:Y2,3,0),0)</f>
        <v>0</v>
      </c>
      <c r="AL22" s="96">
        <f>+IFERROR(VLOOKUP($AL$19,Sheet1!V2:Y2,3,0),0)</f>
        <v>0</v>
      </c>
      <c r="AM22" s="96">
        <f>+IFERROR(VLOOKUP($AM$19,Sheet1!V2:Y2,3,0),0)</f>
        <v>0</v>
      </c>
      <c r="AN22" s="96">
        <f>+IFERROR(VLOOKUP($AN$19,Sheet1!V2:Y2,3,0),0)</f>
        <v>0</v>
      </c>
      <c r="AO22" s="96">
        <f>+IFERROR(VLOOKUP($AO$19,Sheet1!V2:Y2,3,0),0)</f>
        <v>0</v>
      </c>
      <c r="AP22" s="96">
        <f>+IFERROR(VLOOKUP($AP$19,Sheet1!V2:Y2,3,0),0)</f>
        <v>0</v>
      </c>
      <c r="AQ22" s="96">
        <f>+IFERROR(VLOOKUP($AQ$19,Sheet1!Z2:AB2,3,0),0)</f>
        <v>0</v>
      </c>
      <c r="AR22" s="96">
        <f>+IFERROR(VLOOKUP($AR$19,Sheet1!AD2:AG2,3,0),0)</f>
        <v>0</v>
      </c>
      <c r="AS22" s="96">
        <f>+IFERROR(VLOOKUP($AS$19,Sheet1!AD2:AG2,3,0),0)</f>
        <v>0</v>
      </c>
      <c r="AT22" s="96">
        <f>+IFERROR(VLOOKUP($AT$19,Sheet1!AD2:AG2,3,0),0)</f>
        <v>0</v>
      </c>
      <c r="AU22" s="96">
        <f>+IFERROR(VLOOKUP($AU$19,Sheet1!AD2:AG2,3,0),0)</f>
        <v>0</v>
      </c>
      <c r="AV22" s="96">
        <f>+IFERROR(VLOOKUP($AV$19,Sheet1!AD2:AG2,3,0),0)</f>
        <v>0</v>
      </c>
      <c r="AW22" s="96">
        <f>+IFERROR(VLOOKUP($AW$19,Sheet1!AD2:AG2,3,0),0)</f>
        <v>0</v>
      </c>
      <c r="AX22" s="96">
        <f>+IFERROR(VLOOKUP($AX$19,Sheet1!AD2:AG2,3,0),0)</f>
        <v>0</v>
      </c>
      <c r="AY22" s="96">
        <f>+IFERROR(VLOOKUP($AY$19,Sheet1!AD2:AG2,3,0),0)</f>
        <v>0</v>
      </c>
      <c r="AZ22" s="96">
        <f>+IFERROR(VLOOKUP($AZ$19,Sheet1!AD2:AG2,3,0),0)</f>
        <v>0</v>
      </c>
      <c r="BA22" s="96">
        <v>390</v>
      </c>
      <c r="BB22" s="96">
        <f>+IFERROR(VLOOKUP($BB$19,Sheet1!AH2:AK2,3,0),0)</f>
        <v>0</v>
      </c>
      <c r="BC22" s="96">
        <f>+IFERROR(VLOOKUP($BC$19,Sheet1!AH2:AK2,3,0),0)</f>
        <v>0</v>
      </c>
      <c r="BD22" s="96">
        <f>+IFERROR(VLOOKUP($BD$19,Sheet1!AH2:AK2,3,0),0)</f>
        <v>0</v>
      </c>
      <c r="BE22" s="96">
        <f>+IFERROR(VLOOKUP($BE$19,Sheet1!AH2:AK2,3,0),0)</f>
        <v>0</v>
      </c>
      <c r="BF22" s="96">
        <f>+IFERROR(VLOOKUP($BF$19,Sheet1!AH2:AK2,3,0),0)</f>
        <v>0</v>
      </c>
      <c r="BG22" s="96">
        <f>+IFERROR(VLOOKUP($BG$19,Sheet1!AH2:AK2,3,0),0)</f>
        <v>0</v>
      </c>
      <c r="BH22" s="96">
        <f>+IFERROR(VLOOKUP($BH$19,Sheet1!AH2:AK2,3,0),0)</f>
        <v>0</v>
      </c>
      <c r="BI22" s="96">
        <f>+IFERROR(VLOOKUP($BI$19,Sheet1!AH2:AK2,3,0),0)</f>
        <v>0</v>
      </c>
      <c r="BJ22" s="96">
        <f>+IFERROR(VLOOKUP($BJ$19,Sheet1!AH2:AK2,3,0),0)</f>
        <v>0</v>
      </c>
      <c r="BK22" s="96">
        <f>+IFERROR(VLOOKUP($BK$19,Sheet1!AH2:AK2,3,0),0)</f>
        <v>0</v>
      </c>
      <c r="BL22" s="96">
        <f>+IFERROR(VLOOKUP($BL$19,Sheet1!AL2:AO2,3,0),0)</f>
        <v>0</v>
      </c>
      <c r="BM22" s="96">
        <f>+IFERROR(VLOOKUP($BM$19,Sheet1!AL2:AO2,3,0),0)</f>
        <v>0</v>
      </c>
      <c r="BN22" s="96">
        <f>+IFERROR(VLOOKUP($BN$19,Sheet1!AL2:AO2,3,0),0)</f>
        <v>0</v>
      </c>
      <c r="BO22" s="96">
        <f>+IFERROR(VLOOKUP($BO$19,Sheet1!AL2:AO2,3,0),0)</f>
        <v>0</v>
      </c>
      <c r="BP22" s="96">
        <f>+IFERROR(VLOOKUP($BP$19,Sheet1!AL2:AO2,3,0),0)</f>
        <v>0</v>
      </c>
      <c r="BQ22" s="96">
        <f>+IFERROR(VLOOKUP($BQ$19,Sheet1!AL2:AO2,3,0),0)</f>
        <v>0</v>
      </c>
      <c r="BR22" s="96">
        <f>+IFERROR(VLOOKUP($BR$19,Sheet1!AL2:AO2,3,0),0)</f>
        <v>0</v>
      </c>
      <c r="BS22" s="96">
        <f>+IFERROR(VLOOKUP($BS$19,Sheet1!AL2:AO2,3,0),0)</f>
        <v>0</v>
      </c>
      <c r="BT22" s="96">
        <f>+IFERROR(VLOOKUP($BT$19,Sheet1!AL2:AO2,3,0),0)</f>
        <v>0</v>
      </c>
      <c r="BU22" s="96">
        <f>+IFERROR(VLOOKUP($BU$19,Sheet1!AL2:AO2,3,0),0)</f>
        <v>0</v>
      </c>
      <c r="BV22" s="96">
        <f>+IFERROR(VLOOKUP($BV$19,Sheet1!AL2:AO2,3,0),0)</f>
        <v>0</v>
      </c>
      <c r="BW22" s="96">
        <f>+IFERROR(VLOOKUP($BW$19,Sheet1!AL2:AO2,3,0),0)</f>
        <v>0</v>
      </c>
      <c r="BX22" s="96">
        <f>+IFERROR(VLOOKUP($BX$19,Sheet1!AP2:AS2,3,0),0)</f>
        <v>0</v>
      </c>
      <c r="BY22" s="96">
        <v>26</v>
      </c>
      <c r="BZ22" s="38">
        <f>+IFERROR(VLOOKUP($BZ$19,Sheet1!AX2:BA2,3,0),0)</f>
        <v>0</v>
      </c>
      <c r="CA22" s="40">
        <f>+IFERROR(VLOOKUP($CA$19,Sheet1!BB2:BE2,3,0),0)</f>
        <v>0</v>
      </c>
      <c r="CB22" s="42">
        <f>+IFERROR(VLOOKUP($CB$19,Sheet1!BF2:BI2,3,0),0)</f>
        <v>0</v>
      </c>
      <c r="CC22" s="43">
        <f>+IFERROR(VLOOKUP($CC$19,Sheet1!BJ2:BM2,3,0),0)</f>
        <v>0</v>
      </c>
      <c r="CD22" s="44">
        <f>+IFERROR(VLOOKUP($CD$19,Sheet1!BN2:BQ2,3,0),0)</f>
        <v>0</v>
      </c>
      <c r="CE22" s="34">
        <f>+IFERROR(VLOOKUP($CE$19,Sheet1!BR2:BU2,3,0),0)</f>
        <v>0</v>
      </c>
      <c r="CF22" s="38">
        <f>+IFERROR(VLOOKUP($CF$19,Sheet1!BV2:BY2,3,0),0)</f>
        <v>0</v>
      </c>
      <c r="CG22" s="61" t="s">
        <v>229</v>
      </c>
      <c r="CH22" s="62" t="s">
        <v>230</v>
      </c>
      <c r="CI22" s="62" t="s">
        <v>231</v>
      </c>
      <c r="CJ22" s="62">
        <v>2400</v>
      </c>
      <c r="CK22" s="23">
        <f>8800/2.4</f>
        <v>3666.666666666667</v>
      </c>
      <c r="CL22" s="23">
        <f>SUMPRODUCT($N$20:$CF$20,N22:CF22)+CK22</f>
        <v>307464.66666666669</v>
      </c>
      <c r="CM22" s="24">
        <f>Sheet1!CB2</f>
        <v>0</v>
      </c>
      <c r="CN22" s="23">
        <f>CL22*CM22</f>
        <v>0</v>
      </c>
      <c r="CO22" s="84">
        <v>0.08</v>
      </c>
      <c r="CP22" s="23">
        <f>CL22*CO22</f>
        <v>24597.173333333336</v>
      </c>
      <c r="CQ22" s="84">
        <v>0</v>
      </c>
      <c r="CR22" s="23">
        <f>CL22*CQ22</f>
        <v>0</v>
      </c>
      <c r="CS22" s="23">
        <f>CL22+CN22+CP22+CR22</f>
        <v>332061.84000000003</v>
      </c>
      <c r="CT22" s="84">
        <v>0.02</v>
      </c>
      <c r="CU22" s="88">
        <f>CS22*CT22</f>
        <v>6641.2368000000006</v>
      </c>
      <c r="CV22" s="84">
        <v>0.01</v>
      </c>
      <c r="CW22" s="88">
        <f>CS22*CV22</f>
        <v>3320.6184000000003</v>
      </c>
      <c r="CX22" s="84">
        <f>Sheet1!CM2</f>
        <v>0</v>
      </c>
      <c r="CY22" s="6">
        <f>CX22*CS22</f>
        <v>0</v>
      </c>
    </row>
    <row r="23" spans="1:104" x14ac:dyDescent="0.25">
      <c r="M23" s="220">
        <f>SUM(M21:M22)</f>
        <v>360216915.8096</v>
      </c>
    </row>
    <row r="26" spans="1:104" ht="75" x14ac:dyDescent="0.25">
      <c r="E26" s="1" t="s">
        <v>127</v>
      </c>
      <c r="F26" s="1" t="s">
        <v>128</v>
      </c>
      <c r="G26" s="79" t="s">
        <v>129</v>
      </c>
      <c r="H26" s="1" t="s">
        <v>130</v>
      </c>
      <c r="I26" s="1" t="s">
        <v>131</v>
      </c>
      <c r="J26" s="1" t="s">
        <v>132</v>
      </c>
      <c r="K26" s="1" t="s">
        <v>133</v>
      </c>
      <c r="L26" s="1" t="s">
        <v>134</v>
      </c>
      <c r="M26" s="80" t="s">
        <v>135</v>
      </c>
      <c r="BA26" s="15" t="s">
        <v>235</v>
      </c>
      <c r="BY26" s="15" t="s">
        <v>236</v>
      </c>
      <c r="CG26" s="15" t="s">
        <v>237</v>
      </c>
      <c r="CH26" s="15" t="s">
        <v>238</v>
      </c>
    </row>
    <row r="27" spans="1:104" ht="30" x14ac:dyDescent="0.25">
      <c r="D27" s="15" t="str">
        <f>D21</f>
        <v>ACSR : MOOSE CONDUCTOR - 520 SQ. MM. (54/7/3.53)</v>
      </c>
      <c r="E27" s="81">
        <f>K21</f>
        <v>360</v>
      </c>
      <c r="F27" s="82">
        <f>CJ21/1000</f>
        <v>2</v>
      </c>
      <c r="G27" s="79" t="s">
        <v>234</v>
      </c>
      <c r="H27" s="83">
        <f>5500*25</f>
        <v>137500</v>
      </c>
      <c r="I27" s="82">
        <v>4</v>
      </c>
      <c r="J27" s="79">
        <f>F27*I27</f>
        <v>8</v>
      </c>
      <c r="K27" s="79">
        <f>ROUNDUP((E27/J27),0)</f>
        <v>45</v>
      </c>
      <c r="L27" s="79">
        <f>H27*K27</f>
        <v>6187500</v>
      </c>
      <c r="M27" s="85">
        <f>L27/E27</f>
        <v>17187.5</v>
      </c>
      <c r="N27" s="87" t="str">
        <f>CH21</f>
        <v>SP0400139</v>
      </c>
      <c r="BA27" s="15">
        <f>SUM(N21:BY21)</f>
        <v>2076</v>
      </c>
      <c r="BY27" s="15">
        <v>320</v>
      </c>
      <c r="CG27" s="15">
        <f>((F27*BA27)+BY27)</f>
        <v>4472</v>
      </c>
      <c r="CH27" s="15">
        <f>I27*CG27</f>
        <v>17888</v>
      </c>
    </row>
    <row r="28" spans="1:104" ht="30" x14ac:dyDescent="0.25">
      <c r="D28" s="15" t="str">
        <f>D22</f>
        <v>ACSR : PANTHER CONDUCTOR - 200 SQ. MM. (30/7/3.00)</v>
      </c>
      <c r="E28" s="81">
        <f>K22</f>
        <v>20</v>
      </c>
      <c r="F28" s="82">
        <f>CJ22/1000</f>
        <v>2.4</v>
      </c>
      <c r="G28" s="79" t="s">
        <v>234</v>
      </c>
      <c r="H28" s="83">
        <f>5500*25</f>
        <v>137500</v>
      </c>
      <c r="I28" s="82">
        <v>8</v>
      </c>
      <c r="J28" s="79">
        <f>F28*I28</f>
        <v>19.2</v>
      </c>
      <c r="K28" s="79">
        <f>ROUNDUP((E28/J28),2)</f>
        <v>1.05</v>
      </c>
      <c r="L28" s="79">
        <f>H28*K28</f>
        <v>144375</v>
      </c>
      <c r="M28" s="85">
        <f>L28/E28</f>
        <v>7218.75</v>
      </c>
      <c r="N28" s="87" t="str">
        <f>CH22</f>
        <v>SP0400125</v>
      </c>
      <c r="BA28" s="15">
        <f>SUM(N22:BY22)</f>
        <v>1006</v>
      </c>
      <c r="BY28" s="15">
        <v>160</v>
      </c>
      <c r="CG28" s="15">
        <f>((F28*BA28)+BY28)</f>
        <v>2574.4</v>
      </c>
      <c r="CH28" s="15">
        <f>I28*CG28</f>
        <v>20595.2</v>
      </c>
    </row>
    <row r="29" spans="1:104" x14ac:dyDescent="0.25">
      <c r="M29" s="86"/>
    </row>
    <row r="30" spans="1:104" x14ac:dyDescent="0.25">
      <c r="M30" s="86"/>
    </row>
    <row r="31" spans="1:104" x14ac:dyDescent="0.25">
      <c r="M31" s="86"/>
    </row>
    <row r="32" spans="1:104" x14ac:dyDescent="0.25">
      <c r="M32" s="86"/>
    </row>
    <row r="33" spans="13:13" x14ac:dyDescent="0.25">
      <c r="M33" s="86"/>
    </row>
    <row r="34" spans="13:13" x14ac:dyDescent="0.25">
      <c r="M34" s="86"/>
    </row>
    <row r="35" spans="13:13" x14ac:dyDescent="0.25">
      <c r="M35" s="86"/>
    </row>
    <row r="36" spans="13:13" x14ac:dyDescent="0.25">
      <c r="M36" s="86"/>
    </row>
    <row r="37" spans="13:13" x14ac:dyDescent="0.25">
      <c r="M37" s="86"/>
    </row>
    <row r="38" spans="13:13" x14ac:dyDescent="0.25">
      <c r="M38" s="86"/>
    </row>
    <row r="39" spans="13:13" x14ac:dyDescent="0.25">
      <c r="M39" s="86"/>
    </row>
    <row r="40" spans="13:13" x14ac:dyDescent="0.25">
      <c r="M40" s="86"/>
    </row>
    <row r="41" spans="13:13" x14ac:dyDescent="0.25">
      <c r="M41" s="86"/>
    </row>
    <row r="42" spans="13:13" x14ac:dyDescent="0.25">
      <c r="M42" s="86"/>
    </row>
    <row r="43" spans="13:13" x14ac:dyDescent="0.25">
      <c r="M43" s="86"/>
    </row>
    <row r="44" spans="13:13" x14ac:dyDescent="0.25">
      <c r="M44" s="86"/>
    </row>
    <row r="45" spans="13:13" x14ac:dyDescent="0.25">
      <c r="M45" s="86"/>
    </row>
    <row r="46" spans="13:13" x14ac:dyDescent="0.25">
      <c r="M46" s="86"/>
    </row>
    <row r="47" spans="13:13" x14ac:dyDescent="0.25">
      <c r="M47" s="86"/>
    </row>
    <row r="48" spans="13:13" x14ac:dyDescent="0.25">
      <c r="M48" s="86"/>
    </row>
    <row r="49" spans="13:13" x14ac:dyDescent="0.25">
      <c r="M49" s="86"/>
    </row>
    <row r="50" spans="13:13" x14ac:dyDescent="0.25">
      <c r="M50" s="86"/>
    </row>
    <row r="51" spans="13:13" x14ac:dyDescent="0.25">
      <c r="M51" s="86"/>
    </row>
    <row r="52" spans="13:13" x14ac:dyDescent="0.25">
      <c r="M52" s="86"/>
    </row>
    <row r="53" spans="13:13" x14ac:dyDescent="0.25">
      <c r="M53" s="86"/>
    </row>
    <row r="54" spans="13:13" x14ac:dyDescent="0.25">
      <c r="M54" s="86"/>
    </row>
    <row r="55" spans="13:13" x14ac:dyDescent="0.25">
      <c r="M55" s="86"/>
    </row>
    <row r="56" spans="13:13" x14ac:dyDescent="0.25">
      <c r="M56" s="86"/>
    </row>
    <row r="57" spans="13:13" x14ac:dyDescent="0.25">
      <c r="M57" s="86"/>
    </row>
    <row r="58" spans="13:13" x14ac:dyDescent="0.25">
      <c r="M58" s="86"/>
    </row>
    <row r="59" spans="13:13" x14ac:dyDescent="0.25">
      <c r="M59" s="86"/>
    </row>
    <row r="60" spans="13:13" x14ac:dyDescent="0.25">
      <c r="M60" s="86"/>
    </row>
    <row r="61" spans="13:13" x14ac:dyDescent="0.25">
      <c r="M61" s="86"/>
    </row>
    <row r="62" spans="13:13" x14ac:dyDescent="0.25">
      <c r="M62" s="86"/>
    </row>
    <row r="63" spans="13:13" x14ac:dyDescent="0.25">
      <c r="M63" s="86"/>
    </row>
    <row r="64" spans="13:13" x14ac:dyDescent="0.25">
      <c r="M64" s="86"/>
    </row>
    <row r="65" spans="13:13" x14ac:dyDescent="0.25">
      <c r="M65" s="86"/>
    </row>
    <row r="66" spans="13:13" x14ac:dyDescent="0.25">
      <c r="M66" s="86"/>
    </row>
    <row r="67" spans="13:13" x14ac:dyDescent="0.25">
      <c r="M67" s="86"/>
    </row>
    <row r="68" spans="13:13" x14ac:dyDescent="0.25">
      <c r="M68" s="86"/>
    </row>
    <row r="69" spans="13:13" x14ac:dyDescent="0.25">
      <c r="M69" s="86"/>
    </row>
    <row r="70" spans="13:13" x14ac:dyDescent="0.25">
      <c r="M70" s="86"/>
    </row>
    <row r="71" spans="13:13" x14ac:dyDescent="0.25">
      <c r="M71" s="86"/>
    </row>
    <row r="72" spans="13:13" x14ac:dyDescent="0.25">
      <c r="M72" s="86"/>
    </row>
    <row r="73" spans="13:13" x14ac:dyDescent="0.25">
      <c r="M73" s="86"/>
    </row>
    <row r="74" spans="13:13" x14ac:dyDescent="0.25">
      <c r="M74" s="86"/>
    </row>
  </sheetData>
  <sortState xmlns:xlrd2="http://schemas.microsoft.com/office/spreadsheetml/2017/richdata2" ref="A21:CY22">
    <sortCondition ref="F21:F22"/>
  </sortState>
  <mergeCells count="21">
    <mergeCell ref="CG18:CJ18"/>
    <mergeCell ref="AR18:AZ18"/>
    <mergeCell ref="BA18:BK18"/>
    <mergeCell ref="BL18:BW18"/>
    <mergeCell ref="N18:U18"/>
    <mergeCell ref="V18:W18"/>
    <mergeCell ref="X18:AE18"/>
    <mergeCell ref="AF18:AG18"/>
    <mergeCell ref="AH18:AP18"/>
    <mergeCell ref="A2:R2"/>
    <mergeCell ref="B4:R4"/>
    <mergeCell ref="B5:R5"/>
    <mergeCell ref="B6:R6"/>
    <mergeCell ref="B7:R7"/>
    <mergeCell ref="B13:R13"/>
    <mergeCell ref="B14:R14"/>
    <mergeCell ref="B8:R8"/>
    <mergeCell ref="B9:R9"/>
    <mergeCell ref="B10:P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D597-6078-4093-9D0D-0E4F6D616CAE}">
  <sheetPr>
    <tabColor rgb="FFFF0000"/>
  </sheetPr>
  <dimension ref="A1:AG23"/>
  <sheetViews>
    <sheetView topLeftCell="A3" zoomScaleNormal="100" workbookViewId="0">
      <selection activeCell="R11" sqref="R11"/>
    </sheetView>
  </sheetViews>
  <sheetFormatPr defaultRowHeight="12.75" x14ac:dyDescent="0.2"/>
  <cols>
    <col min="1" max="1" width="62.5703125" style="99" customWidth="1"/>
    <col min="2" max="2" width="8.28515625" style="99" customWidth="1"/>
    <col min="3" max="3" width="12.42578125" style="99" customWidth="1"/>
    <col min="4" max="4" width="10.42578125" style="99" bestFit="1" customWidth="1"/>
    <col min="5" max="8" width="12.42578125" style="99" customWidth="1"/>
    <col min="9" max="9" width="12.28515625" style="99" customWidth="1"/>
    <col min="10" max="13" width="12.5703125" style="99" customWidth="1"/>
    <col min="14" max="15" width="9.85546875" style="99" customWidth="1"/>
    <col min="16" max="16" width="11.140625" style="99" bestFit="1" customWidth="1"/>
    <col min="17" max="17" width="13.5703125" style="99" customWidth="1"/>
    <col min="18" max="18" width="12" style="99" customWidth="1"/>
    <col min="19" max="19" width="15.85546875" style="99" customWidth="1"/>
    <col min="20" max="20" width="8.7109375" style="99" bestFit="1" customWidth="1"/>
    <col min="21" max="21" width="12.7109375" style="99" customWidth="1"/>
    <col min="22" max="22" width="11.42578125" style="99" bestFit="1" customWidth="1"/>
    <col min="23" max="23" width="12.42578125" style="99" bestFit="1" customWidth="1"/>
    <col min="24" max="24" width="7.42578125" style="99" bestFit="1" customWidth="1"/>
    <col min="25" max="25" width="13.5703125" style="99" bestFit="1" customWidth="1"/>
    <col min="26" max="26" width="12" style="99" bestFit="1" customWidth="1"/>
    <col min="27" max="27" width="13.5703125" style="99" bestFit="1" customWidth="1"/>
    <col min="28" max="28" width="14.28515625" style="99" bestFit="1" customWidth="1"/>
    <col min="29" max="29" width="10.85546875" style="99" bestFit="1" customWidth="1"/>
    <col min="30" max="30" width="7.28515625" style="99" customWidth="1"/>
    <col min="31" max="31" width="7.5703125" style="99" customWidth="1"/>
    <col min="32" max="32" width="12.7109375" style="99" bestFit="1" customWidth="1"/>
    <col min="33" max="33" width="10.85546875" style="99" bestFit="1" customWidth="1"/>
    <col min="34" max="34" width="9.140625" style="99" customWidth="1"/>
    <col min="35" max="261" width="9.140625" style="99"/>
    <col min="262" max="262" width="41" style="99" customWidth="1"/>
    <col min="263" max="263" width="18" style="99" bestFit="1" customWidth="1"/>
    <col min="264" max="264" width="10.140625" style="99" customWidth="1"/>
    <col min="265" max="265" width="10.42578125" style="99" bestFit="1" customWidth="1"/>
    <col min="266" max="267" width="12.42578125" style="99" customWidth="1"/>
    <col min="268" max="268" width="12.28515625" style="99" customWidth="1"/>
    <col min="269" max="270" width="12.5703125" style="99" customWidth="1"/>
    <col min="271" max="272" width="9.85546875" style="99" customWidth="1"/>
    <col min="273" max="273" width="9.42578125" style="99" customWidth="1"/>
    <col min="274" max="274" width="12" style="99" bestFit="1" customWidth="1"/>
    <col min="275" max="276" width="12" style="99" customWidth="1"/>
    <col min="277" max="277" width="12.7109375" style="99" customWidth="1"/>
    <col min="278" max="278" width="14.42578125" style="99" bestFit="1" customWidth="1"/>
    <col min="279" max="279" width="14.42578125" style="99" customWidth="1"/>
    <col min="280" max="281" width="9.140625" style="99" customWidth="1"/>
    <col min="282" max="282" width="9.5703125" style="99" customWidth="1"/>
    <col min="283" max="283" width="10.7109375" style="99" bestFit="1" customWidth="1"/>
    <col min="284" max="284" width="12.7109375" style="99" bestFit="1" customWidth="1"/>
    <col min="285" max="285" width="9.5703125" style="99" customWidth="1"/>
    <col min="286" max="286" width="7.28515625" style="99" customWidth="1"/>
    <col min="287" max="287" width="7.5703125" style="99" customWidth="1"/>
    <col min="288" max="288" width="12.7109375" style="99" bestFit="1" customWidth="1"/>
    <col min="289" max="289" width="9" style="99" customWidth="1"/>
    <col min="290" max="290" width="9.140625" style="99" customWidth="1"/>
    <col min="291" max="517" width="9.140625" style="99"/>
    <col min="518" max="518" width="41" style="99" customWidth="1"/>
    <col min="519" max="519" width="18" style="99" bestFit="1" customWidth="1"/>
    <col min="520" max="520" width="10.140625" style="99" customWidth="1"/>
    <col min="521" max="521" width="10.42578125" style="99" bestFit="1" customWidth="1"/>
    <col min="522" max="523" width="12.42578125" style="99" customWidth="1"/>
    <col min="524" max="524" width="12.28515625" style="99" customWidth="1"/>
    <col min="525" max="526" width="12.5703125" style="99" customWidth="1"/>
    <col min="527" max="528" width="9.85546875" style="99" customWidth="1"/>
    <col min="529" max="529" width="9.42578125" style="99" customWidth="1"/>
    <col min="530" max="530" width="12" style="99" bestFit="1" customWidth="1"/>
    <col min="531" max="532" width="12" style="99" customWidth="1"/>
    <col min="533" max="533" width="12.7109375" style="99" customWidth="1"/>
    <col min="534" max="534" width="14.42578125" style="99" bestFit="1" customWidth="1"/>
    <col min="535" max="535" width="14.42578125" style="99" customWidth="1"/>
    <col min="536" max="537" width="9.140625" style="99" customWidth="1"/>
    <col min="538" max="538" width="9.5703125" style="99" customWidth="1"/>
    <col min="539" max="539" width="10.7109375" style="99" bestFit="1" customWidth="1"/>
    <col min="540" max="540" width="12.7109375" style="99" bestFit="1" customWidth="1"/>
    <col min="541" max="541" width="9.5703125" style="99" customWidth="1"/>
    <col min="542" max="542" width="7.28515625" style="99" customWidth="1"/>
    <col min="543" max="543" width="7.5703125" style="99" customWidth="1"/>
    <col min="544" max="544" width="12.7109375" style="99" bestFit="1" customWidth="1"/>
    <col min="545" max="545" width="9" style="99" customWidth="1"/>
    <col min="546" max="546" width="9.140625" style="99" customWidth="1"/>
    <col min="547" max="773" width="9.140625" style="99"/>
    <col min="774" max="774" width="41" style="99" customWidth="1"/>
    <col min="775" max="775" width="18" style="99" bestFit="1" customWidth="1"/>
    <col min="776" max="776" width="10.140625" style="99" customWidth="1"/>
    <col min="777" max="777" width="10.42578125" style="99" bestFit="1" customWidth="1"/>
    <col min="778" max="779" width="12.42578125" style="99" customWidth="1"/>
    <col min="780" max="780" width="12.28515625" style="99" customWidth="1"/>
    <col min="781" max="782" width="12.5703125" style="99" customWidth="1"/>
    <col min="783" max="784" width="9.85546875" style="99" customWidth="1"/>
    <col min="785" max="785" width="9.42578125" style="99" customWidth="1"/>
    <col min="786" max="786" width="12" style="99" bestFit="1" customWidth="1"/>
    <col min="787" max="788" width="12" style="99" customWidth="1"/>
    <col min="789" max="789" width="12.7109375" style="99" customWidth="1"/>
    <col min="790" max="790" width="14.42578125" style="99" bestFit="1" customWidth="1"/>
    <col min="791" max="791" width="14.42578125" style="99" customWidth="1"/>
    <col min="792" max="793" width="9.140625" style="99" customWidth="1"/>
    <col min="794" max="794" width="9.5703125" style="99" customWidth="1"/>
    <col min="795" max="795" width="10.7109375" style="99" bestFit="1" customWidth="1"/>
    <col min="796" max="796" width="12.7109375" style="99" bestFit="1" customWidth="1"/>
    <col min="797" max="797" width="9.5703125" style="99" customWidth="1"/>
    <col min="798" max="798" width="7.28515625" style="99" customWidth="1"/>
    <col min="799" max="799" width="7.5703125" style="99" customWidth="1"/>
    <col min="800" max="800" width="12.7109375" style="99" bestFit="1" customWidth="1"/>
    <col min="801" max="801" width="9" style="99" customWidth="1"/>
    <col min="802" max="802" width="9.140625" style="99" customWidth="1"/>
    <col min="803" max="1029" width="9.140625" style="99"/>
    <col min="1030" max="1030" width="41" style="99" customWidth="1"/>
    <col min="1031" max="1031" width="18" style="99" bestFit="1" customWidth="1"/>
    <col min="1032" max="1032" width="10.140625" style="99" customWidth="1"/>
    <col min="1033" max="1033" width="10.42578125" style="99" bestFit="1" customWidth="1"/>
    <col min="1034" max="1035" width="12.42578125" style="99" customWidth="1"/>
    <col min="1036" max="1036" width="12.28515625" style="99" customWidth="1"/>
    <col min="1037" max="1038" width="12.5703125" style="99" customWidth="1"/>
    <col min="1039" max="1040" width="9.85546875" style="99" customWidth="1"/>
    <col min="1041" max="1041" width="9.42578125" style="99" customWidth="1"/>
    <col min="1042" max="1042" width="12" style="99" bestFit="1" customWidth="1"/>
    <col min="1043" max="1044" width="12" style="99" customWidth="1"/>
    <col min="1045" max="1045" width="12.7109375" style="99" customWidth="1"/>
    <col min="1046" max="1046" width="14.42578125" style="99" bestFit="1" customWidth="1"/>
    <col min="1047" max="1047" width="14.42578125" style="99" customWidth="1"/>
    <col min="1048" max="1049" width="9.140625" style="99" customWidth="1"/>
    <col min="1050" max="1050" width="9.5703125" style="99" customWidth="1"/>
    <col min="1051" max="1051" width="10.7109375" style="99" bestFit="1" customWidth="1"/>
    <col min="1052" max="1052" width="12.7109375" style="99" bestFit="1" customWidth="1"/>
    <col min="1053" max="1053" width="9.5703125" style="99" customWidth="1"/>
    <col min="1054" max="1054" width="7.28515625" style="99" customWidth="1"/>
    <col min="1055" max="1055" width="7.5703125" style="99" customWidth="1"/>
    <col min="1056" max="1056" width="12.7109375" style="99" bestFit="1" customWidth="1"/>
    <col min="1057" max="1057" width="9" style="99" customWidth="1"/>
    <col min="1058" max="1058" width="9.140625" style="99" customWidth="1"/>
    <col min="1059" max="1285" width="9.140625" style="99"/>
    <col min="1286" max="1286" width="41" style="99" customWidth="1"/>
    <col min="1287" max="1287" width="18" style="99" bestFit="1" customWidth="1"/>
    <col min="1288" max="1288" width="10.140625" style="99" customWidth="1"/>
    <col min="1289" max="1289" width="10.42578125" style="99" bestFit="1" customWidth="1"/>
    <col min="1290" max="1291" width="12.42578125" style="99" customWidth="1"/>
    <col min="1292" max="1292" width="12.28515625" style="99" customWidth="1"/>
    <col min="1293" max="1294" width="12.5703125" style="99" customWidth="1"/>
    <col min="1295" max="1296" width="9.85546875" style="99" customWidth="1"/>
    <col min="1297" max="1297" width="9.42578125" style="99" customWidth="1"/>
    <col min="1298" max="1298" width="12" style="99" bestFit="1" customWidth="1"/>
    <col min="1299" max="1300" width="12" style="99" customWidth="1"/>
    <col min="1301" max="1301" width="12.7109375" style="99" customWidth="1"/>
    <col min="1302" max="1302" width="14.42578125" style="99" bestFit="1" customWidth="1"/>
    <col min="1303" max="1303" width="14.42578125" style="99" customWidth="1"/>
    <col min="1304" max="1305" width="9.140625" style="99" customWidth="1"/>
    <col min="1306" max="1306" width="9.5703125" style="99" customWidth="1"/>
    <col min="1307" max="1307" width="10.7109375" style="99" bestFit="1" customWidth="1"/>
    <col min="1308" max="1308" width="12.7109375" style="99" bestFit="1" customWidth="1"/>
    <col min="1309" max="1309" width="9.5703125" style="99" customWidth="1"/>
    <col min="1310" max="1310" width="7.28515625" style="99" customWidth="1"/>
    <col min="1311" max="1311" width="7.5703125" style="99" customWidth="1"/>
    <col min="1312" max="1312" width="12.7109375" style="99" bestFit="1" customWidth="1"/>
    <col min="1313" max="1313" width="9" style="99" customWidth="1"/>
    <col min="1314" max="1314" width="9.140625" style="99" customWidth="1"/>
    <col min="1315" max="1541" width="9.140625" style="99"/>
    <col min="1542" max="1542" width="41" style="99" customWidth="1"/>
    <col min="1543" max="1543" width="18" style="99" bestFit="1" customWidth="1"/>
    <col min="1544" max="1544" width="10.140625" style="99" customWidth="1"/>
    <col min="1545" max="1545" width="10.42578125" style="99" bestFit="1" customWidth="1"/>
    <col min="1546" max="1547" width="12.42578125" style="99" customWidth="1"/>
    <col min="1548" max="1548" width="12.28515625" style="99" customWidth="1"/>
    <col min="1549" max="1550" width="12.5703125" style="99" customWidth="1"/>
    <col min="1551" max="1552" width="9.85546875" style="99" customWidth="1"/>
    <col min="1553" max="1553" width="9.42578125" style="99" customWidth="1"/>
    <col min="1554" max="1554" width="12" style="99" bestFit="1" customWidth="1"/>
    <col min="1555" max="1556" width="12" style="99" customWidth="1"/>
    <col min="1557" max="1557" width="12.7109375" style="99" customWidth="1"/>
    <col min="1558" max="1558" width="14.42578125" style="99" bestFit="1" customWidth="1"/>
    <col min="1559" max="1559" width="14.42578125" style="99" customWidth="1"/>
    <col min="1560" max="1561" width="9.140625" style="99" customWidth="1"/>
    <col min="1562" max="1562" width="9.5703125" style="99" customWidth="1"/>
    <col min="1563" max="1563" width="10.7109375" style="99" bestFit="1" customWidth="1"/>
    <col min="1564" max="1564" width="12.7109375" style="99" bestFit="1" customWidth="1"/>
    <col min="1565" max="1565" width="9.5703125" style="99" customWidth="1"/>
    <col min="1566" max="1566" width="7.28515625" style="99" customWidth="1"/>
    <col min="1567" max="1567" width="7.5703125" style="99" customWidth="1"/>
    <col min="1568" max="1568" width="12.7109375" style="99" bestFit="1" customWidth="1"/>
    <col min="1569" max="1569" width="9" style="99" customWidth="1"/>
    <col min="1570" max="1570" width="9.140625" style="99" customWidth="1"/>
    <col min="1571" max="1797" width="9.140625" style="99"/>
    <col min="1798" max="1798" width="41" style="99" customWidth="1"/>
    <col min="1799" max="1799" width="18" style="99" bestFit="1" customWidth="1"/>
    <col min="1800" max="1800" width="10.140625" style="99" customWidth="1"/>
    <col min="1801" max="1801" width="10.42578125" style="99" bestFit="1" customWidth="1"/>
    <col min="1802" max="1803" width="12.42578125" style="99" customWidth="1"/>
    <col min="1804" max="1804" width="12.28515625" style="99" customWidth="1"/>
    <col min="1805" max="1806" width="12.5703125" style="99" customWidth="1"/>
    <col min="1807" max="1808" width="9.85546875" style="99" customWidth="1"/>
    <col min="1809" max="1809" width="9.42578125" style="99" customWidth="1"/>
    <col min="1810" max="1810" width="12" style="99" bestFit="1" customWidth="1"/>
    <col min="1811" max="1812" width="12" style="99" customWidth="1"/>
    <col min="1813" max="1813" width="12.7109375" style="99" customWidth="1"/>
    <col min="1814" max="1814" width="14.42578125" style="99" bestFit="1" customWidth="1"/>
    <col min="1815" max="1815" width="14.42578125" style="99" customWidth="1"/>
    <col min="1816" max="1817" width="9.140625" style="99" customWidth="1"/>
    <col min="1818" max="1818" width="9.5703125" style="99" customWidth="1"/>
    <col min="1819" max="1819" width="10.7109375" style="99" bestFit="1" customWidth="1"/>
    <col min="1820" max="1820" width="12.7109375" style="99" bestFit="1" customWidth="1"/>
    <col min="1821" max="1821" width="9.5703125" style="99" customWidth="1"/>
    <col min="1822" max="1822" width="7.28515625" style="99" customWidth="1"/>
    <col min="1823" max="1823" width="7.5703125" style="99" customWidth="1"/>
    <col min="1824" max="1824" width="12.7109375" style="99" bestFit="1" customWidth="1"/>
    <col min="1825" max="1825" width="9" style="99" customWidth="1"/>
    <col min="1826" max="1826" width="9.140625" style="99" customWidth="1"/>
    <col min="1827" max="2053" width="9.140625" style="99"/>
    <col min="2054" max="2054" width="41" style="99" customWidth="1"/>
    <col min="2055" max="2055" width="18" style="99" bestFit="1" customWidth="1"/>
    <col min="2056" max="2056" width="10.140625" style="99" customWidth="1"/>
    <col min="2057" max="2057" width="10.42578125" style="99" bestFit="1" customWidth="1"/>
    <col min="2058" max="2059" width="12.42578125" style="99" customWidth="1"/>
    <col min="2060" max="2060" width="12.28515625" style="99" customWidth="1"/>
    <col min="2061" max="2062" width="12.5703125" style="99" customWidth="1"/>
    <col min="2063" max="2064" width="9.85546875" style="99" customWidth="1"/>
    <col min="2065" max="2065" width="9.42578125" style="99" customWidth="1"/>
    <col min="2066" max="2066" width="12" style="99" bestFit="1" customWidth="1"/>
    <col min="2067" max="2068" width="12" style="99" customWidth="1"/>
    <col min="2069" max="2069" width="12.7109375" style="99" customWidth="1"/>
    <col min="2070" max="2070" width="14.42578125" style="99" bestFit="1" customWidth="1"/>
    <col min="2071" max="2071" width="14.42578125" style="99" customWidth="1"/>
    <col min="2072" max="2073" width="9.140625" style="99" customWidth="1"/>
    <col min="2074" max="2074" width="9.5703125" style="99" customWidth="1"/>
    <col min="2075" max="2075" width="10.7109375" style="99" bestFit="1" customWidth="1"/>
    <col min="2076" max="2076" width="12.7109375" style="99" bestFit="1" customWidth="1"/>
    <col min="2077" max="2077" width="9.5703125" style="99" customWidth="1"/>
    <col min="2078" max="2078" width="7.28515625" style="99" customWidth="1"/>
    <col min="2079" max="2079" width="7.5703125" style="99" customWidth="1"/>
    <col min="2080" max="2080" width="12.7109375" style="99" bestFit="1" customWidth="1"/>
    <col min="2081" max="2081" width="9" style="99" customWidth="1"/>
    <col min="2082" max="2082" width="9.140625" style="99" customWidth="1"/>
    <col min="2083" max="2309" width="9.140625" style="99"/>
    <col min="2310" max="2310" width="41" style="99" customWidth="1"/>
    <col min="2311" max="2311" width="18" style="99" bestFit="1" customWidth="1"/>
    <col min="2312" max="2312" width="10.140625" style="99" customWidth="1"/>
    <col min="2313" max="2313" width="10.42578125" style="99" bestFit="1" customWidth="1"/>
    <col min="2314" max="2315" width="12.42578125" style="99" customWidth="1"/>
    <col min="2316" max="2316" width="12.28515625" style="99" customWidth="1"/>
    <col min="2317" max="2318" width="12.5703125" style="99" customWidth="1"/>
    <col min="2319" max="2320" width="9.85546875" style="99" customWidth="1"/>
    <col min="2321" max="2321" width="9.42578125" style="99" customWidth="1"/>
    <col min="2322" max="2322" width="12" style="99" bestFit="1" customWidth="1"/>
    <col min="2323" max="2324" width="12" style="99" customWidth="1"/>
    <col min="2325" max="2325" width="12.7109375" style="99" customWidth="1"/>
    <col min="2326" max="2326" width="14.42578125" style="99" bestFit="1" customWidth="1"/>
    <col min="2327" max="2327" width="14.42578125" style="99" customWidth="1"/>
    <col min="2328" max="2329" width="9.140625" style="99" customWidth="1"/>
    <col min="2330" max="2330" width="9.5703125" style="99" customWidth="1"/>
    <col min="2331" max="2331" width="10.7109375" style="99" bestFit="1" customWidth="1"/>
    <col min="2332" max="2332" width="12.7109375" style="99" bestFit="1" customWidth="1"/>
    <col min="2333" max="2333" width="9.5703125" style="99" customWidth="1"/>
    <col min="2334" max="2334" width="7.28515625" style="99" customWidth="1"/>
    <col min="2335" max="2335" width="7.5703125" style="99" customWidth="1"/>
    <col min="2336" max="2336" width="12.7109375" style="99" bestFit="1" customWidth="1"/>
    <col min="2337" max="2337" width="9" style="99" customWidth="1"/>
    <col min="2338" max="2338" width="9.140625" style="99" customWidth="1"/>
    <col min="2339" max="2565" width="9.140625" style="99"/>
    <col min="2566" max="2566" width="41" style="99" customWidth="1"/>
    <col min="2567" max="2567" width="18" style="99" bestFit="1" customWidth="1"/>
    <col min="2568" max="2568" width="10.140625" style="99" customWidth="1"/>
    <col min="2569" max="2569" width="10.42578125" style="99" bestFit="1" customWidth="1"/>
    <col min="2570" max="2571" width="12.42578125" style="99" customWidth="1"/>
    <col min="2572" max="2572" width="12.28515625" style="99" customWidth="1"/>
    <col min="2573" max="2574" width="12.5703125" style="99" customWidth="1"/>
    <col min="2575" max="2576" width="9.85546875" style="99" customWidth="1"/>
    <col min="2577" max="2577" width="9.42578125" style="99" customWidth="1"/>
    <col min="2578" max="2578" width="12" style="99" bestFit="1" customWidth="1"/>
    <col min="2579" max="2580" width="12" style="99" customWidth="1"/>
    <col min="2581" max="2581" width="12.7109375" style="99" customWidth="1"/>
    <col min="2582" max="2582" width="14.42578125" style="99" bestFit="1" customWidth="1"/>
    <col min="2583" max="2583" width="14.42578125" style="99" customWidth="1"/>
    <col min="2584" max="2585" width="9.140625" style="99" customWidth="1"/>
    <col min="2586" max="2586" width="9.5703125" style="99" customWidth="1"/>
    <col min="2587" max="2587" width="10.7109375" style="99" bestFit="1" customWidth="1"/>
    <col min="2588" max="2588" width="12.7109375" style="99" bestFit="1" customWidth="1"/>
    <col min="2589" max="2589" width="9.5703125" style="99" customWidth="1"/>
    <col min="2590" max="2590" width="7.28515625" style="99" customWidth="1"/>
    <col min="2591" max="2591" width="7.5703125" style="99" customWidth="1"/>
    <col min="2592" max="2592" width="12.7109375" style="99" bestFit="1" customWidth="1"/>
    <col min="2593" max="2593" width="9" style="99" customWidth="1"/>
    <col min="2594" max="2594" width="9.140625" style="99" customWidth="1"/>
    <col min="2595" max="2821" width="9.140625" style="99"/>
    <col min="2822" max="2822" width="41" style="99" customWidth="1"/>
    <col min="2823" max="2823" width="18" style="99" bestFit="1" customWidth="1"/>
    <col min="2824" max="2824" width="10.140625" style="99" customWidth="1"/>
    <col min="2825" max="2825" width="10.42578125" style="99" bestFit="1" customWidth="1"/>
    <col min="2826" max="2827" width="12.42578125" style="99" customWidth="1"/>
    <col min="2828" max="2828" width="12.28515625" style="99" customWidth="1"/>
    <col min="2829" max="2830" width="12.5703125" style="99" customWidth="1"/>
    <col min="2831" max="2832" width="9.85546875" style="99" customWidth="1"/>
    <col min="2833" max="2833" width="9.42578125" style="99" customWidth="1"/>
    <col min="2834" max="2834" width="12" style="99" bestFit="1" customWidth="1"/>
    <col min="2835" max="2836" width="12" style="99" customWidth="1"/>
    <col min="2837" max="2837" width="12.7109375" style="99" customWidth="1"/>
    <col min="2838" max="2838" width="14.42578125" style="99" bestFit="1" customWidth="1"/>
    <col min="2839" max="2839" width="14.42578125" style="99" customWidth="1"/>
    <col min="2840" max="2841" width="9.140625" style="99" customWidth="1"/>
    <col min="2842" max="2842" width="9.5703125" style="99" customWidth="1"/>
    <col min="2843" max="2843" width="10.7109375" style="99" bestFit="1" customWidth="1"/>
    <col min="2844" max="2844" width="12.7109375" style="99" bestFit="1" customWidth="1"/>
    <col min="2845" max="2845" width="9.5703125" style="99" customWidth="1"/>
    <col min="2846" max="2846" width="7.28515625" style="99" customWidth="1"/>
    <col min="2847" max="2847" width="7.5703125" style="99" customWidth="1"/>
    <col min="2848" max="2848" width="12.7109375" style="99" bestFit="1" customWidth="1"/>
    <col min="2849" max="2849" width="9" style="99" customWidth="1"/>
    <col min="2850" max="2850" width="9.140625" style="99" customWidth="1"/>
    <col min="2851" max="3077" width="9.140625" style="99"/>
    <col min="3078" max="3078" width="41" style="99" customWidth="1"/>
    <col min="3079" max="3079" width="18" style="99" bestFit="1" customWidth="1"/>
    <col min="3080" max="3080" width="10.140625" style="99" customWidth="1"/>
    <col min="3081" max="3081" width="10.42578125" style="99" bestFit="1" customWidth="1"/>
    <col min="3082" max="3083" width="12.42578125" style="99" customWidth="1"/>
    <col min="3084" max="3084" width="12.28515625" style="99" customWidth="1"/>
    <col min="3085" max="3086" width="12.5703125" style="99" customWidth="1"/>
    <col min="3087" max="3088" width="9.85546875" style="99" customWidth="1"/>
    <col min="3089" max="3089" width="9.42578125" style="99" customWidth="1"/>
    <col min="3090" max="3090" width="12" style="99" bestFit="1" customWidth="1"/>
    <col min="3091" max="3092" width="12" style="99" customWidth="1"/>
    <col min="3093" max="3093" width="12.7109375" style="99" customWidth="1"/>
    <col min="3094" max="3094" width="14.42578125" style="99" bestFit="1" customWidth="1"/>
    <col min="3095" max="3095" width="14.42578125" style="99" customWidth="1"/>
    <col min="3096" max="3097" width="9.140625" style="99" customWidth="1"/>
    <col min="3098" max="3098" width="9.5703125" style="99" customWidth="1"/>
    <col min="3099" max="3099" width="10.7109375" style="99" bestFit="1" customWidth="1"/>
    <col min="3100" max="3100" width="12.7109375" style="99" bestFit="1" customWidth="1"/>
    <col min="3101" max="3101" width="9.5703125" style="99" customWidth="1"/>
    <col min="3102" max="3102" width="7.28515625" style="99" customWidth="1"/>
    <col min="3103" max="3103" width="7.5703125" style="99" customWidth="1"/>
    <col min="3104" max="3104" width="12.7109375" style="99" bestFit="1" customWidth="1"/>
    <col min="3105" max="3105" width="9" style="99" customWidth="1"/>
    <col min="3106" max="3106" width="9.140625" style="99" customWidth="1"/>
    <col min="3107" max="3333" width="9.140625" style="99"/>
    <col min="3334" max="3334" width="41" style="99" customWidth="1"/>
    <col min="3335" max="3335" width="18" style="99" bestFit="1" customWidth="1"/>
    <col min="3336" max="3336" width="10.140625" style="99" customWidth="1"/>
    <col min="3337" max="3337" width="10.42578125" style="99" bestFit="1" customWidth="1"/>
    <col min="3338" max="3339" width="12.42578125" style="99" customWidth="1"/>
    <col min="3340" max="3340" width="12.28515625" style="99" customWidth="1"/>
    <col min="3341" max="3342" width="12.5703125" style="99" customWidth="1"/>
    <col min="3343" max="3344" width="9.85546875" style="99" customWidth="1"/>
    <col min="3345" max="3345" width="9.42578125" style="99" customWidth="1"/>
    <col min="3346" max="3346" width="12" style="99" bestFit="1" customWidth="1"/>
    <col min="3347" max="3348" width="12" style="99" customWidth="1"/>
    <col min="3349" max="3349" width="12.7109375" style="99" customWidth="1"/>
    <col min="3350" max="3350" width="14.42578125" style="99" bestFit="1" customWidth="1"/>
    <col min="3351" max="3351" width="14.42578125" style="99" customWidth="1"/>
    <col min="3352" max="3353" width="9.140625" style="99" customWidth="1"/>
    <col min="3354" max="3354" width="9.5703125" style="99" customWidth="1"/>
    <col min="3355" max="3355" width="10.7109375" style="99" bestFit="1" customWidth="1"/>
    <col min="3356" max="3356" width="12.7109375" style="99" bestFit="1" customWidth="1"/>
    <col min="3357" max="3357" width="9.5703125" style="99" customWidth="1"/>
    <col min="3358" max="3358" width="7.28515625" style="99" customWidth="1"/>
    <col min="3359" max="3359" width="7.5703125" style="99" customWidth="1"/>
    <col min="3360" max="3360" width="12.7109375" style="99" bestFit="1" customWidth="1"/>
    <col min="3361" max="3361" width="9" style="99" customWidth="1"/>
    <col min="3362" max="3362" width="9.140625" style="99" customWidth="1"/>
    <col min="3363" max="3589" width="9.140625" style="99"/>
    <col min="3590" max="3590" width="41" style="99" customWidth="1"/>
    <col min="3591" max="3591" width="18" style="99" bestFit="1" customWidth="1"/>
    <col min="3592" max="3592" width="10.140625" style="99" customWidth="1"/>
    <col min="3593" max="3593" width="10.42578125" style="99" bestFit="1" customWidth="1"/>
    <col min="3594" max="3595" width="12.42578125" style="99" customWidth="1"/>
    <col min="3596" max="3596" width="12.28515625" style="99" customWidth="1"/>
    <col min="3597" max="3598" width="12.5703125" style="99" customWidth="1"/>
    <col min="3599" max="3600" width="9.85546875" style="99" customWidth="1"/>
    <col min="3601" max="3601" width="9.42578125" style="99" customWidth="1"/>
    <col min="3602" max="3602" width="12" style="99" bestFit="1" customWidth="1"/>
    <col min="3603" max="3604" width="12" style="99" customWidth="1"/>
    <col min="3605" max="3605" width="12.7109375" style="99" customWidth="1"/>
    <col min="3606" max="3606" width="14.42578125" style="99" bestFit="1" customWidth="1"/>
    <col min="3607" max="3607" width="14.42578125" style="99" customWidth="1"/>
    <col min="3608" max="3609" width="9.140625" style="99" customWidth="1"/>
    <col min="3610" max="3610" width="9.5703125" style="99" customWidth="1"/>
    <col min="3611" max="3611" width="10.7109375" style="99" bestFit="1" customWidth="1"/>
    <col min="3612" max="3612" width="12.7109375" style="99" bestFit="1" customWidth="1"/>
    <col min="3613" max="3613" width="9.5703125" style="99" customWidth="1"/>
    <col min="3614" max="3614" width="7.28515625" style="99" customWidth="1"/>
    <col min="3615" max="3615" width="7.5703125" style="99" customWidth="1"/>
    <col min="3616" max="3616" width="12.7109375" style="99" bestFit="1" customWidth="1"/>
    <col min="3617" max="3617" width="9" style="99" customWidth="1"/>
    <col min="3618" max="3618" width="9.140625" style="99" customWidth="1"/>
    <col min="3619" max="3845" width="9.140625" style="99"/>
    <col min="3846" max="3846" width="41" style="99" customWidth="1"/>
    <col min="3847" max="3847" width="18" style="99" bestFit="1" customWidth="1"/>
    <col min="3848" max="3848" width="10.140625" style="99" customWidth="1"/>
    <col min="3849" max="3849" width="10.42578125" style="99" bestFit="1" customWidth="1"/>
    <col min="3850" max="3851" width="12.42578125" style="99" customWidth="1"/>
    <col min="3852" max="3852" width="12.28515625" style="99" customWidth="1"/>
    <col min="3853" max="3854" width="12.5703125" style="99" customWidth="1"/>
    <col min="3855" max="3856" width="9.85546875" style="99" customWidth="1"/>
    <col min="3857" max="3857" width="9.42578125" style="99" customWidth="1"/>
    <col min="3858" max="3858" width="12" style="99" bestFit="1" customWidth="1"/>
    <col min="3859" max="3860" width="12" style="99" customWidth="1"/>
    <col min="3861" max="3861" width="12.7109375" style="99" customWidth="1"/>
    <col min="3862" max="3862" width="14.42578125" style="99" bestFit="1" customWidth="1"/>
    <col min="3863" max="3863" width="14.42578125" style="99" customWidth="1"/>
    <col min="3864" max="3865" width="9.140625" style="99" customWidth="1"/>
    <col min="3866" max="3866" width="9.5703125" style="99" customWidth="1"/>
    <col min="3867" max="3867" width="10.7109375" style="99" bestFit="1" customWidth="1"/>
    <col min="3868" max="3868" width="12.7109375" style="99" bestFit="1" customWidth="1"/>
    <col min="3869" max="3869" width="9.5703125" style="99" customWidth="1"/>
    <col min="3870" max="3870" width="7.28515625" style="99" customWidth="1"/>
    <col min="3871" max="3871" width="7.5703125" style="99" customWidth="1"/>
    <col min="3872" max="3872" width="12.7109375" style="99" bestFit="1" customWidth="1"/>
    <col min="3873" max="3873" width="9" style="99" customWidth="1"/>
    <col min="3874" max="3874" width="9.140625" style="99" customWidth="1"/>
    <col min="3875" max="4101" width="9.140625" style="99"/>
    <col min="4102" max="4102" width="41" style="99" customWidth="1"/>
    <col min="4103" max="4103" width="18" style="99" bestFit="1" customWidth="1"/>
    <col min="4104" max="4104" width="10.140625" style="99" customWidth="1"/>
    <col min="4105" max="4105" width="10.42578125" style="99" bestFit="1" customWidth="1"/>
    <col min="4106" max="4107" width="12.42578125" style="99" customWidth="1"/>
    <col min="4108" max="4108" width="12.28515625" style="99" customWidth="1"/>
    <col min="4109" max="4110" width="12.5703125" style="99" customWidth="1"/>
    <col min="4111" max="4112" width="9.85546875" style="99" customWidth="1"/>
    <col min="4113" max="4113" width="9.42578125" style="99" customWidth="1"/>
    <col min="4114" max="4114" width="12" style="99" bestFit="1" customWidth="1"/>
    <col min="4115" max="4116" width="12" style="99" customWidth="1"/>
    <col min="4117" max="4117" width="12.7109375" style="99" customWidth="1"/>
    <col min="4118" max="4118" width="14.42578125" style="99" bestFit="1" customWidth="1"/>
    <col min="4119" max="4119" width="14.42578125" style="99" customWidth="1"/>
    <col min="4120" max="4121" width="9.140625" style="99" customWidth="1"/>
    <col min="4122" max="4122" width="9.5703125" style="99" customWidth="1"/>
    <col min="4123" max="4123" width="10.7109375" style="99" bestFit="1" customWidth="1"/>
    <col min="4124" max="4124" width="12.7109375" style="99" bestFit="1" customWidth="1"/>
    <col min="4125" max="4125" width="9.5703125" style="99" customWidth="1"/>
    <col min="4126" max="4126" width="7.28515625" style="99" customWidth="1"/>
    <col min="4127" max="4127" width="7.5703125" style="99" customWidth="1"/>
    <col min="4128" max="4128" width="12.7109375" style="99" bestFit="1" customWidth="1"/>
    <col min="4129" max="4129" width="9" style="99" customWidth="1"/>
    <col min="4130" max="4130" width="9.140625" style="99" customWidth="1"/>
    <col min="4131" max="4357" width="9.140625" style="99"/>
    <col min="4358" max="4358" width="41" style="99" customWidth="1"/>
    <col min="4359" max="4359" width="18" style="99" bestFit="1" customWidth="1"/>
    <col min="4360" max="4360" width="10.140625" style="99" customWidth="1"/>
    <col min="4361" max="4361" width="10.42578125" style="99" bestFit="1" customWidth="1"/>
    <col min="4362" max="4363" width="12.42578125" style="99" customWidth="1"/>
    <col min="4364" max="4364" width="12.28515625" style="99" customWidth="1"/>
    <col min="4365" max="4366" width="12.5703125" style="99" customWidth="1"/>
    <col min="4367" max="4368" width="9.85546875" style="99" customWidth="1"/>
    <col min="4369" max="4369" width="9.42578125" style="99" customWidth="1"/>
    <col min="4370" max="4370" width="12" style="99" bestFit="1" customWidth="1"/>
    <col min="4371" max="4372" width="12" style="99" customWidth="1"/>
    <col min="4373" max="4373" width="12.7109375" style="99" customWidth="1"/>
    <col min="4374" max="4374" width="14.42578125" style="99" bestFit="1" customWidth="1"/>
    <col min="4375" max="4375" width="14.42578125" style="99" customWidth="1"/>
    <col min="4376" max="4377" width="9.140625" style="99" customWidth="1"/>
    <col min="4378" max="4378" width="9.5703125" style="99" customWidth="1"/>
    <col min="4379" max="4379" width="10.7109375" style="99" bestFit="1" customWidth="1"/>
    <col min="4380" max="4380" width="12.7109375" style="99" bestFit="1" customWidth="1"/>
    <col min="4381" max="4381" width="9.5703125" style="99" customWidth="1"/>
    <col min="4382" max="4382" width="7.28515625" style="99" customWidth="1"/>
    <col min="4383" max="4383" width="7.5703125" style="99" customWidth="1"/>
    <col min="4384" max="4384" width="12.7109375" style="99" bestFit="1" customWidth="1"/>
    <col min="4385" max="4385" width="9" style="99" customWidth="1"/>
    <col min="4386" max="4386" width="9.140625" style="99" customWidth="1"/>
    <col min="4387" max="4613" width="9.140625" style="99"/>
    <col min="4614" max="4614" width="41" style="99" customWidth="1"/>
    <col min="4615" max="4615" width="18" style="99" bestFit="1" customWidth="1"/>
    <col min="4616" max="4616" width="10.140625" style="99" customWidth="1"/>
    <col min="4617" max="4617" width="10.42578125" style="99" bestFit="1" customWidth="1"/>
    <col min="4618" max="4619" width="12.42578125" style="99" customWidth="1"/>
    <col min="4620" max="4620" width="12.28515625" style="99" customWidth="1"/>
    <col min="4621" max="4622" width="12.5703125" style="99" customWidth="1"/>
    <col min="4623" max="4624" width="9.85546875" style="99" customWidth="1"/>
    <col min="4625" max="4625" width="9.42578125" style="99" customWidth="1"/>
    <col min="4626" max="4626" width="12" style="99" bestFit="1" customWidth="1"/>
    <col min="4627" max="4628" width="12" style="99" customWidth="1"/>
    <col min="4629" max="4629" width="12.7109375" style="99" customWidth="1"/>
    <col min="4630" max="4630" width="14.42578125" style="99" bestFit="1" customWidth="1"/>
    <col min="4631" max="4631" width="14.42578125" style="99" customWidth="1"/>
    <col min="4632" max="4633" width="9.140625" style="99" customWidth="1"/>
    <col min="4634" max="4634" width="9.5703125" style="99" customWidth="1"/>
    <col min="4635" max="4635" width="10.7109375" style="99" bestFit="1" customWidth="1"/>
    <col min="4636" max="4636" width="12.7109375" style="99" bestFit="1" customWidth="1"/>
    <col min="4637" max="4637" width="9.5703125" style="99" customWidth="1"/>
    <col min="4638" max="4638" width="7.28515625" style="99" customWidth="1"/>
    <col min="4639" max="4639" width="7.5703125" style="99" customWidth="1"/>
    <col min="4640" max="4640" width="12.7109375" style="99" bestFit="1" customWidth="1"/>
    <col min="4641" max="4641" width="9" style="99" customWidth="1"/>
    <col min="4642" max="4642" width="9.140625" style="99" customWidth="1"/>
    <col min="4643" max="4869" width="9.140625" style="99"/>
    <col min="4870" max="4870" width="41" style="99" customWidth="1"/>
    <col min="4871" max="4871" width="18" style="99" bestFit="1" customWidth="1"/>
    <col min="4872" max="4872" width="10.140625" style="99" customWidth="1"/>
    <col min="4873" max="4873" width="10.42578125" style="99" bestFit="1" customWidth="1"/>
    <col min="4874" max="4875" width="12.42578125" style="99" customWidth="1"/>
    <col min="4876" max="4876" width="12.28515625" style="99" customWidth="1"/>
    <col min="4877" max="4878" width="12.5703125" style="99" customWidth="1"/>
    <col min="4879" max="4880" width="9.85546875" style="99" customWidth="1"/>
    <col min="4881" max="4881" width="9.42578125" style="99" customWidth="1"/>
    <col min="4882" max="4882" width="12" style="99" bestFit="1" customWidth="1"/>
    <col min="4883" max="4884" width="12" style="99" customWidth="1"/>
    <col min="4885" max="4885" width="12.7109375" style="99" customWidth="1"/>
    <col min="4886" max="4886" width="14.42578125" style="99" bestFit="1" customWidth="1"/>
    <col min="4887" max="4887" width="14.42578125" style="99" customWidth="1"/>
    <col min="4888" max="4889" width="9.140625" style="99" customWidth="1"/>
    <col min="4890" max="4890" width="9.5703125" style="99" customWidth="1"/>
    <col min="4891" max="4891" width="10.7109375" style="99" bestFit="1" customWidth="1"/>
    <col min="4892" max="4892" width="12.7109375" style="99" bestFit="1" customWidth="1"/>
    <col min="4893" max="4893" width="9.5703125" style="99" customWidth="1"/>
    <col min="4894" max="4894" width="7.28515625" style="99" customWidth="1"/>
    <col min="4895" max="4895" width="7.5703125" style="99" customWidth="1"/>
    <col min="4896" max="4896" width="12.7109375" style="99" bestFit="1" customWidth="1"/>
    <col min="4897" max="4897" width="9" style="99" customWidth="1"/>
    <col min="4898" max="4898" width="9.140625" style="99" customWidth="1"/>
    <col min="4899" max="5125" width="9.140625" style="99"/>
    <col min="5126" max="5126" width="41" style="99" customWidth="1"/>
    <col min="5127" max="5127" width="18" style="99" bestFit="1" customWidth="1"/>
    <col min="5128" max="5128" width="10.140625" style="99" customWidth="1"/>
    <col min="5129" max="5129" width="10.42578125" style="99" bestFit="1" customWidth="1"/>
    <col min="5130" max="5131" width="12.42578125" style="99" customWidth="1"/>
    <col min="5132" max="5132" width="12.28515625" style="99" customWidth="1"/>
    <col min="5133" max="5134" width="12.5703125" style="99" customWidth="1"/>
    <col min="5135" max="5136" width="9.85546875" style="99" customWidth="1"/>
    <col min="5137" max="5137" width="9.42578125" style="99" customWidth="1"/>
    <col min="5138" max="5138" width="12" style="99" bestFit="1" customWidth="1"/>
    <col min="5139" max="5140" width="12" style="99" customWidth="1"/>
    <col min="5141" max="5141" width="12.7109375" style="99" customWidth="1"/>
    <col min="5142" max="5142" width="14.42578125" style="99" bestFit="1" customWidth="1"/>
    <col min="5143" max="5143" width="14.42578125" style="99" customWidth="1"/>
    <col min="5144" max="5145" width="9.140625" style="99" customWidth="1"/>
    <col min="5146" max="5146" width="9.5703125" style="99" customWidth="1"/>
    <col min="5147" max="5147" width="10.7109375" style="99" bestFit="1" customWidth="1"/>
    <col min="5148" max="5148" width="12.7109375" style="99" bestFit="1" customWidth="1"/>
    <col min="5149" max="5149" width="9.5703125" style="99" customWidth="1"/>
    <col min="5150" max="5150" width="7.28515625" style="99" customWidth="1"/>
    <col min="5151" max="5151" width="7.5703125" style="99" customWidth="1"/>
    <col min="5152" max="5152" width="12.7109375" style="99" bestFit="1" customWidth="1"/>
    <col min="5153" max="5153" width="9" style="99" customWidth="1"/>
    <col min="5154" max="5154" width="9.140625" style="99" customWidth="1"/>
    <col min="5155" max="5381" width="9.140625" style="99"/>
    <col min="5382" max="5382" width="41" style="99" customWidth="1"/>
    <col min="5383" max="5383" width="18" style="99" bestFit="1" customWidth="1"/>
    <col min="5384" max="5384" width="10.140625" style="99" customWidth="1"/>
    <col min="5385" max="5385" width="10.42578125" style="99" bestFit="1" customWidth="1"/>
    <col min="5386" max="5387" width="12.42578125" style="99" customWidth="1"/>
    <col min="5388" max="5388" width="12.28515625" style="99" customWidth="1"/>
    <col min="5389" max="5390" width="12.5703125" style="99" customWidth="1"/>
    <col min="5391" max="5392" width="9.85546875" style="99" customWidth="1"/>
    <col min="5393" max="5393" width="9.42578125" style="99" customWidth="1"/>
    <col min="5394" max="5394" width="12" style="99" bestFit="1" customWidth="1"/>
    <col min="5395" max="5396" width="12" style="99" customWidth="1"/>
    <col min="5397" max="5397" width="12.7109375" style="99" customWidth="1"/>
    <col min="5398" max="5398" width="14.42578125" style="99" bestFit="1" customWidth="1"/>
    <col min="5399" max="5399" width="14.42578125" style="99" customWidth="1"/>
    <col min="5400" max="5401" width="9.140625" style="99" customWidth="1"/>
    <col min="5402" max="5402" width="9.5703125" style="99" customWidth="1"/>
    <col min="5403" max="5403" width="10.7109375" style="99" bestFit="1" customWidth="1"/>
    <col min="5404" max="5404" width="12.7109375" style="99" bestFit="1" customWidth="1"/>
    <col min="5405" max="5405" width="9.5703125" style="99" customWidth="1"/>
    <col min="5406" max="5406" width="7.28515625" style="99" customWidth="1"/>
    <col min="5407" max="5407" width="7.5703125" style="99" customWidth="1"/>
    <col min="5408" max="5408" width="12.7109375" style="99" bestFit="1" customWidth="1"/>
    <col min="5409" max="5409" width="9" style="99" customWidth="1"/>
    <col min="5410" max="5410" width="9.140625" style="99" customWidth="1"/>
    <col min="5411" max="5637" width="9.140625" style="99"/>
    <col min="5638" max="5638" width="41" style="99" customWidth="1"/>
    <col min="5639" max="5639" width="18" style="99" bestFit="1" customWidth="1"/>
    <col min="5640" max="5640" width="10.140625" style="99" customWidth="1"/>
    <col min="5641" max="5641" width="10.42578125" style="99" bestFit="1" customWidth="1"/>
    <col min="5642" max="5643" width="12.42578125" style="99" customWidth="1"/>
    <col min="5644" max="5644" width="12.28515625" style="99" customWidth="1"/>
    <col min="5645" max="5646" width="12.5703125" style="99" customWidth="1"/>
    <col min="5647" max="5648" width="9.85546875" style="99" customWidth="1"/>
    <col min="5649" max="5649" width="9.42578125" style="99" customWidth="1"/>
    <col min="5650" max="5650" width="12" style="99" bestFit="1" customWidth="1"/>
    <col min="5651" max="5652" width="12" style="99" customWidth="1"/>
    <col min="5653" max="5653" width="12.7109375" style="99" customWidth="1"/>
    <col min="5654" max="5654" width="14.42578125" style="99" bestFit="1" customWidth="1"/>
    <col min="5655" max="5655" width="14.42578125" style="99" customWidth="1"/>
    <col min="5656" max="5657" width="9.140625" style="99" customWidth="1"/>
    <col min="5658" max="5658" width="9.5703125" style="99" customWidth="1"/>
    <col min="5659" max="5659" width="10.7109375" style="99" bestFit="1" customWidth="1"/>
    <col min="5660" max="5660" width="12.7109375" style="99" bestFit="1" customWidth="1"/>
    <col min="5661" max="5661" width="9.5703125" style="99" customWidth="1"/>
    <col min="5662" max="5662" width="7.28515625" style="99" customWidth="1"/>
    <col min="5663" max="5663" width="7.5703125" style="99" customWidth="1"/>
    <col min="5664" max="5664" width="12.7109375" style="99" bestFit="1" customWidth="1"/>
    <col min="5665" max="5665" width="9" style="99" customWidth="1"/>
    <col min="5666" max="5666" width="9.140625" style="99" customWidth="1"/>
    <col min="5667" max="5893" width="9.140625" style="99"/>
    <col min="5894" max="5894" width="41" style="99" customWidth="1"/>
    <col min="5895" max="5895" width="18" style="99" bestFit="1" customWidth="1"/>
    <col min="5896" max="5896" width="10.140625" style="99" customWidth="1"/>
    <col min="5897" max="5897" width="10.42578125" style="99" bestFit="1" customWidth="1"/>
    <col min="5898" max="5899" width="12.42578125" style="99" customWidth="1"/>
    <col min="5900" max="5900" width="12.28515625" style="99" customWidth="1"/>
    <col min="5901" max="5902" width="12.5703125" style="99" customWidth="1"/>
    <col min="5903" max="5904" width="9.85546875" style="99" customWidth="1"/>
    <col min="5905" max="5905" width="9.42578125" style="99" customWidth="1"/>
    <col min="5906" max="5906" width="12" style="99" bestFit="1" customWidth="1"/>
    <col min="5907" max="5908" width="12" style="99" customWidth="1"/>
    <col min="5909" max="5909" width="12.7109375" style="99" customWidth="1"/>
    <col min="5910" max="5910" width="14.42578125" style="99" bestFit="1" customWidth="1"/>
    <col min="5911" max="5911" width="14.42578125" style="99" customWidth="1"/>
    <col min="5912" max="5913" width="9.140625" style="99" customWidth="1"/>
    <col min="5914" max="5914" width="9.5703125" style="99" customWidth="1"/>
    <col min="5915" max="5915" width="10.7109375" style="99" bestFit="1" customWidth="1"/>
    <col min="5916" max="5916" width="12.7109375" style="99" bestFit="1" customWidth="1"/>
    <col min="5917" max="5917" width="9.5703125" style="99" customWidth="1"/>
    <col min="5918" max="5918" width="7.28515625" style="99" customWidth="1"/>
    <col min="5919" max="5919" width="7.5703125" style="99" customWidth="1"/>
    <col min="5920" max="5920" width="12.7109375" style="99" bestFit="1" customWidth="1"/>
    <col min="5921" max="5921" width="9" style="99" customWidth="1"/>
    <col min="5922" max="5922" width="9.140625" style="99" customWidth="1"/>
    <col min="5923" max="6149" width="9.140625" style="99"/>
    <col min="6150" max="6150" width="41" style="99" customWidth="1"/>
    <col min="6151" max="6151" width="18" style="99" bestFit="1" customWidth="1"/>
    <col min="6152" max="6152" width="10.140625" style="99" customWidth="1"/>
    <col min="6153" max="6153" width="10.42578125" style="99" bestFit="1" customWidth="1"/>
    <col min="6154" max="6155" width="12.42578125" style="99" customWidth="1"/>
    <col min="6156" max="6156" width="12.28515625" style="99" customWidth="1"/>
    <col min="6157" max="6158" width="12.5703125" style="99" customWidth="1"/>
    <col min="6159" max="6160" width="9.85546875" style="99" customWidth="1"/>
    <col min="6161" max="6161" width="9.42578125" style="99" customWidth="1"/>
    <col min="6162" max="6162" width="12" style="99" bestFit="1" customWidth="1"/>
    <col min="6163" max="6164" width="12" style="99" customWidth="1"/>
    <col min="6165" max="6165" width="12.7109375" style="99" customWidth="1"/>
    <col min="6166" max="6166" width="14.42578125" style="99" bestFit="1" customWidth="1"/>
    <col min="6167" max="6167" width="14.42578125" style="99" customWidth="1"/>
    <col min="6168" max="6169" width="9.140625" style="99" customWidth="1"/>
    <col min="6170" max="6170" width="9.5703125" style="99" customWidth="1"/>
    <col min="6171" max="6171" width="10.7109375" style="99" bestFit="1" customWidth="1"/>
    <col min="6172" max="6172" width="12.7109375" style="99" bestFit="1" customWidth="1"/>
    <col min="6173" max="6173" width="9.5703125" style="99" customWidth="1"/>
    <col min="6174" max="6174" width="7.28515625" style="99" customWidth="1"/>
    <col min="6175" max="6175" width="7.5703125" style="99" customWidth="1"/>
    <col min="6176" max="6176" width="12.7109375" style="99" bestFit="1" customWidth="1"/>
    <col min="6177" max="6177" width="9" style="99" customWidth="1"/>
    <col min="6178" max="6178" width="9.140625" style="99" customWidth="1"/>
    <col min="6179" max="6405" width="9.140625" style="99"/>
    <col min="6406" max="6406" width="41" style="99" customWidth="1"/>
    <col min="6407" max="6407" width="18" style="99" bestFit="1" customWidth="1"/>
    <col min="6408" max="6408" width="10.140625" style="99" customWidth="1"/>
    <col min="6409" max="6409" width="10.42578125" style="99" bestFit="1" customWidth="1"/>
    <col min="6410" max="6411" width="12.42578125" style="99" customWidth="1"/>
    <col min="6412" max="6412" width="12.28515625" style="99" customWidth="1"/>
    <col min="6413" max="6414" width="12.5703125" style="99" customWidth="1"/>
    <col min="6415" max="6416" width="9.85546875" style="99" customWidth="1"/>
    <col min="6417" max="6417" width="9.42578125" style="99" customWidth="1"/>
    <col min="6418" max="6418" width="12" style="99" bestFit="1" customWidth="1"/>
    <col min="6419" max="6420" width="12" style="99" customWidth="1"/>
    <col min="6421" max="6421" width="12.7109375" style="99" customWidth="1"/>
    <col min="6422" max="6422" width="14.42578125" style="99" bestFit="1" customWidth="1"/>
    <col min="6423" max="6423" width="14.42578125" style="99" customWidth="1"/>
    <col min="6424" max="6425" width="9.140625" style="99" customWidth="1"/>
    <col min="6426" max="6426" width="9.5703125" style="99" customWidth="1"/>
    <col min="6427" max="6427" width="10.7109375" style="99" bestFit="1" customWidth="1"/>
    <col min="6428" max="6428" width="12.7109375" style="99" bestFit="1" customWidth="1"/>
    <col min="6429" max="6429" width="9.5703125" style="99" customWidth="1"/>
    <col min="6430" max="6430" width="7.28515625" style="99" customWidth="1"/>
    <col min="6431" max="6431" width="7.5703125" style="99" customWidth="1"/>
    <col min="6432" max="6432" width="12.7109375" style="99" bestFit="1" customWidth="1"/>
    <col min="6433" max="6433" width="9" style="99" customWidth="1"/>
    <col min="6434" max="6434" width="9.140625" style="99" customWidth="1"/>
    <col min="6435" max="6661" width="9.140625" style="99"/>
    <col min="6662" max="6662" width="41" style="99" customWidth="1"/>
    <col min="6663" max="6663" width="18" style="99" bestFit="1" customWidth="1"/>
    <col min="6664" max="6664" width="10.140625" style="99" customWidth="1"/>
    <col min="6665" max="6665" width="10.42578125" style="99" bestFit="1" customWidth="1"/>
    <col min="6666" max="6667" width="12.42578125" style="99" customWidth="1"/>
    <col min="6668" max="6668" width="12.28515625" style="99" customWidth="1"/>
    <col min="6669" max="6670" width="12.5703125" style="99" customWidth="1"/>
    <col min="6671" max="6672" width="9.85546875" style="99" customWidth="1"/>
    <col min="6673" max="6673" width="9.42578125" style="99" customWidth="1"/>
    <col min="6674" max="6674" width="12" style="99" bestFit="1" customWidth="1"/>
    <col min="6675" max="6676" width="12" style="99" customWidth="1"/>
    <col min="6677" max="6677" width="12.7109375" style="99" customWidth="1"/>
    <col min="6678" max="6678" width="14.42578125" style="99" bestFit="1" customWidth="1"/>
    <col min="6679" max="6679" width="14.42578125" style="99" customWidth="1"/>
    <col min="6680" max="6681" width="9.140625" style="99" customWidth="1"/>
    <col min="6682" max="6682" width="9.5703125" style="99" customWidth="1"/>
    <col min="6683" max="6683" width="10.7109375" style="99" bestFit="1" customWidth="1"/>
    <col min="6684" max="6684" width="12.7109375" style="99" bestFit="1" customWidth="1"/>
    <col min="6685" max="6685" width="9.5703125" style="99" customWidth="1"/>
    <col min="6686" max="6686" width="7.28515625" style="99" customWidth="1"/>
    <col min="6687" max="6687" width="7.5703125" style="99" customWidth="1"/>
    <col min="6688" max="6688" width="12.7109375" style="99" bestFit="1" customWidth="1"/>
    <col min="6689" max="6689" width="9" style="99" customWidth="1"/>
    <col min="6690" max="6690" width="9.140625" style="99" customWidth="1"/>
    <col min="6691" max="6917" width="9.140625" style="99"/>
    <col min="6918" max="6918" width="41" style="99" customWidth="1"/>
    <col min="6919" max="6919" width="18" style="99" bestFit="1" customWidth="1"/>
    <col min="6920" max="6920" width="10.140625" style="99" customWidth="1"/>
    <col min="6921" max="6921" width="10.42578125" style="99" bestFit="1" customWidth="1"/>
    <col min="6922" max="6923" width="12.42578125" style="99" customWidth="1"/>
    <col min="6924" max="6924" width="12.28515625" style="99" customWidth="1"/>
    <col min="6925" max="6926" width="12.5703125" style="99" customWidth="1"/>
    <col min="6927" max="6928" width="9.85546875" style="99" customWidth="1"/>
    <col min="6929" max="6929" width="9.42578125" style="99" customWidth="1"/>
    <col min="6930" max="6930" width="12" style="99" bestFit="1" customWidth="1"/>
    <col min="6931" max="6932" width="12" style="99" customWidth="1"/>
    <col min="6933" max="6933" width="12.7109375" style="99" customWidth="1"/>
    <col min="6934" max="6934" width="14.42578125" style="99" bestFit="1" customWidth="1"/>
    <col min="6935" max="6935" width="14.42578125" style="99" customWidth="1"/>
    <col min="6936" max="6937" width="9.140625" style="99" customWidth="1"/>
    <col min="6938" max="6938" width="9.5703125" style="99" customWidth="1"/>
    <col min="6939" max="6939" width="10.7109375" style="99" bestFit="1" customWidth="1"/>
    <col min="6940" max="6940" width="12.7109375" style="99" bestFit="1" customWidth="1"/>
    <col min="6941" max="6941" width="9.5703125" style="99" customWidth="1"/>
    <col min="6942" max="6942" width="7.28515625" style="99" customWidth="1"/>
    <col min="6943" max="6943" width="7.5703125" style="99" customWidth="1"/>
    <col min="6944" max="6944" width="12.7109375" style="99" bestFit="1" customWidth="1"/>
    <col min="6945" max="6945" width="9" style="99" customWidth="1"/>
    <col min="6946" max="6946" width="9.140625" style="99" customWidth="1"/>
    <col min="6947" max="7173" width="9.140625" style="99"/>
    <col min="7174" max="7174" width="41" style="99" customWidth="1"/>
    <col min="7175" max="7175" width="18" style="99" bestFit="1" customWidth="1"/>
    <col min="7176" max="7176" width="10.140625" style="99" customWidth="1"/>
    <col min="7177" max="7177" width="10.42578125" style="99" bestFit="1" customWidth="1"/>
    <col min="7178" max="7179" width="12.42578125" style="99" customWidth="1"/>
    <col min="7180" max="7180" width="12.28515625" style="99" customWidth="1"/>
    <col min="7181" max="7182" width="12.5703125" style="99" customWidth="1"/>
    <col min="7183" max="7184" width="9.85546875" style="99" customWidth="1"/>
    <col min="7185" max="7185" width="9.42578125" style="99" customWidth="1"/>
    <col min="7186" max="7186" width="12" style="99" bestFit="1" customWidth="1"/>
    <col min="7187" max="7188" width="12" style="99" customWidth="1"/>
    <col min="7189" max="7189" width="12.7109375" style="99" customWidth="1"/>
    <col min="7190" max="7190" width="14.42578125" style="99" bestFit="1" customWidth="1"/>
    <col min="7191" max="7191" width="14.42578125" style="99" customWidth="1"/>
    <col min="7192" max="7193" width="9.140625" style="99" customWidth="1"/>
    <col min="7194" max="7194" width="9.5703125" style="99" customWidth="1"/>
    <col min="7195" max="7195" width="10.7109375" style="99" bestFit="1" customWidth="1"/>
    <col min="7196" max="7196" width="12.7109375" style="99" bestFit="1" customWidth="1"/>
    <col min="7197" max="7197" width="9.5703125" style="99" customWidth="1"/>
    <col min="7198" max="7198" width="7.28515625" style="99" customWidth="1"/>
    <col min="7199" max="7199" width="7.5703125" style="99" customWidth="1"/>
    <col min="7200" max="7200" width="12.7109375" style="99" bestFit="1" customWidth="1"/>
    <col min="7201" max="7201" width="9" style="99" customWidth="1"/>
    <col min="7202" max="7202" width="9.140625" style="99" customWidth="1"/>
    <col min="7203" max="7429" width="9.140625" style="99"/>
    <col min="7430" max="7430" width="41" style="99" customWidth="1"/>
    <col min="7431" max="7431" width="18" style="99" bestFit="1" customWidth="1"/>
    <col min="7432" max="7432" width="10.140625" style="99" customWidth="1"/>
    <col min="7433" max="7433" width="10.42578125" style="99" bestFit="1" customWidth="1"/>
    <col min="7434" max="7435" width="12.42578125" style="99" customWidth="1"/>
    <col min="7436" max="7436" width="12.28515625" style="99" customWidth="1"/>
    <col min="7437" max="7438" width="12.5703125" style="99" customWidth="1"/>
    <col min="7439" max="7440" width="9.85546875" style="99" customWidth="1"/>
    <col min="7441" max="7441" width="9.42578125" style="99" customWidth="1"/>
    <col min="7442" max="7442" width="12" style="99" bestFit="1" customWidth="1"/>
    <col min="7443" max="7444" width="12" style="99" customWidth="1"/>
    <col min="7445" max="7445" width="12.7109375" style="99" customWidth="1"/>
    <col min="7446" max="7446" width="14.42578125" style="99" bestFit="1" customWidth="1"/>
    <col min="7447" max="7447" width="14.42578125" style="99" customWidth="1"/>
    <col min="7448" max="7449" width="9.140625" style="99" customWidth="1"/>
    <col min="7450" max="7450" width="9.5703125" style="99" customWidth="1"/>
    <col min="7451" max="7451" width="10.7109375" style="99" bestFit="1" customWidth="1"/>
    <col min="7452" max="7452" width="12.7109375" style="99" bestFit="1" customWidth="1"/>
    <col min="7453" max="7453" width="9.5703125" style="99" customWidth="1"/>
    <col min="7454" max="7454" width="7.28515625" style="99" customWidth="1"/>
    <col min="7455" max="7455" width="7.5703125" style="99" customWidth="1"/>
    <col min="7456" max="7456" width="12.7109375" style="99" bestFit="1" customWidth="1"/>
    <col min="7457" max="7457" width="9" style="99" customWidth="1"/>
    <col min="7458" max="7458" width="9.140625" style="99" customWidth="1"/>
    <col min="7459" max="7685" width="9.140625" style="99"/>
    <col min="7686" max="7686" width="41" style="99" customWidth="1"/>
    <col min="7687" max="7687" width="18" style="99" bestFit="1" customWidth="1"/>
    <col min="7688" max="7688" width="10.140625" style="99" customWidth="1"/>
    <col min="7689" max="7689" width="10.42578125" style="99" bestFit="1" customWidth="1"/>
    <col min="7690" max="7691" width="12.42578125" style="99" customWidth="1"/>
    <col min="7692" max="7692" width="12.28515625" style="99" customWidth="1"/>
    <col min="7693" max="7694" width="12.5703125" style="99" customWidth="1"/>
    <col min="7695" max="7696" width="9.85546875" style="99" customWidth="1"/>
    <col min="7697" max="7697" width="9.42578125" style="99" customWidth="1"/>
    <col min="7698" max="7698" width="12" style="99" bestFit="1" customWidth="1"/>
    <col min="7699" max="7700" width="12" style="99" customWidth="1"/>
    <col min="7701" max="7701" width="12.7109375" style="99" customWidth="1"/>
    <col min="7702" max="7702" width="14.42578125" style="99" bestFit="1" customWidth="1"/>
    <col min="7703" max="7703" width="14.42578125" style="99" customWidth="1"/>
    <col min="7704" max="7705" width="9.140625" style="99" customWidth="1"/>
    <col min="7706" max="7706" width="9.5703125" style="99" customWidth="1"/>
    <col min="7707" max="7707" width="10.7109375" style="99" bestFit="1" customWidth="1"/>
    <col min="7708" max="7708" width="12.7109375" style="99" bestFit="1" customWidth="1"/>
    <col min="7709" max="7709" width="9.5703125" style="99" customWidth="1"/>
    <col min="7710" max="7710" width="7.28515625" style="99" customWidth="1"/>
    <col min="7711" max="7711" width="7.5703125" style="99" customWidth="1"/>
    <col min="7712" max="7712" width="12.7109375" style="99" bestFit="1" customWidth="1"/>
    <col min="7713" max="7713" width="9" style="99" customWidth="1"/>
    <col min="7714" max="7714" width="9.140625" style="99" customWidth="1"/>
    <col min="7715" max="7941" width="9.140625" style="99"/>
    <col min="7942" max="7942" width="41" style="99" customWidth="1"/>
    <col min="7943" max="7943" width="18" style="99" bestFit="1" customWidth="1"/>
    <col min="7944" max="7944" width="10.140625" style="99" customWidth="1"/>
    <col min="7945" max="7945" width="10.42578125" style="99" bestFit="1" customWidth="1"/>
    <col min="7946" max="7947" width="12.42578125" style="99" customWidth="1"/>
    <col min="7948" max="7948" width="12.28515625" style="99" customWidth="1"/>
    <col min="7949" max="7950" width="12.5703125" style="99" customWidth="1"/>
    <col min="7951" max="7952" width="9.85546875" style="99" customWidth="1"/>
    <col min="7953" max="7953" width="9.42578125" style="99" customWidth="1"/>
    <col min="7954" max="7954" width="12" style="99" bestFit="1" customWidth="1"/>
    <col min="7955" max="7956" width="12" style="99" customWidth="1"/>
    <col min="7957" max="7957" width="12.7109375" style="99" customWidth="1"/>
    <col min="7958" max="7958" width="14.42578125" style="99" bestFit="1" customWidth="1"/>
    <col min="7959" max="7959" width="14.42578125" style="99" customWidth="1"/>
    <col min="7960" max="7961" width="9.140625" style="99" customWidth="1"/>
    <col min="7962" max="7962" width="9.5703125" style="99" customWidth="1"/>
    <col min="7963" max="7963" width="10.7109375" style="99" bestFit="1" customWidth="1"/>
    <col min="7964" max="7964" width="12.7109375" style="99" bestFit="1" customWidth="1"/>
    <col min="7965" max="7965" width="9.5703125" style="99" customWidth="1"/>
    <col min="7966" max="7966" width="7.28515625" style="99" customWidth="1"/>
    <col min="7967" max="7967" width="7.5703125" style="99" customWidth="1"/>
    <col min="7968" max="7968" width="12.7109375" style="99" bestFit="1" customWidth="1"/>
    <col min="7969" max="7969" width="9" style="99" customWidth="1"/>
    <col min="7970" max="7970" width="9.140625" style="99" customWidth="1"/>
    <col min="7971" max="8197" width="9.140625" style="99"/>
    <col min="8198" max="8198" width="41" style="99" customWidth="1"/>
    <col min="8199" max="8199" width="18" style="99" bestFit="1" customWidth="1"/>
    <col min="8200" max="8200" width="10.140625" style="99" customWidth="1"/>
    <col min="8201" max="8201" width="10.42578125" style="99" bestFit="1" customWidth="1"/>
    <col min="8202" max="8203" width="12.42578125" style="99" customWidth="1"/>
    <col min="8204" max="8204" width="12.28515625" style="99" customWidth="1"/>
    <col min="8205" max="8206" width="12.5703125" style="99" customWidth="1"/>
    <col min="8207" max="8208" width="9.85546875" style="99" customWidth="1"/>
    <col min="8209" max="8209" width="9.42578125" style="99" customWidth="1"/>
    <col min="8210" max="8210" width="12" style="99" bestFit="1" customWidth="1"/>
    <col min="8211" max="8212" width="12" style="99" customWidth="1"/>
    <col min="8213" max="8213" width="12.7109375" style="99" customWidth="1"/>
    <col min="8214" max="8214" width="14.42578125" style="99" bestFit="1" customWidth="1"/>
    <col min="8215" max="8215" width="14.42578125" style="99" customWidth="1"/>
    <col min="8216" max="8217" width="9.140625" style="99" customWidth="1"/>
    <col min="8218" max="8218" width="9.5703125" style="99" customWidth="1"/>
    <col min="8219" max="8219" width="10.7109375" style="99" bestFit="1" customWidth="1"/>
    <col min="8220" max="8220" width="12.7109375" style="99" bestFit="1" customWidth="1"/>
    <col min="8221" max="8221" width="9.5703125" style="99" customWidth="1"/>
    <col min="8222" max="8222" width="7.28515625" style="99" customWidth="1"/>
    <col min="8223" max="8223" width="7.5703125" style="99" customWidth="1"/>
    <col min="8224" max="8224" width="12.7109375" style="99" bestFit="1" customWidth="1"/>
    <col min="8225" max="8225" width="9" style="99" customWidth="1"/>
    <col min="8226" max="8226" width="9.140625" style="99" customWidth="1"/>
    <col min="8227" max="8453" width="9.140625" style="99"/>
    <col min="8454" max="8454" width="41" style="99" customWidth="1"/>
    <col min="8455" max="8455" width="18" style="99" bestFit="1" customWidth="1"/>
    <col min="8456" max="8456" width="10.140625" style="99" customWidth="1"/>
    <col min="8457" max="8457" width="10.42578125" style="99" bestFit="1" customWidth="1"/>
    <col min="8458" max="8459" width="12.42578125" style="99" customWidth="1"/>
    <col min="8460" max="8460" width="12.28515625" style="99" customWidth="1"/>
    <col min="8461" max="8462" width="12.5703125" style="99" customWidth="1"/>
    <col min="8463" max="8464" width="9.85546875" style="99" customWidth="1"/>
    <col min="8465" max="8465" width="9.42578125" style="99" customWidth="1"/>
    <col min="8466" max="8466" width="12" style="99" bestFit="1" customWidth="1"/>
    <col min="8467" max="8468" width="12" style="99" customWidth="1"/>
    <col min="8469" max="8469" width="12.7109375" style="99" customWidth="1"/>
    <col min="8470" max="8470" width="14.42578125" style="99" bestFit="1" customWidth="1"/>
    <col min="8471" max="8471" width="14.42578125" style="99" customWidth="1"/>
    <col min="8472" max="8473" width="9.140625" style="99" customWidth="1"/>
    <col min="8474" max="8474" width="9.5703125" style="99" customWidth="1"/>
    <col min="8475" max="8475" width="10.7109375" style="99" bestFit="1" customWidth="1"/>
    <col min="8476" max="8476" width="12.7109375" style="99" bestFit="1" customWidth="1"/>
    <col min="8477" max="8477" width="9.5703125" style="99" customWidth="1"/>
    <col min="8478" max="8478" width="7.28515625" style="99" customWidth="1"/>
    <col min="8479" max="8479" width="7.5703125" style="99" customWidth="1"/>
    <col min="8480" max="8480" width="12.7109375" style="99" bestFit="1" customWidth="1"/>
    <col min="8481" max="8481" width="9" style="99" customWidth="1"/>
    <col min="8482" max="8482" width="9.140625" style="99" customWidth="1"/>
    <col min="8483" max="8709" width="9.140625" style="99"/>
    <col min="8710" max="8710" width="41" style="99" customWidth="1"/>
    <col min="8711" max="8711" width="18" style="99" bestFit="1" customWidth="1"/>
    <col min="8712" max="8712" width="10.140625" style="99" customWidth="1"/>
    <col min="8713" max="8713" width="10.42578125" style="99" bestFit="1" customWidth="1"/>
    <col min="8714" max="8715" width="12.42578125" style="99" customWidth="1"/>
    <col min="8716" max="8716" width="12.28515625" style="99" customWidth="1"/>
    <col min="8717" max="8718" width="12.5703125" style="99" customWidth="1"/>
    <col min="8719" max="8720" width="9.85546875" style="99" customWidth="1"/>
    <col min="8721" max="8721" width="9.42578125" style="99" customWidth="1"/>
    <col min="8722" max="8722" width="12" style="99" bestFit="1" customWidth="1"/>
    <col min="8723" max="8724" width="12" style="99" customWidth="1"/>
    <col min="8725" max="8725" width="12.7109375" style="99" customWidth="1"/>
    <col min="8726" max="8726" width="14.42578125" style="99" bestFit="1" customWidth="1"/>
    <col min="8727" max="8727" width="14.42578125" style="99" customWidth="1"/>
    <col min="8728" max="8729" width="9.140625" style="99" customWidth="1"/>
    <col min="8730" max="8730" width="9.5703125" style="99" customWidth="1"/>
    <col min="8731" max="8731" width="10.7109375" style="99" bestFit="1" customWidth="1"/>
    <col min="8732" max="8732" width="12.7109375" style="99" bestFit="1" customWidth="1"/>
    <col min="8733" max="8733" width="9.5703125" style="99" customWidth="1"/>
    <col min="8734" max="8734" width="7.28515625" style="99" customWidth="1"/>
    <col min="8735" max="8735" width="7.5703125" style="99" customWidth="1"/>
    <col min="8736" max="8736" width="12.7109375" style="99" bestFit="1" customWidth="1"/>
    <col min="8737" max="8737" width="9" style="99" customWidth="1"/>
    <col min="8738" max="8738" width="9.140625" style="99" customWidth="1"/>
    <col min="8739" max="8965" width="9.140625" style="99"/>
    <col min="8966" max="8966" width="41" style="99" customWidth="1"/>
    <col min="8967" max="8967" width="18" style="99" bestFit="1" customWidth="1"/>
    <col min="8968" max="8968" width="10.140625" style="99" customWidth="1"/>
    <col min="8969" max="8969" width="10.42578125" style="99" bestFit="1" customWidth="1"/>
    <col min="8970" max="8971" width="12.42578125" style="99" customWidth="1"/>
    <col min="8972" max="8972" width="12.28515625" style="99" customWidth="1"/>
    <col min="8973" max="8974" width="12.5703125" style="99" customWidth="1"/>
    <col min="8975" max="8976" width="9.85546875" style="99" customWidth="1"/>
    <col min="8977" max="8977" width="9.42578125" style="99" customWidth="1"/>
    <col min="8978" max="8978" width="12" style="99" bestFit="1" customWidth="1"/>
    <col min="8979" max="8980" width="12" style="99" customWidth="1"/>
    <col min="8981" max="8981" width="12.7109375" style="99" customWidth="1"/>
    <col min="8982" max="8982" width="14.42578125" style="99" bestFit="1" customWidth="1"/>
    <col min="8983" max="8983" width="14.42578125" style="99" customWidth="1"/>
    <col min="8984" max="8985" width="9.140625" style="99" customWidth="1"/>
    <col min="8986" max="8986" width="9.5703125" style="99" customWidth="1"/>
    <col min="8987" max="8987" width="10.7109375" style="99" bestFit="1" customWidth="1"/>
    <col min="8988" max="8988" width="12.7109375" style="99" bestFit="1" customWidth="1"/>
    <col min="8989" max="8989" width="9.5703125" style="99" customWidth="1"/>
    <col min="8990" max="8990" width="7.28515625" style="99" customWidth="1"/>
    <col min="8991" max="8991" width="7.5703125" style="99" customWidth="1"/>
    <col min="8992" max="8992" width="12.7109375" style="99" bestFit="1" customWidth="1"/>
    <col min="8993" max="8993" width="9" style="99" customWidth="1"/>
    <col min="8994" max="8994" width="9.140625" style="99" customWidth="1"/>
    <col min="8995" max="9221" width="9.140625" style="99"/>
    <col min="9222" max="9222" width="41" style="99" customWidth="1"/>
    <col min="9223" max="9223" width="18" style="99" bestFit="1" customWidth="1"/>
    <col min="9224" max="9224" width="10.140625" style="99" customWidth="1"/>
    <col min="9225" max="9225" width="10.42578125" style="99" bestFit="1" customWidth="1"/>
    <col min="9226" max="9227" width="12.42578125" style="99" customWidth="1"/>
    <col min="9228" max="9228" width="12.28515625" style="99" customWidth="1"/>
    <col min="9229" max="9230" width="12.5703125" style="99" customWidth="1"/>
    <col min="9231" max="9232" width="9.85546875" style="99" customWidth="1"/>
    <col min="9233" max="9233" width="9.42578125" style="99" customWidth="1"/>
    <col min="9234" max="9234" width="12" style="99" bestFit="1" customWidth="1"/>
    <col min="9235" max="9236" width="12" style="99" customWidth="1"/>
    <col min="9237" max="9237" width="12.7109375" style="99" customWidth="1"/>
    <col min="9238" max="9238" width="14.42578125" style="99" bestFit="1" customWidth="1"/>
    <col min="9239" max="9239" width="14.42578125" style="99" customWidth="1"/>
    <col min="9240" max="9241" width="9.140625" style="99" customWidth="1"/>
    <col min="9242" max="9242" width="9.5703125" style="99" customWidth="1"/>
    <col min="9243" max="9243" width="10.7109375" style="99" bestFit="1" customWidth="1"/>
    <col min="9244" max="9244" width="12.7109375" style="99" bestFit="1" customWidth="1"/>
    <col min="9245" max="9245" width="9.5703125" style="99" customWidth="1"/>
    <col min="9246" max="9246" width="7.28515625" style="99" customWidth="1"/>
    <col min="9247" max="9247" width="7.5703125" style="99" customWidth="1"/>
    <col min="9248" max="9248" width="12.7109375" style="99" bestFit="1" customWidth="1"/>
    <col min="9249" max="9249" width="9" style="99" customWidth="1"/>
    <col min="9250" max="9250" width="9.140625" style="99" customWidth="1"/>
    <col min="9251" max="9477" width="9.140625" style="99"/>
    <col min="9478" max="9478" width="41" style="99" customWidth="1"/>
    <col min="9479" max="9479" width="18" style="99" bestFit="1" customWidth="1"/>
    <col min="9480" max="9480" width="10.140625" style="99" customWidth="1"/>
    <col min="9481" max="9481" width="10.42578125" style="99" bestFit="1" customWidth="1"/>
    <col min="9482" max="9483" width="12.42578125" style="99" customWidth="1"/>
    <col min="9484" max="9484" width="12.28515625" style="99" customWidth="1"/>
    <col min="9485" max="9486" width="12.5703125" style="99" customWidth="1"/>
    <col min="9487" max="9488" width="9.85546875" style="99" customWidth="1"/>
    <col min="9489" max="9489" width="9.42578125" style="99" customWidth="1"/>
    <col min="9490" max="9490" width="12" style="99" bestFit="1" customWidth="1"/>
    <col min="9491" max="9492" width="12" style="99" customWidth="1"/>
    <col min="9493" max="9493" width="12.7109375" style="99" customWidth="1"/>
    <col min="9494" max="9494" width="14.42578125" style="99" bestFit="1" customWidth="1"/>
    <col min="9495" max="9495" width="14.42578125" style="99" customWidth="1"/>
    <col min="9496" max="9497" width="9.140625" style="99" customWidth="1"/>
    <col min="9498" max="9498" width="9.5703125" style="99" customWidth="1"/>
    <col min="9499" max="9499" width="10.7109375" style="99" bestFit="1" customWidth="1"/>
    <col min="9500" max="9500" width="12.7109375" style="99" bestFit="1" customWidth="1"/>
    <col min="9501" max="9501" width="9.5703125" style="99" customWidth="1"/>
    <col min="9502" max="9502" width="7.28515625" style="99" customWidth="1"/>
    <col min="9503" max="9503" width="7.5703125" style="99" customWidth="1"/>
    <col min="9504" max="9504" width="12.7109375" style="99" bestFit="1" customWidth="1"/>
    <col min="9505" max="9505" width="9" style="99" customWidth="1"/>
    <col min="9506" max="9506" width="9.140625" style="99" customWidth="1"/>
    <col min="9507" max="9733" width="9.140625" style="99"/>
    <col min="9734" max="9734" width="41" style="99" customWidth="1"/>
    <col min="9735" max="9735" width="18" style="99" bestFit="1" customWidth="1"/>
    <col min="9736" max="9736" width="10.140625" style="99" customWidth="1"/>
    <col min="9737" max="9737" width="10.42578125" style="99" bestFit="1" customWidth="1"/>
    <col min="9738" max="9739" width="12.42578125" style="99" customWidth="1"/>
    <col min="9740" max="9740" width="12.28515625" style="99" customWidth="1"/>
    <col min="9741" max="9742" width="12.5703125" style="99" customWidth="1"/>
    <col min="9743" max="9744" width="9.85546875" style="99" customWidth="1"/>
    <col min="9745" max="9745" width="9.42578125" style="99" customWidth="1"/>
    <col min="9746" max="9746" width="12" style="99" bestFit="1" customWidth="1"/>
    <col min="9747" max="9748" width="12" style="99" customWidth="1"/>
    <col min="9749" max="9749" width="12.7109375" style="99" customWidth="1"/>
    <col min="9750" max="9750" width="14.42578125" style="99" bestFit="1" customWidth="1"/>
    <col min="9751" max="9751" width="14.42578125" style="99" customWidth="1"/>
    <col min="9752" max="9753" width="9.140625" style="99" customWidth="1"/>
    <col min="9754" max="9754" width="9.5703125" style="99" customWidth="1"/>
    <col min="9755" max="9755" width="10.7109375" style="99" bestFit="1" customWidth="1"/>
    <col min="9756" max="9756" width="12.7109375" style="99" bestFit="1" customWidth="1"/>
    <col min="9757" max="9757" width="9.5703125" style="99" customWidth="1"/>
    <col min="9758" max="9758" width="7.28515625" style="99" customWidth="1"/>
    <col min="9759" max="9759" width="7.5703125" style="99" customWidth="1"/>
    <col min="9760" max="9760" width="12.7109375" style="99" bestFit="1" customWidth="1"/>
    <col min="9761" max="9761" width="9" style="99" customWidth="1"/>
    <col min="9762" max="9762" width="9.140625" style="99" customWidth="1"/>
    <col min="9763" max="9989" width="9.140625" style="99"/>
    <col min="9990" max="9990" width="41" style="99" customWidth="1"/>
    <col min="9991" max="9991" width="18" style="99" bestFit="1" customWidth="1"/>
    <col min="9992" max="9992" width="10.140625" style="99" customWidth="1"/>
    <col min="9993" max="9993" width="10.42578125" style="99" bestFit="1" customWidth="1"/>
    <col min="9994" max="9995" width="12.42578125" style="99" customWidth="1"/>
    <col min="9996" max="9996" width="12.28515625" style="99" customWidth="1"/>
    <col min="9997" max="9998" width="12.5703125" style="99" customWidth="1"/>
    <col min="9999" max="10000" width="9.85546875" style="99" customWidth="1"/>
    <col min="10001" max="10001" width="9.42578125" style="99" customWidth="1"/>
    <col min="10002" max="10002" width="12" style="99" bestFit="1" customWidth="1"/>
    <col min="10003" max="10004" width="12" style="99" customWidth="1"/>
    <col min="10005" max="10005" width="12.7109375" style="99" customWidth="1"/>
    <col min="10006" max="10006" width="14.42578125" style="99" bestFit="1" customWidth="1"/>
    <col min="10007" max="10007" width="14.42578125" style="99" customWidth="1"/>
    <col min="10008" max="10009" width="9.140625" style="99" customWidth="1"/>
    <col min="10010" max="10010" width="9.5703125" style="99" customWidth="1"/>
    <col min="10011" max="10011" width="10.7109375" style="99" bestFit="1" customWidth="1"/>
    <col min="10012" max="10012" width="12.7109375" style="99" bestFit="1" customWidth="1"/>
    <col min="10013" max="10013" width="9.5703125" style="99" customWidth="1"/>
    <col min="10014" max="10014" width="7.28515625" style="99" customWidth="1"/>
    <col min="10015" max="10015" width="7.5703125" style="99" customWidth="1"/>
    <col min="10016" max="10016" width="12.7109375" style="99" bestFit="1" customWidth="1"/>
    <col min="10017" max="10017" width="9" style="99" customWidth="1"/>
    <col min="10018" max="10018" width="9.140625" style="99" customWidth="1"/>
    <col min="10019" max="10245" width="9.140625" style="99"/>
    <col min="10246" max="10246" width="41" style="99" customWidth="1"/>
    <col min="10247" max="10247" width="18" style="99" bestFit="1" customWidth="1"/>
    <col min="10248" max="10248" width="10.140625" style="99" customWidth="1"/>
    <col min="10249" max="10249" width="10.42578125" style="99" bestFit="1" customWidth="1"/>
    <col min="10250" max="10251" width="12.42578125" style="99" customWidth="1"/>
    <col min="10252" max="10252" width="12.28515625" style="99" customWidth="1"/>
    <col min="10253" max="10254" width="12.5703125" style="99" customWidth="1"/>
    <col min="10255" max="10256" width="9.85546875" style="99" customWidth="1"/>
    <col min="10257" max="10257" width="9.42578125" style="99" customWidth="1"/>
    <col min="10258" max="10258" width="12" style="99" bestFit="1" customWidth="1"/>
    <col min="10259" max="10260" width="12" style="99" customWidth="1"/>
    <col min="10261" max="10261" width="12.7109375" style="99" customWidth="1"/>
    <col min="10262" max="10262" width="14.42578125" style="99" bestFit="1" customWidth="1"/>
    <col min="10263" max="10263" width="14.42578125" style="99" customWidth="1"/>
    <col min="10264" max="10265" width="9.140625" style="99" customWidth="1"/>
    <col min="10266" max="10266" width="9.5703125" style="99" customWidth="1"/>
    <col min="10267" max="10267" width="10.7109375" style="99" bestFit="1" customWidth="1"/>
    <col min="10268" max="10268" width="12.7109375" style="99" bestFit="1" customWidth="1"/>
    <col min="10269" max="10269" width="9.5703125" style="99" customWidth="1"/>
    <col min="10270" max="10270" width="7.28515625" style="99" customWidth="1"/>
    <col min="10271" max="10271" width="7.5703125" style="99" customWidth="1"/>
    <col min="10272" max="10272" width="12.7109375" style="99" bestFit="1" customWidth="1"/>
    <col min="10273" max="10273" width="9" style="99" customWidth="1"/>
    <col min="10274" max="10274" width="9.140625" style="99" customWidth="1"/>
    <col min="10275" max="10501" width="9.140625" style="99"/>
    <col min="10502" max="10502" width="41" style="99" customWidth="1"/>
    <col min="10503" max="10503" width="18" style="99" bestFit="1" customWidth="1"/>
    <col min="10504" max="10504" width="10.140625" style="99" customWidth="1"/>
    <col min="10505" max="10505" width="10.42578125" style="99" bestFit="1" customWidth="1"/>
    <col min="10506" max="10507" width="12.42578125" style="99" customWidth="1"/>
    <col min="10508" max="10508" width="12.28515625" style="99" customWidth="1"/>
    <col min="10509" max="10510" width="12.5703125" style="99" customWidth="1"/>
    <col min="10511" max="10512" width="9.85546875" style="99" customWidth="1"/>
    <col min="10513" max="10513" width="9.42578125" style="99" customWidth="1"/>
    <col min="10514" max="10514" width="12" style="99" bestFit="1" customWidth="1"/>
    <col min="10515" max="10516" width="12" style="99" customWidth="1"/>
    <col min="10517" max="10517" width="12.7109375" style="99" customWidth="1"/>
    <col min="10518" max="10518" width="14.42578125" style="99" bestFit="1" customWidth="1"/>
    <col min="10519" max="10519" width="14.42578125" style="99" customWidth="1"/>
    <col min="10520" max="10521" width="9.140625" style="99" customWidth="1"/>
    <col min="10522" max="10522" width="9.5703125" style="99" customWidth="1"/>
    <col min="10523" max="10523" width="10.7109375" style="99" bestFit="1" customWidth="1"/>
    <col min="10524" max="10524" width="12.7109375" style="99" bestFit="1" customWidth="1"/>
    <col min="10525" max="10525" width="9.5703125" style="99" customWidth="1"/>
    <col min="10526" max="10526" width="7.28515625" style="99" customWidth="1"/>
    <col min="10527" max="10527" width="7.5703125" style="99" customWidth="1"/>
    <col min="10528" max="10528" width="12.7109375" style="99" bestFit="1" customWidth="1"/>
    <col min="10529" max="10529" width="9" style="99" customWidth="1"/>
    <col min="10530" max="10530" width="9.140625" style="99" customWidth="1"/>
    <col min="10531" max="10757" width="9.140625" style="99"/>
    <col min="10758" max="10758" width="41" style="99" customWidth="1"/>
    <col min="10759" max="10759" width="18" style="99" bestFit="1" customWidth="1"/>
    <col min="10760" max="10760" width="10.140625" style="99" customWidth="1"/>
    <col min="10761" max="10761" width="10.42578125" style="99" bestFit="1" customWidth="1"/>
    <col min="10762" max="10763" width="12.42578125" style="99" customWidth="1"/>
    <col min="10764" max="10764" width="12.28515625" style="99" customWidth="1"/>
    <col min="10765" max="10766" width="12.5703125" style="99" customWidth="1"/>
    <col min="10767" max="10768" width="9.85546875" style="99" customWidth="1"/>
    <col min="10769" max="10769" width="9.42578125" style="99" customWidth="1"/>
    <col min="10770" max="10770" width="12" style="99" bestFit="1" customWidth="1"/>
    <col min="10771" max="10772" width="12" style="99" customWidth="1"/>
    <col min="10773" max="10773" width="12.7109375" style="99" customWidth="1"/>
    <col min="10774" max="10774" width="14.42578125" style="99" bestFit="1" customWidth="1"/>
    <col min="10775" max="10775" width="14.42578125" style="99" customWidth="1"/>
    <col min="10776" max="10777" width="9.140625" style="99" customWidth="1"/>
    <col min="10778" max="10778" width="9.5703125" style="99" customWidth="1"/>
    <col min="10779" max="10779" width="10.7109375" style="99" bestFit="1" customWidth="1"/>
    <col min="10780" max="10780" width="12.7109375" style="99" bestFit="1" customWidth="1"/>
    <col min="10781" max="10781" width="9.5703125" style="99" customWidth="1"/>
    <col min="10782" max="10782" width="7.28515625" style="99" customWidth="1"/>
    <col min="10783" max="10783" width="7.5703125" style="99" customWidth="1"/>
    <col min="10784" max="10784" width="12.7109375" style="99" bestFit="1" customWidth="1"/>
    <col min="10785" max="10785" width="9" style="99" customWidth="1"/>
    <col min="10786" max="10786" width="9.140625" style="99" customWidth="1"/>
    <col min="10787" max="11013" width="9.140625" style="99"/>
    <col min="11014" max="11014" width="41" style="99" customWidth="1"/>
    <col min="11015" max="11015" width="18" style="99" bestFit="1" customWidth="1"/>
    <col min="11016" max="11016" width="10.140625" style="99" customWidth="1"/>
    <col min="11017" max="11017" width="10.42578125" style="99" bestFit="1" customWidth="1"/>
    <col min="11018" max="11019" width="12.42578125" style="99" customWidth="1"/>
    <col min="11020" max="11020" width="12.28515625" style="99" customWidth="1"/>
    <col min="11021" max="11022" width="12.5703125" style="99" customWidth="1"/>
    <col min="11023" max="11024" width="9.85546875" style="99" customWidth="1"/>
    <col min="11025" max="11025" width="9.42578125" style="99" customWidth="1"/>
    <col min="11026" max="11026" width="12" style="99" bestFit="1" customWidth="1"/>
    <col min="11027" max="11028" width="12" style="99" customWidth="1"/>
    <col min="11029" max="11029" width="12.7109375" style="99" customWidth="1"/>
    <col min="11030" max="11030" width="14.42578125" style="99" bestFit="1" customWidth="1"/>
    <col min="11031" max="11031" width="14.42578125" style="99" customWidth="1"/>
    <col min="11032" max="11033" width="9.140625" style="99" customWidth="1"/>
    <col min="11034" max="11034" width="9.5703125" style="99" customWidth="1"/>
    <col min="11035" max="11035" width="10.7109375" style="99" bestFit="1" customWidth="1"/>
    <col min="11036" max="11036" width="12.7109375" style="99" bestFit="1" customWidth="1"/>
    <col min="11037" max="11037" width="9.5703125" style="99" customWidth="1"/>
    <col min="11038" max="11038" width="7.28515625" style="99" customWidth="1"/>
    <col min="11039" max="11039" width="7.5703125" style="99" customWidth="1"/>
    <col min="11040" max="11040" width="12.7109375" style="99" bestFit="1" customWidth="1"/>
    <col min="11041" max="11041" width="9" style="99" customWidth="1"/>
    <col min="11042" max="11042" width="9.140625" style="99" customWidth="1"/>
    <col min="11043" max="11269" width="9.140625" style="99"/>
    <col min="11270" max="11270" width="41" style="99" customWidth="1"/>
    <col min="11271" max="11271" width="18" style="99" bestFit="1" customWidth="1"/>
    <col min="11272" max="11272" width="10.140625" style="99" customWidth="1"/>
    <col min="11273" max="11273" width="10.42578125" style="99" bestFit="1" customWidth="1"/>
    <col min="11274" max="11275" width="12.42578125" style="99" customWidth="1"/>
    <col min="11276" max="11276" width="12.28515625" style="99" customWidth="1"/>
    <col min="11277" max="11278" width="12.5703125" style="99" customWidth="1"/>
    <col min="11279" max="11280" width="9.85546875" style="99" customWidth="1"/>
    <col min="11281" max="11281" width="9.42578125" style="99" customWidth="1"/>
    <col min="11282" max="11282" width="12" style="99" bestFit="1" customWidth="1"/>
    <col min="11283" max="11284" width="12" style="99" customWidth="1"/>
    <col min="11285" max="11285" width="12.7109375" style="99" customWidth="1"/>
    <col min="11286" max="11286" width="14.42578125" style="99" bestFit="1" customWidth="1"/>
    <col min="11287" max="11287" width="14.42578125" style="99" customWidth="1"/>
    <col min="11288" max="11289" width="9.140625" style="99" customWidth="1"/>
    <col min="11290" max="11290" width="9.5703125" style="99" customWidth="1"/>
    <col min="11291" max="11291" width="10.7109375" style="99" bestFit="1" customWidth="1"/>
    <col min="11292" max="11292" width="12.7109375" style="99" bestFit="1" customWidth="1"/>
    <col min="11293" max="11293" width="9.5703125" style="99" customWidth="1"/>
    <col min="11294" max="11294" width="7.28515625" style="99" customWidth="1"/>
    <col min="11295" max="11295" width="7.5703125" style="99" customWidth="1"/>
    <col min="11296" max="11296" width="12.7109375" style="99" bestFit="1" customWidth="1"/>
    <col min="11297" max="11297" width="9" style="99" customWidth="1"/>
    <col min="11298" max="11298" width="9.140625" style="99" customWidth="1"/>
    <col min="11299" max="11525" width="9.140625" style="99"/>
    <col min="11526" max="11526" width="41" style="99" customWidth="1"/>
    <col min="11527" max="11527" width="18" style="99" bestFit="1" customWidth="1"/>
    <col min="11528" max="11528" width="10.140625" style="99" customWidth="1"/>
    <col min="11529" max="11529" width="10.42578125" style="99" bestFit="1" customWidth="1"/>
    <col min="11530" max="11531" width="12.42578125" style="99" customWidth="1"/>
    <col min="11532" max="11532" width="12.28515625" style="99" customWidth="1"/>
    <col min="11533" max="11534" width="12.5703125" style="99" customWidth="1"/>
    <col min="11535" max="11536" width="9.85546875" style="99" customWidth="1"/>
    <col min="11537" max="11537" width="9.42578125" style="99" customWidth="1"/>
    <col min="11538" max="11538" width="12" style="99" bestFit="1" customWidth="1"/>
    <col min="11539" max="11540" width="12" style="99" customWidth="1"/>
    <col min="11541" max="11541" width="12.7109375" style="99" customWidth="1"/>
    <col min="11542" max="11542" width="14.42578125" style="99" bestFit="1" customWidth="1"/>
    <col min="11543" max="11543" width="14.42578125" style="99" customWidth="1"/>
    <col min="11544" max="11545" width="9.140625" style="99" customWidth="1"/>
    <col min="11546" max="11546" width="9.5703125" style="99" customWidth="1"/>
    <col min="11547" max="11547" width="10.7109375" style="99" bestFit="1" customWidth="1"/>
    <col min="11548" max="11548" width="12.7109375" style="99" bestFit="1" customWidth="1"/>
    <col min="11549" max="11549" width="9.5703125" style="99" customWidth="1"/>
    <col min="11550" max="11550" width="7.28515625" style="99" customWidth="1"/>
    <col min="11551" max="11551" width="7.5703125" style="99" customWidth="1"/>
    <col min="11552" max="11552" width="12.7109375" style="99" bestFit="1" customWidth="1"/>
    <col min="11553" max="11553" width="9" style="99" customWidth="1"/>
    <col min="11554" max="11554" width="9.140625" style="99" customWidth="1"/>
    <col min="11555" max="11781" width="9.140625" style="99"/>
    <col min="11782" max="11782" width="41" style="99" customWidth="1"/>
    <col min="11783" max="11783" width="18" style="99" bestFit="1" customWidth="1"/>
    <col min="11784" max="11784" width="10.140625" style="99" customWidth="1"/>
    <col min="11785" max="11785" width="10.42578125" style="99" bestFit="1" customWidth="1"/>
    <col min="11786" max="11787" width="12.42578125" style="99" customWidth="1"/>
    <col min="11788" max="11788" width="12.28515625" style="99" customWidth="1"/>
    <col min="11789" max="11790" width="12.5703125" style="99" customWidth="1"/>
    <col min="11791" max="11792" width="9.85546875" style="99" customWidth="1"/>
    <col min="11793" max="11793" width="9.42578125" style="99" customWidth="1"/>
    <col min="11794" max="11794" width="12" style="99" bestFit="1" customWidth="1"/>
    <col min="11795" max="11796" width="12" style="99" customWidth="1"/>
    <col min="11797" max="11797" width="12.7109375" style="99" customWidth="1"/>
    <col min="11798" max="11798" width="14.42578125" style="99" bestFit="1" customWidth="1"/>
    <col min="11799" max="11799" width="14.42578125" style="99" customWidth="1"/>
    <col min="11800" max="11801" width="9.140625" style="99" customWidth="1"/>
    <col min="11802" max="11802" width="9.5703125" style="99" customWidth="1"/>
    <col min="11803" max="11803" width="10.7109375" style="99" bestFit="1" customWidth="1"/>
    <col min="11804" max="11804" width="12.7109375" style="99" bestFit="1" customWidth="1"/>
    <col min="11805" max="11805" width="9.5703125" style="99" customWidth="1"/>
    <col min="11806" max="11806" width="7.28515625" style="99" customWidth="1"/>
    <col min="11807" max="11807" width="7.5703125" style="99" customWidth="1"/>
    <col min="11808" max="11808" width="12.7109375" style="99" bestFit="1" customWidth="1"/>
    <col min="11809" max="11809" width="9" style="99" customWidth="1"/>
    <col min="11810" max="11810" width="9.140625" style="99" customWidth="1"/>
    <col min="11811" max="12037" width="9.140625" style="99"/>
    <col min="12038" max="12038" width="41" style="99" customWidth="1"/>
    <col min="12039" max="12039" width="18" style="99" bestFit="1" customWidth="1"/>
    <col min="12040" max="12040" width="10.140625" style="99" customWidth="1"/>
    <col min="12041" max="12041" width="10.42578125" style="99" bestFit="1" customWidth="1"/>
    <col min="12042" max="12043" width="12.42578125" style="99" customWidth="1"/>
    <col min="12044" max="12044" width="12.28515625" style="99" customWidth="1"/>
    <col min="12045" max="12046" width="12.5703125" style="99" customWidth="1"/>
    <col min="12047" max="12048" width="9.85546875" style="99" customWidth="1"/>
    <col min="12049" max="12049" width="9.42578125" style="99" customWidth="1"/>
    <col min="12050" max="12050" width="12" style="99" bestFit="1" customWidth="1"/>
    <col min="12051" max="12052" width="12" style="99" customWidth="1"/>
    <col min="12053" max="12053" width="12.7109375" style="99" customWidth="1"/>
    <col min="12054" max="12054" width="14.42578125" style="99" bestFit="1" customWidth="1"/>
    <col min="12055" max="12055" width="14.42578125" style="99" customWidth="1"/>
    <col min="12056" max="12057" width="9.140625" style="99" customWidth="1"/>
    <col min="12058" max="12058" width="9.5703125" style="99" customWidth="1"/>
    <col min="12059" max="12059" width="10.7109375" style="99" bestFit="1" customWidth="1"/>
    <col min="12060" max="12060" width="12.7109375" style="99" bestFit="1" customWidth="1"/>
    <col min="12061" max="12061" width="9.5703125" style="99" customWidth="1"/>
    <col min="12062" max="12062" width="7.28515625" style="99" customWidth="1"/>
    <col min="12063" max="12063" width="7.5703125" style="99" customWidth="1"/>
    <col min="12064" max="12064" width="12.7109375" style="99" bestFit="1" customWidth="1"/>
    <col min="12065" max="12065" width="9" style="99" customWidth="1"/>
    <col min="12066" max="12066" width="9.140625" style="99" customWidth="1"/>
    <col min="12067" max="12293" width="9.140625" style="99"/>
    <col min="12294" max="12294" width="41" style="99" customWidth="1"/>
    <col min="12295" max="12295" width="18" style="99" bestFit="1" customWidth="1"/>
    <col min="12296" max="12296" width="10.140625" style="99" customWidth="1"/>
    <col min="12297" max="12297" width="10.42578125" style="99" bestFit="1" customWidth="1"/>
    <col min="12298" max="12299" width="12.42578125" style="99" customWidth="1"/>
    <col min="12300" max="12300" width="12.28515625" style="99" customWidth="1"/>
    <col min="12301" max="12302" width="12.5703125" style="99" customWidth="1"/>
    <col min="12303" max="12304" width="9.85546875" style="99" customWidth="1"/>
    <col min="12305" max="12305" width="9.42578125" style="99" customWidth="1"/>
    <col min="12306" max="12306" width="12" style="99" bestFit="1" customWidth="1"/>
    <col min="12307" max="12308" width="12" style="99" customWidth="1"/>
    <col min="12309" max="12309" width="12.7109375" style="99" customWidth="1"/>
    <col min="12310" max="12310" width="14.42578125" style="99" bestFit="1" customWidth="1"/>
    <col min="12311" max="12311" width="14.42578125" style="99" customWidth="1"/>
    <col min="12312" max="12313" width="9.140625" style="99" customWidth="1"/>
    <col min="12314" max="12314" width="9.5703125" style="99" customWidth="1"/>
    <col min="12315" max="12315" width="10.7109375" style="99" bestFit="1" customWidth="1"/>
    <col min="12316" max="12316" width="12.7109375" style="99" bestFit="1" customWidth="1"/>
    <col min="12317" max="12317" width="9.5703125" style="99" customWidth="1"/>
    <col min="12318" max="12318" width="7.28515625" style="99" customWidth="1"/>
    <col min="12319" max="12319" width="7.5703125" style="99" customWidth="1"/>
    <col min="12320" max="12320" width="12.7109375" style="99" bestFit="1" customWidth="1"/>
    <col min="12321" max="12321" width="9" style="99" customWidth="1"/>
    <col min="12322" max="12322" width="9.140625" style="99" customWidth="1"/>
    <col min="12323" max="12549" width="9.140625" style="99"/>
    <col min="12550" max="12550" width="41" style="99" customWidth="1"/>
    <col min="12551" max="12551" width="18" style="99" bestFit="1" customWidth="1"/>
    <col min="12552" max="12552" width="10.140625" style="99" customWidth="1"/>
    <col min="12553" max="12553" width="10.42578125" style="99" bestFit="1" customWidth="1"/>
    <col min="12554" max="12555" width="12.42578125" style="99" customWidth="1"/>
    <col min="12556" max="12556" width="12.28515625" style="99" customWidth="1"/>
    <col min="12557" max="12558" width="12.5703125" style="99" customWidth="1"/>
    <col min="12559" max="12560" width="9.85546875" style="99" customWidth="1"/>
    <col min="12561" max="12561" width="9.42578125" style="99" customWidth="1"/>
    <col min="12562" max="12562" width="12" style="99" bestFit="1" customWidth="1"/>
    <col min="12563" max="12564" width="12" style="99" customWidth="1"/>
    <col min="12565" max="12565" width="12.7109375" style="99" customWidth="1"/>
    <col min="12566" max="12566" width="14.42578125" style="99" bestFit="1" customWidth="1"/>
    <col min="12567" max="12567" width="14.42578125" style="99" customWidth="1"/>
    <col min="12568" max="12569" width="9.140625" style="99" customWidth="1"/>
    <col min="12570" max="12570" width="9.5703125" style="99" customWidth="1"/>
    <col min="12571" max="12571" width="10.7109375" style="99" bestFit="1" customWidth="1"/>
    <col min="12572" max="12572" width="12.7109375" style="99" bestFit="1" customWidth="1"/>
    <col min="12573" max="12573" width="9.5703125" style="99" customWidth="1"/>
    <col min="12574" max="12574" width="7.28515625" style="99" customWidth="1"/>
    <col min="12575" max="12575" width="7.5703125" style="99" customWidth="1"/>
    <col min="12576" max="12576" width="12.7109375" style="99" bestFit="1" customWidth="1"/>
    <col min="12577" max="12577" width="9" style="99" customWidth="1"/>
    <col min="12578" max="12578" width="9.140625" style="99" customWidth="1"/>
    <col min="12579" max="12805" width="9.140625" style="99"/>
    <col min="12806" max="12806" width="41" style="99" customWidth="1"/>
    <col min="12807" max="12807" width="18" style="99" bestFit="1" customWidth="1"/>
    <col min="12808" max="12808" width="10.140625" style="99" customWidth="1"/>
    <col min="12809" max="12809" width="10.42578125" style="99" bestFit="1" customWidth="1"/>
    <col min="12810" max="12811" width="12.42578125" style="99" customWidth="1"/>
    <col min="12812" max="12812" width="12.28515625" style="99" customWidth="1"/>
    <col min="12813" max="12814" width="12.5703125" style="99" customWidth="1"/>
    <col min="12815" max="12816" width="9.85546875" style="99" customWidth="1"/>
    <col min="12817" max="12817" width="9.42578125" style="99" customWidth="1"/>
    <col min="12818" max="12818" width="12" style="99" bestFit="1" customWidth="1"/>
    <col min="12819" max="12820" width="12" style="99" customWidth="1"/>
    <col min="12821" max="12821" width="12.7109375" style="99" customWidth="1"/>
    <col min="12822" max="12822" width="14.42578125" style="99" bestFit="1" customWidth="1"/>
    <col min="12823" max="12823" width="14.42578125" style="99" customWidth="1"/>
    <col min="12824" max="12825" width="9.140625" style="99" customWidth="1"/>
    <col min="12826" max="12826" width="9.5703125" style="99" customWidth="1"/>
    <col min="12827" max="12827" width="10.7109375" style="99" bestFit="1" customWidth="1"/>
    <col min="12828" max="12828" width="12.7109375" style="99" bestFit="1" customWidth="1"/>
    <col min="12829" max="12829" width="9.5703125" style="99" customWidth="1"/>
    <col min="12830" max="12830" width="7.28515625" style="99" customWidth="1"/>
    <col min="12831" max="12831" width="7.5703125" style="99" customWidth="1"/>
    <col min="12832" max="12832" width="12.7109375" style="99" bestFit="1" customWidth="1"/>
    <col min="12833" max="12833" width="9" style="99" customWidth="1"/>
    <col min="12834" max="12834" width="9.140625" style="99" customWidth="1"/>
    <col min="12835" max="13061" width="9.140625" style="99"/>
    <col min="13062" max="13062" width="41" style="99" customWidth="1"/>
    <col min="13063" max="13063" width="18" style="99" bestFit="1" customWidth="1"/>
    <col min="13064" max="13064" width="10.140625" style="99" customWidth="1"/>
    <col min="13065" max="13065" width="10.42578125" style="99" bestFit="1" customWidth="1"/>
    <col min="13066" max="13067" width="12.42578125" style="99" customWidth="1"/>
    <col min="13068" max="13068" width="12.28515625" style="99" customWidth="1"/>
    <col min="13069" max="13070" width="12.5703125" style="99" customWidth="1"/>
    <col min="13071" max="13072" width="9.85546875" style="99" customWidth="1"/>
    <col min="13073" max="13073" width="9.42578125" style="99" customWidth="1"/>
    <col min="13074" max="13074" width="12" style="99" bestFit="1" customWidth="1"/>
    <col min="13075" max="13076" width="12" style="99" customWidth="1"/>
    <col min="13077" max="13077" width="12.7109375" style="99" customWidth="1"/>
    <col min="13078" max="13078" width="14.42578125" style="99" bestFit="1" customWidth="1"/>
    <col min="13079" max="13079" width="14.42578125" style="99" customWidth="1"/>
    <col min="13080" max="13081" width="9.140625" style="99" customWidth="1"/>
    <col min="13082" max="13082" width="9.5703125" style="99" customWidth="1"/>
    <col min="13083" max="13083" width="10.7109375" style="99" bestFit="1" customWidth="1"/>
    <col min="13084" max="13084" width="12.7109375" style="99" bestFit="1" customWidth="1"/>
    <col min="13085" max="13085" width="9.5703125" style="99" customWidth="1"/>
    <col min="13086" max="13086" width="7.28515625" style="99" customWidth="1"/>
    <col min="13087" max="13087" width="7.5703125" style="99" customWidth="1"/>
    <col min="13088" max="13088" width="12.7109375" style="99" bestFit="1" customWidth="1"/>
    <col min="13089" max="13089" width="9" style="99" customWidth="1"/>
    <col min="13090" max="13090" width="9.140625" style="99" customWidth="1"/>
    <col min="13091" max="13317" width="9.140625" style="99"/>
    <col min="13318" max="13318" width="41" style="99" customWidth="1"/>
    <col min="13319" max="13319" width="18" style="99" bestFit="1" customWidth="1"/>
    <col min="13320" max="13320" width="10.140625" style="99" customWidth="1"/>
    <col min="13321" max="13321" width="10.42578125" style="99" bestFit="1" customWidth="1"/>
    <col min="13322" max="13323" width="12.42578125" style="99" customWidth="1"/>
    <col min="13324" max="13324" width="12.28515625" style="99" customWidth="1"/>
    <col min="13325" max="13326" width="12.5703125" style="99" customWidth="1"/>
    <col min="13327" max="13328" width="9.85546875" style="99" customWidth="1"/>
    <col min="13329" max="13329" width="9.42578125" style="99" customWidth="1"/>
    <col min="13330" max="13330" width="12" style="99" bestFit="1" customWidth="1"/>
    <col min="13331" max="13332" width="12" style="99" customWidth="1"/>
    <col min="13333" max="13333" width="12.7109375" style="99" customWidth="1"/>
    <col min="13334" max="13334" width="14.42578125" style="99" bestFit="1" customWidth="1"/>
    <col min="13335" max="13335" width="14.42578125" style="99" customWidth="1"/>
    <col min="13336" max="13337" width="9.140625" style="99" customWidth="1"/>
    <col min="13338" max="13338" width="9.5703125" style="99" customWidth="1"/>
    <col min="13339" max="13339" width="10.7109375" style="99" bestFit="1" customWidth="1"/>
    <col min="13340" max="13340" width="12.7109375" style="99" bestFit="1" customWidth="1"/>
    <col min="13341" max="13341" width="9.5703125" style="99" customWidth="1"/>
    <col min="13342" max="13342" width="7.28515625" style="99" customWidth="1"/>
    <col min="13343" max="13343" width="7.5703125" style="99" customWidth="1"/>
    <col min="13344" max="13344" width="12.7109375" style="99" bestFit="1" customWidth="1"/>
    <col min="13345" max="13345" width="9" style="99" customWidth="1"/>
    <col min="13346" max="13346" width="9.140625" style="99" customWidth="1"/>
    <col min="13347" max="13573" width="9.140625" style="99"/>
    <col min="13574" max="13574" width="41" style="99" customWidth="1"/>
    <col min="13575" max="13575" width="18" style="99" bestFit="1" customWidth="1"/>
    <col min="13576" max="13576" width="10.140625" style="99" customWidth="1"/>
    <col min="13577" max="13577" width="10.42578125" style="99" bestFit="1" customWidth="1"/>
    <col min="13578" max="13579" width="12.42578125" style="99" customWidth="1"/>
    <col min="13580" max="13580" width="12.28515625" style="99" customWidth="1"/>
    <col min="13581" max="13582" width="12.5703125" style="99" customWidth="1"/>
    <col min="13583" max="13584" width="9.85546875" style="99" customWidth="1"/>
    <col min="13585" max="13585" width="9.42578125" style="99" customWidth="1"/>
    <col min="13586" max="13586" width="12" style="99" bestFit="1" customWidth="1"/>
    <col min="13587" max="13588" width="12" style="99" customWidth="1"/>
    <col min="13589" max="13589" width="12.7109375" style="99" customWidth="1"/>
    <col min="13590" max="13590" width="14.42578125" style="99" bestFit="1" customWidth="1"/>
    <col min="13591" max="13591" width="14.42578125" style="99" customWidth="1"/>
    <col min="13592" max="13593" width="9.140625" style="99" customWidth="1"/>
    <col min="13594" max="13594" width="9.5703125" style="99" customWidth="1"/>
    <col min="13595" max="13595" width="10.7109375" style="99" bestFit="1" customWidth="1"/>
    <col min="13596" max="13596" width="12.7109375" style="99" bestFit="1" customWidth="1"/>
    <col min="13597" max="13597" width="9.5703125" style="99" customWidth="1"/>
    <col min="13598" max="13598" width="7.28515625" style="99" customWidth="1"/>
    <col min="13599" max="13599" width="7.5703125" style="99" customWidth="1"/>
    <col min="13600" max="13600" width="12.7109375" style="99" bestFit="1" customWidth="1"/>
    <col min="13601" max="13601" width="9" style="99" customWidth="1"/>
    <col min="13602" max="13602" width="9.140625" style="99" customWidth="1"/>
    <col min="13603" max="13829" width="9.140625" style="99"/>
    <col min="13830" max="13830" width="41" style="99" customWidth="1"/>
    <col min="13831" max="13831" width="18" style="99" bestFit="1" customWidth="1"/>
    <col min="13832" max="13832" width="10.140625" style="99" customWidth="1"/>
    <col min="13833" max="13833" width="10.42578125" style="99" bestFit="1" customWidth="1"/>
    <col min="13834" max="13835" width="12.42578125" style="99" customWidth="1"/>
    <col min="13836" max="13836" width="12.28515625" style="99" customWidth="1"/>
    <col min="13837" max="13838" width="12.5703125" style="99" customWidth="1"/>
    <col min="13839" max="13840" width="9.85546875" style="99" customWidth="1"/>
    <col min="13841" max="13841" width="9.42578125" style="99" customWidth="1"/>
    <col min="13842" max="13842" width="12" style="99" bestFit="1" customWidth="1"/>
    <col min="13843" max="13844" width="12" style="99" customWidth="1"/>
    <col min="13845" max="13845" width="12.7109375" style="99" customWidth="1"/>
    <col min="13846" max="13846" width="14.42578125" style="99" bestFit="1" customWidth="1"/>
    <col min="13847" max="13847" width="14.42578125" style="99" customWidth="1"/>
    <col min="13848" max="13849" width="9.140625" style="99" customWidth="1"/>
    <col min="13850" max="13850" width="9.5703125" style="99" customWidth="1"/>
    <col min="13851" max="13851" width="10.7109375" style="99" bestFit="1" customWidth="1"/>
    <col min="13852" max="13852" width="12.7109375" style="99" bestFit="1" customWidth="1"/>
    <col min="13853" max="13853" width="9.5703125" style="99" customWidth="1"/>
    <col min="13854" max="13854" width="7.28515625" style="99" customWidth="1"/>
    <col min="13855" max="13855" width="7.5703125" style="99" customWidth="1"/>
    <col min="13856" max="13856" width="12.7109375" style="99" bestFit="1" customWidth="1"/>
    <col min="13857" max="13857" width="9" style="99" customWidth="1"/>
    <col min="13858" max="13858" width="9.140625" style="99" customWidth="1"/>
    <col min="13859" max="14085" width="9.140625" style="99"/>
    <col min="14086" max="14086" width="41" style="99" customWidth="1"/>
    <col min="14087" max="14087" width="18" style="99" bestFit="1" customWidth="1"/>
    <col min="14088" max="14088" width="10.140625" style="99" customWidth="1"/>
    <col min="14089" max="14089" width="10.42578125" style="99" bestFit="1" customWidth="1"/>
    <col min="14090" max="14091" width="12.42578125" style="99" customWidth="1"/>
    <col min="14092" max="14092" width="12.28515625" style="99" customWidth="1"/>
    <col min="14093" max="14094" width="12.5703125" style="99" customWidth="1"/>
    <col min="14095" max="14096" width="9.85546875" style="99" customWidth="1"/>
    <col min="14097" max="14097" width="9.42578125" style="99" customWidth="1"/>
    <col min="14098" max="14098" width="12" style="99" bestFit="1" customWidth="1"/>
    <col min="14099" max="14100" width="12" style="99" customWidth="1"/>
    <col min="14101" max="14101" width="12.7109375" style="99" customWidth="1"/>
    <col min="14102" max="14102" width="14.42578125" style="99" bestFit="1" customWidth="1"/>
    <col min="14103" max="14103" width="14.42578125" style="99" customWidth="1"/>
    <col min="14104" max="14105" width="9.140625" style="99" customWidth="1"/>
    <col min="14106" max="14106" width="9.5703125" style="99" customWidth="1"/>
    <col min="14107" max="14107" width="10.7109375" style="99" bestFit="1" customWidth="1"/>
    <col min="14108" max="14108" width="12.7109375" style="99" bestFit="1" customWidth="1"/>
    <col min="14109" max="14109" width="9.5703125" style="99" customWidth="1"/>
    <col min="14110" max="14110" width="7.28515625" style="99" customWidth="1"/>
    <col min="14111" max="14111" width="7.5703125" style="99" customWidth="1"/>
    <col min="14112" max="14112" width="12.7109375" style="99" bestFit="1" customWidth="1"/>
    <col min="14113" max="14113" width="9" style="99" customWidth="1"/>
    <col min="14114" max="14114" width="9.140625" style="99" customWidth="1"/>
    <col min="14115" max="14341" width="9.140625" style="99"/>
    <col min="14342" max="14342" width="41" style="99" customWidth="1"/>
    <col min="14343" max="14343" width="18" style="99" bestFit="1" customWidth="1"/>
    <col min="14344" max="14344" width="10.140625" style="99" customWidth="1"/>
    <col min="14345" max="14345" width="10.42578125" style="99" bestFit="1" customWidth="1"/>
    <col min="14346" max="14347" width="12.42578125" style="99" customWidth="1"/>
    <col min="14348" max="14348" width="12.28515625" style="99" customWidth="1"/>
    <col min="14349" max="14350" width="12.5703125" style="99" customWidth="1"/>
    <col min="14351" max="14352" width="9.85546875" style="99" customWidth="1"/>
    <col min="14353" max="14353" width="9.42578125" style="99" customWidth="1"/>
    <col min="14354" max="14354" width="12" style="99" bestFit="1" customWidth="1"/>
    <col min="14355" max="14356" width="12" style="99" customWidth="1"/>
    <col min="14357" max="14357" width="12.7109375" style="99" customWidth="1"/>
    <col min="14358" max="14358" width="14.42578125" style="99" bestFit="1" customWidth="1"/>
    <col min="14359" max="14359" width="14.42578125" style="99" customWidth="1"/>
    <col min="14360" max="14361" width="9.140625" style="99" customWidth="1"/>
    <col min="14362" max="14362" width="9.5703125" style="99" customWidth="1"/>
    <col min="14363" max="14363" width="10.7109375" style="99" bestFit="1" customWidth="1"/>
    <col min="14364" max="14364" width="12.7109375" style="99" bestFit="1" customWidth="1"/>
    <col min="14365" max="14365" width="9.5703125" style="99" customWidth="1"/>
    <col min="14366" max="14366" width="7.28515625" style="99" customWidth="1"/>
    <col min="14367" max="14367" width="7.5703125" style="99" customWidth="1"/>
    <col min="14368" max="14368" width="12.7109375" style="99" bestFit="1" customWidth="1"/>
    <col min="14369" max="14369" width="9" style="99" customWidth="1"/>
    <col min="14370" max="14370" width="9.140625" style="99" customWidth="1"/>
    <col min="14371" max="14597" width="9.140625" style="99"/>
    <col min="14598" max="14598" width="41" style="99" customWidth="1"/>
    <col min="14599" max="14599" width="18" style="99" bestFit="1" customWidth="1"/>
    <col min="14600" max="14600" width="10.140625" style="99" customWidth="1"/>
    <col min="14601" max="14601" width="10.42578125" style="99" bestFit="1" customWidth="1"/>
    <col min="14602" max="14603" width="12.42578125" style="99" customWidth="1"/>
    <col min="14604" max="14604" width="12.28515625" style="99" customWidth="1"/>
    <col min="14605" max="14606" width="12.5703125" style="99" customWidth="1"/>
    <col min="14607" max="14608" width="9.85546875" style="99" customWidth="1"/>
    <col min="14609" max="14609" width="9.42578125" style="99" customWidth="1"/>
    <col min="14610" max="14610" width="12" style="99" bestFit="1" customWidth="1"/>
    <col min="14611" max="14612" width="12" style="99" customWidth="1"/>
    <col min="14613" max="14613" width="12.7109375" style="99" customWidth="1"/>
    <col min="14614" max="14614" width="14.42578125" style="99" bestFit="1" customWidth="1"/>
    <col min="14615" max="14615" width="14.42578125" style="99" customWidth="1"/>
    <col min="14616" max="14617" width="9.140625" style="99" customWidth="1"/>
    <col min="14618" max="14618" width="9.5703125" style="99" customWidth="1"/>
    <col min="14619" max="14619" width="10.7109375" style="99" bestFit="1" customWidth="1"/>
    <col min="14620" max="14620" width="12.7109375" style="99" bestFit="1" customWidth="1"/>
    <col min="14621" max="14621" width="9.5703125" style="99" customWidth="1"/>
    <col min="14622" max="14622" width="7.28515625" style="99" customWidth="1"/>
    <col min="14623" max="14623" width="7.5703125" style="99" customWidth="1"/>
    <col min="14624" max="14624" width="12.7109375" style="99" bestFit="1" customWidth="1"/>
    <col min="14625" max="14625" width="9" style="99" customWidth="1"/>
    <col min="14626" max="14626" width="9.140625" style="99" customWidth="1"/>
    <col min="14627" max="14853" width="9.140625" style="99"/>
    <col min="14854" max="14854" width="41" style="99" customWidth="1"/>
    <col min="14855" max="14855" width="18" style="99" bestFit="1" customWidth="1"/>
    <col min="14856" max="14856" width="10.140625" style="99" customWidth="1"/>
    <col min="14857" max="14857" width="10.42578125" style="99" bestFit="1" customWidth="1"/>
    <col min="14858" max="14859" width="12.42578125" style="99" customWidth="1"/>
    <col min="14860" max="14860" width="12.28515625" style="99" customWidth="1"/>
    <col min="14861" max="14862" width="12.5703125" style="99" customWidth="1"/>
    <col min="14863" max="14864" width="9.85546875" style="99" customWidth="1"/>
    <col min="14865" max="14865" width="9.42578125" style="99" customWidth="1"/>
    <col min="14866" max="14866" width="12" style="99" bestFit="1" customWidth="1"/>
    <col min="14867" max="14868" width="12" style="99" customWidth="1"/>
    <col min="14869" max="14869" width="12.7109375" style="99" customWidth="1"/>
    <col min="14870" max="14870" width="14.42578125" style="99" bestFit="1" customWidth="1"/>
    <col min="14871" max="14871" width="14.42578125" style="99" customWidth="1"/>
    <col min="14872" max="14873" width="9.140625" style="99" customWidth="1"/>
    <col min="14874" max="14874" width="9.5703125" style="99" customWidth="1"/>
    <col min="14875" max="14875" width="10.7109375" style="99" bestFit="1" customWidth="1"/>
    <col min="14876" max="14876" width="12.7109375" style="99" bestFit="1" customWidth="1"/>
    <col min="14877" max="14877" width="9.5703125" style="99" customWidth="1"/>
    <col min="14878" max="14878" width="7.28515625" style="99" customWidth="1"/>
    <col min="14879" max="14879" width="7.5703125" style="99" customWidth="1"/>
    <col min="14880" max="14880" width="12.7109375" style="99" bestFit="1" customWidth="1"/>
    <col min="14881" max="14881" width="9" style="99" customWidth="1"/>
    <col min="14882" max="14882" width="9.140625" style="99" customWidth="1"/>
    <col min="14883" max="15109" width="9.140625" style="99"/>
    <col min="15110" max="15110" width="41" style="99" customWidth="1"/>
    <col min="15111" max="15111" width="18" style="99" bestFit="1" customWidth="1"/>
    <col min="15112" max="15112" width="10.140625" style="99" customWidth="1"/>
    <col min="15113" max="15113" width="10.42578125" style="99" bestFit="1" customWidth="1"/>
    <col min="15114" max="15115" width="12.42578125" style="99" customWidth="1"/>
    <col min="15116" max="15116" width="12.28515625" style="99" customWidth="1"/>
    <col min="15117" max="15118" width="12.5703125" style="99" customWidth="1"/>
    <col min="15119" max="15120" width="9.85546875" style="99" customWidth="1"/>
    <col min="15121" max="15121" width="9.42578125" style="99" customWidth="1"/>
    <col min="15122" max="15122" width="12" style="99" bestFit="1" customWidth="1"/>
    <col min="15123" max="15124" width="12" style="99" customWidth="1"/>
    <col min="15125" max="15125" width="12.7109375" style="99" customWidth="1"/>
    <col min="15126" max="15126" width="14.42578125" style="99" bestFit="1" customWidth="1"/>
    <col min="15127" max="15127" width="14.42578125" style="99" customWidth="1"/>
    <col min="15128" max="15129" width="9.140625" style="99" customWidth="1"/>
    <col min="15130" max="15130" width="9.5703125" style="99" customWidth="1"/>
    <col min="15131" max="15131" width="10.7109375" style="99" bestFit="1" customWidth="1"/>
    <col min="15132" max="15132" width="12.7109375" style="99" bestFit="1" customWidth="1"/>
    <col min="15133" max="15133" width="9.5703125" style="99" customWidth="1"/>
    <col min="15134" max="15134" width="7.28515625" style="99" customWidth="1"/>
    <col min="15135" max="15135" width="7.5703125" style="99" customWidth="1"/>
    <col min="15136" max="15136" width="12.7109375" style="99" bestFit="1" customWidth="1"/>
    <col min="15137" max="15137" width="9" style="99" customWidth="1"/>
    <col min="15138" max="15138" width="9.140625" style="99" customWidth="1"/>
    <col min="15139" max="15365" width="9.140625" style="99"/>
    <col min="15366" max="15366" width="41" style="99" customWidth="1"/>
    <col min="15367" max="15367" width="18" style="99" bestFit="1" customWidth="1"/>
    <col min="15368" max="15368" width="10.140625" style="99" customWidth="1"/>
    <col min="15369" max="15369" width="10.42578125" style="99" bestFit="1" customWidth="1"/>
    <col min="15370" max="15371" width="12.42578125" style="99" customWidth="1"/>
    <col min="15372" max="15372" width="12.28515625" style="99" customWidth="1"/>
    <col min="15373" max="15374" width="12.5703125" style="99" customWidth="1"/>
    <col min="15375" max="15376" width="9.85546875" style="99" customWidth="1"/>
    <col min="15377" max="15377" width="9.42578125" style="99" customWidth="1"/>
    <col min="15378" max="15378" width="12" style="99" bestFit="1" customWidth="1"/>
    <col min="15379" max="15380" width="12" style="99" customWidth="1"/>
    <col min="15381" max="15381" width="12.7109375" style="99" customWidth="1"/>
    <col min="15382" max="15382" width="14.42578125" style="99" bestFit="1" customWidth="1"/>
    <col min="15383" max="15383" width="14.42578125" style="99" customWidth="1"/>
    <col min="15384" max="15385" width="9.140625" style="99" customWidth="1"/>
    <col min="15386" max="15386" width="9.5703125" style="99" customWidth="1"/>
    <col min="15387" max="15387" width="10.7109375" style="99" bestFit="1" customWidth="1"/>
    <col min="15388" max="15388" width="12.7109375" style="99" bestFit="1" customWidth="1"/>
    <col min="15389" max="15389" width="9.5703125" style="99" customWidth="1"/>
    <col min="15390" max="15390" width="7.28515625" style="99" customWidth="1"/>
    <col min="15391" max="15391" width="7.5703125" style="99" customWidth="1"/>
    <col min="15392" max="15392" width="12.7109375" style="99" bestFit="1" customWidth="1"/>
    <col min="15393" max="15393" width="9" style="99" customWidth="1"/>
    <col min="15394" max="15394" width="9.140625" style="99" customWidth="1"/>
    <col min="15395" max="15621" width="9.140625" style="99"/>
    <col min="15622" max="15622" width="41" style="99" customWidth="1"/>
    <col min="15623" max="15623" width="18" style="99" bestFit="1" customWidth="1"/>
    <col min="15624" max="15624" width="10.140625" style="99" customWidth="1"/>
    <col min="15625" max="15625" width="10.42578125" style="99" bestFit="1" customWidth="1"/>
    <col min="15626" max="15627" width="12.42578125" style="99" customWidth="1"/>
    <col min="15628" max="15628" width="12.28515625" style="99" customWidth="1"/>
    <col min="15629" max="15630" width="12.5703125" style="99" customWidth="1"/>
    <col min="15631" max="15632" width="9.85546875" style="99" customWidth="1"/>
    <col min="15633" max="15633" width="9.42578125" style="99" customWidth="1"/>
    <col min="15634" max="15634" width="12" style="99" bestFit="1" customWidth="1"/>
    <col min="15635" max="15636" width="12" style="99" customWidth="1"/>
    <col min="15637" max="15637" width="12.7109375" style="99" customWidth="1"/>
    <col min="15638" max="15638" width="14.42578125" style="99" bestFit="1" customWidth="1"/>
    <col min="15639" max="15639" width="14.42578125" style="99" customWidth="1"/>
    <col min="15640" max="15641" width="9.140625" style="99" customWidth="1"/>
    <col min="15642" max="15642" width="9.5703125" style="99" customWidth="1"/>
    <col min="15643" max="15643" width="10.7109375" style="99" bestFit="1" customWidth="1"/>
    <col min="15644" max="15644" width="12.7109375" style="99" bestFit="1" customWidth="1"/>
    <col min="15645" max="15645" width="9.5703125" style="99" customWidth="1"/>
    <col min="15646" max="15646" width="7.28515625" style="99" customWidth="1"/>
    <col min="15647" max="15647" width="7.5703125" style="99" customWidth="1"/>
    <col min="15648" max="15648" width="12.7109375" style="99" bestFit="1" customWidth="1"/>
    <col min="15649" max="15649" width="9" style="99" customWidth="1"/>
    <col min="15650" max="15650" width="9.140625" style="99" customWidth="1"/>
    <col min="15651" max="15877" width="9.140625" style="99"/>
    <col min="15878" max="15878" width="41" style="99" customWidth="1"/>
    <col min="15879" max="15879" width="18" style="99" bestFit="1" customWidth="1"/>
    <col min="15880" max="15880" width="10.140625" style="99" customWidth="1"/>
    <col min="15881" max="15881" width="10.42578125" style="99" bestFit="1" customWidth="1"/>
    <col min="15882" max="15883" width="12.42578125" style="99" customWidth="1"/>
    <col min="15884" max="15884" width="12.28515625" style="99" customWidth="1"/>
    <col min="15885" max="15886" width="12.5703125" style="99" customWidth="1"/>
    <col min="15887" max="15888" width="9.85546875" style="99" customWidth="1"/>
    <col min="15889" max="15889" width="9.42578125" style="99" customWidth="1"/>
    <col min="15890" max="15890" width="12" style="99" bestFit="1" customWidth="1"/>
    <col min="15891" max="15892" width="12" style="99" customWidth="1"/>
    <col min="15893" max="15893" width="12.7109375" style="99" customWidth="1"/>
    <col min="15894" max="15894" width="14.42578125" style="99" bestFit="1" customWidth="1"/>
    <col min="15895" max="15895" width="14.42578125" style="99" customWidth="1"/>
    <col min="15896" max="15897" width="9.140625" style="99" customWidth="1"/>
    <col min="15898" max="15898" width="9.5703125" style="99" customWidth="1"/>
    <col min="15899" max="15899" width="10.7109375" style="99" bestFit="1" customWidth="1"/>
    <col min="15900" max="15900" width="12.7109375" style="99" bestFit="1" customWidth="1"/>
    <col min="15901" max="15901" width="9.5703125" style="99" customWidth="1"/>
    <col min="15902" max="15902" width="7.28515625" style="99" customWidth="1"/>
    <col min="15903" max="15903" width="7.5703125" style="99" customWidth="1"/>
    <col min="15904" max="15904" width="12.7109375" style="99" bestFit="1" customWidth="1"/>
    <col min="15905" max="15905" width="9" style="99" customWidth="1"/>
    <col min="15906" max="15906" width="9.140625" style="99" customWidth="1"/>
    <col min="15907" max="16133" width="9.140625" style="99"/>
    <col min="16134" max="16134" width="41" style="99" customWidth="1"/>
    <col min="16135" max="16135" width="18" style="99" bestFit="1" customWidth="1"/>
    <col min="16136" max="16136" width="10.140625" style="99" customWidth="1"/>
    <col min="16137" max="16137" width="10.42578125" style="99" bestFit="1" customWidth="1"/>
    <col min="16138" max="16139" width="12.42578125" style="99" customWidth="1"/>
    <col min="16140" max="16140" width="12.28515625" style="99" customWidth="1"/>
    <col min="16141" max="16142" width="12.5703125" style="99" customWidth="1"/>
    <col min="16143" max="16144" width="9.85546875" style="99" customWidth="1"/>
    <col min="16145" max="16145" width="9.42578125" style="99" customWidth="1"/>
    <col min="16146" max="16146" width="12" style="99" bestFit="1" customWidth="1"/>
    <col min="16147" max="16148" width="12" style="99" customWidth="1"/>
    <col min="16149" max="16149" width="12.7109375" style="99" customWidth="1"/>
    <col min="16150" max="16150" width="14.42578125" style="99" bestFit="1" customWidth="1"/>
    <col min="16151" max="16151" width="14.42578125" style="99" customWidth="1"/>
    <col min="16152" max="16153" width="9.140625" style="99" customWidth="1"/>
    <col min="16154" max="16154" width="9.5703125" style="99" customWidth="1"/>
    <col min="16155" max="16155" width="10.7109375" style="99" bestFit="1" customWidth="1"/>
    <col min="16156" max="16156" width="12.7109375" style="99" bestFit="1" customWidth="1"/>
    <col min="16157" max="16157" width="9.5703125" style="99" customWidth="1"/>
    <col min="16158" max="16158" width="7.28515625" style="99" customWidth="1"/>
    <col min="16159" max="16159" width="7.5703125" style="99" customWidth="1"/>
    <col min="16160" max="16160" width="12.7109375" style="99" bestFit="1" customWidth="1"/>
    <col min="16161" max="16161" width="9" style="99" customWidth="1"/>
    <col min="16162" max="16162" width="9.140625" style="99" customWidth="1"/>
    <col min="16163" max="16384" width="9.140625" style="99"/>
  </cols>
  <sheetData>
    <row r="1" spans="1:33" ht="25.5" customHeight="1" x14ac:dyDescent="0.2">
      <c r="C1" s="154"/>
      <c r="D1" s="154"/>
      <c r="E1" s="154"/>
      <c r="F1" s="154"/>
      <c r="G1" s="154"/>
      <c r="H1" s="154"/>
      <c r="I1" s="154"/>
      <c r="J1" s="154"/>
      <c r="K1" s="154"/>
      <c r="L1" s="154"/>
      <c r="M1" s="154"/>
      <c r="N1" s="150"/>
      <c r="O1" s="150"/>
      <c r="P1" s="150"/>
      <c r="Q1" s="150"/>
      <c r="R1" s="150"/>
      <c r="S1" s="150"/>
      <c r="T1" s="150"/>
      <c r="U1" s="153"/>
      <c r="V1" s="153"/>
      <c r="W1" s="153"/>
      <c r="X1" s="153"/>
    </row>
    <row r="2" spans="1:33" ht="25.5" customHeight="1" x14ac:dyDescent="0.2">
      <c r="A2" s="103" t="s">
        <v>287</v>
      </c>
      <c r="C2" s="154"/>
      <c r="D2" s="154"/>
      <c r="E2" s="154"/>
      <c r="F2" s="154"/>
      <c r="G2" s="154"/>
      <c r="H2" s="154"/>
      <c r="I2" s="154"/>
      <c r="J2" s="154"/>
      <c r="K2" s="154"/>
      <c r="L2" s="154"/>
      <c r="M2" s="154"/>
      <c r="N2" s="150"/>
      <c r="O2" s="150"/>
      <c r="P2" s="150"/>
      <c r="Q2" s="150"/>
      <c r="R2" s="150"/>
      <c r="S2" s="150"/>
      <c r="T2" s="150"/>
      <c r="U2" s="153"/>
      <c r="V2" s="153"/>
      <c r="W2" s="153"/>
      <c r="X2" s="153"/>
    </row>
    <row r="3" spans="1:33" ht="90" customHeight="1" x14ac:dyDescent="0.2">
      <c r="A3" s="104" t="s">
        <v>288</v>
      </c>
      <c r="C3" s="154"/>
      <c r="D3" s="154"/>
      <c r="E3" s="154"/>
      <c r="F3" s="154"/>
      <c r="G3" s="154"/>
      <c r="H3" s="154"/>
      <c r="I3" s="154"/>
      <c r="J3" s="154"/>
      <c r="K3" s="154"/>
      <c r="L3" s="154"/>
      <c r="M3" s="154"/>
      <c r="N3" s="150"/>
      <c r="O3" s="150"/>
      <c r="P3" s="150"/>
      <c r="Q3" s="150"/>
      <c r="R3" s="150"/>
      <c r="S3" s="150"/>
      <c r="T3" s="150"/>
      <c r="U3" s="153"/>
      <c r="V3" s="153"/>
      <c r="W3" s="153"/>
      <c r="X3" s="153"/>
    </row>
    <row r="4" spans="1:33" ht="101.25" customHeight="1" x14ac:dyDescent="0.2">
      <c r="A4" s="165" t="s">
        <v>294</v>
      </c>
      <c r="C4" s="154"/>
      <c r="D4" s="154"/>
      <c r="E4" s="154"/>
      <c r="F4" s="154"/>
      <c r="G4" s="154"/>
      <c r="H4" s="154"/>
      <c r="I4" s="154"/>
      <c r="J4" s="154"/>
      <c r="K4" s="154"/>
      <c r="L4" s="154"/>
      <c r="M4" s="154"/>
      <c r="N4" s="150"/>
      <c r="O4" s="150"/>
      <c r="P4" s="150"/>
      <c r="Q4" s="150"/>
      <c r="R4" s="150"/>
      <c r="S4" s="150"/>
      <c r="T4" s="150"/>
      <c r="U4" s="153"/>
      <c r="V4" s="153"/>
      <c r="W4" s="153"/>
      <c r="X4" s="153"/>
    </row>
    <row r="5" spans="1:33" ht="25.5" customHeight="1" x14ac:dyDescent="0.2">
      <c r="C5" s="154"/>
      <c r="D5" s="154"/>
      <c r="E5" s="154"/>
      <c r="F5" s="154"/>
      <c r="G5" s="154"/>
      <c r="H5" s="154"/>
      <c r="I5" s="154"/>
      <c r="J5" s="154"/>
      <c r="K5" s="154"/>
      <c r="L5" s="154"/>
      <c r="M5" s="154"/>
      <c r="N5" s="150"/>
      <c r="O5" s="150"/>
      <c r="P5" s="150"/>
      <c r="Q5" s="150"/>
      <c r="R5" s="150"/>
      <c r="S5" s="150"/>
      <c r="T5" s="150"/>
      <c r="U5" s="153"/>
      <c r="V5" s="153"/>
      <c r="W5" s="153"/>
      <c r="X5" s="153"/>
    </row>
    <row r="6" spans="1:33" ht="13.5" thickBot="1" x14ac:dyDescent="0.25">
      <c r="C6" s="152"/>
      <c r="D6" s="151"/>
      <c r="E6" s="150"/>
      <c r="F6" s="150"/>
      <c r="G6" s="150"/>
      <c r="H6" s="150"/>
      <c r="I6" s="150"/>
      <c r="J6" s="150"/>
      <c r="K6" s="150"/>
      <c r="L6" s="150"/>
      <c r="M6" s="150"/>
      <c r="N6" s="150"/>
      <c r="O6" s="150"/>
      <c r="P6" s="150"/>
      <c r="Q6" s="150"/>
      <c r="R6" s="150"/>
      <c r="S6" s="150"/>
      <c r="T6" s="150"/>
      <c r="U6" s="149"/>
      <c r="V6" s="149"/>
      <c r="W6" s="149"/>
      <c r="X6" s="149"/>
    </row>
    <row r="7" spans="1:33" ht="12.75" customHeight="1" x14ac:dyDescent="0.2">
      <c r="A7" s="210" t="s">
        <v>286</v>
      </c>
      <c r="B7" s="213"/>
      <c r="C7" s="207" t="s">
        <v>285</v>
      </c>
      <c r="D7" s="216" t="s">
        <v>284</v>
      </c>
      <c r="E7" s="217"/>
      <c r="F7" s="217"/>
      <c r="G7" s="217"/>
      <c r="H7" s="218"/>
      <c r="I7" s="216" t="s">
        <v>85</v>
      </c>
      <c r="J7" s="217"/>
      <c r="K7" s="217"/>
      <c r="L7" s="217"/>
      <c r="M7" s="218"/>
      <c r="N7" s="206" t="s">
        <v>283</v>
      </c>
      <c r="O7" s="207"/>
      <c r="P7" s="197" t="s">
        <v>282</v>
      </c>
      <c r="Q7" s="199" t="s">
        <v>281</v>
      </c>
      <c r="R7" s="199" t="s">
        <v>280</v>
      </c>
      <c r="S7" s="199" t="s">
        <v>279</v>
      </c>
      <c r="T7" s="199" t="s">
        <v>292</v>
      </c>
      <c r="U7" s="199" t="s">
        <v>278</v>
      </c>
      <c r="V7" s="200" t="s">
        <v>277</v>
      </c>
      <c r="W7" s="201"/>
      <c r="X7" s="201"/>
      <c r="Y7" s="201"/>
      <c r="Z7" s="201"/>
      <c r="AA7" s="201"/>
      <c r="AB7" s="201"/>
      <c r="AC7" s="201"/>
      <c r="AD7" s="201"/>
      <c r="AE7" s="201"/>
      <c r="AF7" s="201"/>
      <c r="AG7" s="202"/>
    </row>
    <row r="8" spans="1:33" ht="13.5" thickBot="1" x14ac:dyDescent="0.25">
      <c r="A8" s="211"/>
      <c r="B8" s="214"/>
      <c r="C8" s="215"/>
      <c r="D8" s="198" t="s">
        <v>275</v>
      </c>
      <c r="E8" s="196" t="s">
        <v>296</v>
      </c>
      <c r="F8" s="196" t="s">
        <v>295</v>
      </c>
      <c r="G8" s="196" t="s">
        <v>276</v>
      </c>
      <c r="H8" s="196" t="s">
        <v>291</v>
      </c>
      <c r="I8" s="219" t="s">
        <v>275</v>
      </c>
      <c r="J8" s="196" t="s">
        <v>274</v>
      </c>
      <c r="K8" s="196" t="s">
        <v>273</v>
      </c>
      <c r="L8" s="196" t="s">
        <v>272</v>
      </c>
      <c r="M8" s="196" t="s">
        <v>290</v>
      </c>
      <c r="N8" s="208"/>
      <c r="O8" s="209"/>
      <c r="P8" s="198"/>
      <c r="Q8" s="196"/>
      <c r="R8" s="196"/>
      <c r="S8" s="196"/>
      <c r="T8" s="196"/>
      <c r="U8" s="196"/>
      <c r="V8" s="203"/>
      <c r="W8" s="204"/>
      <c r="X8" s="204"/>
      <c r="Y8" s="204"/>
      <c r="Z8" s="204"/>
      <c r="AA8" s="204"/>
      <c r="AB8" s="204"/>
      <c r="AC8" s="204"/>
      <c r="AD8" s="204"/>
      <c r="AE8" s="204"/>
      <c r="AF8" s="204"/>
      <c r="AG8" s="205"/>
    </row>
    <row r="9" spans="1:33" ht="25.5" customHeight="1" thickBot="1" x14ac:dyDescent="0.25">
      <c r="A9" s="212"/>
      <c r="B9" s="214"/>
      <c r="C9" s="209"/>
      <c r="D9" s="198"/>
      <c r="E9" s="196"/>
      <c r="F9" s="196"/>
      <c r="G9" s="196"/>
      <c r="H9" s="196"/>
      <c r="I9" s="208"/>
      <c r="J9" s="196"/>
      <c r="K9" s="196"/>
      <c r="L9" s="196"/>
      <c r="M9" s="196"/>
      <c r="N9" s="148" t="s">
        <v>271</v>
      </c>
      <c r="O9" s="148" t="s">
        <v>289</v>
      </c>
      <c r="P9" s="198"/>
      <c r="Q9" s="196"/>
      <c r="R9" s="196"/>
      <c r="S9" s="196"/>
      <c r="T9" s="196"/>
      <c r="U9" s="196"/>
      <c r="V9" s="146" t="str">
        <f>'AUTO CALCULATION SHEET (2)'!N19</f>
        <v>Alumimium</v>
      </c>
      <c r="W9" s="146" t="str">
        <f>'AUTO CALCULATION SHEET (2)'!BA19</f>
        <v>ACSR CORE WIRE</v>
      </c>
      <c r="X9" s="146" t="str">
        <f>'AUTO CALCULATION SHEET (2)'!BY19</f>
        <v>Grease</v>
      </c>
      <c r="Y9" s="147" t="s">
        <v>270</v>
      </c>
      <c r="Z9" s="147" t="s">
        <v>269</v>
      </c>
      <c r="AA9" s="147" t="s">
        <v>268</v>
      </c>
      <c r="AB9" s="147" t="s">
        <v>267</v>
      </c>
      <c r="AC9" s="146" t="s">
        <v>266</v>
      </c>
      <c r="AD9" s="145" t="s">
        <v>265</v>
      </c>
      <c r="AE9" s="145" t="s">
        <v>264</v>
      </c>
      <c r="AF9" s="145" t="s">
        <v>263</v>
      </c>
      <c r="AG9" s="144" t="s">
        <v>262</v>
      </c>
    </row>
    <row r="10" spans="1:33" x14ac:dyDescent="0.2">
      <c r="A10" s="143"/>
      <c r="B10" s="142"/>
      <c r="C10" s="141"/>
      <c r="D10" s="140"/>
      <c r="E10" s="139"/>
      <c r="F10" s="139"/>
      <c r="G10" s="139"/>
      <c r="H10" s="139"/>
      <c r="I10" s="138"/>
      <c r="J10" s="137"/>
      <c r="K10" s="137"/>
      <c r="L10" s="137"/>
      <c r="M10" s="137"/>
      <c r="N10" s="136"/>
      <c r="O10" s="136"/>
      <c r="P10" s="136"/>
      <c r="Q10" s="135"/>
      <c r="R10" s="135"/>
      <c r="S10" s="134"/>
      <c r="T10" s="134"/>
      <c r="U10" s="134"/>
      <c r="V10" s="133">
        <v>410</v>
      </c>
      <c r="W10" s="132">
        <v>84</v>
      </c>
      <c r="X10" s="132">
        <v>220</v>
      </c>
      <c r="Y10" s="131"/>
      <c r="Z10" s="131"/>
      <c r="AA10" s="131"/>
      <c r="AB10" s="131"/>
      <c r="AC10" s="130"/>
      <c r="AD10" s="128"/>
      <c r="AE10" s="129"/>
      <c r="AF10" s="128"/>
      <c r="AG10" s="127"/>
    </row>
    <row r="11" spans="1:33" s="104" customFormat="1" ht="39" thickBot="1" x14ac:dyDescent="0.25">
      <c r="A11" s="164" t="str">
        <f>'AUTO CALCULATION SHEET (2)'!D21</f>
        <v>ACSR : MOOSE CONDUCTOR - 520 SQ. MM. (54/7/3.53)</v>
      </c>
      <c r="B11" s="126"/>
      <c r="C11" s="125" t="s">
        <v>261</v>
      </c>
      <c r="D11" s="124">
        <v>46178</v>
      </c>
      <c r="E11" s="155">
        <v>3736</v>
      </c>
      <c r="F11" s="155">
        <v>95.75</v>
      </c>
      <c r="G11" s="122">
        <v>8.2500000000000004E-2</v>
      </c>
      <c r="H11" s="156">
        <v>169250</v>
      </c>
      <c r="I11" s="123" t="s">
        <v>293</v>
      </c>
      <c r="J11" s="156">
        <v>4200</v>
      </c>
      <c r="K11" s="156">
        <v>99</v>
      </c>
      <c r="L11" s="122">
        <v>8.2500000000000004E-2</v>
      </c>
      <c r="M11" s="156">
        <v>166750</v>
      </c>
      <c r="N11" s="121">
        <v>1.4650000000000001</v>
      </c>
      <c r="O11" s="121">
        <v>0.53900000000000003</v>
      </c>
      <c r="P11" s="157">
        <f>'AUTO CALCULATION SHEET (2)'!E21</f>
        <v>811377.88560000004</v>
      </c>
      <c r="Q11" s="158">
        <f>E11*F11*(1+G11)</f>
        <v>387234.065</v>
      </c>
      <c r="R11" s="158">
        <f>J11*K11*(1+L11)</f>
        <v>450103.5</v>
      </c>
      <c r="S11" s="159">
        <f>(Q11-R11)*N11</f>
        <v>-92103.722275000007</v>
      </c>
      <c r="T11" s="159">
        <f>(H11-M11)*O11</f>
        <v>1347.5</v>
      </c>
      <c r="U11" s="160">
        <f>P11+S11+T11</f>
        <v>720621.66332500009</v>
      </c>
      <c r="V11" s="120">
        <f>'AUTO CALCULATION SHEET (2)'!N21</f>
        <v>1467</v>
      </c>
      <c r="W11" s="119">
        <f>'AUTO CALCULATION SHEET (2)'!BA21</f>
        <v>537</v>
      </c>
      <c r="X11" s="119">
        <f>'AUTO CALCULATION SHEET (2)'!BY21</f>
        <v>72</v>
      </c>
      <c r="Y11" s="118">
        <f>SUMPRODUCT(V11:X11,$V$10:$X$10)</f>
        <v>662418</v>
      </c>
      <c r="Z11" s="117">
        <f>'AUTO CALCULATION SHEET (2)'!CK21</f>
        <v>8800</v>
      </c>
      <c r="AA11" s="118">
        <f>Y11+Z11</f>
        <v>671218</v>
      </c>
      <c r="AB11" s="117">
        <f>+U11-AA11</f>
        <v>49403.663325000089</v>
      </c>
      <c r="AC11" s="116">
        <f>AB11/U11*100%</f>
        <v>6.855700548474776E-2</v>
      </c>
      <c r="AD11" s="115"/>
      <c r="AE11" s="115">
        <v>0.02</v>
      </c>
      <c r="AF11" s="115">
        <v>0.01</v>
      </c>
      <c r="AG11" s="114">
        <f>AC11-SUM(AD11:AF11)</f>
        <v>3.8557005484747761E-2</v>
      </c>
    </row>
    <row r="12" spans="1:33" s="104" customFormat="1" ht="39" thickBot="1" x14ac:dyDescent="0.25">
      <c r="A12" s="164" t="str">
        <f>'AUTO CALCULATION SHEET (2)'!D22</f>
        <v>ACSR : PANTHER CONDUCTOR - 200 SQ. MM. (30/7/3.00)</v>
      </c>
      <c r="B12" s="126"/>
      <c r="C12" s="125" t="s">
        <v>261</v>
      </c>
      <c r="D12" s="124">
        <v>46178</v>
      </c>
      <c r="E12" s="155">
        <v>3736</v>
      </c>
      <c r="F12" s="155">
        <v>95.75</v>
      </c>
      <c r="G12" s="122">
        <v>8.2500000000000004E-2</v>
      </c>
      <c r="H12" s="156">
        <v>169250</v>
      </c>
      <c r="I12" s="123" t="s">
        <v>293</v>
      </c>
      <c r="J12" s="156">
        <v>4200</v>
      </c>
      <c r="K12" s="156">
        <v>99</v>
      </c>
      <c r="L12" s="122">
        <v>8.2500000000000004E-2</v>
      </c>
      <c r="M12" s="156">
        <v>166750</v>
      </c>
      <c r="N12" s="121">
        <v>0.58599999999999997</v>
      </c>
      <c r="O12" s="121">
        <v>0.38800000000000001</v>
      </c>
      <c r="P12" s="157">
        <f>'AUTO CALCULATION SHEET (2)'!E22</f>
        <v>342023.69520000002</v>
      </c>
      <c r="Q12" s="158">
        <f>E12*F12*(1+G12)</f>
        <v>387234.065</v>
      </c>
      <c r="R12" s="158">
        <f>J12*K12*(1+L12)</f>
        <v>450103.5</v>
      </c>
      <c r="S12" s="159">
        <f>(Q12-R12)*N12</f>
        <v>-36841.48891</v>
      </c>
      <c r="T12" s="159">
        <f>(H12-M12)*O12</f>
        <v>970</v>
      </c>
      <c r="U12" s="160">
        <f>P12+S12+T12</f>
        <v>306152.20629</v>
      </c>
      <c r="V12" s="120">
        <f>'AUTO CALCULATION SHEET (2)'!N22</f>
        <v>590</v>
      </c>
      <c r="W12" s="119">
        <f>'AUTO CALCULATION SHEET (2)'!BA22</f>
        <v>390</v>
      </c>
      <c r="X12" s="119">
        <f>'AUTO CALCULATION SHEET (2)'!BY22</f>
        <v>26</v>
      </c>
      <c r="Y12" s="118">
        <f>SUMPRODUCT(V12:X12,$V$10:$X$10)</f>
        <v>280380</v>
      </c>
      <c r="Z12" s="117">
        <f>'AUTO CALCULATION SHEET (2)'!CK22</f>
        <v>3666.666666666667</v>
      </c>
      <c r="AA12" s="118">
        <f>Y12+Z12</f>
        <v>284046.66666666669</v>
      </c>
      <c r="AB12" s="117">
        <f>+U12-AA12</f>
        <v>22105.539623333316</v>
      </c>
      <c r="AC12" s="116">
        <f>AB12/U12*100%</f>
        <v>7.2204410646624695E-2</v>
      </c>
      <c r="AD12" s="115"/>
      <c r="AE12" s="115">
        <v>0.02</v>
      </c>
      <c r="AF12" s="115">
        <v>0.01</v>
      </c>
      <c r="AG12" s="114">
        <f>AC12-SUM(AD12:AF12)</f>
        <v>4.2204410646624696E-2</v>
      </c>
    </row>
    <row r="13" spans="1:33" s="104" customFormat="1" ht="15.75" customHeight="1" thickBot="1" x14ac:dyDescent="0.25">
      <c r="A13" s="113"/>
      <c r="B13" s="113"/>
      <c r="C13" s="112"/>
      <c r="D13" s="111"/>
      <c r="E13" s="110"/>
      <c r="F13" s="109"/>
      <c r="G13" s="109"/>
      <c r="H13" s="109"/>
      <c r="I13" s="107"/>
      <c r="J13" s="108"/>
      <c r="K13" s="108"/>
      <c r="L13" s="108"/>
      <c r="M13" s="108"/>
      <c r="N13" s="107"/>
      <c r="O13" s="107"/>
      <c r="P13" s="107"/>
      <c r="Q13" s="106"/>
      <c r="R13" s="106"/>
      <c r="S13" s="106"/>
      <c r="T13" s="106"/>
      <c r="U13" s="105"/>
      <c r="V13" s="193"/>
      <c r="W13" s="194"/>
      <c r="X13" s="194"/>
      <c r="Y13" s="194"/>
      <c r="Z13" s="194"/>
      <c r="AA13" s="194"/>
      <c r="AB13" s="194"/>
      <c r="AC13" s="194"/>
      <c r="AD13" s="194"/>
      <c r="AE13" s="194"/>
      <c r="AF13" s="194"/>
      <c r="AG13" s="195"/>
    </row>
    <row r="14" spans="1:33" x14ac:dyDescent="0.2">
      <c r="E14" s="103"/>
      <c r="F14" s="103"/>
      <c r="G14" s="103"/>
      <c r="H14" s="103"/>
    </row>
    <row r="15" spans="1:33" x14ac:dyDescent="0.2">
      <c r="A15" s="102"/>
      <c r="E15" s="161"/>
      <c r="J15" s="161"/>
    </row>
    <row r="16" spans="1:33" x14ac:dyDescent="0.2">
      <c r="A16" s="100"/>
      <c r="E16" s="162"/>
      <c r="J16" s="163"/>
    </row>
    <row r="17" spans="1:10" x14ac:dyDescent="0.2">
      <c r="A17" s="101"/>
      <c r="J17" s="163"/>
    </row>
    <row r="18" spans="1:10" x14ac:dyDescent="0.2">
      <c r="A18" s="101"/>
    </row>
    <row r="19" spans="1:10" x14ac:dyDescent="0.2">
      <c r="A19" s="101"/>
    </row>
    <row r="20" spans="1:10" x14ac:dyDescent="0.2">
      <c r="A20" s="101"/>
    </row>
    <row r="21" spans="1:10" x14ac:dyDescent="0.2">
      <c r="A21" s="101"/>
    </row>
    <row r="22" spans="1:10" x14ac:dyDescent="0.2">
      <c r="A22" s="101"/>
    </row>
    <row r="23" spans="1:10" x14ac:dyDescent="0.2">
      <c r="A23" s="100"/>
    </row>
  </sheetData>
  <mergeCells count="24">
    <mergeCell ref="A7:A9"/>
    <mergeCell ref="B7:B9"/>
    <mergeCell ref="C7:C9"/>
    <mergeCell ref="D7:H7"/>
    <mergeCell ref="I7:M7"/>
    <mergeCell ref="D8:D9"/>
    <mergeCell ref="E8:E9"/>
    <mergeCell ref="H8:H9"/>
    <mergeCell ref="I8:I9"/>
    <mergeCell ref="J8:J9"/>
    <mergeCell ref="V13:AG13"/>
    <mergeCell ref="K8:K9"/>
    <mergeCell ref="F8:F9"/>
    <mergeCell ref="P7:P9"/>
    <mergeCell ref="Q7:Q9"/>
    <mergeCell ref="R7:R9"/>
    <mergeCell ref="S7:S9"/>
    <mergeCell ref="U7:U9"/>
    <mergeCell ref="V7:AG8"/>
    <mergeCell ref="N7:O8"/>
    <mergeCell ref="L8:L9"/>
    <mergeCell ref="G8:G9"/>
    <mergeCell ref="T7:T9"/>
    <mergeCell ref="M8:M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2026-06-08T06:24:56Z</dcterms:modified>
</cp:coreProperties>
</file>