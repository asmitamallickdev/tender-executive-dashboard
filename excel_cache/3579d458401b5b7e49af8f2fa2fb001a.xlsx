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5_MAY 2026\RVVNL-19467\"/>
    </mc:Choice>
  </mc:AlternateContent>
  <xr:revisionPtr revIDLastSave="0" documentId="13_ncr:1_{DEDB4069-CB4B-415F-9FDB-21F496C63BC4}"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NORMAL"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H26" i="6" l="1"/>
  <c r="E26" i="6"/>
  <c r="CX21" i="6"/>
  <c r="CM21" i="6"/>
  <c r="CK21" i="6"/>
  <c r="CJ21" i="6"/>
  <c r="F26" i="6" s="1"/>
  <c r="J26" i="6" s="1"/>
  <c r="CG21" i="6"/>
  <c r="CF21" i="6"/>
  <c r="CE21" i="6"/>
  <c r="CD21" i="6"/>
  <c r="CC21" i="6"/>
  <c r="CB21" i="6"/>
  <c r="CA21" i="6"/>
  <c r="BZ21" i="6"/>
  <c r="BY21" i="6"/>
  <c r="BX21" i="6"/>
  <c r="BW21" i="6"/>
  <c r="BV21" i="6"/>
  <c r="BU21" i="6"/>
  <c r="BT21" i="6"/>
  <c r="BS21" i="6"/>
  <c r="BR21" i="6"/>
  <c r="BQ21" i="6"/>
  <c r="BP21" i="6"/>
  <c r="BO21" i="6"/>
  <c r="BN21" i="6"/>
  <c r="BM21" i="6"/>
  <c r="BL21" i="6"/>
  <c r="BK21" i="6"/>
  <c r="BJ21" i="6"/>
  <c r="BI21" i="6"/>
  <c r="BH21" i="6"/>
  <c r="BG21" i="6"/>
  <c r="BF21" i="6"/>
  <c r="BE21" i="6"/>
  <c r="BD21" i="6"/>
  <c r="BC21" i="6"/>
  <c r="BB21" i="6"/>
  <c r="BA21" i="6"/>
  <c r="AZ21" i="6"/>
  <c r="AY21" i="6"/>
  <c r="AX21" i="6"/>
  <c r="AW21" i="6"/>
  <c r="AV21" i="6"/>
  <c r="AU21" i="6"/>
  <c r="AT21" i="6"/>
  <c r="AS21" i="6"/>
  <c r="AR21" i="6"/>
  <c r="AQ21" i="6"/>
  <c r="AP21" i="6"/>
  <c r="AO21" i="6"/>
  <c r="AN21" i="6"/>
  <c r="AM21" i="6"/>
  <c r="AL21" i="6"/>
  <c r="AK21" i="6"/>
  <c r="AJ21" i="6"/>
  <c r="AI21" i="6"/>
  <c r="AH21" i="6"/>
  <c r="AG21" i="6"/>
  <c r="AF21" i="6"/>
  <c r="AE21" i="6"/>
  <c r="AD21" i="6"/>
  <c r="AC21" i="6"/>
  <c r="AB21" i="6"/>
  <c r="AA21" i="6"/>
  <c r="Z21" i="6"/>
  <c r="Y21" i="6"/>
  <c r="X21" i="6"/>
  <c r="W21" i="6"/>
  <c r="V21" i="6"/>
  <c r="U21" i="6"/>
  <c r="T21" i="6"/>
  <c r="S21" i="6"/>
  <c r="R21" i="6"/>
  <c r="Q21" i="6"/>
  <c r="P21" i="6"/>
  <c r="CG26" i="6"/>
  <c r="CI26" i="6" s="1"/>
  <c r="CJ26" i="6" s="1"/>
  <c r="N21" i="6"/>
  <c r="L21" i="6"/>
  <c r="K21" i="6"/>
  <c r="H21" i="6"/>
  <c r="D21" i="6"/>
  <c r="C21" i="6"/>
  <c r="A21" i="6"/>
  <c r="CF20" i="6"/>
  <c r="CE20" i="6"/>
  <c r="CD20" i="6"/>
  <c r="CC20" i="6"/>
  <c r="CB20" i="6"/>
  <c r="CA20" i="6"/>
  <c r="BZ20" i="6"/>
  <c r="BY20" i="6"/>
  <c r="BX20" i="6"/>
  <c r="BW20" i="6"/>
  <c r="BV20" i="6"/>
  <c r="BU20" i="6"/>
  <c r="BT20" i="6"/>
  <c r="BS20" i="6"/>
  <c r="BR20" i="6"/>
  <c r="BQ20" i="6"/>
  <c r="BP20" i="6"/>
  <c r="BO20" i="6"/>
  <c r="BN20" i="6"/>
  <c r="BM20" i="6"/>
  <c r="BL20" i="6"/>
  <c r="BK20" i="6"/>
  <c r="BJ20" i="6"/>
  <c r="BI20" i="6"/>
  <c r="BH20" i="6"/>
  <c r="BG20" i="6"/>
  <c r="BF20" i="6"/>
  <c r="BE20" i="6"/>
  <c r="BD20" i="6"/>
  <c r="BC20" i="6"/>
  <c r="BB20" i="6"/>
  <c r="BA20" i="6"/>
  <c r="AZ20" i="6"/>
  <c r="AY20" i="6"/>
  <c r="AX20" i="6"/>
  <c r="AW20" i="6"/>
  <c r="AV20" i="6"/>
  <c r="AU20" i="6"/>
  <c r="AT20" i="6"/>
  <c r="AS20" i="6"/>
  <c r="AR20" i="6"/>
  <c r="AQ20" i="6"/>
  <c r="AP20" i="6"/>
  <c r="AO20" i="6"/>
  <c r="AN20" i="6"/>
  <c r="AM20" i="6"/>
  <c r="AL20" i="6"/>
  <c r="AK20" i="6"/>
  <c r="AJ20" i="6"/>
  <c r="AI20" i="6"/>
  <c r="AH20" i="6"/>
  <c r="AG20" i="6"/>
  <c r="AF20" i="6"/>
  <c r="AE20" i="6"/>
  <c r="AD20" i="6"/>
  <c r="AC20" i="6"/>
  <c r="AB20" i="6"/>
  <c r="AA20" i="6"/>
  <c r="Z20" i="6"/>
  <c r="Y20" i="6"/>
  <c r="X20" i="6"/>
  <c r="W20" i="6"/>
  <c r="V20" i="6"/>
  <c r="U20" i="6"/>
  <c r="T20" i="6"/>
  <c r="S20" i="6"/>
  <c r="R20" i="6"/>
  <c r="Q20" i="6"/>
  <c r="P20" i="6"/>
  <c r="N20" i="6"/>
  <c r="CH26" i="4"/>
  <c r="CL21" i="6" l="1"/>
  <c r="CP21" i="6" s="1"/>
  <c r="K26" i="6"/>
  <c r="L26" i="6" s="1"/>
  <c r="M26" i="6" s="1"/>
  <c r="F21" i="6" s="1"/>
  <c r="CR21" i="6" l="1"/>
  <c r="CN21" i="6"/>
  <c r="CS21" i="6" s="1"/>
  <c r="CW21" i="6" l="1"/>
  <c r="CU21" i="6"/>
  <c r="CY21" i="6"/>
  <c r="E21" i="6" l="1"/>
  <c r="G21" i="6" s="1"/>
  <c r="I21" i="6" s="1"/>
  <c r="J21" i="6" s="1"/>
  <c r="M21" i="6" s="1"/>
  <c r="CJ21" i="4" l="1"/>
  <c r="F26" i="4" s="1"/>
  <c r="J26" i="4" s="1"/>
  <c r="S21" i="4" l="1"/>
  <c r="S20" i="4"/>
  <c r="R21" i="4"/>
  <c r="R20" i="4"/>
  <c r="AT21" i="4"/>
  <c r="AT20" i="4"/>
  <c r="Q21" i="4"/>
  <c r="Q20" i="4"/>
  <c r="BU21" i="4"/>
  <c r="BU20" i="4"/>
  <c r="AY21" i="4"/>
  <c r="AY20" i="4"/>
  <c r="L21" i="4"/>
  <c r="K21" i="4"/>
  <c r="E26" i="4" s="1"/>
  <c r="K26" i="4" s="1"/>
  <c r="L26" i="4" s="1"/>
  <c r="M26" i="4" s="1"/>
  <c r="F21" i="4" s="1"/>
  <c r="H21" i="4"/>
  <c r="CX21" i="4"/>
  <c r="CK21" i="4" l="1"/>
  <c r="BP21" i="4" l="1"/>
  <c r="BP20" i="4"/>
  <c r="BE21" i="4" l="1"/>
  <c r="BE20" i="4"/>
  <c r="AN21" i="4" l="1"/>
  <c r="AN20" i="4"/>
  <c r="AM21" i="4"/>
  <c r="AM20" i="4"/>
  <c r="AO21" i="4"/>
  <c r="AO20" i="4"/>
  <c r="CG21" i="4" l="1"/>
  <c r="AG21" i="4" l="1"/>
  <c r="CM21" i="4" l="1"/>
  <c r="A21" i="4" l="1"/>
  <c r="W20" i="4" l="1"/>
  <c r="V20" i="4"/>
  <c r="AE21" i="4" l="1"/>
  <c r="AD21" i="4"/>
  <c r="AC21" i="4"/>
  <c r="AB21" i="4"/>
  <c r="AA21" i="4"/>
  <c r="Z21" i="4"/>
  <c r="Y21" i="4"/>
  <c r="X21" i="4"/>
  <c r="W21" i="4"/>
  <c r="V21" i="4"/>
  <c r="CF21" i="4"/>
  <c r="CE21" i="4"/>
  <c r="CD21" i="4"/>
  <c r="CC21" i="4"/>
  <c r="CB21" i="4"/>
  <c r="CA21" i="4"/>
  <c r="BZ21" i="4"/>
  <c r="BY21" i="4"/>
  <c r="CD20" i="4"/>
  <c r="CE20" i="4"/>
  <c r="CF20" i="4"/>
  <c r="CC20" i="4"/>
  <c r="CB20" i="4"/>
  <c r="CA20" i="4"/>
  <c r="BY20" i="4"/>
  <c r="BZ20" i="4"/>
  <c r="BX20" i="4"/>
  <c r="BX21" i="4"/>
  <c r="BW21" i="4"/>
  <c r="BV21" i="4"/>
  <c r="BT21" i="4"/>
  <c r="BS21" i="4"/>
  <c r="BR21" i="4"/>
  <c r="BQ21" i="4"/>
  <c r="BO21" i="4"/>
  <c r="BN21" i="4"/>
  <c r="BM21" i="4"/>
  <c r="BL21" i="4"/>
  <c r="BW20" i="4"/>
  <c r="BV20" i="4"/>
  <c r="BT20" i="4"/>
  <c r="BS20" i="4"/>
  <c r="BR20" i="4"/>
  <c r="BQ20" i="4"/>
  <c r="BO20" i="4"/>
  <c r="BN20" i="4"/>
  <c r="BM20" i="4"/>
  <c r="BL20" i="4"/>
  <c r="BK21" i="4"/>
  <c r="BJ21" i="4"/>
  <c r="BI21" i="4"/>
  <c r="BH21" i="4"/>
  <c r="BG21" i="4"/>
  <c r="BF21" i="4"/>
  <c r="BD21" i="4"/>
  <c r="BC21" i="4"/>
  <c r="BB21" i="4"/>
  <c r="BA21" i="4"/>
  <c r="BK20" i="4"/>
  <c r="BJ20" i="4"/>
  <c r="BI20" i="4"/>
  <c r="BH20" i="4"/>
  <c r="BG20" i="4"/>
  <c r="BF20" i="4"/>
  <c r="BD20" i="4"/>
  <c r="BC20" i="4"/>
  <c r="BB20" i="4"/>
  <c r="BA20" i="4"/>
  <c r="AZ20" i="4"/>
  <c r="AZ21" i="4"/>
  <c r="AX21" i="4"/>
  <c r="AW21" i="4"/>
  <c r="AV21" i="4"/>
  <c r="AU21" i="4"/>
  <c r="AS21" i="4"/>
  <c r="AR21" i="4"/>
  <c r="AX20" i="4"/>
  <c r="AW20" i="4"/>
  <c r="AV20" i="4"/>
  <c r="AU20" i="4"/>
  <c r="AS20" i="4"/>
  <c r="AR20" i="4"/>
  <c r="AQ20" i="4"/>
  <c r="AQ21" i="4"/>
  <c r="AP21" i="4"/>
  <c r="AL21" i="4"/>
  <c r="AK21" i="4"/>
  <c r="AJ21" i="4"/>
  <c r="AI21" i="4"/>
  <c r="AH21" i="4"/>
  <c r="AP20" i="4"/>
  <c r="AL20" i="4"/>
  <c r="AK20" i="4"/>
  <c r="AH20" i="4"/>
  <c r="AJ20" i="4"/>
  <c r="AI20" i="4"/>
  <c r="AG20" i="4"/>
  <c r="AF21" i="4"/>
  <c r="AF20" i="4"/>
  <c r="N20" i="4"/>
  <c r="AE20" i="4" l="1"/>
  <c r="AD20" i="4"/>
  <c r="AC20" i="4"/>
  <c r="AB20" i="4"/>
  <c r="AA20" i="4"/>
  <c r="Z20" i="4"/>
  <c r="Y20" i="4"/>
  <c r="X20" i="4"/>
  <c r="U20" i="4" l="1"/>
  <c r="T20" i="4"/>
  <c r="P20" i="4"/>
  <c r="N21" i="4"/>
  <c r="U21" i="4"/>
  <c r="T21" i="4"/>
  <c r="P21" i="4"/>
  <c r="O21" i="4"/>
  <c r="CG26" i="4" s="1"/>
  <c r="CI26" i="4" s="1"/>
  <c r="CJ26" i="4" s="1"/>
  <c r="D21" i="4"/>
  <c r="C21" i="4"/>
  <c r="CL21" i="4" l="1"/>
  <c r="CN21" i="4" l="1"/>
  <c r="CP21" i="4"/>
  <c r="CR21" i="4"/>
  <c r="CS21" i="4" l="1"/>
  <c r="CY21" i="4" l="1"/>
  <c r="CU21" i="4"/>
  <c r="CW21" i="4"/>
  <c r="E21" i="4" l="1"/>
  <c r="G21" i="4" s="1"/>
  <c r="I21" i="4" l="1"/>
  <c r="J21" i="4" s="1"/>
  <c r="M2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537C905C-543B-44FD-8E37-966C0BD1DD9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<sst xmlns="http://schemas.openxmlformats.org/spreadsheetml/2006/main" count="459" uniqueCount="259">
  <si>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</si>
  <si>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</si>
  <si>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</si>
  <si>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</si>
  <si>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</si>
  <si>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</si>
  <si>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</si>
  <si>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</si>
  <si>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</si>
  <si>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</si>
  <si>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</si>
  <si>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</si>
  <si>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</si>
  <si>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</si>
  <si>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</si>
  <si>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</si>
  <si>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</si>
  <si>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</si>
  <si>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</si>
  <si>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</si>
  <si>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</si>
  <si>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</si>
  <si>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</si>
  <si>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</si>
  <si>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</si>
  <si>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</si>
  <si>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</si>
  <si>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</si>
  <si>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</si>
  <si>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</si>
  <si>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</si>
  <si>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</si>
  <si>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</si>
  <si>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</si>
  <si>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</si>
  <si>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</si>
  <si>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</si>
  <si>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</si>
  <si>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</si>
  <si>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</si>
  <si>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</si>
  <si>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</si>
  <si>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</si>
  <si>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</si>
  <si>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</si>
  <si>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</si>
  <si>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</si>
  <si>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</si>
  <si>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</si>
  <si>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</si>
  <si>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</si>
  <si>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</si>
  <si>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</si>
  <si>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</si>
  <si>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</si>
  <si>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</si>
  <si>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</si>
  <si>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</si>
  <si>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</si>
  <si>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</si>
  <si>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</si>
  <si>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</si>
  <si>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</si>
  <si>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</si>
  <si>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</si>
  <si>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</si>
  <si>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</si>
  <si>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</si>
  <si>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</si>
  <si>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</si>
  <si>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</si>
  <si>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</si>
  <si>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</si>
  <si>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</si>
  <si>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</si>
  <si>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</si>
  <si>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</si>
  <si>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</si>
  <si>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</si>
  <si>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</si>
  <si>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</si>
  <si>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</si>
  <si>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</si>
  <si>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</si>
  <si>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</si>
  <si>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</si>
  <si>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</si>
  <si>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</si>
  <si>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</si>
  <si>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</si>
  <si>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</si>
  <si>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</si>
  <si>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</si>
  <si>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</si>
  <si>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</si>
  <si>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</si>
  <si>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</si>
  <si>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</si>
  <si>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</si>
  <si>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</si>
  <si>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</si>
  <si>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</si>
  <si>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</si>
  <si>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</si>
  <si>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</si>
  <si>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</si>
  <si>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</si>
  <si>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</si>
  <si>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</si>
  <si>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</si>
  <si>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</si>
  <si>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</si>
  <si>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</si>
  <si>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</si>
  <si>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</si>
  <si>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</si>
  <si>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</si>
  <si>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</si>
  <si>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</si>
  <si>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</si>
  <si>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</si>
  <si>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</si>
  <si>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</si>
  <si>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</si>
  <si>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</si>
  <si>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</si>
  <si>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</si>
  <si>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</si>
  <si>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</si>
  <si>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</si>
  <si>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</si>
  <si>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</si>
  <si>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</si>
  <si>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</si>
  <si>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</si>
  <si>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</si>
  <si>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</si>
  <si>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</si>
  <si>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</si>
  <si>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</si>
  <si>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</si>
  <si>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</si>
  <si>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</si>
  <si>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</si>
  <si>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</si>
  <si>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</si>
  <si>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</si>
  <si>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</si>
  <si>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</si>
  <si>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</si>
  <si>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</si>
  <si>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</si>
  <si>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</si>
  <si>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</si>
  <si>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</si>
  <si>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</si>
  <si>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</si>
  <si>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</si>
  <si>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</si>
  <si>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</si>
  <si>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</si>
  <si>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</si>
  <si>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</si>
  <si>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</si>
  <si>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</si>
  <si>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</si>
  <si>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</si>
  <si>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</si>
  <si>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</si>
  <si>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</si>
  <si>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</si>
  <si>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</si>
  <si>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</si>
  <si>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</si>
  <si>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</si>
  <si>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</si>
  <si>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</si>
  <si>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</si>
  <si>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</si>
  <si>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</si>
  <si>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</si>
  <si>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</si>
  <si>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</si>
  <si>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</si>
  <si>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</si>
  <si>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</si>
  <si>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</si>
  <si>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</si>
  <si>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</si>
  <si>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</si>
  <si>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</si>
  <si>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</si>
  <si>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</si>
  <si>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</si>
  <si>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</si>
  <si>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</si>
  <si>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</si>
  <si>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</si>
  <si>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</si>
  <si>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</si>
  <si>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</si>
  <si>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</si>
  <si>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</si>
  <si>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</si>
  <si>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</si>
  <si>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</si>
  <si>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</si>
  <si>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</si>
  <si>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</si>
  <si>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</si>
  <si>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</si>
  <si>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</si>
  <si>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</si>
  <si>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</si>
  <si>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</si>
  <si>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</si>
  <si>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</si>
  <si>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</si>
  <si>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</si>
  <si>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</si>
  <si>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ENQ-19467-25-26</t>
  </si>
  <si>
    <t>FC0700003</t>
  </si>
  <si>
    <t>AAAC : RABBIT CONDUCTOR - 55 SQ. MM. (7/3.15)</t>
  </si>
  <si>
    <t>WOOD</t>
  </si>
  <si>
    <t>Alumimium Alloy</t>
  </si>
  <si>
    <t>KMS</t>
  </si>
  <si>
    <t>MD0100015</t>
  </si>
  <si>
    <t>DRUM - 48 X 20 X 28 X 2.25 - RDSO</t>
  </si>
  <si>
    <t>MD0100013</t>
  </si>
  <si>
    <t>1220 X 600 X 710</t>
  </si>
  <si>
    <t>CONDUCTOR WEIGHT KG/KM</t>
  </si>
  <si>
    <t>CONDUCTOR+DRUM WEIGHT</t>
  </si>
  <si>
    <t>TRUCK WEIGHT</t>
  </si>
  <si>
    <t>16 MT</t>
  </si>
  <si>
    <t>RAIL VIKAS NIGAM LIMITED</t>
  </si>
  <si>
    <t>TENDER SPECIFICATION NO ()</t>
  </si>
  <si>
    <t>TENDER DESCRIPTION  ()</t>
  </si>
  <si>
    <t>Last Date &amp; Time of Submission ()</t>
  </si>
  <si>
    <t>REVERSE AUCTION</t>
  </si>
  <si>
    <t>Not Mention</t>
  </si>
  <si>
    <t>Price ()</t>
  </si>
  <si>
    <t>Validity  ()</t>
  </si>
  <si>
    <t>The bid must be valid up to 45 days from the date of opening of bids.</t>
  </si>
  <si>
    <t>Delivery Period  ()</t>
  </si>
  <si>
    <t>Payment Terms ()</t>
  </si>
  <si>
    <t>Standard length ()</t>
  </si>
  <si>
    <t>Packing  ()</t>
  </si>
  <si>
    <t>Technical Specification</t>
  </si>
  <si>
    <t>RVNL/B/E/RDSS/MPPK/Pkg-16/MAT/RE-SLT/CONDUCTORS</t>
  </si>
  <si>
    <t>Manufacturing &amp; Supply of Conductor AAAC Rabbit as per relevant IS and as per Specification of M.P. Poorv Kshetra V. V. Co. Ltd.</t>
  </si>
  <si>
    <t>11-05-2026 upto 12:00:00 PM
OPENING ON '11-05-2026 upto 12:30:00 PM</t>
  </si>
  <si>
    <t>The price is firm on F.O.R Destination Basis to the Supply at our Stores at Chhatarpur (Package-16). The prices include Freight, Incidental Charges, Tolls, Insurances, etc. in the account of Supplier. GST would be extra at actual as applicable at the time of dispatch on flat rate as governed by the concerned GST Rules.
There shall be no price variation in the CONTRACT/ITEM and the rates shall be firm for a period of ONE Year from the date of Purchase Order.</t>
  </si>
  <si>
    <t>10 days for Complete Order &lt;Part/Lot delivery at Chhatarpur stores (PKG-16)</t>
  </si>
  <si>
    <t>Advance : Payment of 20% advance of the Base Order Value (without GST) as provided manufacturing clearance, would be made on submission of Corporate Guarantee (Form-CG)
After Delivery : After receipt of materials at F.O.R. Destination payment of 78% balance of the supplied material will be released after random sample testing/M.R.C. by DISCOM, within 15 (Fifteen) Working Days through RTGS/NEFT or suitable payment mode.
On Acceptance : Balance payment of 2% will be released after/upon satisfactory acceptance of materials by concerned DISCOM.</t>
  </si>
  <si>
    <t>The standard length of the conductors shall be 2000 meters. The conductor drum shall be adequate to wind one or more standard length of 2000 meters of SQUIRREL/WEASEL/RABIT/RACOON/DOG/PANTHER AAA conductor</t>
  </si>
  <si>
    <t>The conductor shall be supplied in non-returnable, strong, wooden drums provided with laggin of adequate strength, constructed to protect the conductor against any damage and displacement during transit, storage and subsequent handling and stringing operation in the field.</t>
  </si>
  <si>
    <t>U1-C0002-193</t>
  </si>
  <si>
    <t>RA0100016</t>
  </si>
  <si>
    <t>ALLOY WIRE ROD T4 (6201) (CG)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</si>
</sst>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s>
  <fonts count="5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cellStyleXfs>
  <cellXfs count="130">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164" fontId="0" fillId="0" borderId="1" xfId="1" applyFont="1" applyBorder="1" applyAlignment="1">
      <alignment vertical="center" wrapText="1"/>
    </xf>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0" fillId="0" borderId="0" xfId="0" applyAlignment="1">
      <alignment vertical="top"/>
    </xf>
    <xf numFmtId="0" fontId="0" fillId="0" borderId="1" xfId="0" applyBorder="1" applyAlignment="1">
      <alignment vertical="center" wrapText="1"/>
    </xf>
    <xf numFmtId="0" fontId="51" fillId="0" borderId="1" xfId="0" applyFont="1" applyBorder="1" applyAlignment="1">
      <alignment horizontal="left" vertical="top"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quotePrefix="1" applyFont="1" applyBorder="1" applyAlignment="1">
      <alignment horizontal="left" vertical="top"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D9" sqref="D9:D10"/>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c r="G2" s="58"/>
      <c r="H2" s="58">
        <v>0</v>
      </c>
      <c r="I2" s="58"/>
      <c r="J2" s="53" t="s">
        <v>224</v>
      </c>
      <c r="K2" s="53"/>
      <c r="L2" s="53">
        <v>150</v>
      </c>
      <c r="M2" s="53"/>
      <c r="N2" s="52"/>
      <c r="O2" s="52"/>
      <c r="P2" s="52">
        <v>0</v>
      </c>
      <c r="Q2" s="52"/>
      <c r="R2" s="56"/>
      <c r="S2" s="56"/>
      <c r="T2" s="56">
        <v>0</v>
      </c>
      <c r="U2" s="56"/>
      <c r="V2" s="55"/>
      <c r="W2" s="55"/>
      <c r="X2" s="55">
        <v>0</v>
      </c>
      <c r="Y2" s="55"/>
      <c r="Z2" s="1"/>
      <c r="AA2" s="1"/>
      <c r="AB2" s="1">
        <v>0</v>
      </c>
      <c r="AC2" s="1"/>
      <c r="AD2" s="54"/>
      <c r="AE2" s="54"/>
      <c r="AF2" s="54">
        <v>0</v>
      </c>
      <c r="AG2" s="54"/>
      <c r="AH2" s="55"/>
      <c r="AI2" s="55"/>
      <c r="AJ2" s="55">
        <v>0</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739.5</v>
      </c>
      <c r="CA2" s="1">
        <v>739.5</v>
      </c>
      <c r="CB2" s="60"/>
      <c r="CC2" s="1"/>
      <c r="CD2" s="60"/>
      <c r="CE2" s="1"/>
      <c r="CF2" s="60"/>
      <c r="CG2" s="1"/>
      <c r="CH2" s="1">
        <v>739.5</v>
      </c>
      <c r="CI2" s="60"/>
      <c r="CJ2" s="1"/>
      <c r="CK2" s="60"/>
      <c r="CL2" s="1"/>
      <c r="CM2" s="1"/>
      <c r="CN2" s="1"/>
      <c r="CO2" s="1">
        <v>739.5</v>
      </c>
      <c r="CP2" s="60"/>
      <c r="CQ2" s="1">
        <v>739.5</v>
      </c>
      <c r="CR2" s="60">
        <v>0.18</v>
      </c>
      <c r="CS2" s="1">
        <v>133.11000000000001</v>
      </c>
      <c r="CT2" s="1">
        <v>872.61</v>
      </c>
      <c r="CU2" s="59">
        <v>900</v>
      </c>
      <c r="CV2" s="59" t="s">
        <v>225</v>
      </c>
      <c r="CW2" s="59">
        <v>785349</v>
      </c>
      <c r="CX2" s="1">
        <v>6000</v>
      </c>
      <c r="CY2" s="10" t="s">
        <v>226</v>
      </c>
      <c r="CZ2" s="10" t="s">
        <v>227</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3"/>
  <sheetViews>
    <sheetView showZeros="0" tabSelected="1" topLeftCell="A11" zoomScale="85" zoomScaleNormal="85" workbookViewId="0">
      <selection activeCell="H27" sqref="H27"/>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7.5703125" bestFit="1" customWidth="1"/>
    <col min="7" max="7" width="15.42578125" bestFit="1" customWidth="1"/>
    <col min="8" max="8" width="10.5703125" style="5" bestFit="1" customWidth="1"/>
    <col min="9" max="9" width="10.28515625" bestFit="1" customWidth="1"/>
    <col min="10" max="10" width="13.140625" bestFit="1" customWidth="1"/>
    <col min="11" max="11" width="10.28515625" bestFit="1" customWidth="1"/>
    <col min="12" max="12" width="7.140625" bestFit="1" customWidth="1"/>
    <col min="13" max="13" width="20" customWidth="1"/>
    <col min="14" max="14" width="7.85546875" style="15" hidden="1" customWidth="1"/>
    <col min="15" max="15" width="7.85546875" style="15" customWidth="1"/>
    <col min="16" max="84" width="7.85546875" style="15" hidden="1" customWidth="1"/>
    <col min="85" max="85" width="7.85546875" style="15" customWidth="1"/>
    <col min="86" max="86" width="11" style="15" customWidth="1"/>
    <col min="87" max="87" width="13.570312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99"/>
      <c r="B1" s="99"/>
      <c r="C1" s="99"/>
      <c r="D1" s="99"/>
      <c r="E1" s="99"/>
      <c r="F1" s="99"/>
      <c r="G1" s="99"/>
      <c r="H1" s="99"/>
      <c r="I1" s="99"/>
      <c r="J1" s="99"/>
      <c r="K1" s="99"/>
      <c r="L1" s="99"/>
      <c r="M1" s="99"/>
      <c r="N1" s="99"/>
      <c r="O1" s="99"/>
      <c r="P1" s="99"/>
      <c r="Q1" s="99"/>
      <c r="R1" s="99"/>
    </row>
    <row r="2" spans="1:18" ht="23.25" thickBot="1" x14ac:dyDescent="0.5">
      <c r="A2" s="113" t="s">
        <v>234</v>
      </c>
      <c r="B2" s="114"/>
      <c r="C2" s="114"/>
      <c r="D2" s="114"/>
      <c r="E2" s="114"/>
      <c r="F2" s="114"/>
      <c r="G2" s="114"/>
      <c r="H2" s="114"/>
      <c r="I2" s="114"/>
      <c r="J2" s="114"/>
      <c r="K2" s="114"/>
      <c r="L2" s="114"/>
      <c r="M2" s="114"/>
      <c r="N2" s="114"/>
      <c r="O2" s="114"/>
      <c r="P2" s="114"/>
      <c r="Q2" s="114"/>
      <c r="R2" s="115"/>
    </row>
    <row r="3" spans="1:18" ht="15.75" thickBot="1" x14ac:dyDescent="0.3">
      <c r="B3"/>
      <c r="E3"/>
      <c r="H3"/>
      <c r="N3"/>
      <c r="O3"/>
      <c r="P3"/>
      <c r="Q3"/>
      <c r="R3"/>
    </row>
    <row r="4" spans="1:18" ht="45.75" thickBot="1" x14ac:dyDescent="0.3">
      <c r="A4" s="100" t="s">
        <v>235</v>
      </c>
      <c r="B4" s="116" t="s">
        <v>248</v>
      </c>
      <c r="C4" s="116"/>
      <c r="D4" s="116"/>
      <c r="E4" s="116"/>
      <c r="F4" s="116"/>
      <c r="G4" s="116"/>
      <c r="H4" s="116"/>
      <c r="I4" s="116"/>
      <c r="J4" s="116"/>
      <c r="K4" s="116"/>
      <c r="L4" s="116"/>
      <c r="M4" s="116"/>
      <c r="N4" s="116"/>
      <c r="O4" s="116"/>
      <c r="P4" s="116"/>
      <c r="Q4" s="116"/>
      <c r="R4" s="116"/>
    </row>
    <row r="5" spans="1:18" ht="45" x14ac:dyDescent="0.25">
      <c r="A5" s="100" t="s">
        <v>236</v>
      </c>
      <c r="B5" s="116" t="s">
        <v>249</v>
      </c>
      <c r="C5" s="116"/>
      <c r="D5" s="116"/>
      <c r="E5" s="116"/>
      <c r="F5" s="116"/>
      <c r="G5" s="116"/>
      <c r="H5" s="116"/>
      <c r="I5" s="116"/>
      <c r="J5" s="116"/>
      <c r="K5" s="116"/>
      <c r="L5" s="116"/>
      <c r="M5" s="116"/>
      <c r="N5" s="116"/>
      <c r="O5" s="116"/>
      <c r="P5" s="116"/>
      <c r="Q5" s="116"/>
      <c r="R5" s="116"/>
    </row>
    <row r="6" spans="1:18" ht="45" x14ac:dyDescent="0.25">
      <c r="A6" s="101" t="s">
        <v>237</v>
      </c>
      <c r="B6" s="117" t="s">
        <v>250</v>
      </c>
      <c r="C6" s="116"/>
      <c r="D6" s="116"/>
      <c r="E6" s="116"/>
      <c r="F6" s="116"/>
      <c r="G6" s="116"/>
      <c r="H6" s="116"/>
      <c r="I6" s="116"/>
      <c r="J6" s="116"/>
      <c r="K6" s="116"/>
      <c r="L6" s="116"/>
      <c r="M6" s="116"/>
      <c r="N6" s="116"/>
      <c r="O6" s="116"/>
      <c r="P6" s="116"/>
      <c r="Q6" s="116"/>
      <c r="R6" s="116"/>
    </row>
    <row r="7" spans="1:18" ht="30" x14ac:dyDescent="0.25">
      <c r="A7" s="101" t="s">
        <v>238</v>
      </c>
      <c r="B7" s="106" t="s">
        <v>239</v>
      </c>
      <c r="C7" s="116"/>
      <c r="D7" s="116"/>
      <c r="E7" s="116"/>
      <c r="F7" s="116"/>
      <c r="G7" s="116"/>
      <c r="H7" s="116"/>
      <c r="I7" s="116"/>
      <c r="J7" s="116"/>
      <c r="K7" s="116"/>
      <c r="L7" s="116"/>
      <c r="M7" s="116"/>
      <c r="N7" s="116"/>
      <c r="O7" s="116"/>
      <c r="P7" s="116"/>
      <c r="Q7" s="116"/>
      <c r="R7" s="116"/>
    </row>
    <row r="8" spans="1:18" ht="46.5" customHeight="1" x14ac:dyDescent="0.25">
      <c r="A8" s="101" t="s">
        <v>240</v>
      </c>
      <c r="B8" s="106" t="s">
        <v>251</v>
      </c>
      <c r="C8" s="106"/>
      <c r="D8" s="106"/>
      <c r="E8" s="106"/>
      <c r="F8" s="106"/>
      <c r="G8" s="106"/>
      <c r="H8" s="106"/>
      <c r="I8" s="106"/>
      <c r="J8" s="106"/>
      <c r="K8" s="106"/>
      <c r="L8" s="106"/>
      <c r="M8" s="106"/>
      <c r="N8" s="106"/>
      <c r="O8" s="106"/>
      <c r="P8" s="106"/>
      <c r="Q8" s="106"/>
      <c r="R8" s="106"/>
    </row>
    <row r="9" spans="1:18" x14ac:dyDescent="0.25">
      <c r="A9" s="101" t="s">
        <v>241</v>
      </c>
      <c r="B9" s="107" t="s">
        <v>242</v>
      </c>
      <c r="C9" s="108"/>
      <c r="D9" s="108"/>
      <c r="E9" s="108"/>
      <c r="F9" s="108"/>
      <c r="G9" s="108"/>
      <c r="H9" s="108"/>
      <c r="I9" s="108"/>
      <c r="J9" s="108"/>
      <c r="K9" s="108"/>
      <c r="L9" s="108"/>
      <c r="M9" s="108"/>
      <c r="N9" s="108"/>
      <c r="O9" s="108"/>
      <c r="P9" s="108"/>
      <c r="Q9" s="108"/>
      <c r="R9" s="109"/>
    </row>
    <row r="10" spans="1:18" ht="30" x14ac:dyDescent="0.25">
      <c r="A10" s="101" t="s">
        <v>243</v>
      </c>
      <c r="B10" s="107" t="s">
        <v>252</v>
      </c>
      <c r="C10" s="108"/>
      <c r="D10" s="108"/>
      <c r="E10" s="108"/>
      <c r="F10" s="108"/>
      <c r="G10" s="108"/>
      <c r="H10" s="108"/>
      <c r="I10" s="108"/>
      <c r="J10" s="108"/>
      <c r="K10" s="108"/>
      <c r="L10" s="108"/>
      <c r="M10" s="108"/>
      <c r="N10" s="108"/>
      <c r="O10" s="108"/>
      <c r="P10" s="108"/>
      <c r="Q10" s="108"/>
      <c r="R10" s="109"/>
    </row>
    <row r="11" spans="1:18" ht="66.75" customHeight="1" x14ac:dyDescent="0.25">
      <c r="A11" s="101" t="s">
        <v>244</v>
      </c>
      <c r="B11" s="110" t="s">
        <v>253</v>
      </c>
      <c r="C11" s="111"/>
      <c r="D11" s="111"/>
      <c r="E11" s="111"/>
      <c r="F11" s="111"/>
      <c r="G11" s="111"/>
      <c r="H11" s="111"/>
      <c r="I11" s="111"/>
      <c r="J11" s="111"/>
      <c r="K11" s="111"/>
      <c r="L11" s="111"/>
      <c r="M11" s="111"/>
      <c r="N11" s="111"/>
      <c r="O11" s="111"/>
      <c r="P11" s="111"/>
      <c r="Q11" s="111"/>
      <c r="R11" s="112"/>
    </row>
    <row r="12" spans="1:18" ht="30" x14ac:dyDescent="0.25">
      <c r="A12" s="102" t="s">
        <v>245</v>
      </c>
      <c r="B12" s="105" t="s">
        <v>254</v>
      </c>
      <c r="C12" s="105"/>
      <c r="D12" s="105"/>
      <c r="E12" s="105"/>
      <c r="F12" s="105"/>
      <c r="G12" s="105"/>
      <c r="H12" s="105"/>
      <c r="I12" s="105"/>
      <c r="J12" s="105"/>
      <c r="K12" s="105"/>
      <c r="L12" s="105"/>
      <c r="M12" s="105"/>
      <c r="N12" s="105"/>
      <c r="O12" s="105"/>
      <c r="P12" s="105"/>
      <c r="Q12" s="105"/>
      <c r="R12" s="105"/>
    </row>
    <row r="13" spans="1:18" ht="50.25" customHeight="1" x14ac:dyDescent="0.25">
      <c r="A13" s="102" t="s">
        <v>246</v>
      </c>
      <c r="B13" s="105" t="s">
        <v>255</v>
      </c>
      <c r="C13" s="105"/>
      <c r="D13" s="105"/>
      <c r="E13" s="105"/>
      <c r="F13" s="105"/>
      <c r="G13" s="105"/>
      <c r="H13" s="105"/>
      <c r="I13" s="105"/>
      <c r="J13" s="105"/>
      <c r="K13" s="105"/>
      <c r="L13" s="105"/>
      <c r="M13" s="105"/>
      <c r="N13" s="105"/>
      <c r="O13" s="105"/>
      <c r="P13" s="105"/>
      <c r="Q13" s="105"/>
      <c r="R13" s="105"/>
    </row>
    <row r="14" spans="1:18" ht="30" x14ac:dyDescent="0.25">
      <c r="A14" s="103" t="s">
        <v>247</v>
      </c>
      <c r="B14" s="105"/>
      <c r="C14" s="105"/>
      <c r="D14" s="105"/>
      <c r="E14" s="105"/>
      <c r="F14" s="105"/>
      <c r="G14" s="105"/>
      <c r="H14" s="105"/>
      <c r="I14" s="105"/>
      <c r="J14" s="105"/>
      <c r="K14" s="105"/>
      <c r="L14" s="105"/>
      <c r="M14" s="105"/>
      <c r="N14" s="105"/>
      <c r="O14" s="105"/>
      <c r="P14" s="105"/>
      <c r="Q14" s="105"/>
      <c r="R14" s="105"/>
    </row>
    <row r="18" spans="1:104" s="22" customFormat="1" ht="28.9" customHeight="1" x14ac:dyDescent="0.25">
      <c r="A18" s="88"/>
      <c r="B18" s="88"/>
      <c r="C18" s="89"/>
      <c r="D18" s="89"/>
      <c r="E18" s="26"/>
      <c r="H18" s="27"/>
      <c r="N18" s="125" t="s">
        <v>82</v>
      </c>
      <c r="O18" s="125"/>
      <c r="P18" s="125"/>
      <c r="Q18" s="125"/>
      <c r="R18" s="125"/>
      <c r="S18" s="125"/>
      <c r="T18" s="125"/>
      <c r="U18" s="125"/>
      <c r="V18" s="126" t="s">
        <v>4</v>
      </c>
      <c r="W18" s="126"/>
      <c r="X18" s="127" t="s">
        <v>3</v>
      </c>
      <c r="Y18" s="127"/>
      <c r="Z18" s="127"/>
      <c r="AA18" s="127"/>
      <c r="AB18" s="127"/>
      <c r="AC18" s="127"/>
      <c r="AD18" s="127"/>
      <c r="AE18" s="127"/>
      <c r="AF18" s="128" t="s">
        <v>5</v>
      </c>
      <c r="AG18" s="128"/>
      <c r="AH18" s="129" t="s">
        <v>6</v>
      </c>
      <c r="AI18" s="129"/>
      <c r="AJ18" s="129"/>
      <c r="AK18" s="129"/>
      <c r="AL18" s="129"/>
      <c r="AM18" s="129"/>
      <c r="AN18" s="129"/>
      <c r="AO18" s="129"/>
      <c r="AP18" s="129"/>
      <c r="AQ18" s="35" t="s">
        <v>7</v>
      </c>
      <c r="AR18" s="121" t="s">
        <v>8</v>
      </c>
      <c r="AS18" s="122"/>
      <c r="AT18" s="122"/>
      <c r="AU18" s="122"/>
      <c r="AV18" s="122"/>
      <c r="AW18" s="122"/>
      <c r="AX18" s="122"/>
      <c r="AY18" s="122"/>
      <c r="AZ18" s="122"/>
      <c r="BA18" s="123" t="s">
        <v>9</v>
      </c>
      <c r="BB18" s="123"/>
      <c r="BC18" s="123"/>
      <c r="BD18" s="123"/>
      <c r="BE18" s="123"/>
      <c r="BF18" s="123"/>
      <c r="BG18" s="123"/>
      <c r="BH18" s="123"/>
      <c r="BI18" s="123"/>
      <c r="BJ18" s="123"/>
      <c r="BK18" s="123"/>
      <c r="BL18" s="124" t="s">
        <v>10</v>
      </c>
      <c r="BM18" s="124"/>
      <c r="BN18" s="124"/>
      <c r="BO18" s="124"/>
      <c r="BP18" s="124"/>
      <c r="BQ18" s="124"/>
      <c r="BR18" s="124"/>
      <c r="BS18" s="124"/>
      <c r="BT18" s="124"/>
      <c r="BU18" s="124"/>
      <c r="BV18" s="124"/>
      <c r="BW18" s="124"/>
      <c r="BX18" s="39" t="s">
        <v>11</v>
      </c>
      <c r="BY18" s="42" t="s">
        <v>12</v>
      </c>
      <c r="BZ18" s="30" t="s">
        <v>13</v>
      </c>
      <c r="CA18" s="34" t="s">
        <v>14</v>
      </c>
      <c r="CB18" s="31" t="s">
        <v>15</v>
      </c>
      <c r="CC18" s="45" t="s">
        <v>16</v>
      </c>
      <c r="CD18" s="47" t="s">
        <v>17</v>
      </c>
      <c r="CE18" s="41" t="s">
        <v>18</v>
      </c>
      <c r="CF18" s="30" t="s">
        <v>19</v>
      </c>
      <c r="CG18" s="118" t="s">
        <v>84</v>
      </c>
      <c r="CH18" s="119"/>
      <c r="CI18" s="119"/>
      <c r="CJ18" s="120"/>
      <c r="CK18" s="65" t="s">
        <v>20</v>
      </c>
      <c r="CL18" s="23" t="s">
        <v>21</v>
      </c>
      <c r="CM18" s="24" t="s">
        <v>40</v>
      </c>
      <c r="CN18" s="23" t="s">
        <v>81</v>
      </c>
      <c r="CO18" s="25"/>
      <c r="CP18" s="26"/>
      <c r="CQ18" s="27"/>
      <c r="CR18" s="26"/>
      <c r="CS18" s="26"/>
      <c r="CT18" s="27"/>
      <c r="CV18" s="27"/>
      <c r="CZ18" s="22" t="s">
        <v>126</v>
      </c>
    </row>
    <row r="19" spans="1:104" s="11" customFormat="1" ht="89.25" x14ac:dyDescent="0.25">
      <c r="A19" s="80" t="s">
        <v>0</v>
      </c>
      <c r="B19" s="81" t="s">
        <v>85</v>
      </c>
      <c r="C19" s="80" t="s">
        <v>1</v>
      </c>
      <c r="D19" s="80" t="s">
        <v>2</v>
      </c>
      <c r="E19" s="3" t="s">
        <v>31</v>
      </c>
      <c r="F19" s="9" t="s">
        <v>32</v>
      </c>
      <c r="G19" s="9" t="s">
        <v>33</v>
      </c>
      <c r="H19" s="4" t="s">
        <v>34</v>
      </c>
      <c r="I19" s="9" t="s">
        <v>35</v>
      </c>
      <c r="J19" s="9" t="s">
        <v>36</v>
      </c>
      <c r="K19" s="9" t="s">
        <v>37</v>
      </c>
      <c r="L19" s="9" t="s">
        <v>38</v>
      </c>
      <c r="M19" s="9" t="s">
        <v>39</v>
      </c>
      <c r="N19" s="82" t="s">
        <v>41</v>
      </c>
      <c r="O19" s="82" t="s">
        <v>46</v>
      </c>
      <c r="P19" s="82" t="s">
        <v>43</v>
      </c>
      <c r="Q19" s="82" t="s">
        <v>123</v>
      </c>
      <c r="R19" s="82" t="s">
        <v>124</v>
      </c>
      <c r="S19" s="82" t="s">
        <v>125</v>
      </c>
      <c r="T19" s="82" t="s">
        <v>44</v>
      </c>
      <c r="U19" s="82" t="s">
        <v>45</v>
      </c>
      <c r="V19" s="82" t="s">
        <v>41</v>
      </c>
      <c r="W19" s="82" t="s">
        <v>46</v>
      </c>
      <c r="X19" s="83" t="s">
        <v>53</v>
      </c>
      <c r="Y19" s="83" t="s">
        <v>57</v>
      </c>
      <c r="Z19" s="83" t="s">
        <v>60</v>
      </c>
      <c r="AA19" s="83" t="s">
        <v>65</v>
      </c>
      <c r="AB19" s="83" t="s">
        <v>69</v>
      </c>
      <c r="AC19" s="83" t="s">
        <v>71</v>
      </c>
      <c r="AD19" s="83" t="s">
        <v>73</v>
      </c>
      <c r="AE19" s="83" t="s">
        <v>75</v>
      </c>
      <c r="AF19" s="83" t="s">
        <v>52</v>
      </c>
      <c r="AG19" s="83" t="s">
        <v>56</v>
      </c>
      <c r="AH19" s="83" t="s">
        <v>51</v>
      </c>
      <c r="AI19" s="83" t="s">
        <v>47</v>
      </c>
      <c r="AJ19" s="83" t="s">
        <v>59</v>
      </c>
      <c r="AK19" s="83" t="s">
        <v>64</v>
      </c>
      <c r="AL19" s="83" t="s">
        <v>68</v>
      </c>
      <c r="AM19" s="83" t="s">
        <v>87</v>
      </c>
      <c r="AN19" s="83" t="s">
        <v>88</v>
      </c>
      <c r="AO19" s="83" t="s">
        <v>86</v>
      </c>
      <c r="AP19" s="83" t="s">
        <v>94</v>
      </c>
      <c r="AQ19" s="84" t="s">
        <v>7</v>
      </c>
      <c r="AR19" s="83" t="s">
        <v>54</v>
      </c>
      <c r="AS19" s="83" t="s">
        <v>58</v>
      </c>
      <c r="AT19" s="83" t="s">
        <v>63</v>
      </c>
      <c r="AU19" s="83" t="s">
        <v>61</v>
      </c>
      <c r="AV19" s="83" t="s">
        <v>66</v>
      </c>
      <c r="AW19" s="83" t="s">
        <v>70</v>
      </c>
      <c r="AX19" s="83" t="s">
        <v>48</v>
      </c>
      <c r="AY19" s="83" t="s">
        <v>122</v>
      </c>
      <c r="AZ19" s="83" t="s">
        <v>74</v>
      </c>
      <c r="BA19" s="83" t="s">
        <v>55</v>
      </c>
      <c r="BB19" s="83" t="s">
        <v>42</v>
      </c>
      <c r="BC19" s="83" t="s">
        <v>62</v>
      </c>
      <c r="BD19" s="83" t="s">
        <v>67</v>
      </c>
      <c r="BE19" s="83" t="s">
        <v>89</v>
      </c>
      <c r="BF19" s="83" t="s">
        <v>72</v>
      </c>
      <c r="BG19" s="83" t="s">
        <v>49</v>
      </c>
      <c r="BH19" s="83" t="s">
        <v>76</v>
      </c>
      <c r="BI19" s="83" t="s">
        <v>77</v>
      </c>
      <c r="BJ19" s="83" t="s">
        <v>78</v>
      </c>
      <c r="BK19" s="83" t="s">
        <v>80</v>
      </c>
      <c r="BL19" s="83" t="s">
        <v>54</v>
      </c>
      <c r="BM19" s="83" t="s">
        <v>58</v>
      </c>
      <c r="BN19" s="83" t="s">
        <v>63</v>
      </c>
      <c r="BO19" s="83" t="s">
        <v>61</v>
      </c>
      <c r="BP19" s="83" t="s">
        <v>90</v>
      </c>
      <c r="BQ19" s="83" t="s">
        <v>95</v>
      </c>
      <c r="BR19" s="83" t="s">
        <v>91</v>
      </c>
      <c r="BS19" s="83" t="s">
        <v>66</v>
      </c>
      <c r="BT19" s="83" t="s">
        <v>48</v>
      </c>
      <c r="BU19" s="83" t="s">
        <v>122</v>
      </c>
      <c r="BV19" s="83" t="s">
        <v>74</v>
      </c>
      <c r="BW19" s="83" t="s">
        <v>79</v>
      </c>
      <c r="BX19" s="84" t="s">
        <v>11</v>
      </c>
      <c r="BY19" s="84" t="s">
        <v>50</v>
      </c>
      <c r="BZ19" s="85" t="s">
        <v>13</v>
      </c>
      <c r="CA19" s="86" t="s">
        <v>14</v>
      </c>
      <c r="CB19" s="85" t="s">
        <v>15</v>
      </c>
      <c r="CC19" s="85" t="s">
        <v>16</v>
      </c>
      <c r="CD19" s="85" t="s">
        <v>17</v>
      </c>
      <c r="CE19" s="86" t="s">
        <v>18</v>
      </c>
      <c r="CF19" s="85" t="s">
        <v>19</v>
      </c>
      <c r="CG19" s="69" t="s">
        <v>83</v>
      </c>
      <c r="CH19" s="69" t="s">
        <v>92</v>
      </c>
      <c r="CI19" s="69" t="s">
        <v>93</v>
      </c>
      <c r="CJ19" s="69" t="s">
        <v>96</v>
      </c>
      <c r="CK19" s="14"/>
      <c r="CL19" s="14"/>
      <c r="CM19" s="12"/>
      <c r="CN19" s="14"/>
      <c r="CO19" s="7" t="s">
        <v>22</v>
      </c>
      <c r="CP19" s="3" t="s">
        <v>23</v>
      </c>
      <c r="CQ19" s="4" t="s">
        <v>24</v>
      </c>
      <c r="CR19" s="3" t="s">
        <v>25</v>
      </c>
      <c r="CS19" s="3" t="s">
        <v>26</v>
      </c>
      <c r="CT19" s="4" t="s">
        <v>27</v>
      </c>
      <c r="CU19" s="9" t="s">
        <v>28</v>
      </c>
      <c r="CV19" s="4" t="s">
        <v>29</v>
      </c>
      <c r="CW19" s="9" t="s">
        <v>30</v>
      </c>
      <c r="CX19" s="4" t="s">
        <v>97</v>
      </c>
      <c r="CY19" s="9" t="s">
        <v>98</v>
      </c>
    </row>
    <row r="20" spans="1:104" s="14" customFormat="1" x14ac:dyDescent="0.25">
      <c r="A20" s="16"/>
      <c r="B20" s="61"/>
      <c r="C20" s="16"/>
      <c r="D20" s="16"/>
      <c r="E20" s="3"/>
      <c r="F20" s="77"/>
      <c r="G20" s="64"/>
      <c r="H20" s="3"/>
      <c r="I20" s="3"/>
      <c r="J20" s="3"/>
      <c r="K20" s="78"/>
      <c r="L20" s="3"/>
      <c r="M20" s="3"/>
      <c r="N20" s="17">
        <f>+IFERROR(VLOOKUP($N$19,Sheet1!J:L,2,0),0)</f>
        <v>0</v>
      </c>
      <c r="O20" s="17">
        <v>398</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+IFERROR(VLOOKUP($W$19,Sheet1!N:O,2,0),0)</f>
        <v>0</v>
      </c>
      <c r="X20" s="18">
        <f>+IFERROR(VLOOKUP($X$19,Sheet1!F:I,2,0),0)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+IFERROR(VLOOKUP($AF$19,Sheet1!R:U,2,0),0)</f>
        <v>0</v>
      </c>
      <c r="AG20" s="18">
        <f>+IFERROR(VLOOKUP($AG$19,Sheet1!R:U,2,0),0)</f>
        <v>0</v>
      </c>
      <c r="AH20" s="18">
        <f>+IFERROR(VLOOKUP($AH$19,Sheet1!V:Y,2,0),0)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f>+IFERROR(VLOOKUP($AQ$19,Sheet1!Z2:AA840,2,0),0)</f>
        <v>0</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+IFERROR(VLOOKUP($BA$19,Sheet1!AH2:AK840,2,0),0)</f>
        <v>0</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+IFERROR(VLOOKUP($BL$19,Sheet1!AL2:AO840,2,0),0)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9">
        <f>+IFERROR(VLOOKUP($BX$19,Sheet1!AP2:AS840,2,0),0)</f>
        <v>0</v>
      </c>
      <c r="BY20" s="19">
        <f>+IFERROR(VLOOKUP($BY$19,Sheet1!AT2:AW840,2,0),0)</f>
        <v>0</v>
      </c>
      <c r="BZ20" s="20">
        <f>+IFERROR(VLOOKUP($BZ$19,Sheet1!AX2:BA840,2,0),0)</f>
        <v>0</v>
      </c>
      <c r="CA20" s="21">
        <f>+IFERROR(VLOOKUP($CA$19,Sheet1!BB2:BE840,2,0),0)</f>
        <v>0</v>
      </c>
      <c r="CB20" s="20">
        <f>+IFERROR(VLOOKUP($CB$19,Sheet1!BF2:BI840,2,0),0)</f>
        <v>0</v>
      </c>
      <c r="CC20" s="20">
        <f>+IFERROR(VLOOKUP($CC$19,Sheet1!BJ2:BM840,2,0),0)</f>
        <v>0</v>
      </c>
      <c r="CD20" s="20">
        <f>+IFERROR(VLOOKUP($CD$19,Sheet1!BN2:BQ840,2,0),0)</f>
        <v>0</v>
      </c>
      <c r="CE20" s="21">
        <f>+IFERROR(VLOOKUP($CE$19,Sheet1!BR2:BU840,2,0),0)</f>
        <v>0</v>
      </c>
      <c r="CF20" s="20">
        <f>+IFERROR(VLOOKUP($CF$19,Sheet1!BV2:BY840,2,0),0)</f>
        <v>0</v>
      </c>
      <c r="CG20" s="66"/>
      <c r="CH20" s="66"/>
      <c r="CI20" s="66"/>
      <c r="CJ20" s="66"/>
      <c r="CO20" s="3"/>
      <c r="CP20" s="3"/>
      <c r="CQ20" s="3"/>
      <c r="CR20" s="3"/>
      <c r="CS20" s="3"/>
      <c r="CT20" s="3"/>
      <c r="CU20" s="3"/>
      <c r="CV20" s="3"/>
      <c r="CW20" s="3"/>
      <c r="CX20" s="3"/>
      <c r="CY20" s="3"/>
    </row>
    <row r="21" spans="1:104" s="22" customFormat="1" ht="30" x14ac:dyDescent="0.25">
      <c r="A21" s="6" t="str">
        <f>Sheet1!A2</f>
        <v>ENQ-19467-25-26</v>
      </c>
      <c r="B21" s="87">
        <v>46148</v>
      </c>
      <c r="C21" s="6" t="str">
        <f>Sheet1!C2</f>
        <v>FC0700003</v>
      </c>
      <c r="D21" s="6" t="str">
        <f>Sheet1!D2</f>
        <v>AAAC : RABBIT CONDUCTOR - 55 SQ. MM. (7/3.15)</v>
      </c>
      <c r="E21" s="23">
        <f>CS21+CU21+CW21+CY21</f>
        <v>66614.2</v>
      </c>
      <c r="F21" s="98">
        <f>ROUNDUP(M26,0)</f>
        <v>623</v>
      </c>
      <c r="G21" s="28">
        <f>E21+F21</f>
        <v>67237.2</v>
      </c>
      <c r="H21" s="29">
        <f>Sheet1!CR2</f>
        <v>0.18</v>
      </c>
      <c r="I21" s="28">
        <f>G21*H21</f>
        <v>12102.696</v>
      </c>
      <c r="J21" s="28">
        <f>G21+I21</f>
        <v>79339.895999999993</v>
      </c>
      <c r="K21" s="79">
        <f>Sheet1!CU2</f>
        <v>900</v>
      </c>
      <c r="L21" s="76" t="str">
        <f>Sheet1!CV2</f>
        <v>KMS</v>
      </c>
      <c r="M21" s="23">
        <f>J21*K21</f>
        <v>71405906.399999991</v>
      </c>
      <c r="N21" s="71">
        <f>+IFERROR(VLOOKUP($N$19,Sheet1!J2:L2,3,0),0)</f>
        <v>0</v>
      </c>
      <c r="O21" s="71">
        <f>+IFERROR(VLOOKUP($O$19,Sheet1!J2:L2,3,0),0)</f>
        <v>150</v>
      </c>
      <c r="P21" s="71">
        <f>+IFERROR(VLOOKUP($P$19,Sheet1!J2:M2,3,0),0)</f>
        <v>0</v>
      </c>
      <c r="Q21" s="71">
        <f>+IFERROR(VLOOKUP($Q$19,Sheet1!J2:M2,3,0),0)</f>
        <v>0</v>
      </c>
      <c r="R21" s="71">
        <f>+IFERROR(VLOOKUP($R$19,Sheet1!J2:M2,3,0),0)</f>
        <v>0</v>
      </c>
      <c r="S21" s="71">
        <f>+IFERROR(VLOOKUP($S$19,Sheet1!J2:M2,3,0),0)</f>
        <v>0</v>
      </c>
      <c r="T21" s="71">
        <f>+IFERROR(VLOOKUP($T$19,Sheet1!J2:M2,3,0),0)</f>
        <v>0</v>
      </c>
      <c r="U21" s="71">
        <f>+IFERROR(VLOOKUP($U$19,Sheet1!J2:M2,3,0),0)</f>
        <v>0</v>
      </c>
      <c r="V21" s="72">
        <f>+IFERROR(VLOOKUP($V$19,Sheet1!N2:Q2,3,0),0)</f>
        <v>0</v>
      </c>
      <c r="W21" s="72">
        <f>+IFERROR(VLOOKUP($W$19,Sheet1!N2:Q2,3,0),0)</f>
        <v>0</v>
      </c>
      <c r="X21" s="73">
        <f>+IFERROR(VLOOKUP($X$19,Sheet1!F2:I2,3,0),0)</f>
        <v>0</v>
      </c>
      <c r="Y21" s="73">
        <f>+IFERROR(VLOOKUP($Y$19,Sheet1!F2:I2,3,0),0)</f>
        <v>0</v>
      </c>
      <c r="Z21" s="73">
        <f>+IFERROR(VLOOKUP($Z$19,Sheet1!F2:I2,3,0),0)</f>
        <v>0</v>
      </c>
      <c r="AA21" s="73">
        <f>+IFERROR(VLOOKUP($AA$19,Sheet1!F2:I2,3,0),0)</f>
        <v>0</v>
      </c>
      <c r="AB21" s="73">
        <f>+IFERROR(VLOOKUP($AB$19,Sheet1!F2:I2,3,0),0)</f>
        <v>0</v>
      </c>
      <c r="AC21" s="73">
        <f>+IFERROR(VLOOKUP($AC$19,Sheet1!F2:I2,3,0),0)</f>
        <v>0</v>
      </c>
      <c r="AD21" s="73">
        <f>+IFERROR(VLOOKUP($AD$19,Sheet1!F2:I2,3,0),0)</f>
        <v>0</v>
      </c>
      <c r="AE21" s="73">
        <f>+IFERROR(VLOOKUP($AE$19,Sheet1!F2:I2,3,0),0)</f>
        <v>0</v>
      </c>
      <c r="AF21" s="74">
        <f>+IFERROR(VLOOKUP($AF$19,Sheet1!R2:U2,3,0),0)</f>
        <v>0</v>
      </c>
      <c r="AG21" s="32">
        <f>+IFERROR(VLOOKUP($AG$19,Sheet1!R2:U2,3,0),0)</f>
        <v>0</v>
      </c>
      <c r="AH21" s="75">
        <f>+IFERROR(VLOOKUP($AH$19,Sheet1!V2:Y2,3,0),0)</f>
        <v>0</v>
      </c>
      <c r="AI21" s="33">
        <f>+IFERROR(VLOOKUP($AI$19,Sheet1!V2:Y2,3,0),0)</f>
        <v>0</v>
      </c>
      <c r="AJ21" s="33">
        <f>+IFERROR(VLOOKUP($AJ$19,Sheet1!V2:Y2,3,0),0)</f>
        <v>0</v>
      </c>
      <c r="AK21" s="33">
        <f>+IFERROR(VLOOKUP($AK$19,Sheet1!V2:Y2,3,0),0)</f>
        <v>0</v>
      </c>
      <c r="AL21" s="33">
        <f>+IFERROR(VLOOKUP($AL$19,Sheet1!V2:Y2,3,0),0)</f>
        <v>0</v>
      </c>
      <c r="AM21" s="33">
        <f>+IFERROR(VLOOKUP($AM$19,Sheet1!V2:Y2,3,0),0)</f>
        <v>0</v>
      </c>
      <c r="AN21" s="33">
        <f>+IFERROR(VLOOKUP($AN$19,Sheet1!V2:Y2,3,0),0)</f>
        <v>0</v>
      </c>
      <c r="AO21" s="33">
        <f>+IFERROR(VLOOKUP($AO$19,Sheet1!V2:Y2,3,0),0)</f>
        <v>0</v>
      </c>
      <c r="AP21" s="33">
        <f>+IFERROR(VLOOKUP($AP$19,Sheet1!V2:Y2,3,0),0)</f>
        <v>0</v>
      </c>
      <c r="AQ21" s="36">
        <f>+IFERROR(VLOOKUP($AQ$19,Sheet1!Z2:AB2,3,0),0)</f>
        <v>0</v>
      </c>
      <c r="AR21" s="37">
        <f>+IFERROR(VLOOKUP($AR$19,Sheet1!AD2:AG2,3,0),0)</f>
        <v>0</v>
      </c>
      <c r="AS21" s="37">
        <f>+IFERROR(VLOOKUP($AS$19,Sheet1!AD2:AG2,3,0),0)</f>
        <v>0</v>
      </c>
      <c r="AT21" s="37">
        <f>+IFERROR(VLOOKUP($AT$19,Sheet1!AD2:AG2,3,0),0)</f>
        <v>0</v>
      </c>
      <c r="AU21" s="37">
        <f>+IFERROR(VLOOKUP($AU$19,Sheet1!AD2:AG2,3,0),0)</f>
        <v>0</v>
      </c>
      <c r="AV21" s="37">
        <f>+IFERROR(VLOOKUP($AV$19,Sheet1!AD2:AG2,3,0),0)</f>
        <v>0</v>
      </c>
      <c r="AW21" s="37">
        <f>+IFERROR(VLOOKUP($AW$19,Sheet1!AD2:AG2,3,0),0)</f>
        <v>0</v>
      </c>
      <c r="AX21" s="37">
        <f>+IFERROR(VLOOKUP($AX$19,Sheet1!AD2:AG2,3,0),0)</f>
        <v>0</v>
      </c>
      <c r="AY21" s="37">
        <f>+IFERROR(VLOOKUP($AY$19,Sheet1!AD2:AG2,3,0),0)</f>
        <v>0</v>
      </c>
      <c r="AZ21" s="37">
        <f>+IFERROR(VLOOKUP($AZ$19,Sheet1!AD2:AG2,3,0),0)</f>
        <v>0</v>
      </c>
      <c r="BA21" s="36">
        <f>+IFERROR(VLOOKUP($BA$19,Sheet1!AH2:AK2,3,0),0)</f>
        <v>0</v>
      </c>
      <c r="BB21" s="36">
        <f>+IFERROR(VLOOKUP($BB$19,Sheet1!AH2:AK2,3,0),0)</f>
        <v>0</v>
      </c>
      <c r="BC21" s="36">
        <f>+IFERROR(VLOOKUP($BC$19,Sheet1!AH2:AK2,3,0),0)</f>
        <v>0</v>
      </c>
      <c r="BD21" s="36">
        <f>+IFERROR(VLOOKUP($BD$19,Sheet1!AH2:AK2,3,0),0)</f>
        <v>0</v>
      </c>
      <c r="BE21" s="36">
        <f>+IFERROR(VLOOKUP($BE$19,Sheet1!AH2:AK2,3,0),0)</f>
        <v>0</v>
      </c>
      <c r="BF21" s="36">
        <f>+IFERROR(VLOOKUP($BF$19,Sheet1!AH2:AK2,3,0),0)</f>
        <v>0</v>
      </c>
      <c r="BG21" s="36">
        <f>+IFERROR(VLOOKUP($BG$19,Sheet1!AH2:AK2,3,0),0)</f>
        <v>0</v>
      </c>
      <c r="BH21" s="36">
        <f>+IFERROR(VLOOKUP($BH$19,Sheet1!AH2:AK2,3,0),0)</f>
        <v>0</v>
      </c>
      <c r="BI21" s="36">
        <f>+IFERROR(VLOOKUP($BI$19,Sheet1!AH2:AK2,3,0),0)</f>
        <v>0</v>
      </c>
      <c r="BJ21" s="36">
        <f>+IFERROR(VLOOKUP($BJ$19,Sheet1!AH2:AK2,3,0),0)</f>
        <v>0</v>
      </c>
      <c r="BK21" s="36">
        <f>+IFERROR(VLOOKUP($BK$19,Sheet1!AH2:AK2,3,0),0)</f>
        <v>0</v>
      </c>
      <c r="BL21" s="9">
        <f>+IFERROR(VLOOKUP($BL$19,Sheet1!AL2:AO2,3,0),0)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40">
        <f>+IFERROR(VLOOKUP($BX$19,Sheet1!AP2:AS2,3,0),0)</f>
        <v>0</v>
      </c>
      <c r="BY21" s="43">
        <f>+IFERROR(VLOOKUP($BY$19,Sheet1!AT2:AW2,3,0),0)</f>
        <v>0</v>
      </c>
      <c r="BZ21" s="44">
        <f>+IFERROR(VLOOKUP($BZ$19,Sheet1!AX2:BA2,3,0),0)</f>
        <v>0</v>
      </c>
      <c r="CA21" s="46">
        <f>+IFERROR(VLOOKUP($CA$19,Sheet1!BB2:BE2,3,0),0)</f>
        <v>0</v>
      </c>
      <c r="CB21" s="48">
        <f>+IFERROR(VLOOKUP($CB$19,Sheet1!BF2:BI2,3,0),0)</f>
        <v>0</v>
      </c>
      <c r="CC21" s="49">
        <f>+IFERROR(VLOOKUP($CC$19,Sheet1!BJ2:BM2,3,0),0)</f>
        <v>0</v>
      </c>
      <c r="CD21" s="50">
        <f>+IFERROR(VLOOKUP($CD$19,Sheet1!BN2:BQ2,3,0),0)</f>
        <v>0</v>
      </c>
      <c r="CE21" s="38">
        <f>+IFERROR(VLOOKUP($CE$19,Sheet1!BR2:BU2,3,0),0)</f>
        <v>0</v>
      </c>
      <c r="CF21" s="44">
        <f>+IFERROR(VLOOKUP($CF$19,Sheet1!BV2:BY2,3,0),0)</f>
        <v>0</v>
      </c>
      <c r="CG21" s="67" t="str">
        <f>Sheet1!E2</f>
        <v>WOOD</v>
      </c>
      <c r="CH21" s="68" t="s">
        <v>228</v>
      </c>
      <c r="CI21" s="68" t="s">
        <v>229</v>
      </c>
      <c r="CJ21" s="68">
        <f>Sheet1!CX2</f>
        <v>6000</v>
      </c>
      <c r="CK21" s="23">
        <f>Sheet1!BZ2</f>
        <v>739.5</v>
      </c>
      <c r="CL21" s="23">
        <f>SUMPRODUCT($N$20:$CF$20,N21:CF21)+CK21</f>
        <v>60439.5</v>
      </c>
      <c r="CM21" s="24">
        <f>Sheet1!CB2</f>
        <v>0</v>
      </c>
      <c r="CN21" s="23">
        <f>CL21*CM21</f>
        <v>0</v>
      </c>
      <c r="CO21" s="95">
        <v>6.4892096951824657E-2</v>
      </c>
      <c r="CP21" s="23">
        <f>CL21*CO21</f>
        <v>3922.0458937198064</v>
      </c>
      <c r="CQ21" s="95">
        <v>0</v>
      </c>
      <c r="CR21" s="23">
        <f>CL21*CQ21</f>
        <v>0</v>
      </c>
      <c r="CS21" s="23">
        <f>CL21+CN21+CP21+CR21</f>
        <v>64361.545893719805</v>
      </c>
      <c r="CT21" s="95">
        <v>0.02</v>
      </c>
      <c r="CU21" s="6">
        <f>CS21*CT21</f>
        <v>1287.230917874396</v>
      </c>
      <c r="CV21" s="95">
        <v>1.4999999999999999E-2</v>
      </c>
      <c r="CW21" s="6">
        <f>CS21*CV21</f>
        <v>965.42318840579708</v>
      </c>
      <c r="CX21" s="95">
        <f>Sheet1!CM2</f>
        <v>0</v>
      </c>
      <c r="CY21" s="6">
        <f>CX21*CS21</f>
        <v>0</v>
      </c>
    </row>
    <row r="25" spans="1:104" ht="75" x14ac:dyDescent="0.25">
      <c r="E25" s="1" t="s">
        <v>127</v>
      </c>
      <c r="F25" s="1" t="s">
        <v>128</v>
      </c>
      <c r="G25" s="90" t="s">
        <v>129</v>
      </c>
      <c r="H25" s="1" t="s">
        <v>130</v>
      </c>
      <c r="I25" s="1" t="s">
        <v>131</v>
      </c>
      <c r="J25" s="1" t="s">
        <v>132</v>
      </c>
      <c r="K25" s="1" t="s">
        <v>133</v>
      </c>
      <c r="L25" s="1" t="s">
        <v>134</v>
      </c>
      <c r="M25" s="91" t="s">
        <v>135</v>
      </c>
      <c r="CG25" s="15" t="s">
        <v>230</v>
      </c>
      <c r="CH25" s="15" t="s">
        <v>230</v>
      </c>
      <c r="CI25" s="15" t="s">
        <v>231</v>
      </c>
      <c r="CJ25" s="15" t="s">
        <v>232</v>
      </c>
    </row>
    <row r="26" spans="1:104" x14ac:dyDescent="0.25">
      <c r="E26" s="92">
        <f>K21</f>
        <v>900</v>
      </c>
      <c r="F26" s="93">
        <f>CJ21/1000</f>
        <v>6</v>
      </c>
      <c r="G26" s="90" t="s">
        <v>233</v>
      </c>
      <c r="H26" s="94">
        <v>56000</v>
      </c>
      <c r="I26" s="93">
        <v>15</v>
      </c>
      <c r="J26" s="90">
        <f>F26*I26</f>
        <v>90</v>
      </c>
      <c r="K26" s="90">
        <f>ROUNDUP((E26/J26),0)</f>
        <v>10</v>
      </c>
      <c r="L26" s="90">
        <f>H26*K26</f>
        <v>560000</v>
      </c>
      <c r="M26" s="96">
        <f>L26/E26</f>
        <v>622.22222222222217</v>
      </c>
      <c r="CG26" s="15">
        <f>O21</f>
        <v>150</v>
      </c>
      <c r="CH26" s="15">
        <f>125+25</f>
        <v>150</v>
      </c>
      <c r="CI26" s="15">
        <f>((CG26*F26)+CH26)</f>
        <v>1050</v>
      </c>
      <c r="CJ26" s="15">
        <f>CI26*I26</f>
        <v>15750</v>
      </c>
    </row>
    <row r="27" spans="1:104" x14ac:dyDescent="0.25">
      <c r="M27" s="97"/>
    </row>
    <row r="28" spans="1:104" x14ac:dyDescent="0.25">
      <c r="M28" s="97"/>
    </row>
    <row r="29" spans="1:104" x14ac:dyDescent="0.25">
      <c r="M29" s="97"/>
    </row>
    <row r="30" spans="1:104" x14ac:dyDescent="0.25">
      <c r="M30" s="97"/>
    </row>
    <row r="31" spans="1:104" x14ac:dyDescent="0.25">
      <c r="M31" s="97"/>
    </row>
    <row r="32" spans="1:104" x14ac:dyDescent="0.25">
      <c r="M32" s="97"/>
    </row>
    <row r="33" spans="13:13" x14ac:dyDescent="0.25">
      <c r="M33" s="97"/>
    </row>
    <row r="34" spans="13:13" x14ac:dyDescent="0.25">
      <c r="M34" s="97"/>
    </row>
    <row r="35" spans="13:13" x14ac:dyDescent="0.25">
      <c r="M35" s="97"/>
    </row>
    <row r="36" spans="13:13" x14ac:dyDescent="0.25">
      <c r="M36" s="97"/>
    </row>
    <row r="37" spans="13:13" x14ac:dyDescent="0.25">
      <c r="M37" s="97"/>
    </row>
    <row r="38" spans="13:13" x14ac:dyDescent="0.25">
      <c r="M38" s="97"/>
    </row>
    <row r="39" spans="13:13" x14ac:dyDescent="0.25">
      <c r="M39" s="97"/>
    </row>
    <row r="40" spans="13:13" x14ac:dyDescent="0.25">
      <c r="M40" s="97"/>
    </row>
    <row r="41" spans="13:13" x14ac:dyDescent="0.25">
      <c r="M41" s="97"/>
    </row>
    <row r="42" spans="13:13" x14ac:dyDescent="0.25">
      <c r="M42" s="97"/>
    </row>
    <row r="43" spans="13:13" x14ac:dyDescent="0.25">
      <c r="M43" s="97"/>
    </row>
    <row r="44" spans="13:13" x14ac:dyDescent="0.25">
      <c r="M44" s="97"/>
    </row>
    <row r="45" spans="13:13" x14ac:dyDescent="0.25">
      <c r="M45" s="97"/>
    </row>
    <row r="46" spans="13:13" x14ac:dyDescent="0.25">
      <c r="M46" s="97"/>
    </row>
    <row r="47" spans="13:13" x14ac:dyDescent="0.25">
      <c r="M47" s="97"/>
    </row>
    <row r="48" spans="13: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row r="73" spans="13:13" x14ac:dyDescent="0.25">
      <c r="M73" s="97"/>
    </row>
  </sheetData>
  <mergeCells count="21">
    <mergeCell ref="CG18:CJ18"/>
    <mergeCell ref="AR18:AZ18"/>
    <mergeCell ref="BA18:BK18"/>
    <mergeCell ref="BL18:BW18"/>
    <mergeCell ref="N18:U18"/>
    <mergeCell ref="V18:W18"/>
    <mergeCell ref="X18:AE18"/>
    <mergeCell ref="AF18:AG18"/>
    <mergeCell ref="AH18:AP18"/>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BE55-F89B-47E0-AE2C-78822FD62B7C}">
  <dimension ref="A1:CZ73"/>
  <sheetViews>
    <sheetView showZeros="0" topLeftCell="A19" zoomScale="85" zoomScaleNormal="85" workbookViewId="0">
      <selection activeCell="H27" sqref="H27"/>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11.28515625" customWidth="1"/>
    <col min="7" max="7" width="15.42578125" bestFit="1" customWidth="1"/>
    <col min="8" max="8" width="10.5703125" style="5" bestFit="1" customWidth="1"/>
    <col min="9" max="9" width="10.28515625" bestFit="1" customWidth="1"/>
    <col min="10" max="10" width="13.140625" bestFit="1" customWidth="1"/>
    <col min="11" max="11" width="10.28515625" bestFit="1" customWidth="1"/>
    <col min="12" max="12" width="7.140625" bestFit="1" customWidth="1"/>
    <col min="13" max="13" width="15.5703125" customWidth="1"/>
    <col min="14" max="14" width="7.85546875" style="15" hidden="1" customWidth="1"/>
    <col min="15" max="15" width="7.85546875" style="15" customWidth="1"/>
    <col min="16" max="84" width="7.85546875" style="15" hidden="1" customWidth="1"/>
    <col min="85" max="85" width="7.85546875" style="15" customWidth="1"/>
    <col min="86" max="86" width="11" style="15" customWidth="1"/>
    <col min="87" max="87" width="13.570312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99"/>
      <c r="B1" s="99"/>
      <c r="C1" s="99"/>
      <c r="D1" s="99"/>
      <c r="E1" s="99"/>
      <c r="F1" s="99"/>
      <c r="G1" s="99"/>
      <c r="H1" s="99"/>
      <c r="I1" s="99"/>
      <c r="J1" s="99"/>
      <c r="K1" s="99"/>
      <c r="L1" s="99"/>
      <c r="M1" s="99"/>
      <c r="N1" s="99"/>
      <c r="O1" s="99"/>
      <c r="P1" s="99"/>
      <c r="Q1" s="99"/>
      <c r="R1" s="99"/>
    </row>
    <row r="2" spans="1:18" ht="23.25" thickBot="1" x14ac:dyDescent="0.5">
      <c r="A2" s="113" t="s">
        <v>234</v>
      </c>
      <c r="B2" s="114"/>
      <c r="C2" s="114"/>
      <c r="D2" s="114"/>
      <c r="E2" s="114"/>
      <c r="F2" s="114"/>
      <c r="G2" s="114"/>
      <c r="H2" s="114"/>
      <c r="I2" s="114"/>
      <c r="J2" s="114"/>
      <c r="K2" s="114"/>
      <c r="L2" s="114"/>
      <c r="M2" s="114"/>
      <c r="N2" s="114"/>
      <c r="O2" s="114"/>
      <c r="P2" s="114"/>
      <c r="Q2" s="114"/>
      <c r="R2" s="115"/>
    </row>
    <row r="3" spans="1:18" ht="15.75" thickBot="1" x14ac:dyDescent="0.3">
      <c r="B3"/>
      <c r="E3"/>
      <c r="H3"/>
      <c r="N3"/>
      <c r="O3"/>
      <c r="P3"/>
      <c r="Q3"/>
      <c r="R3"/>
    </row>
    <row r="4" spans="1:18" ht="45.75" thickBot="1" x14ac:dyDescent="0.3">
      <c r="A4" s="100" t="s">
        <v>235</v>
      </c>
      <c r="B4" s="116" t="s">
        <v>248</v>
      </c>
      <c r="C4" s="116"/>
      <c r="D4" s="116"/>
      <c r="E4" s="116"/>
      <c r="F4" s="116"/>
      <c r="G4" s="116"/>
      <c r="H4" s="116"/>
      <c r="I4" s="116"/>
      <c r="J4" s="116"/>
      <c r="K4" s="116"/>
      <c r="L4" s="116"/>
      <c r="M4" s="116"/>
      <c r="N4" s="116"/>
      <c r="O4" s="116"/>
      <c r="P4" s="116"/>
      <c r="Q4" s="116"/>
      <c r="R4" s="116"/>
    </row>
    <row r="5" spans="1:18" ht="45" x14ac:dyDescent="0.25">
      <c r="A5" s="100" t="s">
        <v>236</v>
      </c>
      <c r="B5" s="116" t="s">
        <v>249</v>
      </c>
      <c r="C5" s="116"/>
      <c r="D5" s="116"/>
      <c r="E5" s="116"/>
      <c r="F5" s="116"/>
      <c r="G5" s="116"/>
      <c r="H5" s="116"/>
      <c r="I5" s="116"/>
      <c r="J5" s="116"/>
      <c r="K5" s="116"/>
      <c r="L5" s="116"/>
      <c r="M5" s="116"/>
      <c r="N5" s="116"/>
      <c r="O5" s="116"/>
      <c r="P5" s="116"/>
      <c r="Q5" s="116"/>
      <c r="R5" s="116"/>
    </row>
    <row r="6" spans="1:18" ht="45" x14ac:dyDescent="0.25">
      <c r="A6" s="101" t="s">
        <v>237</v>
      </c>
      <c r="B6" s="117" t="s">
        <v>250</v>
      </c>
      <c r="C6" s="116"/>
      <c r="D6" s="116"/>
      <c r="E6" s="116"/>
      <c r="F6" s="116"/>
      <c r="G6" s="116"/>
      <c r="H6" s="116"/>
      <c r="I6" s="116"/>
      <c r="J6" s="116"/>
      <c r="K6" s="116"/>
      <c r="L6" s="116"/>
      <c r="M6" s="116"/>
      <c r="N6" s="116"/>
      <c r="O6" s="116"/>
      <c r="P6" s="116"/>
      <c r="Q6" s="116"/>
      <c r="R6" s="116"/>
    </row>
    <row r="7" spans="1:18" ht="30" x14ac:dyDescent="0.25">
      <c r="A7" s="101" t="s">
        <v>238</v>
      </c>
      <c r="B7" s="106" t="s">
        <v>239</v>
      </c>
      <c r="C7" s="116"/>
      <c r="D7" s="116"/>
      <c r="E7" s="116"/>
      <c r="F7" s="116"/>
      <c r="G7" s="116"/>
      <c r="H7" s="116"/>
      <c r="I7" s="116"/>
      <c r="J7" s="116"/>
      <c r="K7" s="116"/>
      <c r="L7" s="116"/>
      <c r="M7" s="116"/>
      <c r="N7" s="116"/>
      <c r="O7" s="116"/>
      <c r="P7" s="116"/>
      <c r="Q7" s="116"/>
      <c r="R7" s="116"/>
    </row>
    <row r="8" spans="1:18" ht="46.5" customHeight="1" x14ac:dyDescent="0.25">
      <c r="A8" s="101" t="s">
        <v>240</v>
      </c>
      <c r="B8" s="106" t="s">
        <v>251</v>
      </c>
      <c r="C8" s="106"/>
      <c r="D8" s="106"/>
      <c r="E8" s="106"/>
      <c r="F8" s="106"/>
      <c r="G8" s="106"/>
      <c r="H8" s="106"/>
      <c r="I8" s="106"/>
      <c r="J8" s="106"/>
      <c r="K8" s="106"/>
      <c r="L8" s="106"/>
      <c r="M8" s="106"/>
      <c r="N8" s="106"/>
      <c r="O8" s="106"/>
      <c r="P8" s="106"/>
      <c r="Q8" s="106"/>
      <c r="R8" s="106"/>
    </row>
    <row r="9" spans="1:18" x14ac:dyDescent="0.25">
      <c r="A9" s="101" t="s">
        <v>241</v>
      </c>
      <c r="B9" s="107" t="s">
        <v>242</v>
      </c>
      <c r="C9" s="108"/>
      <c r="D9" s="108"/>
      <c r="E9" s="108"/>
      <c r="F9" s="108"/>
      <c r="G9" s="108"/>
      <c r="H9" s="108"/>
      <c r="I9" s="108"/>
      <c r="J9" s="108"/>
      <c r="K9" s="108"/>
      <c r="L9" s="108"/>
      <c r="M9" s="108"/>
      <c r="N9" s="108"/>
      <c r="O9" s="108"/>
      <c r="P9" s="108"/>
      <c r="Q9" s="108"/>
      <c r="R9" s="109"/>
    </row>
    <row r="10" spans="1:18" ht="30" x14ac:dyDescent="0.25">
      <c r="A10" s="101" t="s">
        <v>243</v>
      </c>
      <c r="B10" s="107" t="s">
        <v>252</v>
      </c>
      <c r="C10" s="108"/>
      <c r="D10" s="108"/>
      <c r="E10" s="108"/>
      <c r="F10" s="108"/>
      <c r="G10" s="108"/>
      <c r="H10" s="108"/>
      <c r="I10" s="108"/>
      <c r="J10" s="108"/>
      <c r="K10" s="108"/>
      <c r="L10" s="108"/>
      <c r="M10" s="108"/>
      <c r="N10" s="108"/>
      <c r="O10" s="108"/>
      <c r="P10" s="108"/>
      <c r="Q10" s="108"/>
      <c r="R10" s="109"/>
    </row>
    <row r="11" spans="1:18" ht="66.75" customHeight="1" x14ac:dyDescent="0.25">
      <c r="A11" s="101" t="s">
        <v>244</v>
      </c>
      <c r="B11" s="110" t="s">
        <v>253</v>
      </c>
      <c r="C11" s="111"/>
      <c r="D11" s="111"/>
      <c r="E11" s="111"/>
      <c r="F11" s="111"/>
      <c r="G11" s="111"/>
      <c r="H11" s="111"/>
      <c r="I11" s="111"/>
      <c r="J11" s="111"/>
      <c r="K11" s="111"/>
      <c r="L11" s="111"/>
      <c r="M11" s="111"/>
      <c r="N11" s="111"/>
      <c r="O11" s="111"/>
      <c r="P11" s="111"/>
      <c r="Q11" s="111"/>
      <c r="R11" s="112"/>
    </row>
    <row r="12" spans="1:18" ht="30" x14ac:dyDescent="0.25">
      <c r="A12" s="102" t="s">
        <v>245</v>
      </c>
      <c r="B12" s="105" t="s">
        <v>254</v>
      </c>
      <c r="C12" s="105"/>
      <c r="D12" s="105"/>
      <c r="E12" s="105"/>
      <c r="F12" s="105"/>
      <c r="G12" s="105"/>
      <c r="H12" s="105"/>
      <c r="I12" s="105"/>
      <c r="J12" s="105"/>
      <c r="K12" s="105"/>
      <c r="L12" s="105"/>
      <c r="M12" s="105"/>
      <c r="N12" s="105"/>
      <c r="O12" s="105"/>
      <c r="P12" s="105"/>
      <c r="Q12" s="105"/>
      <c r="R12" s="105"/>
    </row>
    <row r="13" spans="1:18" ht="50.25" customHeight="1" x14ac:dyDescent="0.25">
      <c r="A13" s="102" t="s">
        <v>246</v>
      </c>
      <c r="B13" s="105" t="s">
        <v>255</v>
      </c>
      <c r="C13" s="105"/>
      <c r="D13" s="105"/>
      <c r="E13" s="105"/>
      <c r="F13" s="105"/>
      <c r="G13" s="105"/>
      <c r="H13" s="105"/>
      <c r="I13" s="105"/>
      <c r="J13" s="105"/>
      <c r="K13" s="105"/>
      <c r="L13" s="105"/>
      <c r="M13" s="105"/>
      <c r="N13" s="105"/>
      <c r="O13" s="105"/>
      <c r="P13" s="105"/>
      <c r="Q13" s="105"/>
      <c r="R13" s="105"/>
    </row>
    <row r="14" spans="1:18" ht="30" x14ac:dyDescent="0.25">
      <c r="A14" s="103" t="s">
        <v>247</v>
      </c>
      <c r="B14" s="105"/>
      <c r="C14" s="105"/>
      <c r="D14" s="105"/>
      <c r="E14" s="105"/>
      <c r="F14" s="105"/>
      <c r="G14" s="105"/>
      <c r="H14" s="105"/>
      <c r="I14" s="105"/>
      <c r="J14" s="105"/>
      <c r="K14" s="105"/>
      <c r="L14" s="105"/>
      <c r="M14" s="105"/>
      <c r="N14" s="105"/>
      <c r="O14" s="105"/>
      <c r="P14" s="105"/>
      <c r="Q14" s="105"/>
      <c r="R14" s="105"/>
    </row>
    <row r="18" spans="1:104" s="22" customFormat="1" ht="28.9" customHeight="1" x14ac:dyDescent="0.25">
      <c r="A18" s="88"/>
      <c r="B18" s="88"/>
      <c r="C18" s="89"/>
      <c r="D18" s="89"/>
      <c r="E18" s="26"/>
      <c r="H18" s="27"/>
      <c r="N18" s="125" t="s">
        <v>82</v>
      </c>
      <c r="O18" s="125"/>
      <c r="P18" s="125"/>
      <c r="Q18" s="125"/>
      <c r="R18" s="125"/>
      <c r="S18" s="125"/>
      <c r="T18" s="125"/>
      <c r="U18" s="125"/>
      <c r="V18" s="126" t="s">
        <v>4</v>
      </c>
      <c r="W18" s="126"/>
      <c r="X18" s="127" t="s">
        <v>3</v>
      </c>
      <c r="Y18" s="127"/>
      <c r="Z18" s="127"/>
      <c r="AA18" s="127"/>
      <c r="AB18" s="127"/>
      <c r="AC18" s="127"/>
      <c r="AD18" s="127"/>
      <c r="AE18" s="127"/>
      <c r="AF18" s="128" t="s">
        <v>5</v>
      </c>
      <c r="AG18" s="128"/>
      <c r="AH18" s="129" t="s">
        <v>6</v>
      </c>
      <c r="AI18" s="129"/>
      <c r="AJ18" s="129"/>
      <c r="AK18" s="129"/>
      <c r="AL18" s="129"/>
      <c r="AM18" s="129"/>
      <c r="AN18" s="129"/>
      <c r="AO18" s="129"/>
      <c r="AP18" s="129"/>
      <c r="AQ18" s="35" t="s">
        <v>7</v>
      </c>
      <c r="AR18" s="121" t="s">
        <v>8</v>
      </c>
      <c r="AS18" s="122"/>
      <c r="AT18" s="122"/>
      <c r="AU18" s="122"/>
      <c r="AV18" s="122"/>
      <c r="AW18" s="122"/>
      <c r="AX18" s="122"/>
      <c r="AY18" s="122"/>
      <c r="AZ18" s="122"/>
      <c r="BA18" s="123" t="s">
        <v>9</v>
      </c>
      <c r="BB18" s="123"/>
      <c r="BC18" s="123"/>
      <c r="BD18" s="123"/>
      <c r="BE18" s="123"/>
      <c r="BF18" s="123"/>
      <c r="BG18" s="123"/>
      <c r="BH18" s="123"/>
      <c r="BI18" s="123"/>
      <c r="BJ18" s="123"/>
      <c r="BK18" s="123"/>
      <c r="BL18" s="124" t="s">
        <v>10</v>
      </c>
      <c r="BM18" s="124"/>
      <c r="BN18" s="124"/>
      <c r="BO18" s="124"/>
      <c r="BP18" s="124"/>
      <c r="BQ18" s="124"/>
      <c r="BR18" s="124"/>
      <c r="BS18" s="124"/>
      <c r="BT18" s="124"/>
      <c r="BU18" s="124"/>
      <c r="BV18" s="124"/>
      <c r="BW18" s="124"/>
      <c r="BX18" s="39" t="s">
        <v>11</v>
      </c>
      <c r="BY18" s="42" t="s">
        <v>12</v>
      </c>
      <c r="BZ18" s="30" t="s">
        <v>13</v>
      </c>
      <c r="CA18" s="34" t="s">
        <v>14</v>
      </c>
      <c r="CB18" s="31" t="s">
        <v>15</v>
      </c>
      <c r="CC18" s="45" t="s">
        <v>16</v>
      </c>
      <c r="CD18" s="47" t="s">
        <v>17</v>
      </c>
      <c r="CE18" s="41" t="s">
        <v>18</v>
      </c>
      <c r="CF18" s="30" t="s">
        <v>19</v>
      </c>
      <c r="CG18" s="118" t="s">
        <v>84</v>
      </c>
      <c r="CH18" s="119"/>
      <c r="CI18" s="119"/>
      <c r="CJ18" s="120"/>
      <c r="CK18" s="65" t="s">
        <v>20</v>
      </c>
      <c r="CL18" s="23" t="s">
        <v>21</v>
      </c>
      <c r="CM18" s="24" t="s">
        <v>40</v>
      </c>
      <c r="CN18" s="23" t="s">
        <v>81</v>
      </c>
      <c r="CO18" s="25"/>
      <c r="CP18" s="26"/>
      <c r="CQ18" s="27"/>
      <c r="CR18" s="26"/>
      <c r="CS18" s="26"/>
      <c r="CT18" s="27"/>
      <c r="CV18" s="27"/>
      <c r="CZ18" s="22" t="s">
        <v>126</v>
      </c>
    </row>
    <row r="19" spans="1:104" s="11" customFormat="1" ht="89.25" x14ac:dyDescent="0.25">
      <c r="A19" s="80" t="s">
        <v>0</v>
      </c>
      <c r="B19" s="81" t="s">
        <v>85</v>
      </c>
      <c r="C19" s="80" t="s">
        <v>1</v>
      </c>
      <c r="D19" s="80" t="s">
        <v>2</v>
      </c>
      <c r="E19" s="3" t="s">
        <v>31</v>
      </c>
      <c r="F19" s="9" t="s">
        <v>32</v>
      </c>
      <c r="G19" s="9" t="s">
        <v>33</v>
      </c>
      <c r="H19" s="4" t="s">
        <v>34</v>
      </c>
      <c r="I19" s="9" t="s">
        <v>35</v>
      </c>
      <c r="J19" s="9" t="s">
        <v>36</v>
      </c>
      <c r="K19" s="9" t="s">
        <v>37</v>
      </c>
      <c r="L19" s="9" t="s">
        <v>38</v>
      </c>
      <c r="M19" s="9" t="s">
        <v>39</v>
      </c>
      <c r="N19" s="82" t="s">
        <v>41</v>
      </c>
      <c r="O19" s="82" t="s">
        <v>258</v>
      </c>
      <c r="P19" s="82" t="s">
        <v>43</v>
      </c>
      <c r="Q19" s="82" t="s">
        <v>123</v>
      </c>
      <c r="R19" s="82" t="s">
        <v>124</v>
      </c>
      <c r="S19" s="82" t="s">
        <v>125</v>
      </c>
      <c r="T19" s="82" t="s">
        <v>44</v>
      </c>
      <c r="U19" s="82" t="s">
        <v>45</v>
      </c>
      <c r="V19" s="82" t="s">
        <v>41</v>
      </c>
      <c r="W19" s="82" t="s">
        <v>46</v>
      </c>
      <c r="X19" s="83" t="s">
        <v>53</v>
      </c>
      <c r="Y19" s="83" t="s">
        <v>57</v>
      </c>
      <c r="Z19" s="83" t="s">
        <v>60</v>
      </c>
      <c r="AA19" s="83" t="s">
        <v>65</v>
      </c>
      <c r="AB19" s="83" t="s">
        <v>69</v>
      </c>
      <c r="AC19" s="83" t="s">
        <v>71</v>
      </c>
      <c r="AD19" s="83" t="s">
        <v>73</v>
      </c>
      <c r="AE19" s="83" t="s">
        <v>75</v>
      </c>
      <c r="AF19" s="83" t="s">
        <v>52</v>
      </c>
      <c r="AG19" s="83" t="s">
        <v>56</v>
      </c>
      <c r="AH19" s="83" t="s">
        <v>51</v>
      </c>
      <c r="AI19" s="83" t="s">
        <v>47</v>
      </c>
      <c r="AJ19" s="83" t="s">
        <v>59</v>
      </c>
      <c r="AK19" s="83" t="s">
        <v>64</v>
      </c>
      <c r="AL19" s="83" t="s">
        <v>68</v>
      </c>
      <c r="AM19" s="83" t="s">
        <v>87</v>
      </c>
      <c r="AN19" s="83" t="s">
        <v>88</v>
      </c>
      <c r="AO19" s="83" t="s">
        <v>86</v>
      </c>
      <c r="AP19" s="83" t="s">
        <v>94</v>
      </c>
      <c r="AQ19" s="84" t="s">
        <v>7</v>
      </c>
      <c r="AR19" s="83" t="s">
        <v>54</v>
      </c>
      <c r="AS19" s="83" t="s">
        <v>58</v>
      </c>
      <c r="AT19" s="83" t="s">
        <v>63</v>
      </c>
      <c r="AU19" s="83" t="s">
        <v>61</v>
      </c>
      <c r="AV19" s="83" t="s">
        <v>66</v>
      </c>
      <c r="AW19" s="83" t="s">
        <v>70</v>
      </c>
      <c r="AX19" s="83" t="s">
        <v>48</v>
      </c>
      <c r="AY19" s="83" t="s">
        <v>122</v>
      </c>
      <c r="AZ19" s="83" t="s">
        <v>74</v>
      </c>
      <c r="BA19" s="83" t="s">
        <v>55</v>
      </c>
      <c r="BB19" s="83" t="s">
        <v>42</v>
      </c>
      <c r="BC19" s="83" t="s">
        <v>62</v>
      </c>
      <c r="BD19" s="83" t="s">
        <v>67</v>
      </c>
      <c r="BE19" s="83" t="s">
        <v>89</v>
      </c>
      <c r="BF19" s="83" t="s">
        <v>72</v>
      </c>
      <c r="BG19" s="83" t="s">
        <v>49</v>
      </c>
      <c r="BH19" s="83" t="s">
        <v>76</v>
      </c>
      <c r="BI19" s="83" t="s">
        <v>77</v>
      </c>
      <c r="BJ19" s="83" t="s">
        <v>78</v>
      </c>
      <c r="BK19" s="83" t="s">
        <v>80</v>
      </c>
      <c r="BL19" s="83" t="s">
        <v>54</v>
      </c>
      <c r="BM19" s="83" t="s">
        <v>58</v>
      </c>
      <c r="BN19" s="83" t="s">
        <v>63</v>
      </c>
      <c r="BO19" s="83" t="s">
        <v>61</v>
      </c>
      <c r="BP19" s="83" t="s">
        <v>90</v>
      </c>
      <c r="BQ19" s="83" t="s">
        <v>95</v>
      </c>
      <c r="BR19" s="83" t="s">
        <v>91</v>
      </c>
      <c r="BS19" s="83" t="s">
        <v>66</v>
      </c>
      <c r="BT19" s="83" t="s">
        <v>48</v>
      </c>
      <c r="BU19" s="83" t="s">
        <v>122</v>
      </c>
      <c r="BV19" s="83" t="s">
        <v>74</v>
      </c>
      <c r="BW19" s="83" t="s">
        <v>79</v>
      </c>
      <c r="BX19" s="84" t="s">
        <v>11</v>
      </c>
      <c r="BY19" s="84" t="s">
        <v>50</v>
      </c>
      <c r="BZ19" s="85" t="s">
        <v>13</v>
      </c>
      <c r="CA19" s="86" t="s">
        <v>14</v>
      </c>
      <c r="CB19" s="85" t="s">
        <v>15</v>
      </c>
      <c r="CC19" s="85" t="s">
        <v>16</v>
      </c>
      <c r="CD19" s="85" t="s">
        <v>17</v>
      </c>
      <c r="CE19" s="86" t="s">
        <v>18</v>
      </c>
      <c r="CF19" s="85" t="s">
        <v>19</v>
      </c>
      <c r="CG19" s="69" t="s">
        <v>83</v>
      </c>
      <c r="CH19" s="69" t="s">
        <v>92</v>
      </c>
      <c r="CI19" s="69" t="s">
        <v>93</v>
      </c>
      <c r="CJ19" s="69" t="s">
        <v>96</v>
      </c>
      <c r="CK19" s="14"/>
      <c r="CL19" s="14"/>
      <c r="CM19" s="12"/>
      <c r="CN19" s="14"/>
      <c r="CO19" s="7" t="s">
        <v>22</v>
      </c>
      <c r="CP19" s="3" t="s">
        <v>23</v>
      </c>
      <c r="CQ19" s="4" t="s">
        <v>24</v>
      </c>
      <c r="CR19" s="3" t="s">
        <v>25</v>
      </c>
      <c r="CS19" s="3" t="s">
        <v>26</v>
      </c>
      <c r="CT19" s="4" t="s">
        <v>27</v>
      </c>
      <c r="CU19" s="9" t="s">
        <v>28</v>
      </c>
      <c r="CV19" s="4" t="s">
        <v>29</v>
      </c>
      <c r="CW19" s="9" t="s">
        <v>30</v>
      </c>
      <c r="CX19" s="4" t="s">
        <v>97</v>
      </c>
      <c r="CY19" s="9" t="s">
        <v>98</v>
      </c>
    </row>
    <row r="20" spans="1:104" s="14" customFormat="1" x14ac:dyDescent="0.25">
      <c r="A20" s="16"/>
      <c r="B20" s="61"/>
      <c r="C20" s="16"/>
      <c r="D20" s="16"/>
      <c r="E20" s="3"/>
      <c r="F20" s="77"/>
      <c r="G20" s="64"/>
      <c r="H20" s="3"/>
      <c r="I20" s="3"/>
      <c r="J20" s="3"/>
      <c r="K20" s="78"/>
      <c r="L20" s="3"/>
      <c r="M20" s="3"/>
      <c r="N20" s="17">
        <f>+IFERROR(VLOOKUP($N$19,Sheet1!J:L,2,0),0)</f>
        <v>0</v>
      </c>
      <c r="O20" s="17">
        <v>393</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+IFERROR(VLOOKUP($W$19,Sheet1!N:O,2,0),0)</f>
        <v>0</v>
      </c>
      <c r="X20" s="18">
        <f>+IFERROR(VLOOKUP($X$19,Sheet1!F:I,2,0),0)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+IFERROR(VLOOKUP($AF$19,Sheet1!R:U,2,0),0)</f>
        <v>0</v>
      </c>
      <c r="AG20" s="18">
        <f>+IFERROR(VLOOKUP($AG$19,Sheet1!R:U,2,0),0)</f>
        <v>0</v>
      </c>
      <c r="AH20" s="18">
        <f>+IFERROR(VLOOKUP($AH$19,Sheet1!V:Y,2,0),0)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f>+IFERROR(VLOOKUP($AQ$19,Sheet1!Z2:AA840,2,0),0)</f>
        <v>0</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+IFERROR(VLOOKUP($BA$19,Sheet1!AH2:AK840,2,0),0)</f>
        <v>0</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+IFERROR(VLOOKUP($BL$19,Sheet1!AL2:AO840,2,0),0)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9">
        <f>+IFERROR(VLOOKUP($BX$19,Sheet1!AP2:AS840,2,0),0)</f>
        <v>0</v>
      </c>
      <c r="BY20" s="19">
        <f>+IFERROR(VLOOKUP($BY$19,Sheet1!AT2:AW840,2,0),0)</f>
        <v>0</v>
      </c>
      <c r="BZ20" s="20">
        <f>+IFERROR(VLOOKUP($BZ$19,Sheet1!AX2:BA840,2,0),0)</f>
        <v>0</v>
      </c>
      <c r="CA20" s="21">
        <f>+IFERROR(VLOOKUP($CA$19,Sheet1!BB2:BE840,2,0),0)</f>
        <v>0</v>
      </c>
      <c r="CB20" s="20">
        <f>+IFERROR(VLOOKUP($CB$19,Sheet1!BF2:BI840,2,0),0)</f>
        <v>0</v>
      </c>
      <c r="CC20" s="20">
        <f>+IFERROR(VLOOKUP($CC$19,Sheet1!BJ2:BM840,2,0),0)</f>
        <v>0</v>
      </c>
      <c r="CD20" s="20">
        <f>+IFERROR(VLOOKUP($CD$19,Sheet1!BN2:BQ840,2,0),0)</f>
        <v>0</v>
      </c>
      <c r="CE20" s="21">
        <f>+IFERROR(VLOOKUP($CE$19,Sheet1!BR2:BU840,2,0),0)</f>
        <v>0</v>
      </c>
      <c r="CF20" s="20">
        <f>+IFERROR(VLOOKUP($CF$19,Sheet1!BV2:BY840,2,0),0)</f>
        <v>0</v>
      </c>
      <c r="CG20" s="66"/>
      <c r="CH20" s="66"/>
      <c r="CI20" s="66"/>
      <c r="CJ20" s="66"/>
      <c r="CO20" s="3"/>
      <c r="CP20" s="3"/>
      <c r="CQ20" s="3"/>
      <c r="CR20" s="3"/>
      <c r="CS20" s="3"/>
      <c r="CT20" s="3"/>
      <c r="CU20" s="3"/>
      <c r="CV20" s="3"/>
      <c r="CW20" s="3"/>
      <c r="CX20" s="3"/>
      <c r="CY20" s="3"/>
    </row>
    <row r="21" spans="1:104" s="22" customFormat="1" ht="30" x14ac:dyDescent="0.25">
      <c r="A21" s="6" t="str">
        <f>Sheet1!A2</f>
        <v>ENQ-19467-25-26</v>
      </c>
      <c r="B21" s="87">
        <v>46148</v>
      </c>
      <c r="C21" s="6" t="str">
        <f>Sheet1!C2</f>
        <v>FC0700003</v>
      </c>
      <c r="D21" s="6" t="str">
        <f>Sheet1!D2</f>
        <v>AAAC : RABBIT CONDUCTOR - 55 SQ. MM. (7/3.15)</v>
      </c>
      <c r="E21" s="23">
        <f>CS21+CU21+CW21+CY21</f>
        <v>66614.20425000001</v>
      </c>
      <c r="F21" s="98">
        <f>ROUNDUP(M26,0)</f>
        <v>623</v>
      </c>
      <c r="G21" s="28">
        <f>E21+F21</f>
        <v>67237.20425000001</v>
      </c>
      <c r="H21" s="29">
        <f>Sheet1!CR2</f>
        <v>0.18</v>
      </c>
      <c r="I21" s="28">
        <f>G21*H21</f>
        <v>12102.696765000001</v>
      </c>
      <c r="J21" s="28">
        <f>G21+I21</f>
        <v>79339.90101500001</v>
      </c>
      <c r="K21" s="79">
        <f>Sheet1!CU2</f>
        <v>900</v>
      </c>
      <c r="L21" s="76" t="str">
        <f>Sheet1!CV2</f>
        <v>KMS</v>
      </c>
      <c r="M21" s="23">
        <f>J21*K21</f>
        <v>71405910.913500011</v>
      </c>
      <c r="N21" s="71">
        <f>+IFERROR(VLOOKUP($N$19,Sheet1!J2:L2,3,0),0)</f>
        <v>0</v>
      </c>
      <c r="O21" s="71">
        <v>147</v>
      </c>
      <c r="P21" s="71">
        <f>+IFERROR(VLOOKUP($P$19,Sheet1!J2:M2,3,0),0)</f>
        <v>0</v>
      </c>
      <c r="Q21" s="71">
        <f>+IFERROR(VLOOKUP($Q$19,Sheet1!J2:M2,3,0),0)</f>
        <v>0</v>
      </c>
      <c r="R21" s="71">
        <f>+IFERROR(VLOOKUP($R$19,Sheet1!J2:M2,3,0),0)</f>
        <v>0</v>
      </c>
      <c r="S21" s="71">
        <f>+IFERROR(VLOOKUP($S$19,Sheet1!J2:M2,3,0),0)</f>
        <v>0</v>
      </c>
      <c r="T21" s="71">
        <f>+IFERROR(VLOOKUP($T$19,Sheet1!J2:M2,3,0),0)</f>
        <v>0</v>
      </c>
      <c r="U21" s="71">
        <f>+IFERROR(VLOOKUP($U$19,Sheet1!J2:M2,3,0),0)</f>
        <v>0</v>
      </c>
      <c r="V21" s="72">
        <f>+IFERROR(VLOOKUP($V$19,Sheet1!N2:Q2,3,0),0)</f>
        <v>0</v>
      </c>
      <c r="W21" s="72">
        <f>+IFERROR(VLOOKUP($W$19,Sheet1!N2:Q2,3,0),0)</f>
        <v>0</v>
      </c>
      <c r="X21" s="73">
        <f>+IFERROR(VLOOKUP($X$19,Sheet1!F2:I2,3,0),0)</f>
        <v>0</v>
      </c>
      <c r="Y21" s="73">
        <f>+IFERROR(VLOOKUP($Y$19,Sheet1!F2:I2,3,0),0)</f>
        <v>0</v>
      </c>
      <c r="Z21" s="73">
        <f>+IFERROR(VLOOKUP($Z$19,Sheet1!F2:I2,3,0),0)</f>
        <v>0</v>
      </c>
      <c r="AA21" s="73">
        <f>+IFERROR(VLOOKUP($AA$19,Sheet1!F2:I2,3,0),0)</f>
        <v>0</v>
      </c>
      <c r="AB21" s="73">
        <f>+IFERROR(VLOOKUP($AB$19,Sheet1!F2:I2,3,0),0)</f>
        <v>0</v>
      </c>
      <c r="AC21" s="73">
        <f>+IFERROR(VLOOKUP($AC$19,Sheet1!F2:I2,3,0),0)</f>
        <v>0</v>
      </c>
      <c r="AD21" s="73">
        <f>+IFERROR(VLOOKUP($AD$19,Sheet1!F2:I2,3,0),0)</f>
        <v>0</v>
      </c>
      <c r="AE21" s="73">
        <f>+IFERROR(VLOOKUP($AE$19,Sheet1!F2:I2,3,0),0)</f>
        <v>0</v>
      </c>
      <c r="AF21" s="74">
        <f>+IFERROR(VLOOKUP($AF$19,Sheet1!R2:U2,3,0),0)</f>
        <v>0</v>
      </c>
      <c r="AG21" s="32">
        <f>+IFERROR(VLOOKUP($AG$19,Sheet1!R2:U2,3,0),0)</f>
        <v>0</v>
      </c>
      <c r="AH21" s="75">
        <f>+IFERROR(VLOOKUP($AH$19,Sheet1!V2:Y2,3,0),0)</f>
        <v>0</v>
      </c>
      <c r="AI21" s="33">
        <f>+IFERROR(VLOOKUP($AI$19,Sheet1!V2:Y2,3,0),0)</f>
        <v>0</v>
      </c>
      <c r="AJ21" s="33">
        <f>+IFERROR(VLOOKUP($AJ$19,Sheet1!V2:Y2,3,0),0)</f>
        <v>0</v>
      </c>
      <c r="AK21" s="33">
        <f>+IFERROR(VLOOKUP($AK$19,Sheet1!V2:Y2,3,0),0)</f>
        <v>0</v>
      </c>
      <c r="AL21" s="33">
        <f>+IFERROR(VLOOKUP($AL$19,Sheet1!V2:Y2,3,0),0)</f>
        <v>0</v>
      </c>
      <c r="AM21" s="33">
        <f>+IFERROR(VLOOKUP($AM$19,Sheet1!V2:Y2,3,0),0)</f>
        <v>0</v>
      </c>
      <c r="AN21" s="33">
        <f>+IFERROR(VLOOKUP($AN$19,Sheet1!V2:Y2,3,0),0)</f>
        <v>0</v>
      </c>
      <c r="AO21" s="33">
        <f>+IFERROR(VLOOKUP($AO$19,Sheet1!V2:Y2,3,0),0)</f>
        <v>0</v>
      </c>
      <c r="AP21" s="33">
        <f>+IFERROR(VLOOKUP($AP$19,Sheet1!V2:Y2,3,0),0)</f>
        <v>0</v>
      </c>
      <c r="AQ21" s="36">
        <f>+IFERROR(VLOOKUP($AQ$19,Sheet1!Z2:AB2,3,0),0)</f>
        <v>0</v>
      </c>
      <c r="AR21" s="37">
        <f>+IFERROR(VLOOKUP($AR$19,Sheet1!AD2:AG2,3,0),0)</f>
        <v>0</v>
      </c>
      <c r="AS21" s="37">
        <f>+IFERROR(VLOOKUP($AS$19,Sheet1!AD2:AG2,3,0),0)</f>
        <v>0</v>
      </c>
      <c r="AT21" s="37">
        <f>+IFERROR(VLOOKUP($AT$19,Sheet1!AD2:AG2,3,0),0)</f>
        <v>0</v>
      </c>
      <c r="AU21" s="37">
        <f>+IFERROR(VLOOKUP($AU$19,Sheet1!AD2:AG2,3,0),0)</f>
        <v>0</v>
      </c>
      <c r="AV21" s="37">
        <f>+IFERROR(VLOOKUP($AV$19,Sheet1!AD2:AG2,3,0),0)</f>
        <v>0</v>
      </c>
      <c r="AW21" s="37">
        <f>+IFERROR(VLOOKUP($AW$19,Sheet1!AD2:AG2,3,0),0)</f>
        <v>0</v>
      </c>
      <c r="AX21" s="37">
        <f>+IFERROR(VLOOKUP($AX$19,Sheet1!AD2:AG2,3,0),0)</f>
        <v>0</v>
      </c>
      <c r="AY21" s="37">
        <f>+IFERROR(VLOOKUP($AY$19,Sheet1!AD2:AG2,3,0),0)</f>
        <v>0</v>
      </c>
      <c r="AZ21" s="37">
        <f>+IFERROR(VLOOKUP($AZ$19,Sheet1!AD2:AG2,3,0),0)</f>
        <v>0</v>
      </c>
      <c r="BA21" s="36">
        <f>+IFERROR(VLOOKUP($BA$19,Sheet1!AH2:AK2,3,0),0)</f>
        <v>0</v>
      </c>
      <c r="BB21" s="36">
        <f>+IFERROR(VLOOKUP($BB$19,Sheet1!AH2:AK2,3,0),0)</f>
        <v>0</v>
      </c>
      <c r="BC21" s="36">
        <f>+IFERROR(VLOOKUP($BC$19,Sheet1!AH2:AK2,3,0),0)</f>
        <v>0</v>
      </c>
      <c r="BD21" s="36">
        <f>+IFERROR(VLOOKUP($BD$19,Sheet1!AH2:AK2,3,0),0)</f>
        <v>0</v>
      </c>
      <c r="BE21" s="36">
        <f>+IFERROR(VLOOKUP($BE$19,Sheet1!AH2:AK2,3,0),0)</f>
        <v>0</v>
      </c>
      <c r="BF21" s="36">
        <f>+IFERROR(VLOOKUP($BF$19,Sheet1!AH2:AK2,3,0),0)</f>
        <v>0</v>
      </c>
      <c r="BG21" s="36">
        <f>+IFERROR(VLOOKUP($BG$19,Sheet1!AH2:AK2,3,0),0)</f>
        <v>0</v>
      </c>
      <c r="BH21" s="36">
        <f>+IFERROR(VLOOKUP($BH$19,Sheet1!AH2:AK2,3,0),0)</f>
        <v>0</v>
      </c>
      <c r="BI21" s="36">
        <f>+IFERROR(VLOOKUP($BI$19,Sheet1!AH2:AK2,3,0),0)</f>
        <v>0</v>
      </c>
      <c r="BJ21" s="36">
        <f>+IFERROR(VLOOKUP($BJ$19,Sheet1!AH2:AK2,3,0),0)</f>
        <v>0</v>
      </c>
      <c r="BK21" s="36">
        <f>+IFERROR(VLOOKUP($BK$19,Sheet1!AH2:AK2,3,0),0)</f>
        <v>0</v>
      </c>
      <c r="BL21" s="9">
        <f>+IFERROR(VLOOKUP($BL$19,Sheet1!AL2:AO2,3,0),0)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40">
        <f>+IFERROR(VLOOKUP($BX$19,Sheet1!AP2:AS2,3,0),0)</f>
        <v>0</v>
      </c>
      <c r="BY21" s="43">
        <f>+IFERROR(VLOOKUP($BY$19,Sheet1!AT2:AW2,3,0),0)</f>
        <v>0</v>
      </c>
      <c r="BZ21" s="44">
        <f>+IFERROR(VLOOKUP($BZ$19,Sheet1!AX2:BA2,3,0),0)</f>
        <v>0</v>
      </c>
      <c r="CA21" s="46">
        <f>+IFERROR(VLOOKUP($CA$19,Sheet1!BB2:BE2,3,0),0)</f>
        <v>0</v>
      </c>
      <c r="CB21" s="48">
        <f>+IFERROR(VLOOKUP($CB$19,Sheet1!BF2:BI2,3,0),0)</f>
        <v>0</v>
      </c>
      <c r="CC21" s="49">
        <f>+IFERROR(VLOOKUP($CC$19,Sheet1!BJ2:BM2,3,0),0)</f>
        <v>0</v>
      </c>
      <c r="CD21" s="50">
        <f>+IFERROR(VLOOKUP($CD$19,Sheet1!BN2:BQ2,3,0),0)</f>
        <v>0</v>
      </c>
      <c r="CE21" s="38">
        <f>+IFERROR(VLOOKUP($CE$19,Sheet1!BR2:BU2,3,0),0)</f>
        <v>0</v>
      </c>
      <c r="CF21" s="44">
        <f>+IFERROR(VLOOKUP($CF$19,Sheet1!BV2:BY2,3,0),0)</f>
        <v>0</v>
      </c>
      <c r="CG21" s="67" t="str">
        <f>Sheet1!E2</f>
        <v>WOOD</v>
      </c>
      <c r="CH21" s="68" t="s">
        <v>228</v>
      </c>
      <c r="CI21" s="68" t="s">
        <v>229</v>
      </c>
      <c r="CJ21" s="68">
        <f>Sheet1!CX2</f>
        <v>6000</v>
      </c>
      <c r="CK21" s="23">
        <f>Sheet1!BZ2</f>
        <v>739.5</v>
      </c>
      <c r="CL21" s="23">
        <f>SUMPRODUCT($N$20:$CF$20,N21:CF21)+CK21</f>
        <v>58510.5</v>
      </c>
      <c r="CM21" s="24">
        <f>Sheet1!CB2</f>
        <v>0</v>
      </c>
      <c r="CN21" s="23">
        <f>CL21*CM21</f>
        <v>0</v>
      </c>
      <c r="CO21" s="95">
        <v>0.1</v>
      </c>
      <c r="CP21" s="23">
        <f>CL21*CO21</f>
        <v>5851.05</v>
      </c>
      <c r="CQ21" s="95">
        <v>0</v>
      </c>
      <c r="CR21" s="23">
        <f>CL21*CQ21</f>
        <v>0</v>
      </c>
      <c r="CS21" s="23">
        <f>CL21+CN21+CP21+CR21</f>
        <v>64361.55</v>
      </c>
      <c r="CT21" s="95">
        <v>0.02</v>
      </c>
      <c r="CU21" s="6">
        <f>CS21*CT21</f>
        <v>1287.231</v>
      </c>
      <c r="CV21" s="95">
        <v>1.4999999999999999E-2</v>
      </c>
      <c r="CW21" s="6">
        <f>CS21*CV21</f>
        <v>965.42325000000005</v>
      </c>
      <c r="CX21" s="95">
        <f>Sheet1!CM2</f>
        <v>0</v>
      </c>
      <c r="CY21" s="6">
        <f>CX21*CS21</f>
        <v>0</v>
      </c>
    </row>
    <row r="22" spans="1:104" ht="30" x14ac:dyDescent="0.25">
      <c r="M22" s="104" t="s">
        <v>256</v>
      </c>
      <c r="O22" s="15" t="s">
        <v>257</v>
      </c>
    </row>
    <row r="25" spans="1:104" ht="75" x14ac:dyDescent="0.25">
      <c r="E25" s="1" t="s">
        <v>127</v>
      </c>
      <c r="F25" s="1" t="s">
        <v>128</v>
      </c>
      <c r="G25" s="90" t="s">
        <v>129</v>
      </c>
      <c r="H25" s="1" t="s">
        <v>130</v>
      </c>
      <c r="I25" s="1" t="s">
        <v>131</v>
      </c>
      <c r="J25" s="1" t="s">
        <v>132</v>
      </c>
      <c r="K25" s="1" t="s">
        <v>133</v>
      </c>
      <c r="L25" s="1" t="s">
        <v>134</v>
      </c>
      <c r="M25" s="91" t="s">
        <v>135</v>
      </c>
      <c r="CG25" s="15" t="s">
        <v>230</v>
      </c>
      <c r="CH25" s="15" t="s">
        <v>230</v>
      </c>
      <c r="CI25" s="15" t="s">
        <v>231</v>
      </c>
      <c r="CJ25" s="15" t="s">
        <v>232</v>
      </c>
    </row>
    <row r="26" spans="1:104" x14ac:dyDescent="0.25">
      <c r="E26" s="92">
        <f>K21</f>
        <v>900</v>
      </c>
      <c r="F26" s="93">
        <f>CJ21/1000</f>
        <v>6</v>
      </c>
      <c r="G26" s="90" t="s">
        <v>233</v>
      </c>
      <c r="H26" s="94">
        <v>56000</v>
      </c>
      <c r="I26" s="93">
        <v>15</v>
      </c>
      <c r="J26" s="90">
        <f>F26*I26</f>
        <v>90</v>
      </c>
      <c r="K26" s="90">
        <f>ROUNDUP((E26/J26),0)</f>
        <v>10</v>
      </c>
      <c r="L26" s="90">
        <f>H26*K26</f>
        <v>560000</v>
      </c>
      <c r="M26" s="96">
        <f>L26/E26</f>
        <v>622.22222222222217</v>
      </c>
      <c r="CG26" s="15">
        <f>O21</f>
        <v>147</v>
      </c>
      <c r="CH26" s="15">
        <f>125+25</f>
        <v>150</v>
      </c>
      <c r="CI26" s="15">
        <f>((CG26*F26)+CH26)</f>
        <v>1032</v>
      </c>
      <c r="CJ26" s="15">
        <f>CI26*I26</f>
        <v>15480</v>
      </c>
    </row>
    <row r="27" spans="1:104" x14ac:dyDescent="0.25">
      <c r="M27" s="97"/>
    </row>
    <row r="28" spans="1:104" x14ac:dyDescent="0.25">
      <c r="M28" s="97"/>
    </row>
    <row r="29" spans="1:104" x14ac:dyDescent="0.25">
      <c r="M29" s="97"/>
    </row>
    <row r="30" spans="1:104" x14ac:dyDescent="0.25">
      <c r="M30" s="97"/>
    </row>
    <row r="31" spans="1:104" x14ac:dyDescent="0.25">
      <c r="M31" s="97"/>
    </row>
    <row r="32" spans="1:104" x14ac:dyDescent="0.25">
      <c r="M32" s="97"/>
    </row>
    <row r="33" spans="13:13" x14ac:dyDescent="0.25">
      <c r="M33" s="97"/>
    </row>
    <row r="34" spans="13:13" x14ac:dyDescent="0.25">
      <c r="M34" s="97"/>
    </row>
    <row r="35" spans="13:13" x14ac:dyDescent="0.25">
      <c r="M35" s="97"/>
    </row>
    <row r="36" spans="13:13" x14ac:dyDescent="0.25">
      <c r="M36" s="97"/>
    </row>
    <row r="37" spans="13:13" x14ac:dyDescent="0.25">
      <c r="M37" s="97"/>
    </row>
    <row r="38" spans="13:13" x14ac:dyDescent="0.25">
      <c r="M38" s="97"/>
    </row>
    <row r="39" spans="13:13" x14ac:dyDescent="0.25">
      <c r="M39" s="97"/>
    </row>
    <row r="40" spans="13:13" x14ac:dyDescent="0.25">
      <c r="M40" s="97"/>
    </row>
    <row r="41" spans="13:13" x14ac:dyDescent="0.25">
      <c r="M41" s="97"/>
    </row>
    <row r="42" spans="13:13" x14ac:dyDescent="0.25">
      <c r="M42" s="97"/>
    </row>
    <row r="43" spans="13:13" x14ac:dyDescent="0.25">
      <c r="M43" s="97"/>
    </row>
    <row r="44" spans="13:13" x14ac:dyDescent="0.25">
      <c r="M44" s="97"/>
    </row>
    <row r="45" spans="13:13" x14ac:dyDescent="0.25">
      <c r="M45" s="97"/>
    </row>
    <row r="46" spans="13:13" x14ac:dyDescent="0.25">
      <c r="M46" s="97"/>
    </row>
    <row r="47" spans="13:13" x14ac:dyDescent="0.25">
      <c r="M47" s="97"/>
    </row>
    <row r="48" spans="13: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row r="73" spans="13:13" x14ac:dyDescent="0.25">
      <c r="M73" s="97"/>
    </row>
  </sheetData>
  <mergeCells count="21">
    <mergeCell ref="B14:R14"/>
    <mergeCell ref="A2:R2"/>
    <mergeCell ref="B4:R4"/>
    <mergeCell ref="B5:R5"/>
    <mergeCell ref="B6:R6"/>
    <mergeCell ref="B7:R7"/>
    <mergeCell ref="B8:R8"/>
    <mergeCell ref="B9:R9"/>
    <mergeCell ref="B10:R10"/>
    <mergeCell ref="B11:R11"/>
    <mergeCell ref="B12:R12"/>
    <mergeCell ref="B13:R13"/>
    <mergeCell ref="BA18:BK18"/>
    <mergeCell ref="BL18:BW18"/>
    <mergeCell ref="CG18:CJ18"/>
    <mergeCell ref="N18:U18"/>
    <mergeCell ref="V18:W18"/>
    <mergeCell ref="X18:AE18"/>
    <mergeCell ref="AF18:AG18"/>
    <mergeCell ref="AH18:AP18"/>
    <mergeCell ref="AR18:AZ18"/>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2026-05-07T09:59:45Z</dcterms:modified>
</cp:coreProperties>
</file>