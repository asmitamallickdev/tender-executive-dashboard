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0" yWindow="0" windowWidth="20055" windowHeight="9510" firstSheet="1" activeTab="1"/>
  </bookViews>
  <sheets>
    <sheet name="Sheet1" sheetId="1" state="hidden" r:id="rId1"/>
    <sheet name="AUTO CALCULATION SHEET (2)" sheetId="4" r:id="rId2"/>
    <sheet name="LT ABC" sheetId="6" r:id="rId3"/>
  </sheets>
  <definedNames>
    <definedName name="_xlnm._FilterDatabase" localSheetId="0" hidden="1">Sheet1!$A$1:$CU$1</definedName>
  </definedNames>
  <calcPr calcId="145621"/>
</workbook>
</file>

<file path=xl/calcChain.xml><?xml version="1.0" encoding="utf-8"?>
<calcChain xmlns="http://schemas.openxmlformats.org/spreadsheetml/2006/main">
  <c r="AK22" i="6" l="1"/>
  <c r="AG22" i="6"/>
  <c r="AF22" i="6"/>
  <c r="AE22" i="6"/>
  <c r="T18" i="4" l="1"/>
  <c r="AD22" i="6" l="1"/>
  <c r="AB22" i="6"/>
  <c r="AA22" i="6"/>
  <c r="Z22" i="6"/>
  <c r="A16" i="6"/>
  <c r="A22" i="6" s="1"/>
  <c r="W22" i="6"/>
  <c r="V22" i="6"/>
  <c r="U22" i="6"/>
  <c r="T22" i="6"/>
  <c r="S22" i="6"/>
  <c r="R22" i="6"/>
  <c r="AC22" i="6"/>
  <c r="X22" i="6" l="1"/>
  <c r="E22" i="4" l="1"/>
  <c r="J22" i="4"/>
  <c r="K22" i="4" l="1"/>
  <c r="M22" i="4" s="1"/>
  <c r="L22" i="4" l="1"/>
  <c r="F19" i="4"/>
  <c r="BY19" i="4"/>
  <c r="BY17" i="4"/>
  <c r="BX19" i="4" l="1"/>
  <c r="BW19" i="4"/>
  <c r="BX17" i="4"/>
  <c r="BW17" i="4"/>
  <c r="BV19" i="4"/>
  <c r="BV17" i="4"/>
  <c r="B17" i="4"/>
  <c r="S18" i="4" l="1"/>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E19" i="4"/>
  <c r="AJ18" i="4"/>
  <c r="AI18" i="4"/>
  <c r="AH18" i="4"/>
  <c r="AE18" i="4"/>
  <c r="AG18" i="4"/>
  <c r="AD18" i="4"/>
  <c r="AD19" i="4"/>
  <c r="AC19" i="4"/>
  <c r="AC18" i="4"/>
  <c r="AB18" i="4" l="1"/>
  <c r="AA18" i="4"/>
  <c r="Z18" i="4"/>
  <c r="Y18" i="4"/>
  <c r="X18" i="4"/>
  <c r="W18" i="4"/>
  <c r="V18" i="4"/>
  <c r="U18" i="4"/>
  <c r="R18" i="4" l="1"/>
  <c r="Q18" i="4"/>
  <c r="P18" i="4"/>
  <c r="O18" i="4"/>
  <c r="N19" i="4"/>
  <c r="R19" i="4"/>
  <c r="Q19" i="4"/>
  <c r="P19" i="4"/>
  <c r="O19" i="4"/>
  <c r="N16" i="4"/>
  <c r="L19" i="4"/>
  <c r="K19" i="4"/>
  <c r="H19" i="4"/>
  <c r="CB19" i="4"/>
  <c r="BZ19" i="4"/>
  <c r="D19" i="4"/>
  <c r="C19" i="4"/>
  <c r="A19" i="4"/>
  <c r="CA19" i="4" l="1"/>
  <c r="CC19" i="4" l="1"/>
  <c r="CE19" i="4"/>
  <c r="CG19" i="4"/>
  <c r="CH19" i="4" l="1"/>
  <c r="CJ19" i="4" l="1"/>
  <c r="CL19" i="4"/>
  <c r="E19" i="4" l="1"/>
  <c r="B16" i="6" s="1"/>
  <c r="Q22" i="6" s="1"/>
  <c r="Y22" i="6" s="1"/>
  <c r="G19" i="4" l="1"/>
  <c r="I19" i="4" s="1"/>
  <c r="J19" i="4" s="1"/>
  <c r="M19" i="4" s="1"/>
</calcChain>
</file>

<file path=xl/comments1.xml><?xml version="1.0" encoding="utf-8"?>
<comments xmlns="http://schemas.openxmlformats.org/spreadsheetml/2006/main">
  <authors>
    <author>Author</author>
  </authors>
  <commentList>
    <comment ref="I21" author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<sst xmlns="http://schemas.openxmlformats.org/spreadsheetml/2006/main" count="305" uniqueCount="237">
  <si>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</si>
  <si>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</si>
  <si>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</si>
  <si>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</si>
  <si>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</si>
  <si>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</si>
  <si>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</si>
  <si>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</si>
  <si>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</si>
  <si>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</si>
  <si>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</si>
  <si>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</si>
  <si>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</si>
  <si>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</si>
  <si>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</si>
  <si>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</si>
  <si>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</si>
  <si>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</si>
  <si>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</si>
  <si>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</si>
  <si>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</si>
  <si>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</si>
  <si>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</si>
  <si>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</si>
  <si>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</si>
  <si>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</si>
  <si>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</si>
  <si>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</si>
  <si>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</si>
  <si>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</si>
  <si>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</si>
  <si>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</si>
  <si>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</si>
  <si>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</si>
  <si>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</si>
  <si>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</si>
  <si>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</si>
  <si>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</si>
  <si>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</si>
  <si>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</si>
  <si>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</si>
  <si>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</si>
  <si>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</si>
  <si>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</si>
  <si>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</si>
  <si>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</si>
  <si>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</si>
  <si>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</si>
  <si>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</si>
  <si>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</si>
  <si>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</si>
  <si>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</si>
  <si>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</si>
  <si>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</si>
  <si>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</si>
  <si>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</si>
  <si>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</si>
  <si>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</si>
  <si>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</si>
  <si>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</si>
  <si>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</si>
  <si>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</si>
  <si>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</si>
  <si>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</si>
  <si>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</si>
  <si>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</si>
  <si>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</si>
  <si>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</si>
  <si>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</si>
  <si>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</si>
  <si>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</si>
  <si>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</si>
  <si>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</si>
  <si>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</si>
  <si>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</si>
  <si>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</si>
  <si>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</si>
  <si>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</si>
  <si>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</si>
  <si>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</si>
  <si>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</si>
  <si>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</si>
  <si>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</si>
  <si>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</si>
  <si>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</si>
  <si>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</si>
  <si>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</si>
  <si>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</si>
  <si>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</si>
  <si>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</si>
  <si>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</si>
  <si>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</si>
  <si>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</si>
  <si>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</si>
  <si>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</si>
  <si>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</si>
  <si>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</si>
  <si>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</si>
  <si>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</si>
  <si>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</si>
  <si>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</si>
  <si>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</si>
  <si>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</si>
  <si>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</si>
  <si>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</si>
  <si>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</si>
  <si>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</si>
  <si>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</si>
  <si>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</si>
  <si>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</si>
  <si>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</si>
  <si>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</si>
  <si>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</si>
  <si>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</si>
  <si>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</si>
  <si>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</si>
  <si>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</si>
  <si>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</si>
  <si>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</si>
  <si>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</si>
  <si>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</si>
  <si>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</si>
  <si>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</si>
  <si>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</si>
  <si>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</si>
  <si>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</si>
  <si>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</si>
  <si>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</si>
  <si>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</si>
  <si>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</si>
  <si>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</si>
  <si>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</si>
  <si>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</si>
  <si>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</si>
  <si>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</si>
  <si>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</si>
  <si>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</si>
  <si>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Sum of RM RATE (Insulation Screening (Metallic))</t>
  </si>
  <si>
    <t>Sum of RM RATE(Conductor)</t>
  </si>
  <si>
    <t>Sum of RM RATE(Alu Alloy)</t>
  </si>
  <si>
    <t>Sum of RM RATE(Insulation Screening (Non-Metallic))</t>
  </si>
  <si>
    <t>Sum of RM RATE(Insulation)</t>
  </si>
  <si>
    <t>Sum of RM RATE (Poly Tape)</t>
  </si>
  <si>
    <t>Sum of RM RATE(Inner Sheath)</t>
  </si>
  <si>
    <t>Sum of RM RATE(Armouring)</t>
  </si>
  <si>
    <t>Sum of RM RATE(Outer Sheath)</t>
  </si>
  <si>
    <t>Sum of RM RATE(Filler)</t>
  </si>
  <si>
    <t>Sum of RM RATE(Grease)</t>
  </si>
  <si>
    <t>Sum of RM RATE(Water swellable Tape)</t>
  </si>
  <si>
    <t>Sum of RM RATE(Semi conducting Water Swellable tape)</t>
  </si>
  <si>
    <t>Sum of RM RATE(SEMICON TAPE)</t>
  </si>
  <si>
    <t>Sum of RM RATE(GLASS FIBER TAPE)</t>
  </si>
  <si>
    <t>Sum of RM RATE(COPPER WIRE 0.8 MM)</t>
  </si>
  <si>
    <t>Sum of RM RATE(RUBBERIZED COTTON TAPE)</t>
  </si>
  <si>
    <t>Sum of RM RATE(Water Tight Compound)</t>
  </si>
  <si>
    <t>DRUM CODE</t>
  </si>
  <si>
    <t>DRUM SIZE (FxbXtx Ft)</t>
  </si>
  <si>
    <t>M.P. MADHYA KSHETRA VIDYUT VITARAN CO. LTD.,  BHOPAL</t>
  </si>
  <si>
    <t>MD/MK/04/950</t>
  </si>
  <si>
    <t>Supply of LT AB Cable.</t>
  </si>
  <si>
    <t>01.08.23 at 15:00 hrs.</t>
  </si>
  <si>
    <t>Not Mention.</t>
  </si>
  <si>
    <t xml:space="preserve">The ex-works prices of LT XLPE Aerial Bunch Cable shall be Variable as per relevant IEEMA Price Variation formula, both on plus &amp; minus side without any ceiling. The basic price of the material and indices used shall be as published by IEEMA prevailing as on first working day of the month, one month prior to the date of opening of tender.
</t>
  </si>
  <si>
    <t>Offers should be kept open for acceptance for at least 180 days from the date of opening. Those who do not agree for a validity of 180 days will do so at their own risk and no request for extending the validity is likely to be made from this office.</t>
  </si>
  <si>
    <t>The bidder shall require to complete the delivery in following installment. The first lot / installment shall be supplied within 70 days from the date of issue of order (including date of issue) sent through email and subsequent lot(s) within next 45 days thereafter as under:  1st Lot - Percentage of ordered quantity - 25% -To be supplied within 70 days from the date of receipt of order
2nd Lot - Percentage of ordered quantity - 25% -To be supplied within 45 days from the date of receipt of order
3rd Lot - Percentage of ordered quantity - 25% -To be supplied within 45 days from the date of receipt of order
4th Lot - Percentage of ordered quantity - 25% -To be supplied within 45 days from the date of receipt of order</t>
  </si>
  <si>
    <t>Subject to completion of all contractual formalities 100% payment along with taxes corresponding to the consignment would generally be made within 45 working days from the date of DRR on acceptance of material by the Area Stores after successful testing at NABL Lab.</t>
  </si>
  <si>
    <t xml:space="preserve">The cable shall be wound on a drum (refer-IS:10418-1982) of suitable size and packed. The packing shall be robust enough for rough handling that is occasioned during transportation by Rail/Road. The ends of the cable shall be sealed by means of non-hygroscopic sealing material. </t>
  </si>
  <si>
    <t>The standard length of cable shall be 500 Mtrs./1000 Mtrs. with Plus Minus 5% tolerance.</t>
  </si>
  <si>
    <t>FA0100109</t>
  </si>
  <si>
    <t>3 CORE X 150 SQ MM + 1 CORE X 16 SQ MM + 1 CORE X 95 SQ MM (AB CABLES) (BARE)</t>
  </si>
  <si>
    <t xml:space="preserve">PARTY STANDARD LENGTH (MTR) </t>
  </si>
  <si>
    <t>ENQ-10886-22-23</t>
  </si>
  <si>
    <t>WOOD</t>
  </si>
  <si>
    <t>Alumimium Alloy</t>
  </si>
  <si>
    <t>KMS</t>
  </si>
  <si>
    <t>MD0100078</t>
  </si>
  <si>
    <t>DRUM - 60 X 22 X 38 X 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</si>
  <si>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</si>
  <si>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</si>
  <si>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</si>
  <si>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</si>
  <si>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</si>
  <si>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</si>
  <si>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</si>
  <si>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</si>
  <si>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</si>
  <si>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</si>
  <si>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</si>
  <si>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</si>
  <si>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</si>
  <si>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</si>
  <si>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</si>
  <si>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</si>
  <si>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</si>
  <si>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</si>
  <si>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</si>
  <si>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</si>
  <si>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</si>
  <si>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</si>
  <si>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</si>
  <si>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</si>
  <si>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</si>
  <si>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</si>
  <si>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</si>
  <si>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</si>
  <si>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</si>
  <si>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</si>
  <si>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</si>
  <si>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</si>
  <si>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</si>
  <si>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</si>
  <si>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</si>
  <si>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</si>
  <si>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</si>
  <si>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</si>
  <si>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</si>
  <si>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</si>
  <si>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</si>
  <si>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</si>
  <si>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</si>
  <si>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</si>
  <si>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</si>
  <si>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Alsl</t>
  </si>
  <si>
    <t>CCFAIsl</t>
  </si>
  <si>
    <t>Al @</t>
  </si>
  <si>
    <t>alloy</t>
  </si>
  <si>
    <t>RMC</t>
  </si>
  <si>
    <t>Drum</t>
  </si>
  <si>
    <t>RMC+Drum</t>
  </si>
  <si>
    <t>VA</t>
  </si>
  <si>
    <t>Groos VA%</t>
  </si>
  <si>
    <t>Mfg %</t>
  </si>
  <si>
    <t>Int %</t>
  </si>
  <si>
    <t>Ins%</t>
  </si>
  <si>
    <t>Net VA %</t>
  </si>
  <si>
    <t>MP</t>
  </si>
  <si>
    <t xml:space="preserve">The basic price of the material and indices used shall be as published by IEEMA prevailing as on first working day of the month, one month prior to the date of opening of tender.
The basic price of the material and  indices used shall be as published by IEEMA prevailing as on first working day of the month, one  month prior to the date of opening of tender.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</si>
</sst>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0.000%"/>
    <numFmt numFmtId="165" formatCode="_(* #,##0.00_);_(* \(#,##0.00\);_(* &quot;-&quot;??_);_(@_)"/>
    <numFmt numFmtId="166" formatCode="0.0000"/>
    <numFmt numFmtId="167" formatCode="&quot;Rs. &quot;#,##0.00"/>
    <numFmt numFmtId="168" formatCode="&quot;Rs.&quot;#,##0"/>
    <numFmt numFmtId="169" formatCode="0.0"/>
    <numFmt numFmtId="170" formatCode="0.000"/>
    <numFmt numFmtId="171"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000000"/>
      <name val="Calibri"/>
      <family val="2"/>
      <scheme val="minor"/>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3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6" fillId="0" borderId="0" xfId="4" applyFont="1" applyFill="1" applyAlignment="1">
      <alignment horizontal="center" wrapText="1"/>
    </xf>
    <xf numFmtId="0" fontId="16" fillId="0" borderId="0" xfId="4" applyFont="1" applyFill="1" applyAlignment="1"/>
    <xf numFmtId="0" fontId="17" fillId="0" borderId="0" xfId="6" applyFont="1" applyFill="1"/>
    <xf numFmtId="0" fontId="11" fillId="0" borderId="0" xfId="4" applyFont="1" applyFill="1"/>
    <xf numFmtId="0" fontId="11" fillId="0" borderId="0" xfId="4"/>
    <xf numFmtId="0" fontId="0" fillId="0" borderId="0" xfId="0" applyAlignment="1">
      <alignment horizontal="center" wrapText="1"/>
    </xf>
    <xf numFmtId="0" fontId="11" fillId="0" borderId="0" xfId="4" applyFont="1" applyFill="1" applyBorder="1" applyAlignment="1">
      <alignment horizontal="center" vertical="center"/>
    </xf>
    <xf numFmtId="0" fontId="17" fillId="0" borderId="0" xfId="4" applyFont="1" applyFill="1" applyAlignment="1">
      <alignment horizontal="center"/>
    </xf>
    <xf numFmtId="0" fontId="16" fillId="0" borderId="0" xfId="4" applyFont="1" applyFill="1" applyBorder="1" applyAlignment="1"/>
    <xf numFmtId="0" fontId="11" fillId="0" borderId="0" xfId="4" applyFont="1" applyFill="1" applyAlignment="1"/>
    <xf numFmtId="0" fontId="16" fillId="0" borderId="0" xfId="4" applyFont="1" applyFill="1" applyBorder="1" applyAlignment="1">
      <alignment horizontal="center"/>
    </xf>
    <xf numFmtId="0" fontId="17" fillId="0" borderId="0" xfId="6" applyFont="1" applyFill="1" applyAlignment="1">
      <alignment horizontal="center"/>
    </xf>
    <xf numFmtId="0" fontId="11" fillId="0" borderId="0" xfId="4" applyFont="1" applyFill="1" applyAlignment="1">
      <alignment horizontal="center"/>
    </xf>
    <xf numFmtId="0" fontId="11" fillId="0" borderId="0" xfId="4" applyAlignment="1">
      <alignment horizontal="center"/>
    </xf>
    <xf numFmtId="0" fontId="16" fillId="0" borderId="0" xfId="4" applyFont="1" applyFill="1" applyBorder="1" applyAlignment="1">
      <alignment horizontal="center" vertical="center"/>
    </xf>
    <xf numFmtId="0" fontId="16" fillId="0" borderId="0" xfId="4" applyFont="1" applyFill="1" applyBorder="1" applyAlignment="1">
      <alignment vertical="center"/>
    </xf>
    <xf numFmtId="0" fontId="11" fillId="0" borderId="0" xfId="4" applyFont="1" applyFill="1" applyBorder="1" applyAlignment="1">
      <alignment horizontal="center"/>
    </xf>
    <xf numFmtId="0" fontId="0" fillId="0" borderId="1" xfId="0" applyBorder="1" applyAlignment="1">
      <alignment horizontal="center" vertical="center"/>
    </xf>
    <xf numFmtId="0" fontId="17" fillId="0" borderId="1" xfId="4" applyFont="1" applyFill="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6" fillId="0" borderId="0" xfId="4" applyNumberFormat="1" applyFont="1" applyFill="1" applyBorder="1" applyAlignment="1">
      <alignment vertical="center"/>
    </xf>
    <xf numFmtId="0" fontId="18" fillId="0" borderId="1" xfId="4" applyFont="1" applyFill="1" applyBorder="1" applyAlignment="1">
      <alignment horizontal="center"/>
    </xf>
    <xf numFmtId="0" fontId="16" fillId="0" borderId="1" xfId="4" applyFont="1" applyFill="1" applyBorder="1" applyAlignment="1">
      <alignment horizontal="center" vertical="center"/>
    </xf>
    <xf numFmtId="0" fontId="11" fillId="0" borderId="1" xfId="4" applyFont="1" applyFill="1" applyBorder="1" applyAlignment="1">
      <alignment horizontal="center" vertical="center" wrapText="1"/>
    </xf>
    <xf numFmtId="167" fontId="16" fillId="0" borderId="1" xfId="4" applyNumberFormat="1" applyFont="1" applyFill="1" applyBorder="1" applyAlignment="1">
      <alignment horizontal="center" vertical="center"/>
    </xf>
    <xf numFmtId="0" fontId="2" fillId="0" borderId="0" xfId="0" applyFont="1" applyBorder="1" applyAlignment="1">
      <alignment vertical="center"/>
    </xf>
    <xf numFmtId="0" fontId="11" fillId="0" borderId="0" xfId="4" applyFont="1" applyFill="1" applyBorder="1"/>
    <xf numFmtId="0" fontId="17" fillId="0" borderId="0" xfId="4" applyFont="1" applyFill="1" applyBorder="1" applyAlignment="1">
      <alignment horizontal="center"/>
    </xf>
    <xf numFmtId="14" fontId="17" fillId="0" borderId="0" xfId="4" applyNumberFormat="1" applyFont="1" applyFill="1" applyBorder="1" applyAlignment="1">
      <alignment horizontal="center"/>
    </xf>
    <xf numFmtId="0" fontId="16" fillId="0" borderId="2" xfId="6" applyFont="1" applyFill="1" applyBorder="1" applyAlignment="1">
      <alignment horizontal="center" vertical="center" wrapText="1"/>
    </xf>
    <xf numFmtId="0" fontId="20" fillId="0" borderId="6" xfId="6" applyFont="1" applyFill="1" applyBorder="1" applyAlignment="1">
      <alignment horizontal="center" vertical="center" wrapText="1"/>
    </xf>
    <xf numFmtId="0" fontId="20" fillId="0" borderId="1" xfId="6" applyFont="1" applyFill="1" applyBorder="1" applyAlignment="1">
      <alignment horizontal="center" vertical="center" wrapText="1"/>
    </xf>
    <xf numFmtId="0" fontId="12" fillId="0" borderId="1" xfId="6" applyFont="1" applyFill="1" applyBorder="1" applyAlignment="1">
      <alignment horizontal="center" vertical="center" wrapText="1"/>
    </xf>
    <xf numFmtId="0" fontId="20" fillId="0" borderId="22" xfId="6" applyFont="1" applyFill="1" applyBorder="1" applyAlignment="1">
      <alignment horizontal="center" vertical="center" wrapText="1"/>
    </xf>
    <xf numFmtId="0" fontId="11" fillId="0" borderId="20" xfId="4" applyFont="1" applyFill="1" applyBorder="1"/>
    <xf numFmtId="0" fontId="17" fillId="0" borderId="21" xfId="6" applyFont="1" applyFill="1" applyBorder="1"/>
    <xf numFmtId="0" fontId="17" fillId="0" borderId="6" xfId="6" applyFont="1" applyFill="1" applyBorder="1" applyAlignment="1">
      <alignment horizontal="left" vertical="center" wrapText="1"/>
    </xf>
    <xf numFmtId="14" fontId="17" fillId="0" borderId="1" xfId="6" applyNumberFormat="1" applyFont="1" applyFill="1" applyBorder="1" applyAlignment="1">
      <alignment horizontal="center" vertical="center" wrapText="1"/>
    </xf>
    <xf numFmtId="14" fontId="17" fillId="0" borderId="6" xfId="6" applyNumberFormat="1" applyFont="1" applyFill="1" applyBorder="1" applyAlignment="1">
      <alignment horizontal="center" vertical="center" wrapText="1"/>
    </xf>
    <xf numFmtId="2" fontId="16" fillId="0" borderId="2" xfId="6" applyNumberFormat="1" applyFont="1" applyFill="1" applyBorder="1" applyAlignment="1">
      <alignment horizontal="center" vertical="center" wrapText="1"/>
    </xf>
    <xf numFmtId="2" fontId="16" fillId="0" borderId="26" xfId="6" applyNumberFormat="1" applyFont="1" applyFill="1" applyBorder="1" applyAlignment="1">
      <alignment horizontal="center" vertical="center" wrapText="1"/>
    </xf>
    <xf numFmtId="0" fontId="16" fillId="0" borderId="29" xfId="6" applyFont="1" applyFill="1" applyBorder="1" applyAlignment="1">
      <alignment horizontal="center" vertical="center" wrapText="1"/>
    </xf>
    <xf numFmtId="0" fontId="17" fillId="0" borderId="20" xfId="6" applyFont="1" applyFill="1" applyBorder="1" applyAlignment="1">
      <alignment horizontal="center" vertical="center" wrapText="1"/>
    </xf>
    <xf numFmtId="168" fontId="20" fillId="0" borderId="3" xfId="6" applyNumberFormat="1" applyFont="1" applyFill="1" applyBorder="1" applyAlignment="1">
      <alignment horizontal="center" vertical="center" wrapText="1"/>
    </xf>
    <xf numFmtId="168" fontId="20" fillId="0" borderId="6" xfId="6" applyNumberFormat="1" applyFont="1" applyFill="1" applyBorder="1" applyAlignment="1">
      <alignment horizontal="center"/>
    </xf>
    <xf numFmtId="168" fontId="20" fillId="0" borderId="1" xfId="6" applyNumberFormat="1" applyFont="1" applyFill="1" applyBorder="1" applyAlignment="1">
      <alignment horizontal="center"/>
    </xf>
    <xf numFmtId="1" fontId="12" fillId="0" borderId="1" xfId="6" applyNumberFormat="1" applyFont="1" applyFill="1" applyBorder="1"/>
    <xf numFmtId="1" fontId="20" fillId="0" borderId="1" xfId="6" applyNumberFormat="1" applyFont="1" applyFill="1" applyBorder="1"/>
    <xf numFmtId="1" fontId="12" fillId="0" borderId="1" xfId="6" applyNumberFormat="1" applyFont="1" applyFill="1" applyBorder="1" applyAlignment="1">
      <alignment horizontal="center"/>
    </xf>
    <xf numFmtId="0" fontId="12" fillId="0" borderId="1" xfId="6" applyFont="1" applyFill="1" applyBorder="1"/>
    <xf numFmtId="0" fontId="11" fillId="0" borderId="22" xfId="4" applyBorder="1"/>
    <xf numFmtId="0" fontId="11" fillId="0" borderId="2" xfId="4" applyFont="1" applyFill="1" applyBorder="1" applyAlignment="1">
      <alignment horizontal="center" wrapText="1"/>
    </xf>
    <xf numFmtId="14" fontId="17" fillId="0" borderId="30" xfId="6" applyNumberFormat="1" applyFont="1" applyFill="1" applyBorder="1" applyAlignment="1">
      <alignment horizontal="center" vertical="center" wrapText="1"/>
    </xf>
    <xf numFmtId="169" fontId="17" fillId="0" borderId="1" xfId="6" applyNumberFormat="1" applyFont="1" applyFill="1" applyBorder="1" applyAlignment="1">
      <alignment horizontal="center" vertical="center" wrapText="1"/>
    </xf>
    <xf numFmtId="14" fontId="16" fillId="9" borderId="6" xfId="6" applyNumberFormat="1" applyFont="1" applyFill="1" applyBorder="1" applyAlignment="1">
      <alignment horizontal="center" vertical="center" wrapText="1"/>
    </xf>
    <xf numFmtId="170" fontId="17" fillId="0" borderId="2" xfId="6" applyNumberFormat="1" applyFont="1" applyFill="1" applyBorder="1" applyAlignment="1">
      <alignment horizontal="center" vertical="center" wrapText="1"/>
    </xf>
    <xf numFmtId="2" fontId="17" fillId="0" borderId="26" xfId="6" applyNumberFormat="1" applyFont="1" applyFill="1" applyBorder="1" applyAlignment="1">
      <alignment horizontal="center" vertical="center" wrapText="1"/>
    </xf>
    <xf numFmtId="166" fontId="17" fillId="0" borderId="4" xfId="6" applyNumberFormat="1" applyFont="1" applyFill="1" applyBorder="1" applyAlignment="1">
      <alignment vertical="center" wrapText="1"/>
    </xf>
    <xf numFmtId="2" fontId="17" fillId="10" borderId="26" xfId="6" applyNumberFormat="1" applyFont="1" applyFill="1" applyBorder="1" applyAlignment="1">
      <alignment horizontal="center" vertical="center" wrapText="1"/>
    </xf>
    <xf numFmtId="2" fontId="12" fillId="0" borderId="3" xfId="6"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1" xfId="0" applyFont="1" applyBorder="1" applyAlignment="1">
      <alignment horizontal="center" vertical="center" wrapText="1"/>
    </xf>
    <xf numFmtId="2" fontId="20" fillId="0" borderId="1" xfId="6" applyNumberFormat="1" applyFont="1" applyFill="1" applyBorder="1" applyAlignment="1">
      <alignment vertical="center" wrapText="1"/>
    </xf>
    <xf numFmtId="2" fontId="12" fillId="0" borderId="1" xfId="6" applyNumberFormat="1" applyFont="1" applyFill="1" applyBorder="1" applyAlignment="1">
      <alignment vertical="center" wrapText="1"/>
    </xf>
    <xf numFmtId="10" fontId="20" fillId="11"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8" fillId="0" borderId="22" xfId="2" applyNumberFormat="1" applyFont="1" applyBorder="1" applyAlignment="1">
      <alignment vertical="center" wrapText="1"/>
    </xf>
    <xf numFmtId="43" fontId="11" fillId="0" borderId="0" xfId="1" applyFont="1" applyAlignment="1">
      <alignment wrapText="1"/>
    </xf>
    <xf numFmtId="0" fontId="11" fillId="0" borderId="0" xfId="4" applyAlignment="1">
      <alignment wrapText="1"/>
    </xf>
    <xf numFmtId="0" fontId="11" fillId="0" borderId="20" xfId="4" applyFont="1" applyFill="1" applyBorder="1" applyAlignment="1">
      <alignment wrapText="1"/>
    </xf>
    <xf numFmtId="0" fontId="11" fillId="0" borderId="33" xfId="4" applyFont="1" applyFill="1" applyBorder="1" applyAlignment="1">
      <alignment wrapText="1"/>
    </xf>
    <xf numFmtId="14" fontId="17" fillId="0" borderId="34" xfId="6" applyNumberFormat="1" applyFont="1" applyFill="1" applyBorder="1" applyAlignment="1">
      <alignment horizontal="center" vertical="center" wrapText="1"/>
    </xf>
    <xf numFmtId="14" fontId="17" fillId="0" borderId="35" xfId="6" applyNumberFormat="1" applyFont="1" applyFill="1" applyBorder="1" applyAlignment="1">
      <alignment horizontal="center" vertical="center" wrapText="1"/>
    </xf>
    <xf numFmtId="2" fontId="17" fillId="0" borderId="36" xfId="6" applyNumberFormat="1" applyFont="1" applyFill="1" applyBorder="1" applyAlignment="1">
      <alignment horizontal="center" vertical="center" wrapText="1"/>
    </xf>
    <xf numFmtId="2" fontId="17" fillId="0" borderId="37" xfId="6" applyNumberFormat="1" applyFont="1" applyFill="1" applyBorder="1" applyAlignment="1">
      <alignment horizontal="center" vertical="center" wrapText="1"/>
    </xf>
    <xf numFmtId="2" fontId="17" fillId="0" borderId="35" xfId="6" applyNumberFormat="1" applyFont="1" applyFill="1" applyBorder="1" applyAlignment="1">
      <alignment horizontal="center" vertical="center" wrapText="1"/>
    </xf>
    <xf numFmtId="169" fontId="17" fillId="0" borderId="36" xfId="6" applyNumberFormat="1" applyFont="1" applyFill="1" applyBorder="1" applyAlignment="1">
      <alignment horizontal="center" vertical="center" wrapText="1"/>
    </xf>
    <xf numFmtId="2" fontId="17" fillId="0" borderId="39" xfId="6" applyNumberFormat="1" applyFont="1" applyFill="1" applyBorder="1" applyAlignment="1">
      <alignment horizontal="center" vertical="center" wrapText="1"/>
    </xf>
    <xf numFmtId="2" fontId="17" fillId="0" borderId="32" xfId="6" applyNumberFormat="1" applyFont="1" applyFill="1" applyBorder="1" applyAlignment="1">
      <alignment horizontal="center" vertical="center" wrapText="1"/>
    </xf>
    <xf numFmtId="171" fontId="17" fillId="0" borderId="38" xfId="6" applyNumberFormat="1" applyFont="1" applyFill="1" applyBorder="1" applyAlignment="1">
      <alignment vertical="center" wrapText="1"/>
    </xf>
    <xf numFmtId="171" fontId="17" fillId="0" borderId="40" xfId="6" applyNumberFormat="1" applyFont="1" applyFill="1" applyBorder="1" applyAlignment="1">
      <alignment vertical="center" wrapText="1"/>
    </xf>
    <xf numFmtId="2" fontId="17" fillId="0" borderId="33" xfId="6" applyNumberFormat="1" applyFont="1" applyFill="1" applyBorder="1" applyAlignment="1">
      <alignment horizontal="center" vertical="center" wrapText="1"/>
    </xf>
    <xf numFmtId="0" fontId="11" fillId="0" borderId="41" xfId="4" applyFont="1" applyFill="1" applyBorder="1" applyAlignment="1">
      <alignment wrapText="1"/>
    </xf>
    <xf numFmtId="0" fontId="11" fillId="0" borderId="35" xfId="4" applyFont="1" applyFill="1" applyBorder="1" applyAlignment="1">
      <alignment wrapText="1"/>
    </xf>
    <xf numFmtId="0" fontId="11" fillId="0" borderId="36" xfId="4" applyFont="1" applyFill="1" applyBorder="1" applyAlignment="1">
      <alignment wrapText="1"/>
    </xf>
    <xf numFmtId="0" fontId="11" fillId="0" borderId="37" xfId="4" applyBorder="1" applyAlignment="1">
      <alignment wrapText="1"/>
    </xf>
    <xf numFmtId="0" fontId="18" fillId="0" borderId="0" xfId="4" applyFont="1" applyFill="1"/>
    <xf numFmtId="0" fontId="16" fillId="0" borderId="22" xfId="6" applyFont="1" applyFill="1" applyBorder="1" applyAlignment="1">
      <alignment horizontal="center" vertical="center" wrapText="1"/>
    </xf>
    <xf numFmtId="14" fontId="17" fillId="0" borderId="2" xfId="6" applyNumberFormat="1" applyFont="1" applyFill="1" applyBorder="1" applyAlignment="1">
      <alignment horizontal="center" vertical="center" wrapText="1"/>
    </xf>
    <xf numFmtId="169" fontId="17" fillId="0" borderId="39" xfId="6" applyNumberFormat="1" applyFont="1" applyFill="1" applyBorder="1" applyAlignment="1">
      <alignment horizontal="center" vertical="center" wrapText="1"/>
    </xf>
    <xf numFmtId="0" fontId="16" fillId="0" borderId="6" xfId="6" applyFont="1" applyFill="1" applyBorder="1" applyAlignment="1">
      <alignment horizontal="center" vertical="center" wrapText="1"/>
    </xf>
    <xf numFmtId="2" fontId="16" fillId="0" borderId="6" xfId="6" applyNumberFormat="1" applyFont="1" applyFill="1" applyBorder="1" applyAlignment="1">
      <alignment horizontal="center" vertical="center" wrapText="1"/>
    </xf>
    <xf numFmtId="2" fontId="16" fillId="0" borderId="22" xfId="6" applyNumberFormat="1" applyFont="1" applyFill="1" applyBorder="1" applyAlignment="1">
      <alignment horizontal="center" vertical="center" wrapText="1"/>
    </xf>
    <xf numFmtId="170" fontId="17" fillId="0" borderId="6" xfId="6" applyNumberFormat="1" applyFont="1" applyFill="1" applyBorder="1" applyAlignment="1">
      <alignment horizontal="center" vertical="center" wrapText="1"/>
    </xf>
    <xf numFmtId="170" fontId="17" fillId="0" borderId="22" xfId="6" applyNumberFormat="1" applyFont="1" applyFill="1" applyBorder="1" applyAlignment="1">
      <alignment horizontal="center" vertical="center" wrapText="1"/>
    </xf>
    <xf numFmtId="2" fontId="23" fillId="0" borderId="1" xfId="6" applyNumberFormat="1" applyFont="1" applyFill="1" applyBorder="1" applyAlignment="1">
      <alignment horizontal="center" vertical="center" wrapText="1"/>
    </xf>
    <xf numFmtId="0" fontId="19" fillId="0" borderId="43" xfId="4" applyFont="1" applyFill="1" applyBorder="1" applyAlignment="1">
      <alignment horizontal="center" vertical="center" wrapText="1"/>
    </xf>
    <xf numFmtId="0" fontId="18" fillId="0" borderId="42" xfId="4" applyFont="1" applyFill="1" applyBorder="1" applyAlignment="1">
      <alignment horizontal="center" vertical="center"/>
    </xf>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6" fillId="0" borderId="2" xfId="4" applyFont="1" applyFill="1" applyBorder="1" applyAlignment="1">
      <alignment horizontal="center" vertical="center" wrapText="1"/>
    </xf>
    <xf numFmtId="0" fontId="16" fillId="0" borderId="3" xfId="4" applyFont="1" applyFill="1" applyBorder="1" applyAlignment="1">
      <alignment horizontal="center" vertical="center" wrapText="1"/>
    </xf>
    <xf numFmtId="0" fontId="16" fillId="0" borderId="4" xfId="4" applyFont="1" applyFill="1" applyBorder="1" applyAlignment="1">
      <alignment horizontal="center" vertical="center" wrapText="1"/>
    </xf>
    <xf numFmtId="0" fontId="2" fillId="0" borderId="31" xfId="0" applyFont="1" applyBorder="1" applyAlignment="1">
      <alignment horizontal="center" wrapText="1"/>
    </xf>
    <xf numFmtId="14" fontId="18" fillId="8" borderId="44" xfId="4" applyNumberFormat="1" applyFont="1" applyFill="1" applyBorder="1" applyAlignment="1">
      <alignment horizontal="center" vertical="center"/>
    </xf>
    <xf numFmtId="0" fontId="18" fillId="8" borderId="45" xfId="4" applyFont="1" applyFill="1" applyBorder="1" applyAlignment="1">
      <alignment horizontal="center" vertical="center"/>
    </xf>
    <xf numFmtId="0" fontId="18" fillId="8" borderId="46" xfId="4" applyFont="1" applyFill="1" applyBorder="1" applyAlignment="1">
      <alignment horizontal="center" vertical="center"/>
    </xf>
    <xf numFmtId="0" fontId="10" fillId="0" borderId="43" xfId="4" applyFont="1" applyFill="1" applyBorder="1" applyAlignment="1">
      <alignment horizontal="left" vertical="center" wrapText="1"/>
    </xf>
    <xf numFmtId="0" fontId="16" fillId="0" borderId="43" xfId="4" applyFont="1" applyFill="1" applyBorder="1" applyAlignment="1">
      <alignment horizontal="left" vertical="center" wrapText="1"/>
    </xf>
    <xf numFmtId="0" fontId="13" fillId="0" borderId="0" xfId="4" applyFont="1" applyFill="1" applyBorder="1" applyAlignment="1">
      <alignment horizontal="left" vertical="center" wrapText="1"/>
    </xf>
    <xf numFmtId="0" fontId="16" fillId="0" borderId="1" xfId="4" applyFont="1" applyFill="1" applyBorder="1" applyAlignment="1">
      <alignment horizontal="center"/>
    </xf>
    <xf numFmtId="0" fontId="16" fillId="0" borderId="1" xfId="4" applyFont="1" applyFill="1" applyBorder="1" applyAlignment="1">
      <alignment horizontal="center" wrapText="1"/>
    </xf>
    <xf numFmtId="0" fontId="11" fillId="0" borderId="0" xfId="4" applyFont="1" applyFill="1" applyBorder="1" applyAlignment="1">
      <alignment horizontal="center"/>
    </xf>
    <xf numFmtId="0" fontId="18" fillId="0" borderId="11" xfId="4" applyFont="1" applyFill="1" applyBorder="1" applyAlignment="1">
      <alignment horizontal="center" vertical="center"/>
    </xf>
    <xf numFmtId="0" fontId="18" fillId="0" borderId="20" xfId="4" applyFont="1" applyFill="1" applyBorder="1" applyAlignment="1">
      <alignment horizontal="center" vertical="center"/>
    </xf>
    <xf numFmtId="0" fontId="18" fillId="0" borderId="28" xfId="4" applyFont="1" applyFill="1" applyBorder="1" applyAlignment="1">
      <alignment horizontal="center" vertical="center"/>
    </xf>
    <xf numFmtId="0" fontId="18" fillId="0" borderId="11" xfId="4" applyFont="1" applyFill="1" applyBorder="1" applyAlignment="1">
      <alignment horizontal="center" vertical="center" wrapText="1"/>
    </xf>
    <xf numFmtId="0" fontId="18" fillId="0" borderId="20" xfId="4" applyFont="1" applyFill="1" applyBorder="1" applyAlignment="1">
      <alignment horizontal="center" vertical="center" wrapText="1"/>
    </xf>
    <xf numFmtId="0" fontId="18" fillId="0" borderId="28" xfId="4" applyFont="1" applyFill="1" applyBorder="1" applyAlignment="1">
      <alignment horizontal="center" vertical="center" wrapText="1"/>
    </xf>
    <xf numFmtId="0" fontId="16" fillId="0" borderId="12" xfId="6" applyFont="1" applyFill="1" applyBorder="1" applyAlignment="1">
      <alignment horizontal="center" vertical="center" wrapText="1"/>
    </xf>
    <xf numFmtId="0" fontId="16" fillId="0" borderId="21" xfId="6" applyFont="1" applyFill="1" applyBorder="1" applyAlignment="1">
      <alignment horizontal="center" vertical="center" wrapText="1"/>
    </xf>
    <xf numFmtId="0" fontId="16" fillId="0" borderId="25" xfId="6" applyFont="1" applyFill="1" applyBorder="1" applyAlignment="1">
      <alignment horizontal="center" vertical="center" wrapText="1"/>
    </xf>
    <xf numFmtId="0" fontId="16" fillId="0" borderId="5" xfId="6" applyFont="1" applyFill="1" applyBorder="1" applyAlignment="1">
      <alignment horizontal="center" vertical="center" wrapText="1"/>
    </xf>
    <xf numFmtId="0" fontId="16" fillId="0" borderId="13" xfId="6" applyFont="1" applyFill="1" applyBorder="1" applyAlignment="1">
      <alignment horizontal="center" vertical="center" wrapText="1"/>
    </xf>
    <xf numFmtId="0" fontId="16" fillId="0" borderId="19" xfId="6" applyFont="1" applyFill="1" applyBorder="1" applyAlignment="1">
      <alignment horizontal="center" vertical="center" wrapText="1"/>
    </xf>
    <xf numFmtId="0" fontId="16" fillId="0" borderId="15" xfId="6" applyFont="1" applyFill="1" applyBorder="1" applyAlignment="1">
      <alignment horizontal="center" vertical="center" wrapText="1"/>
    </xf>
    <xf numFmtId="0" fontId="16" fillId="0" borderId="16" xfId="6" applyFont="1" applyFill="1" applyBorder="1" applyAlignment="1">
      <alignment horizontal="center" vertical="center" wrapText="1"/>
    </xf>
    <xf numFmtId="0" fontId="16" fillId="0" borderId="23" xfId="6" applyFont="1" applyFill="1" applyBorder="1" applyAlignment="1">
      <alignment horizontal="center" vertical="center" wrapText="1"/>
    </xf>
    <xf numFmtId="0" fontId="16" fillId="0" borderId="24" xfId="6" applyFont="1" applyFill="1" applyBorder="1" applyAlignment="1">
      <alignment horizontal="center" vertical="center" wrapText="1"/>
    </xf>
    <xf numFmtId="0" fontId="16" fillId="0" borderId="17" xfId="6" applyFont="1" applyFill="1" applyBorder="1" applyAlignment="1">
      <alignment horizontal="center" vertical="center" wrapText="1"/>
    </xf>
    <xf numFmtId="0" fontId="16" fillId="0" borderId="26" xfId="6" applyFont="1" applyFill="1" applyBorder="1" applyAlignment="1">
      <alignment horizontal="center" vertical="center" wrapText="1"/>
    </xf>
    <xf numFmtId="0" fontId="16" fillId="0" borderId="18" xfId="6" applyFont="1" applyFill="1" applyBorder="1" applyAlignment="1">
      <alignment horizontal="center" vertical="center" wrapText="1"/>
    </xf>
    <xf numFmtId="0" fontId="16" fillId="0" borderId="4" xfId="6" applyFont="1" applyFill="1" applyBorder="1" applyAlignment="1">
      <alignment horizontal="center" vertical="center" wrapText="1"/>
    </xf>
    <xf numFmtId="0" fontId="16" fillId="0" borderId="1" xfId="6" applyFont="1" applyFill="1" applyBorder="1" applyAlignment="1">
      <alignment horizontal="center" vertical="center" wrapText="1"/>
    </xf>
    <xf numFmtId="0" fontId="16" fillId="0" borderId="2" xfId="6" applyFont="1" applyFill="1" applyBorder="1" applyAlignment="1">
      <alignment horizontal="center" vertical="center" wrapText="1"/>
    </xf>
    <xf numFmtId="0" fontId="16" fillId="0" borderId="27" xfId="6" applyFont="1" applyFill="1" applyBorder="1" applyAlignment="1">
      <alignment horizontal="center" vertical="center" wrapText="1"/>
    </xf>
    <xf numFmtId="0" fontId="20" fillId="0" borderId="5" xfId="6" applyFont="1" applyFill="1" applyBorder="1" applyAlignment="1">
      <alignment horizontal="center" vertical="center"/>
    </xf>
    <xf numFmtId="0" fontId="20" fillId="0" borderId="13" xfId="6" applyFont="1" applyFill="1" applyBorder="1" applyAlignment="1">
      <alignment horizontal="center" vertical="center"/>
    </xf>
    <xf numFmtId="0" fontId="20" fillId="0" borderId="14" xfId="6" applyFont="1" applyFill="1" applyBorder="1" applyAlignment="1">
      <alignment horizontal="center" vertical="center"/>
    </xf>
    <xf numFmtId="0" fontId="20" fillId="0" borderId="6" xfId="6" applyFont="1" applyFill="1" applyBorder="1" applyAlignment="1">
      <alignment horizontal="center" vertical="center"/>
    </xf>
    <xf numFmtId="0" fontId="20" fillId="0" borderId="1" xfId="6" applyFont="1" applyFill="1" applyBorder="1" applyAlignment="1">
      <alignment horizontal="center" vertical="center"/>
    </xf>
    <xf numFmtId="0" fontId="20" fillId="0" borderId="22" xfId="6" applyFont="1" applyFill="1" applyBorder="1" applyAlignment="1">
      <alignment horizontal="center" vertical="center"/>
    </xf>
    <xf numFmtId="0" fontId="16" fillId="0" borderId="6" xfId="6" applyFont="1" applyFill="1" applyBorder="1" applyAlignment="1">
      <alignment horizontal="center" vertical="center"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137</v>
      </c>
      <c r="H1" t="s">
        <v>4</v>
      </c>
      <c r="I1" t="s">
        <v>5</v>
      </c>
      <c r="J1" t="s">
        <v>6</v>
      </c>
      <c r="K1" t="s">
        <v>138</v>
      </c>
      <c r="L1" t="s">
        <v>7</v>
      </c>
      <c r="M1" t="s">
        <v>8</v>
      </c>
      <c r="N1" t="s">
        <v>9</v>
      </c>
      <c r="O1" t="s">
        <v>139</v>
      </c>
      <c r="P1" t="s">
        <v>10</v>
      </c>
      <c r="Q1" t="s">
        <v>11</v>
      </c>
      <c r="R1" t="s">
        <v>12</v>
      </c>
      <c r="S1" t="s">
        <v>140</v>
      </c>
      <c r="T1" t="s">
        <v>13</v>
      </c>
      <c r="U1" t="s">
        <v>14</v>
      </c>
      <c r="V1" t="s">
        <v>15</v>
      </c>
      <c r="W1" t="s">
        <v>141</v>
      </c>
      <c r="X1" t="s">
        <v>16</v>
      </c>
      <c r="Y1" t="s">
        <v>17</v>
      </c>
      <c r="Z1" t="s">
        <v>18</v>
      </c>
      <c r="AA1" t="s">
        <v>142</v>
      </c>
      <c r="AB1" t="s">
        <v>19</v>
      </c>
      <c r="AC1" t="s">
        <v>20</v>
      </c>
      <c r="AD1" t="s">
        <v>21</v>
      </c>
      <c r="AE1" t="s">
        <v>143</v>
      </c>
      <c r="AF1" t="s">
        <v>22</v>
      </c>
      <c r="AG1" t="s">
        <v>23</v>
      </c>
      <c r="AH1" t="s">
        <v>24</v>
      </c>
      <c r="AI1" t="s">
        <v>144</v>
      </c>
      <c r="AJ1" t="s">
        <v>25</v>
      </c>
      <c r="AK1" t="s">
        <v>26</v>
      </c>
      <c r="AL1" t="s">
        <v>27</v>
      </c>
      <c r="AM1" t="s">
        <v>145</v>
      </c>
      <c r="AN1" t="s">
        <v>28</v>
      </c>
      <c r="AO1" t="s">
        <v>29</v>
      </c>
      <c r="AP1" t="s">
        <v>30</v>
      </c>
      <c r="AQ1" t="s">
        <v>146</v>
      </c>
      <c r="AR1" t="s">
        <v>31</v>
      </c>
      <c r="AS1" t="s">
        <v>32</v>
      </c>
      <c r="AT1" t="s">
        <v>33</v>
      </c>
      <c r="AU1" t="s">
        <v>147</v>
      </c>
      <c r="AV1" t="s">
        <v>34</v>
      </c>
      <c r="AW1" t="s">
        <v>35</v>
      </c>
      <c r="AX1" t="s">
        <v>36</v>
      </c>
      <c r="AY1" t="s">
        <v>148</v>
      </c>
      <c r="AZ1" t="s">
        <v>37</v>
      </c>
      <c r="BA1" t="s">
        <v>38</v>
      </c>
      <c r="BB1" t="s">
        <v>39</v>
      </c>
      <c r="BC1" t="s">
        <v>149</v>
      </c>
      <c r="BD1" t="s">
        <v>40</v>
      </c>
      <c r="BE1" t="s">
        <v>41</v>
      </c>
      <c r="BF1" t="s">
        <v>42</v>
      </c>
      <c r="BG1" t="s">
        <v>150</v>
      </c>
      <c r="BH1" t="s">
        <v>43</v>
      </c>
      <c r="BI1" t="s">
        <v>44</v>
      </c>
      <c r="BJ1" t="s">
        <v>45</v>
      </c>
      <c r="BK1" t="s">
        <v>151</v>
      </c>
      <c r="BL1" t="s">
        <v>46</v>
      </c>
      <c r="BM1" t="s">
        <v>47</v>
      </c>
      <c r="BN1" t="s">
        <v>48</v>
      </c>
      <c r="BO1" t="s">
        <v>152</v>
      </c>
      <c r="BP1" t="s">
        <v>49</v>
      </c>
      <c r="BQ1" t="s">
        <v>50</v>
      </c>
      <c r="BR1" t="s">
        <v>51</v>
      </c>
      <c r="BS1" t="s">
        <v>153</v>
      </c>
      <c r="BT1" t="s">
        <v>52</v>
      </c>
      <c r="BU1" t="s">
        <v>53</v>
      </c>
      <c r="BV1" t="s">
        <v>54</v>
      </c>
      <c r="BW1" t="s">
        <v>154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155</v>
      </c>
      <c r="CW1" t="s">
        <v>156</v>
      </c>
      <c r="CX1" t="s">
        <v>170</v>
      </c>
    </row>
    <row r="2" spans="1:102" x14ac:dyDescent="0.25">
      <c r="A2" t="s">
        <v>171</v>
      </c>
      <c r="B2" s="60">
        <v>45078</v>
      </c>
      <c r="C2" t="s">
        <v>168</v>
      </c>
      <c r="D2" t="s">
        <v>169</v>
      </c>
      <c r="E2" t="s">
        <v>172</v>
      </c>
      <c r="J2" t="s">
        <v>80</v>
      </c>
      <c r="K2">
        <v>221</v>
      </c>
      <c r="L2">
        <v>1259</v>
      </c>
      <c r="M2">
        <v>278239</v>
      </c>
      <c r="N2" t="s">
        <v>173</v>
      </c>
      <c r="O2">
        <v>228</v>
      </c>
      <c r="P2">
        <v>262</v>
      </c>
      <c r="Q2">
        <v>59736</v>
      </c>
      <c r="T2">
        <v>0</v>
      </c>
      <c r="V2" t="s">
        <v>86</v>
      </c>
      <c r="W2">
        <v>115.7</v>
      </c>
      <c r="X2">
        <v>302</v>
      </c>
      <c r="Y2">
        <v>34941.4</v>
      </c>
      <c r="AB2">
        <v>0</v>
      </c>
      <c r="AF2">
        <v>0</v>
      </c>
      <c r="AJ2">
        <v>0</v>
      </c>
      <c r="AN2">
        <v>0</v>
      </c>
      <c r="AR2">
        <v>0</v>
      </c>
      <c r="AV2">
        <v>0</v>
      </c>
      <c r="AZ2">
        <v>0</v>
      </c>
      <c r="BD2">
        <v>0</v>
      </c>
      <c r="BH2">
        <v>0</v>
      </c>
      <c r="BL2">
        <v>0</v>
      </c>
      <c r="BP2">
        <v>0</v>
      </c>
      <c r="BT2">
        <v>0</v>
      </c>
      <c r="BX2">
        <v>0</v>
      </c>
      <c r="BZ2">
        <v>14697.63</v>
      </c>
      <c r="CA2">
        <v>387614.03</v>
      </c>
      <c r="CH2">
        <v>387614.03</v>
      </c>
      <c r="CM2">
        <v>387614.03</v>
      </c>
      <c r="CO2">
        <v>387614.03</v>
      </c>
      <c r="CP2" s="61">
        <v>0.18</v>
      </c>
      <c r="CQ2">
        <v>69770.53</v>
      </c>
      <c r="CR2">
        <v>457384.56</v>
      </c>
      <c r="CS2">
        <v>160</v>
      </c>
      <c r="CT2" t="s">
        <v>174</v>
      </c>
      <c r="CU2" s="62">
        <v>73181529</v>
      </c>
      <c r="CV2" t="s">
        <v>175</v>
      </c>
      <c r="CW2" t="s">
        <v>176</v>
      </c>
      <c r="CX2">
        <v>500</v>
      </c>
    </row>
    <row r="3" spans="1:102" x14ac:dyDescent="0.25">
      <c r="A3" s="2"/>
      <c r="B3" s="55"/>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2"/>
  <sheetViews>
    <sheetView tabSelected="1" topLeftCell="A16" workbookViewId="0">
      <selection activeCell="B37" sqref="B37"/>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1" style="30" customWidth="1"/>
    <col min="76" max="76" width="11.28515625" style="30" customWidth="1"/>
    <col min="77" max="77" width="11.140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6" customFormat="1" ht="15.75" thickBot="1" x14ac:dyDescent="0.3"/>
    <row r="2" spans="1:89" s="46" customFormat="1" ht="23.25" thickBot="1" x14ac:dyDescent="0.5">
      <c r="A2" s="178" t="s">
        <v>157</v>
      </c>
      <c r="B2" s="179"/>
      <c r="C2" s="179"/>
      <c r="D2" s="179"/>
      <c r="E2" s="179"/>
      <c r="F2" s="179"/>
      <c r="G2" s="179"/>
      <c r="H2" s="179"/>
      <c r="I2" s="179"/>
      <c r="J2" s="179"/>
      <c r="K2" s="179"/>
      <c r="L2" s="179"/>
      <c r="M2" s="179"/>
      <c r="N2" s="179"/>
      <c r="O2" s="179"/>
      <c r="P2" s="179"/>
      <c r="Q2" s="179"/>
      <c r="R2" s="180"/>
      <c r="S2" s="52"/>
      <c r="T2" s="49"/>
    </row>
    <row r="3" spans="1:89" s="46" customFormat="1" ht="15.75" thickBot="1" x14ac:dyDescent="0.3">
      <c r="A3"/>
      <c r="B3"/>
      <c r="C3"/>
      <c r="D3"/>
      <c r="E3"/>
      <c r="F3"/>
      <c r="G3"/>
      <c r="H3"/>
      <c r="I3"/>
      <c r="J3"/>
      <c r="K3"/>
      <c r="L3"/>
      <c r="M3"/>
      <c r="N3"/>
      <c r="O3"/>
      <c r="P3"/>
      <c r="Q3"/>
      <c r="R3"/>
      <c r="S3"/>
    </row>
    <row r="4" spans="1:89" s="46" customFormat="1" ht="51.75" customHeight="1" thickBot="1" x14ac:dyDescent="0.3">
      <c r="A4" s="47" t="s">
        <v>125</v>
      </c>
      <c r="B4" s="174" t="s">
        <v>158</v>
      </c>
      <c r="C4" s="174"/>
      <c r="D4" s="174"/>
      <c r="E4" s="174"/>
      <c r="F4" s="174"/>
      <c r="G4" s="174"/>
      <c r="H4" s="174"/>
      <c r="I4" s="174"/>
      <c r="J4" s="174"/>
      <c r="K4" s="174"/>
      <c r="L4" s="174"/>
      <c r="M4" s="174"/>
      <c r="N4" s="174"/>
      <c r="O4" s="174"/>
      <c r="P4" s="174"/>
      <c r="Q4" s="174"/>
      <c r="R4" s="174"/>
      <c r="S4"/>
    </row>
    <row r="5" spans="1:89" s="46" customFormat="1" ht="34.5" customHeight="1" x14ac:dyDescent="0.25">
      <c r="A5" s="47" t="s">
        <v>126</v>
      </c>
      <c r="B5" s="174" t="s">
        <v>159</v>
      </c>
      <c r="C5" s="174"/>
      <c r="D5" s="174"/>
      <c r="E5" s="174"/>
      <c r="F5" s="174"/>
      <c r="G5" s="174"/>
      <c r="H5" s="174"/>
      <c r="I5" s="174"/>
      <c r="J5" s="174"/>
      <c r="K5" s="174"/>
      <c r="L5" s="174"/>
      <c r="M5" s="174"/>
      <c r="N5" s="174"/>
      <c r="O5" s="174"/>
      <c r="P5" s="174"/>
      <c r="Q5" s="174"/>
      <c r="R5" s="174"/>
      <c r="S5"/>
    </row>
    <row r="6" spans="1:89" s="46" customFormat="1" ht="48" customHeight="1" x14ac:dyDescent="0.25">
      <c r="A6" s="48" t="s">
        <v>127</v>
      </c>
      <c r="B6" s="173" t="s">
        <v>160</v>
      </c>
      <c r="C6" s="174"/>
      <c r="D6" s="174"/>
      <c r="E6" s="174"/>
      <c r="F6" s="174"/>
      <c r="G6" s="174"/>
      <c r="H6" s="174"/>
      <c r="I6" s="174"/>
      <c r="J6" s="174"/>
      <c r="K6" s="174"/>
      <c r="L6" s="174"/>
      <c r="M6" s="174"/>
      <c r="N6" s="174"/>
      <c r="O6" s="174"/>
      <c r="P6" s="174"/>
      <c r="Q6" s="174"/>
      <c r="R6" s="174"/>
      <c r="S6"/>
    </row>
    <row r="7" spans="1:89" s="46" customFormat="1" ht="30" x14ac:dyDescent="0.25">
      <c r="A7" s="48" t="s">
        <v>124</v>
      </c>
      <c r="B7" s="173" t="s">
        <v>161</v>
      </c>
      <c r="C7" s="174"/>
      <c r="D7" s="174"/>
      <c r="E7" s="174"/>
      <c r="F7" s="174"/>
      <c r="G7" s="174"/>
      <c r="H7" s="174"/>
      <c r="I7" s="174"/>
      <c r="J7" s="174"/>
      <c r="K7" s="174"/>
      <c r="L7" s="174"/>
      <c r="M7" s="174"/>
      <c r="N7" s="174"/>
      <c r="O7" s="174"/>
      <c r="P7" s="174"/>
      <c r="Q7" s="174"/>
      <c r="R7" s="174"/>
      <c r="S7"/>
    </row>
    <row r="8" spans="1:89" s="46" customFormat="1" ht="36.75" customHeight="1" x14ac:dyDescent="0.25">
      <c r="A8" s="48" t="s">
        <v>128</v>
      </c>
      <c r="B8" s="173" t="s">
        <v>162</v>
      </c>
      <c r="C8" s="173"/>
      <c r="D8" s="173"/>
      <c r="E8" s="173"/>
      <c r="F8" s="173"/>
      <c r="G8" s="173"/>
      <c r="H8" s="173"/>
      <c r="I8" s="173"/>
      <c r="J8" s="173"/>
      <c r="K8" s="173"/>
      <c r="L8" s="173"/>
      <c r="M8" s="173"/>
      <c r="N8" s="173"/>
      <c r="O8" s="173"/>
      <c r="P8" s="173"/>
      <c r="Q8" s="173"/>
      <c r="R8" s="173"/>
      <c r="S8"/>
    </row>
    <row r="9" spans="1:89" s="46" customFormat="1" ht="39.75" customHeight="1" x14ac:dyDescent="0.25">
      <c r="A9" s="48" t="s">
        <v>129</v>
      </c>
      <c r="B9" s="175" t="s">
        <v>163</v>
      </c>
      <c r="C9" s="176"/>
      <c r="D9" s="176"/>
      <c r="E9" s="176"/>
      <c r="F9" s="176"/>
      <c r="G9" s="176"/>
      <c r="H9" s="176"/>
      <c r="I9" s="176"/>
      <c r="J9" s="176"/>
      <c r="K9" s="176"/>
      <c r="L9" s="176"/>
      <c r="M9" s="176"/>
      <c r="N9" s="176"/>
      <c r="O9" s="176"/>
      <c r="P9" s="176"/>
      <c r="Q9" s="176"/>
      <c r="R9" s="177"/>
    </row>
    <row r="10" spans="1:89" s="46" customFormat="1" ht="78.75" customHeight="1" x14ac:dyDescent="0.25">
      <c r="A10" s="48" t="s">
        <v>130</v>
      </c>
      <c r="B10" s="173" t="s">
        <v>164</v>
      </c>
      <c r="C10" s="173"/>
      <c r="D10" s="173"/>
      <c r="E10" s="173"/>
      <c r="F10" s="173"/>
      <c r="G10" s="173"/>
      <c r="H10" s="173"/>
      <c r="I10" s="173"/>
      <c r="J10" s="173"/>
      <c r="K10" s="173"/>
      <c r="L10" s="173"/>
      <c r="M10" s="173"/>
      <c r="N10" s="173"/>
      <c r="O10" s="173"/>
      <c r="P10" s="173"/>
      <c r="Q10" s="173"/>
      <c r="R10" s="173"/>
      <c r="S10"/>
    </row>
    <row r="11" spans="1:89" s="46" customFormat="1" ht="34.5" customHeight="1" x14ac:dyDescent="0.25">
      <c r="A11" s="48" t="s">
        <v>131</v>
      </c>
      <c r="B11" s="184" t="s">
        <v>165</v>
      </c>
      <c r="C11" s="185"/>
      <c r="D11" s="185"/>
      <c r="E11" s="185"/>
      <c r="F11" s="185"/>
      <c r="G11" s="185"/>
      <c r="H11" s="185"/>
      <c r="I11" s="185"/>
      <c r="J11" s="185"/>
      <c r="K11" s="185"/>
      <c r="L11" s="185"/>
      <c r="M11" s="185"/>
      <c r="N11" s="185"/>
      <c r="O11" s="185"/>
      <c r="P11" s="185"/>
      <c r="Q11" s="185"/>
      <c r="R11" s="186"/>
      <c r="S11"/>
    </row>
    <row r="12" spans="1:89" s="46" customFormat="1" ht="30" x14ac:dyDescent="0.25">
      <c r="A12" s="53" t="s">
        <v>132</v>
      </c>
      <c r="B12" s="187" t="s">
        <v>167</v>
      </c>
      <c r="C12" s="187"/>
      <c r="D12" s="187"/>
      <c r="E12" s="187"/>
      <c r="F12" s="187"/>
      <c r="G12" s="187"/>
      <c r="H12" s="187"/>
      <c r="I12" s="187"/>
      <c r="J12" s="187"/>
      <c r="K12" s="187"/>
      <c r="L12" s="187"/>
      <c r="M12" s="187"/>
      <c r="N12" s="187"/>
      <c r="O12" s="187"/>
      <c r="P12" s="187"/>
      <c r="Q12" s="187"/>
      <c r="R12" s="187"/>
    </row>
    <row r="13" spans="1:89" s="46" customFormat="1" ht="38.25" customHeight="1" x14ac:dyDescent="0.25">
      <c r="A13" s="53" t="s">
        <v>133</v>
      </c>
      <c r="B13" s="187" t="s">
        <v>166</v>
      </c>
      <c r="C13" s="187"/>
      <c r="D13" s="187"/>
      <c r="E13" s="187"/>
      <c r="F13" s="187"/>
      <c r="G13" s="187"/>
      <c r="H13" s="187"/>
      <c r="I13" s="187"/>
      <c r="J13" s="187"/>
      <c r="K13" s="187"/>
      <c r="L13" s="187"/>
      <c r="M13" s="187"/>
      <c r="N13" s="187"/>
      <c r="O13" s="187"/>
      <c r="P13" s="187"/>
      <c r="Q13" s="187"/>
      <c r="R13" s="187"/>
    </row>
    <row r="14" spans="1:89" s="46" customFormat="1" ht="30" x14ac:dyDescent="0.25">
      <c r="A14" s="54" t="s">
        <v>134</v>
      </c>
      <c r="B14" s="187"/>
      <c r="C14" s="187"/>
      <c r="D14" s="187"/>
      <c r="E14" s="187"/>
      <c r="F14" s="187"/>
      <c r="G14" s="187"/>
      <c r="H14" s="187"/>
      <c r="I14" s="187"/>
      <c r="J14" s="187"/>
      <c r="K14" s="187"/>
      <c r="L14" s="187"/>
      <c r="M14" s="187"/>
      <c r="N14" s="187"/>
      <c r="O14" s="187"/>
      <c r="P14" s="187"/>
      <c r="Q14" s="187"/>
      <c r="R14" s="187"/>
    </row>
    <row r="16" spans="1:89" s="37" customFormat="1" ht="28.9" customHeight="1" x14ac:dyDescent="0.25">
      <c r="E16" s="43"/>
      <c r="H16" s="44"/>
      <c r="N16" s="183" t="str">
        <f>Sheet1!J1</f>
        <v>Conductor</v>
      </c>
      <c r="O16" s="183"/>
      <c r="P16" s="183"/>
      <c r="Q16" s="183"/>
      <c r="R16" s="183"/>
      <c r="S16" s="183" t="s">
        <v>9</v>
      </c>
      <c r="T16" s="183"/>
      <c r="U16" s="183" t="s">
        <v>3</v>
      </c>
      <c r="V16" s="183"/>
      <c r="W16" s="183"/>
      <c r="X16" s="183"/>
      <c r="Y16" s="183"/>
      <c r="Z16" s="183"/>
      <c r="AA16" s="183"/>
      <c r="AB16" s="183"/>
      <c r="AC16" s="183" t="s">
        <v>12</v>
      </c>
      <c r="AD16" s="183"/>
      <c r="AE16" s="183" t="s">
        <v>15</v>
      </c>
      <c r="AF16" s="183"/>
      <c r="AG16" s="183"/>
      <c r="AH16" s="183"/>
      <c r="AI16" s="183"/>
      <c r="AJ16" s="183"/>
      <c r="AK16" s="38" t="s">
        <v>18</v>
      </c>
      <c r="AL16" s="181" t="s">
        <v>21</v>
      </c>
      <c r="AM16" s="182"/>
      <c r="AN16" s="182"/>
      <c r="AO16" s="182"/>
      <c r="AP16" s="182"/>
      <c r="AQ16" s="182"/>
      <c r="AR16" s="182"/>
      <c r="AS16" s="183" t="s">
        <v>24</v>
      </c>
      <c r="AT16" s="183"/>
      <c r="AU16" s="183"/>
      <c r="AV16" s="183"/>
      <c r="AW16" s="183"/>
      <c r="AX16" s="183"/>
      <c r="AY16" s="183"/>
      <c r="AZ16" s="183"/>
      <c r="BA16" s="183"/>
      <c r="BB16" s="183"/>
      <c r="BC16" s="183" t="s">
        <v>27</v>
      </c>
      <c r="BD16" s="183"/>
      <c r="BE16" s="183"/>
      <c r="BF16" s="183"/>
      <c r="BG16" s="183"/>
      <c r="BH16" s="183"/>
      <c r="BI16" s="183"/>
      <c r="BJ16" s="183"/>
      <c r="BK16" s="183"/>
      <c r="BL16" s="183"/>
      <c r="BM16" s="39" t="s">
        <v>30</v>
      </c>
      <c r="BN16" s="38" t="s">
        <v>33</v>
      </c>
      <c r="BO16" s="38" t="s">
        <v>36</v>
      </c>
      <c r="BP16" s="38" t="s">
        <v>39</v>
      </c>
      <c r="BQ16" s="38" t="s">
        <v>42</v>
      </c>
      <c r="BR16" s="38" t="s">
        <v>45</v>
      </c>
      <c r="BS16" s="38" t="s">
        <v>48</v>
      </c>
      <c r="BT16" s="38" t="s">
        <v>51</v>
      </c>
      <c r="BU16" s="38" t="s">
        <v>54</v>
      </c>
      <c r="BV16" s="50"/>
      <c r="BW16" s="50"/>
      <c r="BX16" s="50"/>
      <c r="BY16" s="59"/>
      <c r="BZ16" s="40" t="s">
        <v>57</v>
      </c>
      <c r="CA16" s="40" t="s">
        <v>58</v>
      </c>
      <c r="CB16" s="41" t="s">
        <v>79</v>
      </c>
      <c r="CC16" s="40" t="s">
        <v>123</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8" t="str">
        <f>Sheet1!CV1</f>
        <v>DRUM CODE</v>
      </c>
      <c r="BX17" s="58" t="str">
        <f>Sheet1!CW1</f>
        <v>DRUM SIZE (FxbXtx Ft)</v>
      </c>
      <c r="BY17" s="63"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209</v>
      </c>
      <c r="O18" s="32">
        <f>+IFERROR(VLOOKUP($O$17,Sheet1!J:L,2,0),0)</f>
        <v>0</v>
      </c>
      <c r="P18" s="32">
        <f>+IFERROR(VLOOKUP($P$17,Sheet1!J:M,2,0),0)</f>
        <v>0</v>
      </c>
      <c r="Q18" s="32">
        <f>+IFERROR(VLOOKUP($Q$17,Sheet1!J:M,2,0),0)</f>
        <v>0</v>
      </c>
      <c r="R18" s="32">
        <f>+IFERROR(VLOOKUP($R$17,Sheet1!J:M,2,0),0)</f>
        <v>0</v>
      </c>
      <c r="S18" s="32">
        <f>+IFERROR(VLOOKUP($S$17,Sheet1!N:Q,2,0),0)</f>
        <v>0</v>
      </c>
      <c r="T18" s="32">
        <f>N18+7</f>
        <v>216</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v>110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7"/>
      <c r="BW18" s="57"/>
      <c r="BX18" s="57"/>
      <c r="BY18" s="57"/>
      <c r="CD18" s="5"/>
      <c r="CE18" s="5"/>
      <c r="CF18" s="5"/>
      <c r="CG18" s="5"/>
      <c r="CH18" s="5"/>
      <c r="CI18" s="5"/>
      <c r="CJ18" s="5"/>
      <c r="CK18" s="5"/>
      <c r="CL18" s="5"/>
    </row>
    <row r="19" spans="1:90" ht="45" x14ac:dyDescent="0.25">
      <c r="A19" s="1" t="str">
        <f>Sheet1!A2</f>
        <v>ENQ-10886-22-23</v>
      </c>
      <c r="B19" s="56">
        <v>45108</v>
      </c>
      <c r="C19" s="1" t="str">
        <f>Sheet1!C2</f>
        <v>FA0100109</v>
      </c>
      <c r="D19" s="1" t="str">
        <f>Sheet1!D2</f>
        <v>3 CORE X 150 SQ MM + 1 CORE X 16 SQ MM + 1 CORE X 95 SQ MM (AB CABLES) (BARE)</v>
      </c>
      <c r="E19" s="3">
        <f>CH19+CJ19+CL19</f>
        <v>457959.96057</v>
      </c>
      <c r="F19" s="69">
        <f>ROUNDUP(M22,0)</f>
        <v>16875</v>
      </c>
      <c r="G19" s="9">
        <f>E19+F19</f>
        <v>474834.96057</v>
      </c>
      <c r="H19" s="7">
        <f>Sheet1!CP2</f>
        <v>0.18</v>
      </c>
      <c r="I19" s="9">
        <f>G19*H19</f>
        <v>85470.292902599991</v>
      </c>
      <c r="J19" s="9">
        <f>G19+I19</f>
        <v>560305.25347260002</v>
      </c>
      <c r="K19" s="1">
        <f>Sheet1!CS2</f>
        <v>160</v>
      </c>
      <c r="L19" s="1" t="str">
        <f>Sheet1!CT2</f>
        <v>KMS</v>
      </c>
      <c r="M19" s="3">
        <f>J19*K19</f>
        <v>89648840.555616006</v>
      </c>
      <c r="N19" s="171">
        <f>+IFERROR(VLOOKUP($N$17,Sheet1!J2:L2,3,0),0)</f>
        <v>1259</v>
      </c>
      <c r="O19" s="2">
        <f>+IFERROR(VLOOKUP($O$17,Sheet1!J2:L2,3,0),0)</f>
        <v>0</v>
      </c>
      <c r="P19" s="2">
        <f>+IFERROR(VLOOKUP($P$17,Sheet1!J2:M2,3,0),0)</f>
        <v>0</v>
      </c>
      <c r="Q19" s="2">
        <f>+IFERROR(VLOOKUP($Q$17,Sheet1!J2:M2,3,0),0)</f>
        <v>0</v>
      </c>
      <c r="R19" s="2">
        <f>+IFERROR(VLOOKUP($R$17,Sheet1!J2:M2,3,0),0)</f>
        <v>0</v>
      </c>
      <c r="S19" s="2">
        <f>+IFERROR(VLOOKUP($S$17,Sheet1!N2:Q2,3,0),0)</f>
        <v>0</v>
      </c>
      <c r="T19" s="171">
        <f>+IFERROR(VLOOKUP($T$17,Sheet1!N2:Q2,3,0),0)</f>
        <v>262</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72">
        <v>320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MD0100078</v>
      </c>
      <c r="BX19" s="15" t="str">
        <f>Sheet1!CW2</f>
        <v>DRUM - 60 X 22 X 38 X 2.5</v>
      </c>
      <c r="BY19" s="15">
        <f>Sheet1!CX2</f>
        <v>500</v>
      </c>
      <c r="BZ19" s="3">
        <f>Sheet1!BZ2</f>
        <v>14697.63</v>
      </c>
      <c r="CA19" s="3">
        <f>SUMPRODUCT($N$18:$BU$18,N19:BU19)+BZ19</f>
        <v>369620.63</v>
      </c>
      <c r="CB19" s="27">
        <f>Sheet1!CB2</f>
        <v>0</v>
      </c>
      <c r="CC19" s="3">
        <f>CA19*CB19</f>
        <v>0</v>
      </c>
      <c r="CD19" s="51">
        <v>0.18</v>
      </c>
      <c r="CE19" s="3">
        <f>CA19*CD19</f>
        <v>66531.713399999993</v>
      </c>
      <c r="CF19" s="51">
        <v>0</v>
      </c>
      <c r="CG19" s="3">
        <f>CA19*CF19</f>
        <v>0</v>
      </c>
      <c r="CH19" s="3">
        <f>CA19+CC19+CE19+CG19</f>
        <v>436152.34340000001</v>
      </c>
      <c r="CI19" s="51">
        <v>0.02</v>
      </c>
      <c r="CJ19" s="1">
        <f>CH19*CI19</f>
        <v>8723.0468680000013</v>
      </c>
      <c r="CK19" s="51">
        <v>0.03</v>
      </c>
      <c r="CL19" s="1">
        <f>CH19*CK19</f>
        <v>13084.570302</v>
      </c>
    </row>
    <row r="21" spans="1:90" ht="30" x14ac:dyDescent="0.25">
      <c r="E21" s="2" t="s">
        <v>177</v>
      </c>
      <c r="F21" s="2" t="s">
        <v>178</v>
      </c>
      <c r="G21" s="64" t="s">
        <v>179</v>
      </c>
      <c r="H21" s="45" t="s">
        <v>180</v>
      </c>
      <c r="I21" s="2" t="s">
        <v>181</v>
      </c>
      <c r="J21" s="2" t="s">
        <v>182</v>
      </c>
      <c r="K21" s="2" t="s">
        <v>183</v>
      </c>
      <c r="L21" s="2" t="s">
        <v>184</v>
      </c>
      <c r="M21" s="65" t="s">
        <v>185</v>
      </c>
    </row>
    <row r="22" spans="1:90" x14ac:dyDescent="0.25">
      <c r="E22" s="64">
        <f>K19</f>
        <v>160</v>
      </c>
      <c r="F22" s="66">
        <v>0.5</v>
      </c>
      <c r="G22" s="64" t="s">
        <v>186</v>
      </c>
      <c r="H22" s="67">
        <v>75000</v>
      </c>
      <c r="I22" s="66">
        <v>9</v>
      </c>
      <c r="J22" s="64">
        <f>F22*I22</f>
        <v>4.5</v>
      </c>
      <c r="K22" s="64">
        <f>ROUNDUP((E22/J22),0)</f>
        <v>36</v>
      </c>
      <c r="L22" s="64">
        <f>M22*E22</f>
        <v>2700000</v>
      </c>
      <c r="M22" s="68">
        <f>(H22*K22)/E22</f>
        <v>16875</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L24"/>
  <sheetViews>
    <sheetView showZeros="0" zoomScaleNormal="100" workbookViewId="0">
      <selection activeCell="E39" sqref="E39"/>
    </sheetView>
  </sheetViews>
  <sheetFormatPr defaultRowHeight="12.75" x14ac:dyDescent="0.2"/>
  <cols>
    <col min="1" max="1" width="41" style="74" customWidth="1"/>
    <col min="2" max="2" width="19.5703125" style="74" bestFit="1" customWidth="1"/>
    <col min="3" max="3" width="10.140625" style="74" customWidth="1"/>
    <col min="4" max="4" width="11.5703125" style="74" customWidth="1"/>
    <col min="5" max="5" width="9.42578125" style="74" bestFit="1" customWidth="1"/>
    <col min="6" max="6" width="8.42578125" style="74" bestFit="1" customWidth="1"/>
    <col min="7" max="7" width="10.7109375" style="74" bestFit="1" customWidth="1"/>
    <col min="8" max="8" width="9.140625" style="74"/>
    <col min="9" max="9" width="8.42578125" style="74" customWidth="1"/>
    <col min="10" max="10" width="6.42578125" style="74" bestFit="1" customWidth="1"/>
    <col min="11" max="11" width="6.28515625" style="74" customWidth="1"/>
    <col min="12" max="12" width="6.5703125" style="74" customWidth="1"/>
    <col min="13" max="13" width="6" style="74" customWidth="1"/>
    <col min="14" max="14" width="7.42578125" style="74" bestFit="1" customWidth="1"/>
    <col min="15" max="15" width="7" style="74" bestFit="1" customWidth="1"/>
    <col min="16" max="16" width="6.5703125" style="74" bestFit="1" customWidth="1"/>
    <col min="17" max="17" width="9.42578125" style="74" bestFit="1" customWidth="1"/>
    <col min="18" max="18" width="10.42578125" style="74" bestFit="1" customWidth="1"/>
    <col min="19" max="19" width="10" style="74" bestFit="1" customWidth="1"/>
    <col min="20" max="20" width="9.28515625" style="74" bestFit="1" customWidth="1"/>
    <col min="21" max="22" width="10" style="74" customWidth="1"/>
    <col min="23" max="23" width="8.85546875" style="74" customWidth="1"/>
    <col min="24" max="26" width="10.85546875" style="74" customWidth="1"/>
    <col min="27" max="27" width="9.5703125" style="74" customWidth="1"/>
    <col min="28" max="28" width="9.5703125" style="74" bestFit="1" customWidth="1"/>
    <col min="29" max="29" width="10.5703125" style="74" bestFit="1" customWidth="1"/>
    <col min="30" max="30" width="9.5703125" style="74" customWidth="1"/>
    <col min="31" max="31" width="9.5703125" style="74" bestFit="1" customWidth="1"/>
    <col min="32" max="32" width="10.5703125" style="74" bestFit="1" customWidth="1"/>
    <col min="33" max="33" width="8.140625" style="74" customWidth="1"/>
    <col min="34" max="34" width="8.85546875" style="74" customWidth="1"/>
    <col min="35" max="36" width="9.140625" style="74"/>
    <col min="37" max="37" width="9.5703125" style="74" bestFit="1" customWidth="1"/>
    <col min="38" max="252" width="9.140625" style="74"/>
    <col min="253" max="253" width="41" style="74" customWidth="1"/>
    <col min="254" max="254" width="19.5703125" style="74" bestFit="1" customWidth="1"/>
    <col min="255" max="255" width="10.140625" style="74" customWidth="1"/>
    <col min="256" max="256" width="10.42578125" style="74" bestFit="1" customWidth="1"/>
    <col min="257" max="257" width="11.28515625" style="74" customWidth="1"/>
    <col min="258" max="258" width="9.42578125" style="74" customWidth="1"/>
    <col min="259" max="259" width="10.140625" style="74" bestFit="1" customWidth="1"/>
    <col min="260" max="261" width="9.140625" style="74"/>
    <col min="262" max="262" width="7.28515625" style="74" customWidth="1"/>
    <col min="263" max="268" width="7.42578125" style="74" customWidth="1"/>
    <col min="269" max="269" width="9.42578125" style="74" bestFit="1" customWidth="1"/>
    <col min="270" max="270" width="12" style="74" bestFit="1" customWidth="1"/>
    <col min="271" max="272" width="12" style="74" customWidth="1"/>
    <col min="273" max="273" width="13.140625" style="74" bestFit="1" customWidth="1"/>
    <col min="274" max="275" width="13.140625" style="74" customWidth="1"/>
    <col min="276" max="277" width="14.42578125" style="74" bestFit="1" customWidth="1"/>
    <col min="278" max="279" width="9.140625" style="74" customWidth="1"/>
    <col min="280" max="280" width="9.5703125" style="74" customWidth="1"/>
    <col min="281" max="282" width="9.5703125" style="74" bestFit="1" customWidth="1"/>
    <col min="283" max="284" width="10.140625" style="74" bestFit="1" customWidth="1"/>
    <col min="285" max="285" width="9.5703125" style="74" bestFit="1" customWidth="1"/>
    <col min="286" max="286" width="9.5703125" style="74" customWidth="1"/>
    <col min="287" max="287" width="9" style="74" customWidth="1"/>
    <col min="288" max="288" width="10.5703125" style="74" bestFit="1" customWidth="1"/>
    <col min="289" max="289" width="11.42578125" style="74" bestFit="1" customWidth="1"/>
    <col min="290" max="290" width="18" style="74" bestFit="1" customWidth="1"/>
    <col min="291" max="508" width="9.140625" style="74"/>
    <col min="509" max="509" width="41" style="74" customWidth="1"/>
    <col min="510" max="510" width="19.5703125" style="74" bestFit="1" customWidth="1"/>
    <col min="511" max="511" width="10.140625" style="74" customWidth="1"/>
    <col min="512" max="512" width="10.42578125" style="74" bestFit="1" customWidth="1"/>
    <col min="513" max="513" width="11.28515625" style="74" customWidth="1"/>
    <col min="514" max="514" width="9.42578125" style="74" customWidth="1"/>
    <col min="515" max="515" width="10.140625" style="74" bestFit="1" customWidth="1"/>
    <col min="516" max="517" width="9.140625" style="74"/>
    <col min="518" max="518" width="7.28515625" style="74" customWidth="1"/>
    <col min="519" max="524" width="7.42578125" style="74" customWidth="1"/>
    <col min="525" max="525" width="9.42578125" style="74" bestFit="1" customWidth="1"/>
    <col min="526" max="526" width="12" style="74" bestFit="1" customWidth="1"/>
    <col min="527" max="528" width="12" style="74" customWidth="1"/>
    <col min="529" max="529" width="13.140625" style="74" bestFit="1" customWidth="1"/>
    <col min="530" max="531" width="13.140625" style="74" customWidth="1"/>
    <col min="532" max="533" width="14.42578125" style="74" bestFit="1" customWidth="1"/>
    <col min="534" max="535" width="9.140625" style="74" customWidth="1"/>
    <col min="536" max="536" width="9.5703125" style="74" customWidth="1"/>
    <col min="537" max="538" width="9.5703125" style="74" bestFit="1" customWidth="1"/>
    <col min="539" max="540" width="10.140625" style="74" bestFit="1" customWidth="1"/>
    <col min="541" max="541" width="9.5703125" style="74" bestFit="1" customWidth="1"/>
    <col min="542" max="542" width="9.5703125" style="74" customWidth="1"/>
    <col min="543" max="543" width="9" style="74" customWidth="1"/>
    <col min="544" max="544" width="10.5703125" style="74" bestFit="1" customWidth="1"/>
    <col min="545" max="545" width="11.42578125" style="74" bestFit="1" customWidth="1"/>
    <col min="546" max="546" width="18" style="74" bestFit="1" customWidth="1"/>
    <col min="547" max="764" width="9.140625" style="74"/>
    <col min="765" max="765" width="41" style="74" customWidth="1"/>
    <col min="766" max="766" width="19.5703125" style="74" bestFit="1" customWidth="1"/>
    <col min="767" max="767" width="10.140625" style="74" customWidth="1"/>
    <col min="768" max="768" width="10.42578125" style="74" bestFit="1" customWidth="1"/>
    <col min="769" max="769" width="11.28515625" style="74" customWidth="1"/>
    <col min="770" max="770" width="9.42578125" style="74" customWidth="1"/>
    <col min="771" max="771" width="10.140625" style="74" bestFit="1" customWidth="1"/>
    <col min="772" max="773" width="9.140625" style="74"/>
    <col min="774" max="774" width="7.28515625" style="74" customWidth="1"/>
    <col min="775" max="780" width="7.42578125" style="74" customWidth="1"/>
    <col min="781" max="781" width="9.42578125" style="74" bestFit="1" customWidth="1"/>
    <col min="782" max="782" width="12" style="74" bestFit="1" customWidth="1"/>
    <col min="783" max="784" width="12" style="74" customWidth="1"/>
    <col min="785" max="785" width="13.140625" style="74" bestFit="1" customWidth="1"/>
    <col min="786" max="787" width="13.140625" style="74" customWidth="1"/>
    <col min="788" max="789" width="14.42578125" style="74" bestFit="1" customWidth="1"/>
    <col min="790" max="791" width="9.140625" style="74" customWidth="1"/>
    <col min="792" max="792" width="9.5703125" style="74" customWidth="1"/>
    <col min="793" max="794" width="9.5703125" style="74" bestFit="1" customWidth="1"/>
    <col min="795" max="796" width="10.140625" style="74" bestFit="1" customWidth="1"/>
    <col min="797" max="797" width="9.5703125" style="74" bestFit="1" customWidth="1"/>
    <col min="798" max="798" width="9.5703125" style="74" customWidth="1"/>
    <col min="799" max="799" width="9" style="74" customWidth="1"/>
    <col min="800" max="800" width="10.5703125" style="74" bestFit="1" customWidth="1"/>
    <col min="801" max="801" width="11.42578125" style="74" bestFit="1" customWidth="1"/>
    <col min="802" max="802" width="18" style="74" bestFit="1" customWidth="1"/>
    <col min="803" max="1020" width="9.140625" style="74"/>
    <col min="1021" max="1021" width="41" style="74" customWidth="1"/>
    <col min="1022" max="1022" width="19.5703125" style="74" bestFit="1" customWidth="1"/>
    <col min="1023" max="1023" width="10.140625" style="74" customWidth="1"/>
    <col min="1024" max="1024" width="10.42578125" style="74" bestFit="1" customWidth="1"/>
    <col min="1025" max="1025" width="11.28515625" style="74" customWidth="1"/>
    <col min="1026" max="1026" width="9.42578125" style="74" customWidth="1"/>
    <col min="1027" max="1027" width="10.140625" style="74" bestFit="1" customWidth="1"/>
    <col min="1028" max="1029" width="9.140625" style="74"/>
    <col min="1030" max="1030" width="7.28515625" style="74" customWidth="1"/>
    <col min="1031" max="1036" width="7.42578125" style="74" customWidth="1"/>
    <col min="1037" max="1037" width="9.42578125" style="74" bestFit="1" customWidth="1"/>
    <col min="1038" max="1038" width="12" style="74" bestFit="1" customWidth="1"/>
    <col min="1039" max="1040" width="12" style="74" customWidth="1"/>
    <col min="1041" max="1041" width="13.140625" style="74" bestFit="1" customWidth="1"/>
    <col min="1042" max="1043" width="13.140625" style="74" customWidth="1"/>
    <col min="1044" max="1045" width="14.42578125" style="74" bestFit="1" customWidth="1"/>
    <col min="1046" max="1047" width="9.140625" style="74" customWidth="1"/>
    <col min="1048" max="1048" width="9.5703125" style="74" customWidth="1"/>
    <col min="1049" max="1050" width="9.5703125" style="74" bestFit="1" customWidth="1"/>
    <col min="1051" max="1052" width="10.140625" style="74" bestFit="1" customWidth="1"/>
    <col min="1053" max="1053" width="9.5703125" style="74" bestFit="1" customWidth="1"/>
    <col min="1054" max="1054" width="9.5703125" style="74" customWidth="1"/>
    <col min="1055" max="1055" width="9" style="74" customWidth="1"/>
    <col min="1056" max="1056" width="10.5703125" style="74" bestFit="1" customWidth="1"/>
    <col min="1057" max="1057" width="11.42578125" style="74" bestFit="1" customWidth="1"/>
    <col min="1058" max="1058" width="18" style="74" bestFit="1" customWidth="1"/>
    <col min="1059" max="1276" width="9.140625" style="74"/>
    <col min="1277" max="1277" width="41" style="74" customWidth="1"/>
    <col min="1278" max="1278" width="19.5703125" style="74" bestFit="1" customWidth="1"/>
    <col min="1279" max="1279" width="10.140625" style="74" customWidth="1"/>
    <col min="1280" max="1280" width="10.42578125" style="74" bestFit="1" customWidth="1"/>
    <col min="1281" max="1281" width="11.28515625" style="74" customWidth="1"/>
    <col min="1282" max="1282" width="9.42578125" style="74" customWidth="1"/>
    <col min="1283" max="1283" width="10.140625" style="74" bestFit="1" customWidth="1"/>
    <col min="1284" max="1285" width="9.140625" style="74"/>
    <col min="1286" max="1286" width="7.28515625" style="74" customWidth="1"/>
    <col min="1287" max="1292" width="7.42578125" style="74" customWidth="1"/>
    <col min="1293" max="1293" width="9.42578125" style="74" bestFit="1" customWidth="1"/>
    <col min="1294" max="1294" width="12" style="74" bestFit="1" customWidth="1"/>
    <col min="1295" max="1296" width="12" style="74" customWidth="1"/>
    <col min="1297" max="1297" width="13.140625" style="74" bestFit="1" customWidth="1"/>
    <col min="1298" max="1299" width="13.140625" style="74" customWidth="1"/>
    <col min="1300" max="1301" width="14.42578125" style="74" bestFit="1" customWidth="1"/>
    <col min="1302" max="1303" width="9.140625" style="74" customWidth="1"/>
    <col min="1304" max="1304" width="9.5703125" style="74" customWidth="1"/>
    <col min="1305" max="1306" width="9.5703125" style="74" bestFit="1" customWidth="1"/>
    <col min="1307" max="1308" width="10.140625" style="74" bestFit="1" customWidth="1"/>
    <col min="1309" max="1309" width="9.5703125" style="74" bestFit="1" customWidth="1"/>
    <col min="1310" max="1310" width="9.5703125" style="74" customWidth="1"/>
    <col min="1311" max="1311" width="9" style="74" customWidth="1"/>
    <col min="1312" max="1312" width="10.5703125" style="74" bestFit="1" customWidth="1"/>
    <col min="1313" max="1313" width="11.42578125" style="74" bestFit="1" customWidth="1"/>
    <col min="1314" max="1314" width="18" style="74" bestFit="1" customWidth="1"/>
    <col min="1315" max="1532" width="9.140625" style="74"/>
    <col min="1533" max="1533" width="41" style="74" customWidth="1"/>
    <col min="1534" max="1534" width="19.5703125" style="74" bestFit="1" customWidth="1"/>
    <col min="1535" max="1535" width="10.140625" style="74" customWidth="1"/>
    <col min="1536" max="1536" width="10.42578125" style="74" bestFit="1" customWidth="1"/>
    <col min="1537" max="1537" width="11.28515625" style="74" customWidth="1"/>
    <col min="1538" max="1538" width="9.42578125" style="74" customWidth="1"/>
    <col min="1539" max="1539" width="10.140625" style="74" bestFit="1" customWidth="1"/>
    <col min="1540" max="1541" width="9.140625" style="74"/>
    <col min="1542" max="1542" width="7.28515625" style="74" customWidth="1"/>
    <col min="1543" max="1548" width="7.42578125" style="74" customWidth="1"/>
    <col min="1549" max="1549" width="9.42578125" style="74" bestFit="1" customWidth="1"/>
    <col min="1550" max="1550" width="12" style="74" bestFit="1" customWidth="1"/>
    <col min="1551" max="1552" width="12" style="74" customWidth="1"/>
    <col min="1553" max="1553" width="13.140625" style="74" bestFit="1" customWidth="1"/>
    <col min="1554" max="1555" width="13.140625" style="74" customWidth="1"/>
    <col min="1556" max="1557" width="14.42578125" style="74" bestFit="1" customWidth="1"/>
    <col min="1558" max="1559" width="9.140625" style="74" customWidth="1"/>
    <col min="1560" max="1560" width="9.5703125" style="74" customWidth="1"/>
    <col min="1561" max="1562" width="9.5703125" style="74" bestFit="1" customWidth="1"/>
    <col min="1563" max="1564" width="10.140625" style="74" bestFit="1" customWidth="1"/>
    <col min="1565" max="1565" width="9.5703125" style="74" bestFit="1" customWidth="1"/>
    <col min="1566" max="1566" width="9.5703125" style="74" customWidth="1"/>
    <col min="1567" max="1567" width="9" style="74" customWidth="1"/>
    <col min="1568" max="1568" width="10.5703125" style="74" bestFit="1" customWidth="1"/>
    <col min="1569" max="1569" width="11.42578125" style="74" bestFit="1" customWidth="1"/>
    <col min="1570" max="1570" width="18" style="74" bestFit="1" customWidth="1"/>
    <col min="1571" max="1788" width="9.140625" style="74"/>
    <col min="1789" max="1789" width="41" style="74" customWidth="1"/>
    <col min="1790" max="1790" width="19.5703125" style="74" bestFit="1" customWidth="1"/>
    <col min="1791" max="1791" width="10.140625" style="74" customWidth="1"/>
    <col min="1792" max="1792" width="10.42578125" style="74" bestFit="1" customWidth="1"/>
    <col min="1793" max="1793" width="11.28515625" style="74" customWidth="1"/>
    <col min="1794" max="1794" width="9.42578125" style="74" customWidth="1"/>
    <col min="1795" max="1795" width="10.140625" style="74" bestFit="1" customWidth="1"/>
    <col min="1796" max="1797" width="9.140625" style="74"/>
    <col min="1798" max="1798" width="7.28515625" style="74" customWidth="1"/>
    <col min="1799" max="1804" width="7.42578125" style="74" customWidth="1"/>
    <col min="1805" max="1805" width="9.42578125" style="74" bestFit="1" customWidth="1"/>
    <col min="1806" max="1806" width="12" style="74" bestFit="1" customWidth="1"/>
    <col min="1807" max="1808" width="12" style="74" customWidth="1"/>
    <col min="1809" max="1809" width="13.140625" style="74" bestFit="1" customWidth="1"/>
    <col min="1810" max="1811" width="13.140625" style="74" customWidth="1"/>
    <col min="1812" max="1813" width="14.42578125" style="74" bestFit="1" customWidth="1"/>
    <col min="1814" max="1815" width="9.140625" style="74" customWidth="1"/>
    <col min="1816" max="1816" width="9.5703125" style="74" customWidth="1"/>
    <col min="1817" max="1818" width="9.5703125" style="74" bestFit="1" customWidth="1"/>
    <col min="1819" max="1820" width="10.140625" style="74" bestFit="1" customWidth="1"/>
    <col min="1821" max="1821" width="9.5703125" style="74" bestFit="1" customWidth="1"/>
    <col min="1822" max="1822" width="9.5703125" style="74" customWidth="1"/>
    <col min="1823" max="1823" width="9" style="74" customWidth="1"/>
    <col min="1824" max="1824" width="10.5703125" style="74" bestFit="1" customWidth="1"/>
    <col min="1825" max="1825" width="11.42578125" style="74" bestFit="1" customWidth="1"/>
    <col min="1826" max="1826" width="18" style="74" bestFit="1" customWidth="1"/>
    <col min="1827" max="2044" width="9.140625" style="74"/>
    <col min="2045" max="2045" width="41" style="74" customWidth="1"/>
    <col min="2046" max="2046" width="19.5703125" style="74" bestFit="1" customWidth="1"/>
    <col min="2047" max="2047" width="10.140625" style="74" customWidth="1"/>
    <col min="2048" max="2048" width="10.42578125" style="74" bestFit="1" customWidth="1"/>
    <col min="2049" max="2049" width="11.28515625" style="74" customWidth="1"/>
    <col min="2050" max="2050" width="9.42578125" style="74" customWidth="1"/>
    <col min="2051" max="2051" width="10.140625" style="74" bestFit="1" customWidth="1"/>
    <col min="2052" max="2053" width="9.140625" style="74"/>
    <col min="2054" max="2054" width="7.28515625" style="74" customWidth="1"/>
    <col min="2055" max="2060" width="7.42578125" style="74" customWidth="1"/>
    <col min="2061" max="2061" width="9.42578125" style="74" bestFit="1" customWidth="1"/>
    <col min="2062" max="2062" width="12" style="74" bestFit="1" customWidth="1"/>
    <col min="2063" max="2064" width="12" style="74" customWidth="1"/>
    <col min="2065" max="2065" width="13.140625" style="74" bestFit="1" customWidth="1"/>
    <col min="2066" max="2067" width="13.140625" style="74" customWidth="1"/>
    <col min="2068" max="2069" width="14.42578125" style="74" bestFit="1" customWidth="1"/>
    <col min="2070" max="2071" width="9.140625" style="74" customWidth="1"/>
    <col min="2072" max="2072" width="9.5703125" style="74" customWidth="1"/>
    <col min="2073" max="2074" width="9.5703125" style="74" bestFit="1" customWidth="1"/>
    <col min="2075" max="2076" width="10.140625" style="74" bestFit="1" customWidth="1"/>
    <col min="2077" max="2077" width="9.5703125" style="74" bestFit="1" customWidth="1"/>
    <col min="2078" max="2078" width="9.5703125" style="74" customWidth="1"/>
    <col min="2079" max="2079" width="9" style="74" customWidth="1"/>
    <col min="2080" max="2080" width="10.5703125" style="74" bestFit="1" customWidth="1"/>
    <col min="2081" max="2081" width="11.42578125" style="74" bestFit="1" customWidth="1"/>
    <col min="2082" max="2082" width="18" style="74" bestFit="1" customWidth="1"/>
    <col min="2083" max="2300" width="9.140625" style="74"/>
    <col min="2301" max="2301" width="41" style="74" customWidth="1"/>
    <col min="2302" max="2302" width="19.5703125" style="74" bestFit="1" customWidth="1"/>
    <col min="2303" max="2303" width="10.140625" style="74" customWidth="1"/>
    <col min="2304" max="2304" width="10.42578125" style="74" bestFit="1" customWidth="1"/>
    <col min="2305" max="2305" width="11.28515625" style="74" customWidth="1"/>
    <col min="2306" max="2306" width="9.42578125" style="74" customWidth="1"/>
    <col min="2307" max="2307" width="10.140625" style="74" bestFit="1" customWidth="1"/>
    <col min="2308" max="2309" width="9.140625" style="74"/>
    <col min="2310" max="2310" width="7.28515625" style="74" customWidth="1"/>
    <col min="2311" max="2316" width="7.42578125" style="74" customWidth="1"/>
    <col min="2317" max="2317" width="9.42578125" style="74" bestFit="1" customWidth="1"/>
    <col min="2318" max="2318" width="12" style="74" bestFit="1" customWidth="1"/>
    <col min="2319" max="2320" width="12" style="74" customWidth="1"/>
    <col min="2321" max="2321" width="13.140625" style="74" bestFit="1" customWidth="1"/>
    <col min="2322" max="2323" width="13.140625" style="74" customWidth="1"/>
    <col min="2324" max="2325" width="14.42578125" style="74" bestFit="1" customWidth="1"/>
    <col min="2326" max="2327" width="9.140625" style="74" customWidth="1"/>
    <col min="2328" max="2328" width="9.5703125" style="74" customWidth="1"/>
    <col min="2329" max="2330" width="9.5703125" style="74" bestFit="1" customWidth="1"/>
    <col min="2331" max="2332" width="10.140625" style="74" bestFit="1" customWidth="1"/>
    <col min="2333" max="2333" width="9.5703125" style="74" bestFit="1" customWidth="1"/>
    <col min="2334" max="2334" width="9.5703125" style="74" customWidth="1"/>
    <col min="2335" max="2335" width="9" style="74" customWidth="1"/>
    <col min="2336" max="2336" width="10.5703125" style="74" bestFit="1" customWidth="1"/>
    <col min="2337" max="2337" width="11.42578125" style="74" bestFit="1" customWidth="1"/>
    <col min="2338" max="2338" width="18" style="74" bestFit="1" customWidth="1"/>
    <col min="2339" max="2556" width="9.140625" style="74"/>
    <col min="2557" max="2557" width="41" style="74" customWidth="1"/>
    <col min="2558" max="2558" width="19.5703125" style="74" bestFit="1" customWidth="1"/>
    <col min="2559" max="2559" width="10.140625" style="74" customWidth="1"/>
    <col min="2560" max="2560" width="10.42578125" style="74" bestFit="1" customWidth="1"/>
    <col min="2561" max="2561" width="11.28515625" style="74" customWidth="1"/>
    <col min="2562" max="2562" width="9.42578125" style="74" customWidth="1"/>
    <col min="2563" max="2563" width="10.140625" style="74" bestFit="1" customWidth="1"/>
    <col min="2564" max="2565" width="9.140625" style="74"/>
    <col min="2566" max="2566" width="7.28515625" style="74" customWidth="1"/>
    <col min="2567" max="2572" width="7.42578125" style="74" customWidth="1"/>
    <col min="2573" max="2573" width="9.42578125" style="74" bestFit="1" customWidth="1"/>
    <col min="2574" max="2574" width="12" style="74" bestFit="1" customWidth="1"/>
    <col min="2575" max="2576" width="12" style="74" customWidth="1"/>
    <col min="2577" max="2577" width="13.140625" style="74" bestFit="1" customWidth="1"/>
    <col min="2578" max="2579" width="13.140625" style="74" customWidth="1"/>
    <col min="2580" max="2581" width="14.42578125" style="74" bestFit="1" customWidth="1"/>
    <col min="2582" max="2583" width="9.140625" style="74" customWidth="1"/>
    <col min="2584" max="2584" width="9.5703125" style="74" customWidth="1"/>
    <col min="2585" max="2586" width="9.5703125" style="74" bestFit="1" customWidth="1"/>
    <col min="2587" max="2588" width="10.140625" style="74" bestFit="1" customWidth="1"/>
    <col min="2589" max="2589" width="9.5703125" style="74" bestFit="1" customWidth="1"/>
    <col min="2590" max="2590" width="9.5703125" style="74" customWidth="1"/>
    <col min="2591" max="2591" width="9" style="74" customWidth="1"/>
    <col min="2592" max="2592" width="10.5703125" style="74" bestFit="1" customWidth="1"/>
    <col min="2593" max="2593" width="11.42578125" style="74" bestFit="1" customWidth="1"/>
    <col min="2594" max="2594" width="18" style="74" bestFit="1" customWidth="1"/>
    <col min="2595" max="2812" width="9.140625" style="74"/>
    <col min="2813" max="2813" width="41" style="74" customWidth="1"/>
    <col min="2814" max="2814" width="19.5703125" style="74" bestFit="1" customWidth="1"/>
    <col min="2815" max="2815" width="10.140625" style="74" customWidth="1"/>
    <col min="2816" max="2816" width="10.42578125" style="74" bestFit="1" customWidth="1"/>
    <col min="2817" max="2817" width="11.28515625" style="74" customWidth="1"/>
    <col min="2818" max="2818" width="9.42578125" style="74" customWidth="1"/>
    <col min="2819" max="2819" width="10.140625" style="74" bestFit="1" customWidth="1"/>
    <col min="2820" max="2821" width="9.140625" style="74"/>
    <col min="2822" max="2822" width="7.28515625" style="74" customWidth="1"/>
    <col min="2823" max="2828" width="7.42578125" style="74" customWidth="1"/>
    <col min="2829" max="2829" width="9.42578125" style="74" bestFit="1" customWidth="1"/>
    <col min="2830" max="2830" width="12" style="74" bestFit="1" customWidth="1"/>
    <col min="2831" max="2832" width="12" style="74" customWidth="1"/>
    <col min="2833" max="2833" width="13.140625" style="74" bestFit="1" customWidth="1"/>
    <col min="2834" max="2835" width="13.140625" style="74" customWidth="1"/>
    <col min="2836" max="2837" width="14.42578125" style="74" bestFit="1" customWidth="1"/>
    <col min="2838" max="2839" width="9.140625" style="74" customWidth="1"/>
    <col min="2840" max="2840" width="9.5703125" style="74" customWidth="1"/>
    <col min="2841" max="2842" width="9.5703125" style="74" bestFit="1" customWidth="1"/>
    <col min="2843" max="2844" width="10.140625" style="74" bestFit="1" customWidth="1"/>
    <col min="2845" max="2845" width="9.5703125" style="74" bestFit="1" customWidth="1"/>
    <col min="2846" max="2846" width="9.5703125" style="74" customWidth="1"/>
    <col min="2847" max="2847" width="9" style="74" customWidth="1"/>
    <col min="2848" max="2848" width="10.5703125" style="74" bestFit="1" customWidth="1"/>
    <col min="2849" max="2849" width="11.42578125" style="74" bestFit="1" customWidth="1"/>
    <col min="2850" max="2850" width="18" style="74" bestFit="1" customWidth="1"/>
    <col min="2851" max="3068" width="9.140625" style="74"/>
    <col min="3069" max="3069" width="41" style="74" customWidth="1"/>
    <col min="3070" max="3070" width="19.5703125" style="74" bestFit="1" customWidth="1"/>
    <col min="3071" max="3071" width="10.140625" style="74" customWidth="1"/>
    <col min="3072" max="3072" width="10.42578125" style="74" bestFit="1" customWidth="1"/>
    <col min="3073" max="3073" width="11.28515625" style="74" customWidth="1"/>
    <col min="3074" max="3074" width="9.42578125" style="74" customWidth="1"/>
    <col min="3075" max="3075" width="10.140625" style="74" bestFit="1" customWidth="1"/>
    <col min="3076" max="3077" width="9.140625" style="74"/>
    <col min="3078" max="3078" width="7.28515625" style="74" customWidth="1"/>
    <col min="3079" max="3084" width="7.42578125" style="74" customWidth="1"/>
    <col min="3085" max="3085" width="9.42578125" style="74" bestFit="1" customWidth="1"/>
    <col min="3086" max="3086" width="12" style="74" bestFit="1" customWidth="1"/>
    <col min="3087" max="3088" width="12" style="74" customWidth="1"/>
    <col min="3089" max="3089" width="13.140625" style="74" bestFit="1" customWidth="1"/>
    <col min="3090" max="3091" width="13.140625" style="74" customWidth="1"/>
    <col min="3092" max="3093" width="14.42578125" style="74" bestFit="1" customWidth="1"/>
    <col min="3094" max="3095" width="9.140625" style="74" customWidth="1"/>
    <col min="3096" max="3096" width="9.5703125" style="74" customWidth="1"/>
    <col min="3097" max="3098" width="9.5703125" style="74" bestFit="1" customWidth="1"/>
    <col min="3099" max="3100" width="10.140625" style="74" bestFit="1" customWidth="1"/>
    <col min="3101" max="3101" width="9.5703125" style="74" bestFit="1" customWidth="1"/>
    <col min="3102" max="3102" width="9.5703125" style="74" customWidth="1"/>
    <col min="3103" max="3103" width="9" style="74" customWidth="1"/>
    <col min="3104" max="3104" width="10.5703125" style="74" bestFit="1" customWidth="1"/>
    <col min="3105" max="3105" width="11.42578125" style="74" bestFit="1" customWidth="1"/>
    <col min="3106" max="3106" width="18" style="74" bestFit="1" customWidth="1"/>
    <col min="3107" max="3324" width="9.140625" style="74"/>
    <col min="3325" max="3325" width="41" style="74" customWidth="1"/>
    <col min="3326" max="3326" width="19.5703125" style="74" bestFit="1" customWidth="1"/>
    <col min="3327" max="3327" width="10.140625" style="74" customWidth="1"/>
    <col min="3328" max="3328" width="10.42578125" style="74" bestFit="1" customWidth="1"/>
    <col min="3329" max="3329" width="11.28515625" style="74" customWidth="1"/>
    <col min="3330" max="3330" width="9.42578125" style="74" customWidth="1"/>
    <col min="3331" max="3331" width="10.140625" style="74" bestFit="1" customWidth="1"/>
    <col min="3332" max="3333" width="9.140625" style="74"/>
    <col min="3334" max="3334" width="7.28515625" style="74" customWidth="1"/>
    <col min="3335" max="3340" width="7.42578125" style="74" customWidth="1"/>
    <col min="3341" max="3341" width="9.42578125" style="74" bestFit="1" customWidth="1"/>
    <col min="3342" max="3342" width="12" style="74" bestFit="1" customWidth="1"/>
    <col min="3343" max="3344" width="12" style="74" customWidth="1"/>
    <col min="3345" max="3345" width="13.140625" style="74" bestFit="1" customWidth="1"/>
    <col min="3346" max="3347" width="13.140625" style="74" customWidth="1"/>
    <col min="3348" max="3349" width="14.42578125" style="74" bestFit="1" customWidth="1"/>
    <col min="3350" max="3351" width="9.140625" style="74" customWidth="1"/>
    <col min="3352" max="3352" width="9.5703125" style="74" customWidth="1"/>
    <col min="3353" max="3354" width="9.5703125" style="74" bestFit="1" customWidth="1"/>
    <col min="3355" max="3356" width="10.140625" style="74" bestFit="1" customWidth="1"/>
    <col min="3357" max="3357" width="9.5703125" style="74" bestFit="1" customWidth="1"/>
    <col min="3358" max="3358" width="9.5703125" style="74" customWidth="1"/>
    <col min="3359" max="3359" width="9" style="74" customWidth="1"/>
    <col min="3360" max="3360" width="10.5703125" style="74" bestFit="1" customWidth="1"/>
    <col min="3361" max="3361" width="11.42578125" style="74" bestFit="1" customWidth="1"/>
    <col min="3362" max="3362" width="18" style="74" bestFit="1" customWidth="1"/>
    <col min="3363" max="3580" width="9.140625" style="74"/>
    <col min="3581" max="3581" width="41" style="74" customWidth="1"/>
    <col min="3582" max="3582" width="19.5703125" style="74" bestFit="1" customWidth="1"/>
    <col min="3583" max="3583" width="10.140625" style="74" customWidth="1"/>
    <col min="3584" max="3584" width="10.42578125" style="74" bestFit="1" customWidth="1"/>
    <col min="3585" max="3585" width="11.28515625" style="74" customWidth="1"/>
    <col min="3586" max="3586" width="9.42578125" style="74" customWidth="1"/>
    <col min="3587" max="3587" width="10.140625" style="74" bestFit="1" customWidth="1"/>
    <col min="3588" max="3589" width="9.140625" style="74"/>
    <col min="3590" max="3590" width="7.28515625" style="74" customWidth="1"/>
    <col min="3591" max="3596" width="7.42578125" style="74" customWidth="1"/>
    <col min="3597" max="3597" width="9.42578125" style="74" bestFit="1" customWidth="1"/>
    <col min="3598" max="3598" width="12" style="74" bestFit="1" customWidth="1"/>
    <col min="3599" max="3600" width="12" style="74" customWidth="1"/>
    <col min="3601" max="3601" width="13.140625" style="74" bestFit="1" customWidth="1"/>
    <col min="3602" max="3603" width="13.140625" style="74" customWidth="1"/>
    <col min="3604" max="3605" width="14.42578125" style="74" bestFit="1" customWidth="1"/>
    <col min="3606" max="3607" width="9.140625" style="74" customWidth="1"/>
    <col min="3608" max="3608" width="9.5703125" style="74" customWidth="1"/>
    <col min="3609" max="3610" width="9.5703125" style="74" bestFit="1" customWidth="1"/>
    <col min="3611" max="3612" width="10.140625" style="74" bestFit="1" customWidth="1"/>
    <col min="3613" max="3613" width="9.5703125" style="74" bestFit="1" customWidth="1"/>
    <col min="3614" max="3614" width="9.5703125" style="74" customWidth="1"/>
    <col min="3615" max="3615" width="9" style="74" customWidth="1"/>
    <col min="3616" max="3616" width="10.5703125" style="74" bestFit="1" customWidth="1"/>
    <col min="3617" max="3617" width="11.42578125" style="74" bestFit="1" customWidth="1"/>
    <col min="3618" max="3618" width="18" style="74" bestFit="1" customWidth="1"/>
    <col min="3619" max="3836" width="9.140625" style="74"/>
    <col min="3837" max="3837" width="41" style="74" customWidth="1"/>
    <col min="3838" max="3838" width="19.5703125" style="74" bestFit="1" customWidth="1"/>
    <col min="3839" max="3839" width="10.140625" style="74" customWidth="1"/>
    <col min="3840" max="3840" width="10.42578125" style="74" bestFit="1" customWidth="1"/>
    <col min="3841" max="3841" width="11.28515625" style="74" customWidth="1"/>
    <col min="3842" max="3842" width="9.42578125" style="74" customWidth="1"/>
    <col min="3843" max="3843" width="10.140625" style="74" bestFit="1" customWidth="1"/>
    <col min="3844" max="3845" width="9.140625" style="74"/>
    <col min="3846" max="3846" width="7.28515625" style="74" customWidth="1"/>
    <col min="3847" max="3852" width="7.42578125" style="74" customWidth="1"/>
    <col min="3853" max="3853" width="9.42578125" style="74" bestFit="1" customWidth="1"/>
    <col min="3854" max="3854" width="12" style="74" bestFit="1" customWidth="1"/>
    <col min="3855" max="3856" width="12" style="74" customWidth="1"/>
    <col min="3857" max="3857" width="13.140625" style="74" bestFit="1" customWidth="1"/>
    <col min="3858" max="3859" width="13.140625" style="74" customWidth="1"/>
    <col min="3860" max="3861" width="14.42578125" style="74" bestFit="1" customWidth="1"/>
    <col min="3862" max="3863" width="9.140625" style="74" customWidth="1"/>
    <col min="3864" max="3864" width="9.5703125" style="74" customWidth="1"/>
    <col min="3865" max="3866" width="9.5703125" style="74" bestFit="1" customWidth="1"/>
    <col min="3867" max="3868" width="10.140625" style="74" bestFit="1" customWidth="1"/>
    <col min="3869" max="3869" width="9.5703125" style="74" bestFit="1" customWidth="1"/>
    <col min="3870" max="3870" width="9.5703125" style="74" customWidth="1"/>
    <col min="3871" max="3871" width="9" style="74" customWidth="1"/>
    <col min="3872" max="3872" width="10.5703125" style="74" bestFit="1" customWidth="1"/>
    <col min="3873" max="3873" width="11.42578125" style="74" bestFit="1" customWidth="1"/>
    <col min="3874" max="3874" width="18" style="74" bestFit="1" customWidth="1"/>
    <col min="3875" max="4092" width="9.140625" style="74"/>
    <col min="4093" max="4093" width="41" style="74" customWidth="1"/>
    <col min="4094" max="4094" width="19.5703125" style="74" bestFit="1" customWidth="1"/>
    <col min="4095" max="4095" width="10.140625" style="74" customWidth="1"/>
    <col min="4096" max="4096" width="10.42578125" style="74" bestFit="1" customWidth="1"/>
    <col min="4097" max="4097" width="11.28515625" style="74" customWidth="1"/>
    <col min="4098" max="4098" width="9.42578125" style="74" customWidth="1"/>
    <col min="4099" max="4099" width="10.140625" style="74" bestFit="1" customWidth="1"/>
    <col min="4100" max="4101" width="9.140625" style="74"/>
    <col min="4102" max="4102" width="7.28515625" style="74" customWidth="1"/>
    <col min="4103" max="4108" width="7.42578125" style="74" customWidth="1"/>
    <col min="4109" max="4109" width="9.42578125" style="74" bestFit="1" customWidth="1"/>
    <col min="4110" max="4110" width="12" style="74" bestFit="1" customWidth="1"/>
    <col min="4111" max="4112" width="12" style="74" customWidth="1"/>
    <col min="4113" max="4113" width="13.140625" style="74" bestFit="1" customWidth="1"/>
    <col min="4114" max="4115" width="13.140625" style="74" customWidth="1"/>
    <col min="4116" max="4117" width="14.42578125" style="74" bestFit="1" customWidth="1"/>
    <col min="4118" max="4119" width="9.140625" style="74" customWidth="1"/>
    <col min="4120" max="4120" width="9.5703125" style="74" customWidth="1"/>
    <col min="4121" max="4122" width="9.5703125" style="74" bestFit="1" customWidth="1"/>
    <col min="4123" max="4124" width="10.140625" style="74" bestFit="1" customWidth="1"/>
    <col min="4125" max="4125" width="9.5703125" style="74" bestFit="1" customWidth="1"/>
    <col min="4126" max="4126" width="9.5703125" style="74" customWidth="1"/>
    <col min="4127" max="4127" width="9" style="74" customWidth="1"/>
    <col min="4128" max="4128" width="10.5703125" style="74" bestFit="1" customWidth="1"/>
    <col min="4129" max="4129" width="11.42578125" style="74" bestFit="1" customWidth="1"/>
    <col min="4130" max="4130" width="18" style="74" bestFit="1" customWidth="1"/>
    <col min="4131" max="4348" width="9.140625" style="74"/>
    <col min="4349" max="4349" width="41" style="74" customWidth="1"/>
    <col min="4350" max="4350" width="19.5703125" style="74" bestFit="1" customWidth="1"/>
    <col min="4351" max="4351" width="10.140625" style="74" customWidth="1"/>
    <col min="4352" max="4352" width="10.42578125" style="74" bestFit="1" customWidth="1"/>
    <col min="4353" max="4353" width="11.28515625" style="74" customWidth="1"/>
    <col min="4354" max="4354" width="9.42578125" style="74" customWidth="1"/>
    <col min="4355" max="4355" width="10.140625" style="74" bestFit="1" customWidth="1"/>
    <col min="4356" max="4357" width="9.140625" style="74"/>
    <col min="4358" max="4358" width="7.28515625" style="74" customWidth="1"/>
    <col min="4359" max="4364" width="7.42578125" style="74" customWidth="1"/>
    <col min="4365" max="4365" width="9.42578125" style="74" bestFit="1" customWidth="1"/>
    <col min="4366" max="4366" width="12" style="74" bestFit="1" customWidth="1"/>
    <col min="4367" max="4368" width="12" style="74" customWidth="1"/>
    <col min="4369" max="4369" width="13.140625" style="74" bestFit="1" customWidth="1"/>
    <col min="4370" max="4371" width="13.140625" style="74" customWidth="1"/>
    <col min="4372" max="4373" width="14.42578125" style="74" bestFit="1" customWidth="1"/>
    <col min="4374" max="4375" width="9.140625" style="74" customWidth="1"/>
    <col min="4376" max="4376" width="9.5703125" style="74" customWidth="1"/>
    <col min="4377" max="4378" width="9.5703125" style="74" bestFit="1" customWidth="1"/>
    <col min="4379" max="4380" width="10.140625" style="74" bestFit="1" customWidth="1"/>
    <col min="4381" max="4381" width="9.5703125" style="74" bestFit="1" customWidth="1"/>
    <col min="4382" max="4382" width="9.5703125" style="74" customWidth="1"/>
    <col min="4383" max="4383" width="9" style="74" customWidth="1"/>
    <col min="4384" max="4384" width="10.5703125" style="74" bestFit="1" customWidth="1"/>
    <col min="4385" max="4385" width="11.42578125" style="74" bestFit="1" customWidth="1"/>
    <col min="4386" max="4386" width="18" style="74" bestFit="1" customWidth="1"/>
    <col min="4387" max="4604" width="9.140625" style="74"/>
    <col min="4605" max="4605" width="41" style="74" customWidth="1"/>
    <col min="4606" max="4606" width="19.5703125" style="74" bestFit="1" customWidth="1"/>
    <col min="4607" max="4607" width="10.140625" style="74" customWidth="1"/>
    <col min="4608" max="4608" width="10.42578125" style="74" bestFit="1" customWidth="1"/>
    <col min="4609" max="4609" width="11.28515625" style="74" customWidth="1"/>
    <col min="4610" max="4610" width="9.42578125" style="74" customWidth="1"/>
    <col min="4611" max="4611" width="10.140625" style="74" bestFit="1" customWidth="1"/>
    <col min="4612" max="4613" width="9.140625" style="74"/>
    <col min="4614" max="4614" width="7.28515625" style="74" customWidth="1"/>
    <col min="4615" max="4620" width="7.42578125" style="74" customWidth="1"/>
    <col min="4621" max="4621" width="9.42578125" style="74" bestFit="1" customWidth="1"/>
    <col min="4622" max="4622" width="12" style="74" bestFit="1" customWidth="1"/>
    <col min="4623" max="4624" width="12" style="74" customWidth="1"/>
    <col min="4625" max="4625" width="13.140625" style="74" bestFit="1" customWidth="1"/>
    <col min="4626" max="4627" width="13.140625" style="74" customWidth="1"/>
    <col min="4628" max="4629" width="14.42578125" style="74" bestFit="1" customWidth="1"/>
    <col min="4630" max="4631" width="9.140625" style="74" customWidth="1"/>
    <col min="4632" max="4632" width="9.5703125" style="74" customWidth="1"/>
    <col min="4633" max="4634" width="9.5703125" style="74" bestFit="1" customWidth="1"/>
    <col min="4635" max="4636" width="10.140625" style="74" bestFit="1" customWidth="1"/>
    <col min="4637" max="4637" width="9.5703125" style="74" bestFit="1" customWidth="1"/>
    <col min="4638" max="4638" width="9.5703125" style="74" customWidth="1"/>
    <col min="4639" max="4639" width="9" style="74" customWidth="1"/>
    <col min="4640" max="4640" width="10.5703125" style="74" bestFit="1" customWidth="1"/>
    <col min="4641" max="4641" width="11.42578125" style="74" bestFit="1" customWidth="1"/>
    <col min="4642" max="4642" width="18" style="74" bestFit="1" customWidth="1"/>
    <col min="4643" max="4860" width="9.140625" style="74"/>
    <col min="4861" max="4861" width="41" style="74" customWidth="1"/>
    <col min="4862" max="4862" width="19.5703125" style="74" bestFit="1" customWidth="1"/>
    <col min="4863" max="4863" width="10.140625" style="74" customWidth="1"/>
    <col min="4864" max="4864" width="10.42578125" style="74" bestFit="1" customWidth="1"/>
    <col min="4865" max="4865" width="11.28515625" style="74" customWidth="1"/>
    <col min="4866" max="4866" width="9.42578125" style="74" customWidth="1"/>
    <col min="4867" max="4867" width="10.140625" style="74" bestFit="1" customWidth="1"/>
    <col min="4868" max="4869" width="9.140625" style="74"/>
    <col min="4870" max="4870" width="7.28515625" style="74" customWidth="1"/>
    <col min="4871" max="4876" width="7.42578125" style="74" customWidth="1"/>
    <col min="4877" max="4877" width="9.42578125" style="74" bestFit="1" customWidth="1"/>
    <col min="4878" max="4878" width="12" style="74" bestFit="1" customWidth="1"/>
    <col min="4879" max="4880" width="12" style="74" customWidth="1"/>
    <col min="4881" max="4881" width="13.140625" style="74" bestFit="1" customWidth="1"/>
    <col min="4882" max="4883" width="13.140625" style="74" customWidth="1"/>
    <col min="4884" max="4885" width="14.42578125" style="74" bestFit="1" customWidth="1"/>
    <col min="4886" max="4887" width="9.140625" style="74" customWidth="1"/>
    <col min="4888" max="4888" width="9.5703125" style="74" customWidth="1"/>
    <col min="4889" max="4890" width="9.5703125" style="74" bestFit="1" customWidth="1"/>
    <col min="4891" max="4892" width="10.140625" style="74" bestFit="1" customWidth="1"/>
    <col min="4893" max="4893" width="9.5703125" style="74" bestFit="1" customWidth="1"/>
    <col min="4894" max="4894" width="9.5703125" style="74" customWidth="1"/>
    <col min="4895" max="4895" width="9" style="74" customWidth="1"/>
    <col min="4896" max="4896" width="10.5703125" style="74" bestFit="1" customWidth="1"/>
    <col min="4897" max="4897" width="11.42578125" style="74" bestFit="1" customWidth="1"/>
    <col min="4898" max="4898" width="18" style="74" bestFit="1" customWidth="1"/>
    <col min="4899" max="5116" width="9.140625" style="74"/>
    <col min="5117" max="5117" width="41" style="74" customWidth="1"/>
    <col min="5118" max="5118" width="19.5703125" style="74" bestFit="1" customWidth="1"/>
    <col min="5119" max="5119" width="10.140625" style="74" customWidth="1"/>
    <col min="5120" max="5120" width="10.42578125" style="74" bestFit="1" customWidth="1"/>
    <col min="5121" max="5121" width="11.28515625" style="74" customWidth="1"/>
    <col min="5122" max="5122" width="9.42578125" style="74" customWidth="1"/>
    <col min="5123" max="5123" width="10.140625" style="74" bestFit="1" customWidth="1"/>
    <col min="5124" max="5125" width="9.140625" style="74"/>
    <col min="5126" max="5126" width="7.28515625" style="74" customWidth="1"/>
    <col min="5127" max="5132" width="7.42578125" style="74" customWidth="1"/>
    <col min="5133" max="5133" width="9.42578125" style="74" bestFit="1" customWidth="1"/>
    <col min="5134" max="5134" width="12" style="74" bestFit="1" customWidth="1"/>
    <col min="5135" max="5136" width="12" style="74" customWidth="1"/>
    <col min="5137" max="5137" width="13.140625" style="74" bestFit="1" customWidth="1"/>
    <col min="5138" max="5139" width="13.140625" style="74" customWidth="1"/>
    <col min="5140" max="5141" width="14.42578125" style="74" bestFit="1" customWidth="1"/>
    <col min="5142" max="5143" width="9.140625" style="74" customWidth="1"/>
    <col min="5144" max="5144" width="9.5703125" style="74" customWidth="1"/>
    <col min="5145" max="5146" width="9.5703125" style="74" bestFit="1" customWidth="1"/>
    <col min="5147" max="5148" width="10.140625" style="74" bestFit="1" customWidth="1"/>
    <col min="5149" max="5149" width="9.5703125" style="74" bestFit="1" customWidth="1"/>
    <col min="5150" max="5150" width="9.5703125" style="74" customWidth="1"/>
    <col min="5151" max="5151" width="9" style="74" customWidth="1"/>
    <col min="5152" max="5152" width="10.5703125" style="74" bestFit="1" customWidth="1"/>
    <col min="5153" max="5153" width="11.42578125" style="74" bestFit="1" customWidth="1"/>
    <col min="5154" max="5154" width="18" style="74" bestFit="1" customWidth="1"/>
    <col min="5155" max="5372" width="9.140625" style="74"/>
    <col min="5373" max="5373" width="41" style="74" customWidth="1"/>
    <col min="5374" max="5374" width="19.5703125" style="74" bestFit="1" customWidth="1"/>
    <col min="5375" max="5375" width="10.140625" style="74" customWidth="1"/>
    <col min="5376" max="5376" width="10.42578125" style="74" bestFit="1" customWidth="1"/>
    <col min="5377" max="5377" width="11.28515625" style="74" customWidth="1"/>
    <col min="5378" max="5378" width="9.42578125" style="74" customWidth="1"/>
    <col min="5379" max="5379" width="10.140625" style="74" bestFit="1" customWidth="1"/>
    <col min="5380" max="5381" width="9.140625" style="74"/>
    <col min="5382" max="5382" width="7.28515625" style="74" customWidth="1"/>
    <col min="5383" max="5388" width="7.42578125" style="74" customWidth="1"/>
    <col min="5389" max="5389" width="9.42578125" style="74" bestFit="1" customWidth="1"/>
    <col min="5390" max="5390" width="12" style="74" bestFit="1" customWidth="1"/>
    <col min="5391" max="5392" width="12" style="74" customWidth="1"/>
    <col min="5393" max="5393" width="13.140625" style="74" bestFit="1" customWidth="1"/>
    <col min="5394" max="5395" width="13.140625" style="74" customWidth="1"/>
    <col min="5396" max="5397" width="14.42578125" style="74" bestFit="1" customWidth="1"/>
    <col min="5398" max="5399" width="9.140625" style="74" customWidth="1"/>
    <col min="5400" max="5400" width="9.5703125" style="74" customWidth="1"/>
    <col min="5401" max="5402" width="9.5703125" style="74" bestFit="1" customWidth="1"/>
    <col min="5403" max="5404" width="10.140625" style="74" bestFit="1" customWidth="1"/>
    <col min="5405" max="5405" width="9.5703125" style="74" bestFit="1" customWidth="1"/>
    <col min="5406" max="5406" width="9.5703125" style="74" customWidth="1"/>
    <col min="5407" max="5407" width="9" style="74" customWidth="1"/>
    <col min="5408" max="5408" width="10.5703125" style="74" bestFit="1" customWidth="1"/>
    <col min="5409" max="5409" width="11.42578125" style="74" bestFit="1" customWidth="1"/>
    <col min="5410" max="5410" width="18" style="74" bestFit="1" customWidth="1"/>
    <col min="5411" max="5628" width="9.140625" style="74"/>
    <col min="5629" max="5629" width="41" style="74" customWidth="1"/>
    <col min="5630" max="5630" width="19.5703125" style="74" bestFit="1" customWidth="1"/>
    <col min="5631" max="5631" width="10.140625" style="74" customWidth="1"/>
    <col min="5632" max="5632" width="10.42578125" style="74" bestFit="1" customWidth="1"/>
    <col min="5633" max="5633" width="11.28515625" style="74" customWidth="1"/>
    <col min="5634" max="5634" width="9.42578125" style="74" customWidth="1"/>
    <col min="5635" max="5635" width="10.140625" style="74" bestFit="1" customWidth="1"/>
    <col min="5636" max="5637" width="9.140625" style="74"/>
    <col min="5638" max="5638" width="7.28515625" style="74" customWidth="1"/>
    <col min="5639" max="5644" width="7.42578125" style="74" customWidth="1"/>
    <col min="5645" max="5645" width="9.42578125" style="74" bestFit="1" customWidth="1"/>
    <col min="5646" max="5646" width="12" style="74" bestFit="1" customWidth="1"/>
    <col min="5647" max="5648" width="12" style="74" customWidth="1"/>
    <col min="5649" max="5649" width="13.140625" style="74" bestFit="1" customWidth="1"/>
    <col min="5650" max="5651" width="13.140625" style="74" customWidth="1"/>
    <col min="5652" max="5653" width="14.42578125" style="74" bestFit="1" customWidth="1"/>
    <col min="5654" max="5655" width="9.140625" style="74" customWidth="1"/>
    <col min="5656" max="5656" width="9.5703125" style="74" customWidth="1"/>
    <col min="5657" max="5658" width="9.5703125" style="74" bestFit="1" customWidth="1"/>
    <col min="5659" max="5660" width="10.140625" style="74" bestFit="1" customWidth="1"/>
    <col min="5661" max="5661" width="9.5703125" style="74" bestFit="1" customWidth="1"/>
    <col min="5662" max="5662" width="9.5703125" style="74" customWidth="1"/>
    <col min="5663" max="5663" width="9" style="74" customWidth="1"/>
    <col min="5664" max="5664" width="10.5703125" style="74" bestFit="1" customWidth="1"/>
    <col min="5665" max="5665" width="11.42578125" style="74" bestFit="1" customWidth="1"/>
    <col min="5666" max="5666" width="18" style="74" bestFit="1" customWidth="1"/>
    <col min="5667" max="5884" width="9.140625" style="74"/>
    <col min="5885" max="5885" width="41" style="74" customWidth="1"/>
    <col min="5886" max="5886" width="19.5703125" style="74" bestFit="1" customWidth="1"/>
    <col min="5887" max="5887" width="10.140625" style="74" customWidth="1"/>
    <col min="5888" max="5888" width="10.42578125" style="74" bestFit="1" customWidth="1"/>
    <col min="5889" max="5889" width="11.28515625" style="74" customWidth="1"/>
    <col min="5890" max="5890" width="9.42578125" style="74" customWidth="1"/>
    <col min="5891" max="5891" width="10.140625" style="74" bestFit="1" customWidth="1"/>
    <col min="5892" max="5893" width="9.140625" style="74"/>
    <col min="5894" max="5894" width="7.28515625" style="74" customWidth="1"/>
    <col min="5895" max="5900" width="7.42578125" style="74" customWidth="1"/>
    <col min="5901" max="5901" width="9.42578125" style="74" bestFit="1" customWidth="1"/>
    <col min="5902" max="5902" width="12" style="74" bestFit="1" customWidth="1"/>
    <col min="5903" max="5904" width="12" style="74" customWidth="1"/>
    <col min="5905" max="5905" width="13.140625" style="74" bestFit="1" customWidth="1"/>
    <col min="5906" max="5907" width="13.140625" style="74" customWidth="1"/>
    <col min="5908" max="5909" width="14.42578125" style="74" bestFit="1" customWidth="1"/>
    <col min="5910" max="5911" width="9.140625" style="74" customWidth="1"/>
    <col min="5912" max="5912" width="9.5703125" style="74" customWidth="1"/>
    <col min="5913" max="5914" width="9.5703125" style="74" bestFit="1" customWidth="1"/>
    <col min="5915" max="5916" width="10.140625" style="74" bestFit="1" customWidth="1"/>
    <col min="5917" max="5917" width="9.5703125" style="74" bestFit="1" customWidth="1"/>
    <col min="5918" max="5918" width="9.5703125" style="74" customWidth="1"/>
    <col min="5919" max="5919" width="9" style="74" customWidth="1"/>
    <col min="5920" max="5920" width="10.5703125" style="74" bestFit="1" customWidth="1"/>
    <col min="5921" max="5921" width="11.42578125" style="74" bestFit="1" customWidth="1"/>
    <col min="5922" max="5922" width="18" style="74" bestFit="1" customWidth="1"/>
    <col min="5923" max="6140" width="9.140625" style="74"/>
    <col min="6141" max="6141" width="41" style="74" customWidth="1"/>
    <col min="6142" max="6142" width="19.5703125" style="74" bestFit="1" customWidth="1"/>
    <col min="6143" max="6143" width="10.140625" style="74" customWidth="1"/>
    <col min="6144" max="6144" width="10.42578125" style="74" bestFit="1" customWidth="1"/>
    <col min="6145" max="6145" width="11.28515625" style="74" customWidth="1"/>
    <col min="6146" max="6146" width="9.42578125" style="74" customWidth="1"/>
    <col min="6147" max="6147" width="10.140625" style="74" bestFit="1" customWidth="1"/>
    <col min="6148" max="6149" width="9.140625" style="74"/>
    <col min="6150" max="6150" width="7.28515625" style="74" customWidth="1"/>
    <col min="6151" max="6156" width="7.42578125" style="74" customWidth="1"/>
    <col min="6157" max="6157" width="9.42578125" style="74" bestFit="1" customWidth="1"/>
    <col min="6158" max="6158" width="12" style="74" bestFit="1" customWidth="1"/>
    <col min="6159" max="6160" width="12" style="74" customWidth="1"/>
    <col min="6161" max="6161" width="13.140625" style="74" bestFit="1" customWidth="1"/>
    <col min="6162" max="6163" width="13.140625" style="74" customWidth="1"/>
    <col min="6164" max="6165" width="14.42578125" style="74" bestFit="1" customWidth="1"/>
    <col min="6166" max="6167" width="9.140625" style="74" customWidth="1"/>
    <col min="6168" max="6168" width="9.5703125" style="74" customWidth="1"/>
    <col min="6169" max="6170" width="9.5703125" style="74" bestFit="1" customWidth="1"/>
    <col min="6171" max="6172" width="10.140625" style="74" bestFit="1" customWidth="1"/>
    <col min="6173" max="6173" width="9.5703125" style="74" bestFit="1" customWidth="1"/>
    <col min="6174" max="6174" width="9.5703125" style="74" customWidth="1"/>
    <col min="6175" max="6175" width="9" style="74" customWidth="1"/>
    <col min="6176" max="6176" width="10.5703125" style="74" bestFit="1" customWidth="1"/>
    <col min="6177" max="6177" width="11.42578125" style="74" bestFit="1" customWidth="1"/>
    <col min="6178" max="6178" width="18" style="74" bestFit="1" customWidth="1"/>
    <col min="6179" max="6396" width="9.140625" style="74"/>
    <col min="6397" max="6397" width="41" style="74" customWidth="1"/>
    <col min="6398" max="6398" width="19.5703125" style="74" bestFit="1" customWidth="1"/>
    <col min="6399" max="6399" width="10.140625" style="74" customWidth="1"/>
    <col min="6400" max="6400" width="10.42578125" style="74" bestFit="1" customWidth="1"/>
    <col min="6401" max="6401" width="11.28515625" style="74" customWidth="1"/>
    <col min="6402" max="6402" width="9.42578125" style="74" customWidth="1"/>
    <col min="6403" max="6403" width="10.140625" style="74" bestFit="1" customWidth="1"/>
    <col min="6404" max="6405" width="9.140625" style="74"/>
    <col min="6406" max="6406" width="7.28515625" style="74" customWidth="1"/>
    <col min="6407" max="6412" width="7.42578125" style="74" customWidth="1"/>
    <col min="6413" max="6413" width="9.42578125" style="74" bestFit="1" customWidth="1"/>
    <col min="6414" max="6414" width="12" style="74" bestFit="1" customWidth="1"/>
    <col min="6415" max="6416" width="12" style="74" customWidth="1"/>
    <col min="6417" max="6417" width="13.140625" style="74" bestFit="1" customWidth="1"/>
    <col min="6418" max="6419" width="13.140625" style="74" customWidth="1"/>
    <col min="6420" max="6421" width="14.42578125" style="74" bestFit="1" customWidth="1"/>
    <col min="6422" max="6423" width="9.140625" style="74" customWidth="1"/>
    <col min="6424" max="6424" width="9.5703125" style="74" customWidth="1"/>
    <col min="6425" max="6426" width="9.5703125" style="74" bestFit="1" customWidth="1"/>
    <col min="6427" max="6428" width="10.140625" style="74" bestFit="1" customWidth="1"/>
    <col min="6429" max="6429" width="9.5703125" style="74" bestFit="1" customWidth="1"/>
    <col min="6430" max="6430" width="9.5703125" style="74" customWidth="1"/>
    <col min="6431" max="6431" width="9" style="74" customWidth="1"/>
    <col min="6432" max="6432" width="10.5703125" style="74" bestFit="1" customWidth="1"/>
    <col min="6433" max="6433" width="11.42578125" style="74" bestFit="1" customWidth="1"/>
    <col min="6434" max="6434" width="18" style="74" bestFit="1" customWidth="1"/>
    <col min="6435" max="6652" width="9.140625" style="74"/>
    <col min="6653" max="6653" width="41" style="74" customWidth="1"/>
    <col min="6654" max="6654" width="19.5703125" style="74" bestFit="1" customWidth="1"/>
    <col min="6655" max="6655" width="10.140625" style="74" customWidth="1"/>
    <col min="6656" max="6656" width="10.42578125" style="74" bestFit="1" customWidth="1"/>
    <col min="6657" max="6657" width="11.28515625" style="74" customWidth="1"/>
    <col min="6658" max="6658" width="9.42578125" style="74" customWidth="1"/>
    <col min="6659" max="6659" width="10.140625" style="74" bestFit="1" customWidth="1"/>
    <col min="6660" max="6661" width="9.140625" style="74"/>
    <col min="6662" max="6662" width="7.28515625" style="74" customWidth="1"/>
    <col min="6663" max="6668" width="7.42578125" style="74" customWidth="1"/>
    <col min="6669" max="6669" width="9.42578125" style="74" bestFit="1" customWidth="1"/>
    <col min="6670" max="6670" width="12" style="74" bestFit="1" customWidth="1"/>
    <col min="6671" max="6672" width="12" style="74" customWidth="1"/>
    <col min="6673" max="6673" width="13.140625" style="74" bestFit="1" customWidth="1"/>
    <col min="6674" max="6675" width="13.140625" style="74" customWidth="1"/>
    <col min="6676" max="6677" width="14.42578125" style="74" bestFit="1" customWidth="1"/>
    <col min="6678" max="6679" width="9.140625" style="74" customWidth="1"/>
    <col min="6680" max="6680" width="9.5703125" style="74" customWidth="1"/>
    <col min="6681" max="6682" width="9.5703125" style="74" bestFit="1" customWidth="1"/>
    <col min="6683" max="6684" width="10.140625" style="74" bestFit="1" customWidth="1"/>
    <col min="6685" max="6685" width="9.5703125" style="74" bestFit="1" customWidth="1"/>
    <col min="6686" max="6686" width="9.5703125" style="74" customWidth="1"/>
    <col min="6687" max="6687" width="9" style="74" customWidth="1"/>
    <col min="6688" max="6688" width="10.5703125" style="74" bestFit="1" customWidth="1"/>
    <col min="6689" max="6689" width="11.42578125" style="74" bestFit="1" customWidth="1"/>
    <col min="6690" max="6690" width="18" style="74" bestFit="1" customWidth="1"/>
    <col min="6691" max="6908" width="9.140625" style="74"/>
    <col min="6909" max="6909" width="41" style="74" customWidth="1"/>
    <col min="6910" max="6910" width="19.5703125" style="74" bestFit="1" customWidth="1"/>
    <col min="6911" max="6911" width="10.140625" style="74" customWidth="1"/>
    <col min="6912" max="6912" width="10.42578125" style="74" bestFit="1" customWidth="1"/>
    <col min="6913" max="6913" width="11.28515625" style="74" customWidth="1"/>
    <col min="6914" max="6914" width="9.42578125" style="74" customWidth="1"/>
    <col min="6915" max="6915" width="10.140625" style="74" bestFit="1" customWidth="1"/>
    <col min="6916" max="6917" width="9.140625" style="74"/>
    <col min="6918" max="6918" width="7.28515625" style="74" customWidth="1"/>
    <col min="6919" max="6924" width="7.42578125" style="74" customWidth="1"/>
    <col min="6925" max="6925" width="9.42578125" style="74" bestFit="1" customWidth="1"/>
    <col min="6926" max="6926" width="12" style="74" bestFit="1" customWidth="1"/>
    <col min="6927" max="6928" width="12" style="74" customWidth="1"/>
    <col min="6929" max="6929" width="13.140625" style="74" bestFit="1" customWidth="1"/>
    <col min="6930" max="6931" width="13.140625" style="74" customWidth="1"/>
    <col min="6932" max="6933" width="14.42578125" style="74" bestFit="1" customWidth="1"/>
    <col min="6934" max="6935" width="9.140625" style="74" customWidth="1"/>
    <col min="6936" max="6936" width="9.5703125" style="74" customWidth="1"/>
    <col min="6937" max="6938" width="9.5703125" style="74" bestFit="1" customWidth="1"/>
    <col min="6939" max="6940" width="10.140625" style="74" bestFit="1" customWidth="1"/>
    <col min="6941" max="6941" width="9.5703125" style="74" bestFit="1" customWidth="1"/>
    <col min="6942" max="6942" width="9.5703125" style="74" customWidth="1"/>
    <col min="6943" max="6943" width="9" style="74" customWidth="1"/>
    <col min="6944" max="6944" width="10.5703125" style="74" bestFit="1" customWidth="1"/>
    <col min="6945" max="6945" width="11.42578125" style="74" bestFit="1" customWidth="1"/>
    <col min="6946" max="6946" width="18" style="74" bestFit="1" customWidth="1"/>
    <col min="6947" max="7164" width="9.140625" style="74"/>
    <col min="7165" max="7165" width="41" style="74" customWidth="1"/>
    <col min="7166" max="7166" width="19.5703125" style="74" bestFit="1" customWidth="1"/>
    <col min="7167" max="7167" width="10.140625" style="74" customWidth="1"/>
    <col min="7168" max="7168" width="10.42578125" style="74" bestFit="1" customWidth="1"/>
    <col min="7169" max="7169" width="11.28515625" style="74" customWidth="1"/>
    <col min="7170" max="7170" width="9.42578125" style="74" customWidth="1"/>
    <col min="7171" max="7171" width="10.140625" style="74" bestFit="1" customWidth="1"/>
    <col min="7172" max="7173" width="9.140625" style="74"/>
    <col min="7174" max="7174" width="7.28515625" style="74" customWidth="1"/>
    <col min="7175" max="7180" width="7.42578125" style="74" customWidth="1"/>
    <col min="7181" max="7181" width="9.42578125" style="74" bestFit="1" customWidth="1"/>
    <col min="7182" max="7182" width="12" style="74" bestFit="1" customWidth="1"/>
    <col min="7183" max="7184" width="12" style="74" customWidth="1"/>
    <col min="7185" max="7185" width="13.140625" style="74" bestFit="1" customWidth="1"/>
    <col min="7186" max="7187" width="13.140625" style="74" customWidth="1"/>
    <col min="7188" max="7189" width="14.42578125" style="74" bestFit="1" customWidth="1"/>
    <col min="7190" max="7191" width="9.140625" style="74" customWidth="1"/>
    <col min="7192" max="7192" width="9.5703125" style="74" customWidth="1"/>
    <col min="7193" max="7194" width="9.5703125" style="74" bestFit="1" customWidth="1"/>
    <col min="7195" max="7196" width="10.140625" style="74" bestFit="1" customWidth="1"/>
    <col min="7197" max="7197" width="9.5703125" style="74" bestFit="1" customWidth="1"/>
    <col min="7198" max="7198" width="9.5703125" style="74" customWidth="1"/>
    <col min="7199" max="7199" width="9" style="74" customWidth="1"/>
    <col min="7200" max="7200" width="10.5703125" style="74" bestFit="1" customWidth="1"/>
    <col min="7201" max="7201" width="11.42578125" style="74" bestFit="1" customWidth="1"/>
    <col min="7202" max="7202" width="18" style="74" bestFit="1" customWidth="1"/>
    <col min="7203" max="7420" width="9.140625" style="74"/>
    <col min="7421" max="7421" width="41" style="74" customWidth="1"/>
    <col min="7422" max="7422" width="19.5703125" style="74" bestFit="1" customWidth="1"/>
    <col min="7423" max="7423" width="10.140625" style="74" customWidth="1"/>
    <col min="7424" max="7424" width="10.42578125" style="74" bestFit="1" customWidth="1"/>
    <col min="7425" max="7425" width="11.28515625" style="74" customWidth="1"/>
    <col min="7426" max="7426" width="9.42578125" style="74" customWidth="1"/>
    <col min="7427" max="7427" width="10.140625" style="74" bestFit="1" customWidth="1"/>
    <col min="7428" max="7429" width="9.140625" style="74"/>
    <col min="7430" max="7430" width="7.28515625" style="74" customWidth="1"/>
    <col min="7431" max="7436" width="7.42578125" style="74" customWidth="1"/>
    <col min="7437" max="7437" width="9.42578125" style="74" bestFit="1" customWidth="1"/>
    <col min="7438" max="7438" width="12" style="74" bestFit="1" customWidth="1"/>
    <col min="7439" max="7440" width="12" style="74" customWidth="1"/>
    <col min="7441" max="7441" width="13.140625" style="74" bestFit="1" customWidth="1"/>
    <col min="7442" max="7443" width="13.140625" style="74" customWidth="1"/>
    <col min="7444" max="7445" width="14.42578125" style="74" bestFit="1" customWidth="1"/>
    <col min="7446" max="7447" width="9.140625" style="74" customWidth="1"/>
    <col min="7448" max="7448" width="9.5703125" style="74" customWidth="1"/>
    <col min="7449" max="7450" width="9.5703125" style="74" bestFit="1" customWidth="1"/>
    <col min="7451" max="7452" width="10.140625" style="74" bestFit="1" customWidth="1"/>
    <col min="7453" max="7453" width="9.5703125" style="74" bestFit="1" customWidth="1"/>
    <col min="7454" max="7454" width="9.5703125" style="74" customWidth="1"/>
    <col min="7455" max="7455" width="9" style="74" customWidth="1"/>
    <col min="7456" max="7456" width="10.5703125" style="74" bestFit="1" customWidth="1"/>
    <col min="7457" max="7457" width="11.42578125" style="74" bestFit="1" customWidth="1"/>
    <col min="7458" max="7458" width="18" style="74" bestFit="1" customWidth="1"/>
    <col min="7459" max="7676" width="9.140625" style="74"/>
    <col min="7677" max="7677" width="41" style="74" customWidth="1"/>
    <col min="7678" max="7678" width="19.5703125" style="74" bestFit="1" customWidth="1"/>
    <col min="7679" max="7679" width="10.140625" style="74" customWidth="1"/>
    <col min="7680" max="7680" width="10.42578125" style="74" bestFit="1" customWidth="1"/>
    <col min="7681" max="7681" width="11.28515625" style="74" customWidth="1"/>
    <col min="7682" max="7682" width="9.42578125" style="74" customWidth="1"/>
    <col min="7683" max="7683" width="10.140625" style="74" bestFit="1" customWidth="1"/>
    <col min="7684" max="7685" width="9.140625" style="74"/>
    <col min="7686" max="7686" width="7.28515625" style="74" customWidth="1"/>
    <col min="7687" max="7692" width="7.42578125" style="74" customWidth="1"/>
    <col min="7693" max="7693" width="9.42578125" style="74" bestFit="1" customWidth="1"/>
    <col min="7694" max="7694" width="12" style="74" bestFit="1" customWidth="1"/>
    <col min="7695" max="7696" width="12" style="74" customWidth="1"/>
    <col min="7697" max="7697" width="13.140625" style="74" bestFit="1" customWidth="1"/>
    <col min="7698" max="7699" width="13.140625" style="74" customWidth="1"/>
    <col min="7700" max="7701" width="14.42578125" style="74" bestFit="1" customWidth="1"/>
    <col min="7702" max="7703" width="9.140625" style="74" customWidth="1"/>
    <col min="7704" max="7704" width="9.5703125" style="74" customWidth="1"/>
    <col min="7705" max="7706" width="9.5703125" style="74" bestFit="1" customWidth="1"/>
    <col min="7707" max="7708" width="10.140625" style="74" bestFit="1" customWidth="1"/>
    <col min="7709" max="7709" width="9.5703125" style="74" bestFit="1" customWidth="1"/>
    <col min="7710" max="7710" width="9.5703125" style="74" customWidth="1"/>
    <col min="7711" max="7711" width="9" style="74" customWidth="1"/>
    <col min="7712" max="7712" width="10.5703125" style="74" bestFit="1" customWidth="1"/>
    <col min="7713" max="7713" width="11.42578125" style="74" bestFit="1" customWidth="1"/>
    <col min="7714" max="7714" width="18" style="74" bestFit="1" customWidth="1"/>
    <col min="7715" max="7932" width="9.140625" style="74"/>
    <col min="7933" max="7933" width="41" style="74" customWidth="1"/>
    <col min="7934" max="7934" width="19.5703125" style="74" bestFit="1" customWidth="1"/>
    <col min="7935" max="7935" width="10.140625" style="74" customWidth="1"/>
    <col min="7936" max="7936" width="10.42578125" style="74" bestFit="1" customWidth="1"/>
    <col min="7937" max="7937" width="11.28515625" style="74" customWidth="1"/>
    <col min="7938" max="7938" width="9.42578125" style="74" customWidth="1"/>
    <col min="7939" max="7939" width="10.140625" style="74" bestFit="1" customWidth="1"/>
    <col min="7940" max="7941" width="9.140625" style="74"/>
    <col min="7942" max="7942" width="7.28515625" style="74" customWidth="1"/>
    <col min="7943" max="7948" width="7.42578125" style="74" customWidth="1"/>
    <col min="7949" max="7949" width="9.42578125" style="74" bestFit="1" customWidth="1"/>
    <col min="7950" max="7950" width="12" style="74" bestFit="1" customWidth="1"/>
    <col min="7951" max="7952" width="12" style="74" customWidth="1"/>
    <col min="7953" max="7953" width="13.140625" style="74" bestFit="1" customWidth="1"/>
    <col min="7954" max="7955" width="13.140625" style="74" customWidth="1"/>
    <col min="7956" max="7957" width="14.42578125" style="74" bestFit="1" customWidth="1"/>
    <col min="7958" max="7959" width="9.140625" style="74" customWidth="1"/>
    <col min="7960" max="7960" width="9.5703125" style="74" customWidth="1"/>
    <col min="7961" max="7962" width="9.5703125" style="74" bestFit="1" customWidth="1"/>
    <col min="7963" max="7964" width="10.140625" style="74" bestFit="1" customWidth="1"/>
    <col min="7965" max="7965" width="9.5703125" style="74" bestFit="1" customWidth="1"/>
    <col min="7966" max="7966" width="9.5703125" style="74" customWidth="1"/>
    <col min="7967" max="7967" width="9" style="74" customWidth="1"/>
    <col min="7968" max="7968" width="10.5703125" style="74" bestFit="1" customWidth="1"/>
    <col min="7969" max="7969" width="11.42578125" style="74" bestFit="1" customWidth="1"/>
    <col min="7970" max="7970" width="18" style="74" bestFit="1" customWidth="1"/>
    <col min="7971" max="8188" width="9.140625" style="74"/>
    <col min="8189" max="8189" width="41" style="74" customWidth="1"/>
    <col min="8190" max="8190" width="19.5703125" style="74" bestFit="1" customWidth="1"/>
    <col min="8191" max="8191" width="10.140625" style="74" customWidth="1"/>
    <col min="8192" max="8192" width="10.42578125" style="74" bestFit="1" customWidth="1"/>
    <col min="8193" max="8193" width="11.28515625" style="74" customWidth="1"/>
    <col min="8194" max="8194" width="9.42578125" style="74" customWidth="1"/>
    <col min="8195" max="8195" width="10.140625" style="74" bestFit="1" customWidth="1"/>
    <col min="8196" max="8197" width="9.140625" style="74"/>
    <col min="8198" max="8198" width="7.28515625" style="74" customWidth="1"/>
    <col min="8199" max="8204" width="7.42578125" style="74" customWidth="1"/>
    <col min="8205" max="8205" width="9.42578125" style="74" bestFit="1" customWidth="1"/>
    <col min="8206" max="8206" width="12" style="74" bestFit="1" customWidth="1"/>
    <col min="8207" max="8208" width="12" style="74" customWidth="1"/>
    <col min="8209" max="8209" width="13.140625" style="74" bestFit="1" customWidth="1"/>
    <col min="8210" max="8211" width="13.140625" style="74" customWidth="1"/>
    <col min="8212" max="8213" width="14.42578125" style="74" bestFit="1" customWidth="1"/>
    <col min="8214" max="8215" width="9.140625" style="74" customWidth="1"/>
    <col min="8216" max="8216" width="9.5703125" style="74" customWidth="1"/>
    <col min="8217" max="8218" width="9.5703125" style="74" bestFit="1" customWidth="1"/>
    <col min="8219" max="8220" width="10.140625" style="74" bestFit="1" customWidth="1"/>
    <col min="8221" max="8221" width="9.5703125" style="74" bestFit="1" customWidth="1"/>
    <col min="8222" max="8222" width="9.5703125" style="74" customWidth="1"/>
    <col min="8223" max="8223" width="9" style="74" customWidth="1"/>
    <col min="8224" max="8224" width="10.5703125" style="74" bestFit="1" customWidth="1"/>
    <col min="8225" max="8225" width="11.42578125" style="74" bestFit="1" customWidth="1"/>
    <col min="8226" max="8226" width="18" style="74" bestFit="1" customWidth="1"/>
    <col min="8227" max="8444" width="9.140625" style="74"/>
    <col min="8445" max="8445" width="41" style="74" customWidth="1"/>
    <col min="8446" max="8446" width="19.5703125" style="74" bestFit="1" customWidth="1"/>
    <col min="8447" max="8447" width="10.140625" style="74" customWidth="1"/>
    <col min="8448" max="8448" width="10.42578125" style="74" bestFit="1" customWidth="1"/>
    <col min="8449" max="8449" width="11.28515625" style="74" customWidth="1"/>
    <col min="8450" max="8450" width="9.42578125" style="74" customWidth="1"/>
    <col min="8451" max="8451" width="10.140625" style="74" bestFit="1" customWidth="1"/>
    <col min="8452" max="8453" width="9.140625" style="74"/>
    <col min="8454" max="8454" width="7.28515625" style="74" customWidth="1"/>
    <col min="8455" max="8460" width="7.42578125" style="74" customWidth="1"/>
    <col min="8461" max="8461" width="9.42578125" style="74" bestFit="1" customWidth="1"/>
    <col min="8462" max="8462" width="12" style="74" bestFit="1" customWidth="1"/>
    <col min="8463" max="8464" width="12" style="74" customWidth="1"/>
    <col min="8465" max="8465" width="13.140625" style="74" bestFit="1" customWidth="1"/>
    <col min="8466" max="8467" width="13.140625" style="74" customWidth="1"/>
    <col min="8468" max="8469" width="14.42578125" style="74" bestFit="1" customWidth="1"/>
    <col min="8470" max="8471" width="9.140625" style="74" customWidth="1"/>
    <col min="8472" max="8472" width="9.5703125" style="74" customWidth="1"/>
    <col min="8473" max="8474" width="9.5703125" style="74" bestFit="1" customWidth="1"/>
    <col min="8475" max="8476" width="10.140625" style="74" bestFit="1" customWidth="1"/>
    <col min="8477" max="8477" width="9.5703125" style="74" bestFit="1" customWidth="1"/>
    <col min="8478" max="8478" width="9.5703125" style="74" customWidth="1"/>
    <col min="8479" max="8479" width="9" style="74" customWidth="1"/>
    <col min="8480" max="8480" width="10.5703125" style="74" bestFit="1" customWidth="1"/>
    <col min="8481" max="8481" width="11.42578125" style="74" bestFit="1" customWidth="1"/>
    <col min="8482" max="8482" width="18" style="74" bestFit="1" customWidth="1"/>
    <col min="8483" max="8700" width="9.140625" style="74"/>
    <col min="8701" max="8701" width="41" style="74" customWidth="1"/>
    <col min="8702" max="8702" width="19.5703125" style="74" bestFit="1" customWidth="1"/>
    <col min="8703" max="8703" width="10.140625" style="74" customWidth="1"/>
    <col min="8704" max="8704" width="10.42578125" style="74" bestFit="1" customWidth="1"/>
    <col min="8705" max="8705" width="11.28515625" style="74" customWidth="1"/>
    <col min="8706" max="8706" width="9.42578125" style="74" customWidth="1"/>
    <col min="8707" max="8707" width="10.140625" style="74" bestFit="1" customWidth="1"/>
    <col min="8708" max="8709" width="9.140625" style="74"/>
    <col min="8710" max="8710" width="7.28515625" style="74" customWidth="1"/>
    <col min="8711" max="8716" width="7.42578125" style="74" customWidth="1"/>
    <col min="8717" max="8717" width="9.42578125" style="74" bestFit="1" customWidth="1"/>
    <col min="8718" max="8718" width="12" style="74" bestFit="1" customWidth="1"/>
    <col min="8719" max="8720" width="12" style="74" customWidth="1"/>
    <col min="8721" max="8721" width="13.140625" style="74" bestFit="1" customWidth="1"/>
    <col min="8722" max="8723" width="13.140625" style="74" customWidth="1"/>
    <col min="8724" max="8725" width="14.42578125" style="74" bestFit="1" customWidth="1"/>
    <col min="8726" max="8727" width="9.140625" style="74" customWidth="1"/>
    <col min="8728" max="8728" width="9.5703125" style="74" customWidth="1"/>
    <col min="8729" max="8730" width="9.5703125" style="74" bestFit="1" customWidth="1"/>
    <col min="8731" max="8732" width="10.140625" style="74" bestFit="1" customWidth="1"/>
    <col min="8733" max="8733" width="9.5703125" style="74" bestFit="1" customWidth="1"/>
    <col min="8734" max="8734" width="9.5703125" style="74" customWidth="1"/>
    <col min="8735" max="8735" width="9" style="74" customWidth="1"/>
    <col min="8736" max="8736" width="10.5703125" style="74" bestFit="1" customWidth="1"/>
    <col min="8737" max="8737" width="11.42578125" style="74" bestFit="1" customWidth="1"/>
    <col min="8738" max="8738" width="18" style="74" bestFit="1" customWidth="1"/>
    <col min="8739" max="8956" width="9.140625" style="74"/>
    <col min="8957" max="8957" width="41" style="74" customWidth="1"/>
    <col min="8958" max="8958" width="19.5703125" style="74" bestFit="1" customWidth="1"/>
    <col min="8959" max="8959" width="10.140625" style="74" customWidth="1"/>
    <col min="8960" max="8960" width="10.42578125" style="74" bestFit="1" customWidth="1"/>
    <col min="8961" max="8961" width="11.28515625" style="74" customWidth="1"/>
    <col min="8962" max="8962" width="9.42578125" style="74" customWidth="1"/>
    <col min="8963" max="8963" width="10.140625" style="74" bestFit="1" customWidth="1"/>
    <col min="8964" max="8965" width="9.140625" style="74"/>
    <col min="8966" max="8966" width="7.28515625" style="74" customWidth="1"/>
    <col min="8967" max="8972" width="7.42578125" style="74" customWidth="1"/>
    <col min="8973" max="8973" width="9.42578125" style="74" bestFit="1" customWidth="1"/>
    <col min="8974" max="8974" width="12" style="74" bestFit="1" customWidth="1"/>
    <col min="8975" max="8976" width="12" style="74" customWidth="1"/>
    <col min="8977" max="8977" width="13.140625" style="74" bestFit="1" customWidth="1"/>
    <col min="8978" max="8979" width="13.140625" style="74" customWidth="1"/>
    <col min="8980" max="8981" width="14.42578125" style="74" bestFit="1" customWidth="1"/>
    <col min="8982" max="8983" width="9.140625" style="74" customWidth="1"/>
    <col min="8984" max="8984" width="9.5703125" style="74" customWidth="1"/>
    <col min="8985" max="8986" width="9.5703125" style="74" bestFit="1" customWidth="1"/>
    <col min="8987" max="8988" width="10.140625" style="74" bestFit="1" customWidth="1"/>
    <col min="8989" max="8989" width="9.5703125" style="74" bestFit="1" customWidth="1"/>
    <col min="8990" max="8990" width="9.5703125" style="74" customWidth="1"/>
    <col min="8991" max="8991" width="9" style="74" customWidth="1"/>
    <col min="8992" max="8992" width="10.5703125" style="74" bestFit="1" customWidth="1"/>
    <col min="8993" max="8993" width="11.42578125" style="74" bestFit="1" customWidth="1"/>
    <col min="8994" max="8994" width="18" style="74" bestFit="1" customWidth="1"/>
    <col min="8995" max="9212" width="9.140625" style="74"/>
    <col min="9213" max="9213" width="41" style="74" customWidth="1"/>
    <col min="9214" max="9214" width="19.5703125" style="74" bestFit="1" customWidth="1"/>
    <col min="9215" max="9215" width="10.140625" style="74" customWidth="1"/>
    <col min="9216" max="9216" width="10.42578125" style="74" bestFit="1" customWidth="1"/>
    <col min="9217" max="9217" width="11.28515625" style="74" customWidth="1"/>
    <col min="9218" max="9218" width="9.42578125" style="74" customWidth="1"/>
    <col min="9219" max="9219" width="10.140625" style="74" bestFit="1" customWidth="1"/>
    <col min="9220" max="9221" width="9.140625" style="74"/>
    <col min="9222" max="9222" width="7.28515625" style="74" customWidth="1"/>
    <col min="9223" max="9228" width="7.42578125" style="74" customWidth="1"/>
    <col min="9229" max="9229" width="9.42578125" style="74" bestFit="1" customWidth="1"/>
    <col min="9230" max="9230" width="12" style="74" bestFit="1" customWidth="1"/>
    <col min="9231" max="9232" width="12" style="74" customWidth="1"/>
    <col min="9233" max="9233" width="13.140625" style="74" bestFit="1" customWidth="1"/>
    <col min="9234" max="9235" width="13.140625" style="74" customWidth="1"/>
    <col min="9236" max="9237" width="14.42578125" style="74" bestFit="1" customWidth="1"/>
    <col min="9238" max="9239" width="9.140625" style="74" customWidth="1"/>
    <col min="9240" max="9240" width="9.5703125" style="74" customWidth="1"/>
    <col min="9241" max="9242" width="9.5703125" style="74" bestFit="1" customWidth="1"/>
    <col min="9243" max="9244" width="10.140625" style="74" bestFit="1" customWidth="1"/>
    <col min="9245" max="9245" width="9.5703125" style="74" bestFit="1" customWidth="1"/>
    <col min="9246" max="9246" width="9.5703125" style="74" customWidth="1"/>
    <col min="9247" max="9247" width="9" style="74" customWidth="1"/>
    <col min="9248" max="9248" width="10.5703125" style="74" bestFit="1" customWidth="1"/>
    <col min="9249" max="9249" width="11.42578125" style="74" bestFit="1" customWidth="1"/>
    <col min="9250" max="9250" width="18" style="74" bestFit="1" customWidth="1"/>
    <col min="9251" max="9468" width="9.140625" style="74"/>
    <col min="9469" max="9469" width="41" style="74" customWidth="1"/>
    <col min="9470" max="9470" width="19.5703125" style="74" bestFit="1" customWidth="1"/>
    <col min="9471" max="9471" width="10.140625" style="74" customWidth="1"/>
    <col min="9472" max="9472" width="10.42578125" style="74" bestFit="1" customWidth="1"/>
    <col min="9473" max="9473" width="11.28515625" style="74" customWidth="1"/>
    <col min="9474" max="9474" width="9.42578125" style="74" customWidth="1"/>
    <col min="9475" max="9475" width="10.140625" style="74" bestFit="1" customWidth="1"/>
    <col min="9476" max="9477" width="9.140625" style="74"/>
    <col min="9478" max="9478" width="7.28515625" style="74" customWidth="1"/>
    <col min="9479" max="9484" width="7.42578125" style="74" customWidth="1"/>
    <col min="9485" max="9485" width="9.42578125" style="74" bestFit="1" customWidth="1"/>
    <col min="9486" max="9486" width="12" style="74" bestFit="1" customWidth="1"/>
    <col min="9487" max="9488" width="12" style="74" customWidth="1"/>
    <col min="9489" max="9489" width="13.140625" style="74" bestFit="1" customWidth="1"/>
    <col min="9490" max="9491" width="13.140625" style="74" customWidth="1"/>
    <col min="9492" max="9493" width="14.42578125" style="74" bestFit="1" customWidth="1"/>
    <col min="9494" max="9495" width="9.140625" style="74" customWidth="1"/>
    <col min="9496" max="9496" width="9.5703125" style="74" customWidth="1"/>
    <col min="9497" max="9498" width="9.5703125" style="74" bestFit="1" customWidth="1"/>
    <col min="9499" max="9500" width="10.140625" style="74" bestFit="1" customWidth="1"/>
    <col min="9501" max="9501" width="9.5703125" style="74" bestFit="1" customWidth="1"/>
    <col min="9502" max="9502" width="9.5703125" style="74" customWidth="1"/>
    <col min="9503" max="9503" width="9" style="74" customWidth="1"/>
    <col min="9504" max="9504" width="10.5703125" style="74" bestFit="1" customWidth="1"/>
    <col min="9505" max="9505" width="11.42578125" style="74" bestFit="1" customWidth="1"/>
    <col min="9506" max="9506" width="18" style="74" bestFit="1" customWidth="1"/>
    <col min="9507" max="9724" width="9.140625" style="74"/>
    <col min="9725" max="9725" width="41" style="74" customWidth="1"/>
    <col min="9726" max="9726" width="19.5703125" style="74" bestFit="1" customWidth="1"/>
    <col min="9727" max="9727" width="10.140625" style="74" customWidth="1"/>
    <col min="9728" max="9728" width="10.42578125" style="74" bestFit="1" customWidth="1"/>
    <col min="9729" max="9729" width="11.28515625" style="74" customWidth="1"/>
    <col min="9730" max="9730" width="9.42578125" style="74" customWidth="1"/>
    <col min="9731" max="9731" width="10.140625" style="74" bestFit="1" customWidth="1"/>
    <col min="9732" max="9733" width="9.140625" style="74"/>
    <col min="9734" max="9734" width="7.28515625" style="74" customWidth="1"/>
    <col min="9735" max="9740" width="7.42578125" style="74" customWidth="1"/>
    <col min="9741" max="9741" width="9.42578125" style="74" bestFit="1" customWidth="1"/>
    <col min="9742" max="9742" width="12" style="74" bestFit="1" customWidth="1"/>
    <col min="9743" max="9744" width="12" style="74" customWidth="1"/>
    <col min="9745" max="9745" width="13.140625" style="74" bestFit="1" customWidth="1"/>
    <col min="9746" max="9747" width="13.140625" style="74" customWidth="1"/>
    <col min="9748" max="9749" width="14.42578125" style="74" bestFit="1" customWidth="1"/>
    <col min="9750" max="9751" width="9.140625" style="74" customWidth="1"/>
    <col min="9752" max="9752" width="9.5703125" style="74" customWidth="1"/>
    <col min="9753" max="9754" width="9.5703125" style="74" bestFit="1" customWidth="1"/>
    <col min="9755" max="9756" width="10.140625" style="74" bestFit="1" customWidth="1"/>
    <col min="9757" max="9757" width="9.5703125" style="74" bestFit="1" customWidth="1"/>
    <col min="9758" max="9758" width="9.5703125" style="74" customWidth="1"/>
    <col min="9759" max="9759" width="9" style="74" customWidth="1"/>
    <col min="9760" max="9760" width="10.5703125" style="74" bestFit="1" customWidth="1"/>
    <col min="9761" max="9761" width="11.42578125" style="74" bestFit="1" customWidth="1"/>
    <col min="9762" max="9762" width="18" style="74" bestFit="1" customWidth="1"/>
    <col min="9763" max="9980" width="9.140625" style="74"/>
    <col min="9981" max="9981" width="41" style="74" customWidth="1"/>
    <col min="9982" max="9982" width="19.5703125" style="74" bestFit="1" customWidth="1"/>
    <col min="9983" max="9983" width="10.140625" style="74" customWidth="1"/>
    <col min="9984" max="9984" width="10.42578125" style="74" bestFit="1" customWidth="1"/>
    <col min="9985" max="9985" width="11.28515625" style="74" customWidth="1"/>
    <col min="9986" max="9986" width="9.42578125" style="74" customWidth="1"/>
    <col min="9987" max="9987" width="10.140625" style="74" bestFit="1" customWidth="1"/>
    <col min="9988" max="9989" width="9.140625" style="74"/>
    <col min="9990" max="9990" width="7.28515625" style="74" customWidth="1"/>
    <col min="9991" max="9996" width="7.42578125" style="74" customWidth="1"/>
    <col min="9997" max="9997" width="9.42578125" style="74" bestFit="1" customWidth="1"/>
    <col min="9998" max="9998" width="12" style="74" bestFit="1" customWidth="1"/>
    <col min="9999" max="10000" width="12" style="74" customWidth="1"/>
    <col min="10001" max="10001" width="13.140625" style="74" bestFit="1" customWidth="1"/>
    <col min="10002" max="10003" width="13.140625" style="74" customWidth="1"/>
    <col min="10004" max="10005" width="14.42578125" style="74" bestFit="1" customWidth="1"/>
    <col min="10006" max="10007" width="9.140625" style="74" customWidth="1"/>
    <col min="10008" max="10008" width="9.5703125" style="74" customWidth="1"/>
    <col min="10009" max="10010" width="9.5703125" style="74" bestFit="1" customWidth="1"/>
    <col min="10011" max="10012" width="10.140625" style="74" bestFit="1" customWidth="1"/>
    <col min="10013" max="10013" width="9.5703125" style="74" bestFit="1" customWidth="1"/>
    <col min="10014" max="10014" width="9.5703125" style="74" customWidth="1"/>
    <col min="10015" max="10015" width="9" style="74" customWidth="1"/>
    <col min="10016" max="10016" width="10.5703125" style="74" bestFit="1" customWidth="1"/>
    <col min="10017" max="10017" width="11.42578125" style="74" bestFit="1" customWidth="1"/>
    <col min="10018" max="10018" width="18" style="74" bestFit="1" customWidth="1"/>
    <col min="10019" max="10236" width="9.140625" style="74"/>
    <col min="10237" max="10237" width="41" style="74" customWidth="1"/>
    <col min="10238" max="10238" width="19.5703125" style="74" bestFit="1" customWidth="1"/>
    <col min="10239" max="10239" width="10.140625" style="74" customWidth="1"/>
    <col min="10240" max="10240" width="10.42578125" style="74" bestFit="1" customWidth="1"/>
    <col min="10241" max="10241" width="11.28515625" style="74" customWidth="1"/>
    <col min="10242" max="10242" width="9.42578125" style="74" customWidth="1"/>
    <col min="10243" max="10243" width="10.140625" style="74" bestFit="1" customWidth="1"/>
    <col min="10244" max="10245" width="9.140625" style="74"/>
    <col min="10246" max="10246" width="7.28515625" style="74" customWidth="1"/>
    <col min="10247" max="10252" width="7.42578125" style="74" customWidth="1"/>
    <col min="10253" max="10253" width="9.42578125" style="74" bestFit="1" customWidth="1"/>
    <col min="10254" max="10254" width="12" style="74" bestFit="1" customWidth="1"/>
    <col min="10255" max="10256" width="12" style="74" customWidth="1"/>
    <col min="10257" max="10257" width="13.140625" style="74" bestFit="1" customWidth="1"/>
    <col min="10258" max="10259" width="13.140625" style="74" customWidth="1"/>
    <col min="10260" max="10261" width="14.42578125" style="74" bestFit="1" customWidth="1"/>
    <col min="10262" max="10263" width="9.140625" style="74" customWidth="1"/>
    <col min="10264" max="10264" width="9.5703125" style="74" customWidth="1"/>
    <col min="10265" max="10266" width="9.5703125" style="74" bestFit="1" customWidth="1"/>
    <col min="10267" max="10268" width="10.140625" style="74" bestFit="1" customWidth="1"/>
    <col min="10269" max="10269" width="9.5703125" style="74" bestFit="1" customWidth="1"/>
    <col min="10270" max="10270" width="9.5703125" style="74" customWidth="1"/>
    <col min="10271" max="10271" width="9" style="74" customWidth="1"/>
    <col min="10272" max="10272" width="10.5703125" style="74" bestFit="1" customWidth="1"/>
    <col min="10273" max="10273" width="11.42578125" style="74" bestFit="1" customWidth="1"/>
    <col min="10274" max="10274" width="18" style="74" bestFit="1" customWidth="1"/>
    <col min="10275" max="10492" width="9.140625" style="74"/>
    <col min="10493" max="10493" width="41" style="74" customWidth="1"/>
    <col min="10494" max="10494" width="19.5703125" style="74" bestFit="1" customWidth="1"/>
    <col min="10495" max="10495" width="10.140625" style="74" customWidth="1"/>
    <col min="10496" max="10496" width="10.42578125" style="74" bestFit="1" customWidth="1"/>
    <col min="10497" max="10497" width="11.28515625" style="74" customWidth="1"/>
    <col min="10498" max="10498" width="9.42578125" style="74" customWidth="1"/>
    <col min="10499" max="10499" width="10.140625" style="74" bestFit="1" customWidth="1"/>
    <col min="10500" max="10501" width="9.140625" style="74"/>
    <col min="10502" max="10502" width="7.28515625" style="74" customWidth="1"/>
    <col min="10503" max="10508" width="7.42578125" style="74" customWidth="1"/>
    <col min="10509" max="10509" width="9.42578125" style="74" bestFit="1" customWidth="1"/>
    <col min="10510" max="10510" width="12" style="74" bestFit="1" customWidth="1"/>
    <col min="10511" max="10512" width="12" style="74" customWidth="1"/>
    <col min="10513" max="10513" width="13.140625" style="74" bestFit="1" customWidth="1"/>
    <col min="10514" max="10515" width="13.140625" style="74" customWidth="1"/>
    <col min="10516" max="10517" width="14.42578125" style="74" bestFit="1" customWidth="1"/>
    <col min="10518" max="10519" width="9.140625" style="74" customWidth="1"/>
    <col min="10520" max="10520" width="9.5703125" style="74" customWidth="1"/>
    <col min="10521" max="10522" width="9.5703125" style="74" bestFit="1" customWidth="1"/>
    <col min="10523" max="10524" width="10.140625" style="74" bestFit="1" customWidth="1"/>
    <col min="10525" max="10525" width="9.5703125" style="74" bestFit="1" customWidth="1"/>
    <col min="10526" max="10526" width="9.5703125" style="74" customWidth="1"/>
    <col min="10527" max="10527" width="9" style="74" customWidth="1"/>
    <col min="10528" max="10528" width="10.5703125" style="74" bestFit="1" customWidth="1"/>
    <col min="10529" max="10529" width="11.42578125" style="74" bestFit="1" customWidth="1"/>
    <col min="10530" max="10530" width="18" style="74" bestFit="1" customWidth="1"/>
    <col min="10531" max="10748" width="9.140625" style="74"/>
    <col min="10749" max="10749" width="41" style="74" customWidth="1"/>
    <col min="10750" max="10750" width="19.5703125" style="74" bestFit="1" customWidth="1"/>
    <col min="10751" max="10751" width="10.140625" style="74" customWidth="1"/>
    <col min="10752" max="10752" width="10.42578125" style="74" bestFit="1" customWidth="1"/>
    <col min="10753" max="10753" width="11.28515625" style="74" customWidth="1"/>
    <col min="10754" max="10754" width="9.42578125" style="74" customWidth="1"/>
    <col min="10755" max="10755" width="10.140625" style="74" bestFit="1" customWidth="1"/>
    <col min="10756" max="10757" width="9.140625" style="74"/>
    <col min="10758" max="10758" width="7.28515625" style="74" customWidth="1"/>
    <col min="10759" max="10764" width="7.42578125" style="74" customWidth="1"/>
    <col min="10765" max="10765" width="9.42578125" style="74" bestFit="1" customWidth="1"/>
    <col min="10766" max="10766" width="12" style="74" bestFit="1" customWidth="1"/>
    <col min="10767" max="10768" width="12" style="74" customWidth="1"/>
    <col min="10769" max="10769" width="13.140625" style="74" bestFit="1" customWidth="1"/>
    <col min="10770" max="10771" width="13.140625" style="74" customWidth="1"/>
    <col min="10772" max="10773" width="14.42578125" style="74" bestFit="1" customWidth="1"/>
    <col min="10774" max="10775" width="9.140625" style="74" customWidth="1"/>
    <col min="10776" max="10776" width="9.5703125" style="74" customWidth="1"/>
    <col min="10777" max="10778" width="9.5703125" style="74" bestFit="1" customWidth="1"/>
    <col min="10779" max="10780" width="10.140625" style="74" bestFit="1" customWidth="1"/>
    <col min="10781" max="10781" width="9.5703125" style="74" bestFit="1" customWidth="1"/>
    <col min="10782" max="10782" width="9.5703125" style="74" customWidth="1"/>
    <col min="10783" max="10783" width="9" style="74" customWidth="1"/>
    <col min="10784" max="10784" width="10.5703125" style="74" bestFit="1" customWidth="1"/>
    <col min="10785" max="10785" width="11.42578125" style="74" bestFit="1" customWidth="1"/>
    <col min="10786" max="10786" width="18" style="74" bestFit="1" customWidth="1"/>
    <col min="10787" max="11004" width="9.140625" style="74"/>
    <col min="11005" max="11005" width="41" style="74" customWidth="1"/>
    <col min="11006" max="11006" width="19.5703125" style="74" bestFit="1" customWidth="1"/>
    <col min="11007" max="11007" width="10.140625" style="74" customWidth="1"/>
    <col min="11008" max="11008" width="10.42578125" style="74" bestFit="1" customWidth="1"/>
    <col min="11009" max="11009" width="11.28515625" style="74" customWidth="1"/>
    <col min="11010" max="11010" width="9.42578125" style="74" customWidth="1"/>
    <col min="11011" max="11011" width="10.140625" style="74" bestFit="1" customWidth="1"/>
    <col min="11012" max="11013" width="9.140625" style="74"/>
    <col min="11014" max="11014" width="7.28515625" style="74" customWidth="1"/>
    <col min="11015" max="11020" width="7.42578125" style="74" customWidth="1"/>
    <col min="11021" max="11021" width="9.42578125" style="74" bestFit="1" customWidth="1"/>
    <col min="11022" max="11022" width="12" style="74" bestFit="1" customWidth="1"/>
    <col min="11023" max="11024" width="12" style="74" customWidth="1"/>
    <col min="11025" max="11025" width="13.140625" style="74" bestFit="1" customWidth="1"/>
    <col min="11026" max="11027" width="13.140625" style="74" customWidth="1"/>
    <col min="11028" max="11029" width="14.42578125" style="74" bestFit="1" customWidth="1"/>
    <col min="11030" max="11031" width="9.140625" style="74" customWidth="1"/>
    <col min="11032" max="11032" width="9.5703125" style="74" customWidth="1"/>
    <col min="11033" max="11034" width="9.5703125" style="74" bestFit="1" customWidth="1"/>
    <col min="11035" max="11036" width="10.140625" style="74" bestFit="1" customWidth="1"/>
    <col min="11037" max="11037" width="9.5703125" style="74" bestFit="1" customWidth="1"/>
    <col min="11038" max="11038" width="9.5703125" style="74" customWidth="1"/>
    <col min="11039" max="11039" width="9" style="74" customWidth="1"/>
    <col min="11040" max="11040" width="10.5703125" style="74" bestFit="1" customWidth="1"/>
    <col min="11041" max="11041" width="11.42578125" style="74" bestFit="1" customWidth="1"/>
    <col min="11042" max="11042" width="18" style="74" bestFit="1" customWidth="1"/>
    <col min="11043" max="11260" width="9.140625" style="74"/>
    <col min="11261" max="11261" width="41" style="74" customWidth="1"/>
    <col min="11262" max="11262" width="19.5703125" style="74" bestFit="1" customWidth="1"/>
    <col min="11263" max="11263" width="10.140625" style="74" customWidth="1"/>
    <col min="11264" max="11264" width="10.42578125" style="74" bestFit="1" customWidth="1"/>
    <col min="11265" max="11265" width="11.28515625" style="74" customWidth="1"/>
    <col min="11266" max="11266" width="9.42578125" style="74" customWidth="1"/>
    <col min="11267" max="11267" width="10.140625" style="74" bestFit="1" customWidth="1"/>
    <col min="11268" max="11269" width="9.140625" style="74"/>
    <col min="11270" max="11270" width="7.28515625" style="74" customWidth="1"/>
    <col min="11271" max="11276" width="7.42578125" style="74" customWidth="1"/>
    <col min="11277" max="11277" width="9.42578125" style="74" bestFit="1" customWidth="1"/>
    <col min="11278" max="11278" width="12" style="74" bestFit="1" customWidth="1"/>
    <col min="11279" max="11280" width="12" style="74" customWidth="1"/>
    <col min="11281" max="11281" width="13.140625" style="74" bestFit="1" customWidth="1"/>
    <col min="11282" max="11283" width="13.140625" style="74" customWidth="1"/>
    <col min="11284" max="11285" width="14.42578125" style="74" bestFit="1" customWidth="1"/>
    <col min="11286" max="11287" width="9.140625" style="74" customWidth="1"/>
    <col min="11288" max="11288" width="9.5703125" style="74" customWidth="1"/>
    <col min="11289" max="11290" width="9.5703125" style="74" bestFit="1" customWidth="1"/>
    <col min="11291" max="11292" width="10.140625" style="74" bestFit="1" customWidth="1"/>
    <col min="11293" max="11293" width="9.5703125" style="74" bestFit="1" customWidth="1"/>
    <col min="11294" max="11294" width="9.5703125" style="74" customWidth="1"/>
    <col min="11295" max="11295" width="9" style="74" customWidth="1"/>
    <col min="11296" max="11296" width="10.5703125" style="74" bestFit="1" customWidth="1"/>
    <col min="11297" max="11297" width="11.42578125" style="74" bestFit="1" customWidth="1"/>
    <col min="11298" max="11298" width="18" style="74" bestFit="1" customWidth="1"/>
    <col min="11299" max="11516" width="9.140625" style="74"/>
    <col min="11517" max="11517" width="41" style="74" customWidth="1"/>
    <col min="11518" max="11518" width="19.5703125" style="74" bestFit="1" customWidth="1"/>
    <col min="11519" max="11519" width="10.140625" style="74" customWidth="1"/>
    <col min="11520" max="11520" width="10.42578125" style="74" bestFit="1" customWidth="1"/>
    <col min="11521" max="11521" width="11.28515625" style="74" customWidth="1"/>
    <col min="11522" max="11522" width="9.42578125" style="74" customWidth="1"/>
    <col min="11523" max="11523" width="10.140625" style="74" bestFit="1" customWidth="1"/>
    <col min="11524" max="11525" width="9.140625" style="74"/>
    <col min="11526" max="11526" width="7.28515625" style="74" customWidth="1"/>
    <col min="11527" max="11532" width="7.42578125" style="74" customWidth="1"/>
    <col min="11533" max="11533" width="9.42578125" style="74" bestFit="1" customWidth="1"/>
    <col min="11534" max="11534" width="12" style="74" bestFit="1" customWidth="1"/>
    <col min="11535" max="11536" width="12" style="74" customWidth="1"/>
    <col min="11537" max="11537" width="13.140625" style="74" bestFit="1" customWidth="1"/>
    <col min="11538" max="11539" width="13.140625" style="74" customWidth="1"/>
    <col min="11540" max="11541" width="14.42578125" style="74" bestFit="1" customWidth="1"/>
    <col min="11542" max="11543" width="9.140625" style="74" customWidth="1"/>
    <col min="11544" max="11544" width="9.5703125" style="74" customWidth="1"/>
    <col min="11545" max="11546" width="9.5703125" style="74" bestFit="1" customWidth="1"/>
    <col min="11547" max="11548" width="10.140625" style="74" bestFit="1" customWidth="1"/>
    <col min="11549" max="11549" width="9.5703125" style="74" bestFit="1" customWidth="1"/>
    <col min="11550" max="11550" width="9.5703125" style="74" customWidth="1"/>
    <col min="11551" max="11551" width="9" style="74" customWidth="1"/>
    <col min="11552" max="11552" width="10.5703125" style="74" bestFit="1" customWidth="1"/>
    <col min="11553" max="11553" width="11.42578125" style="74" bestFit="1" customWidth="1"/>
    <col min="11554" max="11554" width="18" style="74" bestFit="1" customWidth="1"/>
    <col min="11555" max="11772" width="9.140625" style="74"/>
    <col min="11773" max="11773" width="41" style="74" customWidth="1"/>
    <col min="11774" max="11774" width="19.5703125" style="74" bestFit="1" customWidth="1"/>
    <col min="11775" max="11775" width="10.140625" style="74" customWidth="1"/>
    <col min="11776" max="11776" width="10.42578125" style="74" bestFit="1" customWidth="1"/>
    <col min="11777" max="11777" width="11.28515625" style="74" customWidth="1"/>
    <col min="11778" max="11778" width="9.42578125" style="74" customWidth="1"/>
    <col min="11779" max="11779" width="10.140625" style="74" bestFit="1" customWidth="1"/>
    <col min="11780" max="11781" width="9.140625" style="74"/>
    <col min="11782" max="11782" width="7.28515625" style="74" customWidth="1"/>
    <col min="11783" max="11788" width="7.42578125" style="74" customWidth="1"/>
    <col min="11789" max="11789" width="9.42578125" style="74" bestFit="1" customWidth="1"/>
    <col min="11790" max="11790" width="12" style="74" bestFit="1" customWidth="1"/>
    <col min="11791" max="11792" width="12" style="74" customWidth="1"/>
    <col min="11793" max="11793" width="13.140625" style="74" bestFit="1" customWidth="1"/>
    <col min="11794" max="11795" width="13.140625" style="74" customWidth="1"/>
    <col min="11796" max="11797" width="14.42578125" style="74" bestFit="1" customWidth="1"/>
    <col min="11798" max="11799" width="9.140625" style="74" customWidth="1"/>
    <col min="11800" max="11800" width="9.5703125" style="74" customWidth="1"/>
    <col min="11801" max="11802" width="9.5703125" style="74" bestFit="1" customWidth="1"/>
    <col min="11803" max="11804" width="10.140625" style="74" bestFit="1" customWidth="1"/>
    <col min="11805" max="11805" width="9.5703125" style="74" bestFit="1" customWidth="1"/>
    <col min="11806" max="11806" width="9.5703125" style="74" customWidth="1"/>
    <col min="11807" max="11807" width="9" style="74" customWidth="1"/>
    <col min="11808" max="11808" width="10.5703125" style="74" bestFit="1" customWidth="1"/>
    <col min="11809" max="11809" width="11.42578125" style="74" bestFit="1" customWidth="1"/>
    <col min="11810" max="11810" width="18" style="74" bestFit="1" customWidth="1"/>
    <col min="11811" max="12028" width="9.140625" style="74"/>
    <col min="12029" max="12029" width="41" style="74" customWidth="1"/>
    <col min="12030" max="12030" width="19.5703125" style="74" bestFit="1" customWidth="1"/>
    <col min="12031" max="12031" width="10.140625" style="74" customWidth="1"/>
    <col min="12032" max="12032" width="10.42578125" style="74" bestFit="1" customWidth="1"/>
    <col min="12033" max="12033" width="11.28515625" style="74" customWidth="1"/>
    <col min="12034" max="12034" width="9.42578125" style="74" customWidth="1"/>
    <col min="12035" max="12035" width="10.140625" style="74" bestFit="1" customWidth="1"/>
    <col min="12036" max="12037" width="9.140625" style="74"/>
    <col min="12038" max="12038" width="7.28515625" style="74" customWidth="1"/>
    <col min="12039" max="12044" width="7.42578125" style="74" customWidth="1"/>
    <col min="12045" max="12045" width="9.42578125" style="74" bestFit="1" customWidth="1"/>
    <col min="12046" max="12046" width="12" style="74" bestFit="1" customWidth="1"/>
    <col min="12047" max="12048" width="12" style="74" customWidth="1"/>
    <col min="12049" max="12049" width="13.140625" style="74" bestFit="1" customWidth="1"/>
    <col min="12050" max="12051" width="13.140625" style="74" customWidth="1"/>
    <col min="12052" max="12053" width="14.42578125" style="74" bestFit="1" customWidth="1"/>
    <col min="12054" max="12055" width="9.140625" style="74" customWidth="1"/>
    <col min="12056" max="12056" width="9.5703125" style="74" customWidth="1"/>
    <col min="12057" max="12058" width="9.5703125" style="74" bestFit="1" customWidth="1"/>
    <col min="12059" max="12060" width="10.140625" style="74" bestFit="1" customWidth="1"/>
    <col min="12061" max="12061" width="9.5703125" style="74" bestFit="1" customWidth="1"/>
    <col min="12062" max="12062" width="9.5703125" style="74" customWidth="1"/>
    <col min="12063" max="12063" width="9" style="74" customWidth="1"/>
    <col min="12064" max="12064" width="10.5703125" style="74" bestFit="1" customWidth="1"/>
    <col min="12065" max="12065" width="11.42578125" style="74" bestFit="1" customWidth="1"/>
    <col min="12066" max="12066" width="18" style="74" bestFit="1" customWidth="1"/>
    <col min="12067" max="12284" width="9.140625" style="74"/>
    <col min="12285" max="12285" width="41" style="74" customWidth="1"/>
    <col min="12286" max="12286" width="19.5703125" style="74" bestFit="1" customWidth="1"/>
    <col min="12287" max="12287" width="10.140625" style="74" customWidth="1"/>
    <col min="12288" max="12288" width="10.42578125" style="74" bestFit="1" customWidth="1"/>
    <col min="12289" max="12289" width="11.28515625" style="74" customWidth="1"/>
    <col min="12290" max="12290" width="9.42578125" style="74" customWidth="1"/>
    <col min="12291" max="12291" width="10.140625" style="74" bestFit="1" customWidth="1"/>
    <col min="12292" max="12293" width="9.140625" style="74"/>
    <col min="12294" max="12294" width="7.28515625" style="74" customWidth="1"/>
    <col min="12295" max="12300" width="7.42578125" style="74" customWidth="1"/>
    <col min="12301" max="12301" width="9.42578125" style="74" bestFit="1" customWidth="1"/>
    <col min="12302" max="12302" width="12" style="74" bestFit="1" customWidth="1"/>
    <col min="12303" max="12304" width="12" style="74" customWidth="1"/>
    <col min="12305" max="12305" width="13.140625" style="74" bestFit="1" customWidth="1"/>
    <col min="12306" max="12307" width="13.140625" style="74" customWidth="1"/>
    <col min="12308" max="12309" width="14.42578125" style="74" bestFit="1" customWidth="1"/>
    <col min="12310" max="12311" width="9.140625" style="74" customWidth="1"/>
    <col min="12312" max="12312" width="9.5703125" style="74" customWidth="1"/>
    <col min="12313" max="12314" width="9.5703125" style="74" bestFit="1" customWidth="1"/>
    <col min="12315" max="12316" width="10.140625" style="74" bestFit="1" customWidth="1"/>
    <col min="12317" max="12317" width="9.5703125" style="74" bestFit="1" customWidth="1"/>
    <col min="12318" max="12318" width="9.5703125" style="74" customWidth="1"/>
    <col min="12319" max="12319" width="9" style="74" customWidth="1"/>
    <col min="12320" max="12320" width="10.5703125" style="74" bestFit="1" customWidth="1"/>
    <col min="12321" max="12321" width="11.42578125" style="74" bestFit="1" customWidth="1"/>
    <col min="12322" max="12322" width="18" style="74" bestFit="1" customWidth="1"/>
    <col min="12323" max="12540" width="9.140625" style="74"/>
    <col min="12541" max="12541" width="41" style="74" customWidth="1"/>
    <col min="12542" max="12542" width="19.5703125" style="74" bestFit="1" customWidth="1"/>
    <col min="12543" max="12543" width="10.140625" style="74" customWidth="1"/>
    <col min="12544" max="12544" width="10.42578125" style="74" bestFit="1" customWidth="1"/>
    <col min="12545" max="12545" width="11.28515625" style="74" customWidth="1"/>
    <col min="12546" max="12546" width="9.42578125" style="74" customWidth="1"/>
    <col min="12547" max="12547" width="10.140625" style="74" bestFit="1" customWidth="1"/>
    <col min="12548" max="12549" width="9.140625" style="74"/>
    <col min="12550" max="12550" width="7.28515625" style="74" customWidth="1"/>
    <col min="12551" max="12556" width="7.42578125" style="74" customWidth="1"/>
    <col min="12557" max="12557" width="9.42578125" style="74" bestFit="1" customWidth="1"/>
    <col min="12558" max="12558" width="12" style="74" bestFit="1" customWidth="1"/>
    <col min="12559" max="12560" width="12" style="74" customWidth="1"/>
    <col min="12561" max="12561" width="13.140625" style="74" bestFit="1" customWidth="1"/>
    <col min="12562" max="12563" width="13.140625" style="74" customWidth="1"/>
    <col min="12564" max="12565" width="14.42578125" style="74" bestFit="1" customWidth="1"/>
    <col min="12566" max="12567" width="9.140625" style="74" customWidth="1"/>
    <col min="12568" max="12568" width="9.5703125" style="74" customWidth="1"/>
    <col min="12569" max="12570" width="9.5703125" style="74" bestFit="1" customWidth="1"/>
    <col min="12571" max="12572" width="10.140625" style="74" bestFit="1" customWidth="1"/>
    <col min="12573" max="12573" width="9.5703125" style="74" bestFit="1" customWidth="1"/>
    <col min="12574" max="12574" width="9.5703125" style="74" customWidth="1"/>
    <col min="12575" max="12575" width="9" style="74" customWidth="1"/>
    <col min="12576" max="12576" width="10.5703125" style="74" bestFit="1" customWidth="1"/>
    <col min="12577" max="12577" width="11.42578125" style="74" bestFit="1" customWidth="1"/>
    <col min="12578" max="12578" width="18" style="74" bestFit="1" customWidth="1"/>
    <col min="12579" max="12796" width="9.140625" style="74"/>
    <col min="12797" max="12797" width="41" style="74" customWidth="1"/>
    <col min="12798" max="12798" width="19.5703125" style="74" bestFit="1" customWidth="1"/>
    <col min="12799" max="12799" width="10.140625" style="74" customWidth="1"/>
    <col min="12800" max="12800" width="10.42578125" style="74" bestFit="1" customWidth="1"/>
    <col min="12801" max="12801" width="11.28515625" style="74" customWidth="1"/>
    <col min="12802" max="12802" width="9.42578125" style="74" customWidth="1"/>
    <col min="12803" max="12803" width="10.140625" style="74" bestFit="1" customWidth="1"/>
    <col min="12804" max="12805" width="9.140625" style="74"/>
    <col min="12806" max="12806" width="7.28515625" style="74" customWidth="1"/>
    <col min="12807" max="12812" width="7.42578125" style="74" customWidth="1"/>
    <col min="12813" max="12813" width="9.42578125" style="74" bestFit="1" customWidth="1"/>
    <col min="12814" max="12814" width="12" style="74" bestFit="1" customWidth="1"/>
    <col min="12815" max="12816" width="12" style="74" customWidth="1"/>
    <col min="12817" max="12817" width="13.140625" style="74" bestFit="1" customWidth="1"/>
    <col min="12818" max="12819" width="13.140625" style="74" customWidth="1"/>
    <col min="12820" max="12821" width="14.42578125" style="74" bestFit="1" customWidth="1"/>
    <col min="12822" max="12823" width="9.140625" style="74" customWidth="1"/>
    <col min="12824" max="12824" width="9.5703125" style="74" customWidth="1"/>
    <col min="12825" max="12826" width="9.5703125" style="74" bestFit="1" customWidth="1"/>
    <col min="12827" max="12828" width="10.140625" style="74" bestFit="1" customWidth="1"/>
    <col min="12829" max="12829" width="9.5703125" style="74" bestFit="1" customWidth="1"/>
    <col min="12830" max="12830" width="9.5703125" style="74" customWidth="1"/>
    <col min="12831" max="12831" width="9" style="74" customWidth="1"/>
    <col min="12832" max="12832" width="10.5703125" style="74" bestFit="1" customWidth="1"/>
    <col min="12833" max="12833" width="11.42578125" style="74" bestFit="1" customWidth="1"/>
    <col min="12834" max="12834" width="18" style="74" bestFit="1" customWidth="1"/>
    <col min="12835" max="13052" width="9.140625" style="74"/>
    <col min="13053" max="13053" width="41" style="74" customWidth="1"/>
    <col min="13054" max="13054" width="19.5703125" style="74" bestFit="1" customWidth="1"/>
    <col min="13055" max="13055" width="10.140625" style="74" customWidth="1"/>
    <col min="13056" max="13056" width="10.42578125" style="74" bestFit="1" customWidth="1"/>
    <col min="13057" max="13057" width="11.28515625" style="74" customWidth="1"/>
    <col min="13058" max="13058" width="9.42578125" style="74" customWidth="1"/>
    <col min="13059" max="13059" width="10.140625" style="74" bestFit="1" customWidth="1"/>
    <col min="13060" max="13061" width="9.140625" style="74"/>
    <col min="13062" max="13062" width="7.28515625" style="74" customWidth="1"/>
    <col min="13063" max="13068" width="7.42578125" style="74" customWidth="1"/>
    <col min="13069" max="13069" width="9.42578125" style="74" bestFit="1" customWidth="1"/>
    <col min="13070" max="13070" width="12" style="74" bestFit="1" customWidth="1"/>
    <col min="13071" max="13072" width="12" style="74" customWidth="1"/>
    <col min="13073" max="13073" width="13.140625" style="74" bestFit="1" customWidth="1"/>
    <col min="13074" max="13075" width="13.140625" style="74" customWidth="1"/>
    <col min="13076" max="13077" width="14.42578125" style="74" bestFit="1" customWidth="1"/>
    <col min="13078" max="13079" width="9.140625" style="74" customWidth="1"/>
    <col min="13080" max="13080" width="9.5703125" style="74" customWidth="1"/>
    <col min="13081" max="13082" width="9.5703125" style="74" bestFit="1" customWidth="1"/>
    <col min="13083" max="13084" width="10.140625" style="74" bestFit="1" customWidth="1"/>
    <col min="13085" max="13085" width="9.5703125" style="74" bestFit="1" customWidth="1"/>
    <col min="13086" max="13086" width="9.5703125" style="74" customWidth="1"/>
    <col min="13087" max="13087" width="9" style="74" customWidth="1"/>
    <col min="13088" max="13088" width="10.5703125" style="74" bestFit="1" customWidth="1"/>
    <col min="13089" max="13089" width="11.42578125" style="74" bestFit="1" customWidth="1"/>
    <col min="13090" max="13090" width="18" style="74" bestFit="1" customWidth="1"/>
    <col min="13091" max="13308" width="9.140625" style="74"/>
    <col min="13309" max="13309" width="41" style="74" customWidth="1"/>
    <col min="13310" max="13310" width="19.5703125" style="74" bestFit="1" customWidth="1"/>
    <col min="13311" max="13311" width="10.140625" style="74" customWidth="1"/>
    <col min="13312" max="13312" width="10.42578125" style="74" bestFit="1" customWidth="1"/>
    <col min="13313" max="13313" width="11.28515625" style="74" customWidth="1"/>
    <col min="13314" max="13314" width="9.42578125" style="74" customWidth="1"/>
    <col min="13315" max="13315" width="10.140625" style="74" bestFit="1" customWidth="1"/>
    <col min="13316" max="13317" width="9.140625" style="74"/>
    <col min="13318" max="13318" width="7.28515625" style="74" customWidth="1"/>
    <col min="13319" max="13324" width="7.42578125" style="74" customWidth="1"/>
    <col min="13325" max="13325" width="9.42578125" style="74" bestFit="1" customWidth="1"/>
    <col min="13326" max="13326" width="12" style="74" bestFit="1" customWidth="1"/>
    <col min="13327" max="13328" width="12" style="74" customWidth="1"/>
    <col min="13329" max="13329" width="13.140625" style="74" bestFit="1" customWidth="1"/>
    <col min="13330" max="13331" width="13.140625" style="74" customWidth="1"/>
    <col min="13332" max="13333" width="14.42578125" style="74" bestFit="1" customWidth="1"/>
    <col min="13334" max="13335" width="9.140625" style="74" customWidth="1"/>
    <col min="13336" max="13336" width="9.5703125" style="74" customWidth="1"/>
    <col min="13337" max="13338" width="9.5703125" style="74" bestFit="1" customWidth="1"/>
    <col min="13339" max="13340" width="10.140625" style="74" bestFit="1" customWidth="1"/>
    <col min="13341" max="13341" width="9.5703125" style="74" bestFit="1" customWidth="1"/>
    <col min="13342" max="13342" width="9.5703125" style="74" customWidth="1"/>
    <col min="13343" max="13343" width="9" style="74" customWidth="1"/>
    <col min="13344" max="13344" width="10.5703125" style="74" bestFit="1" customWidth="1"/>
    <col min="13345" max="13345" width="11.42578125" style="74" bestFit="1" customWidth="1"/>
    <col min="13346" max="13346" width="18" style="74" bestFit="1" customWidth="1"/>
    <col min="13347" max="13564" width="9.140625" style="74"/>
    <col min="13565" max="13565" width="41" style="74" customWidth="1"/>
    <col min="13566" max="13566" width="19.5703125" style="74" bestFit="1" customWidth="1"/>
    <col min="13567" max="13567" width="10.140625" style="74" customWidth="1"/>
    <col min="13568" max="13568" width="10.42578125" style="74" bestFit="1" customWidth="1"/>
    <col min="13569" max="13569" width="11.28515625" style="74" customWidth="1"/>
    <col min="13570" max="13570" width="9.42578125" style="74" customWidth="1"/>
    <col min="13571" max="13571" width="10.140625" style="74" bestFit="1" customWidth="1"/>
    <col min="13572" max="13573" width="9.140625" style="74"/>
    <col min="13574" max="13574" width="7.28515625" style="74" customWidth="1"/>
    <col min="13575" max="13580" width="7.42578125" style="74" customWidth="1"/>
    <col min="13581" max="13581" width="9.42578125" style="74" bestFit="1" customWidth="1"/>
    <col min="13582" max="13582" width="12" style="74" bestFit="1" customWidth="1"/>
    <col min="13583" max="13584" width="12" style="74" customWidth="1"/>
    <col min="13585" max="13585" width="13.140625" style="74" bestFit="1" customWidth="1"/>
    <col min="13586" max="13587" width="13.140625" style="74" customWidth="1"/>
    <col min="13588" max="13589" width="14.42578125" style="74" bestFit="1" customWidth="1"/>
    <col min="13590" max="13591" width="9.140625" style="74" customWidth="1"/>
    <col min="13592" max="13592" width="9.5703125" style="74" customWidth="1"/>
    <col min="13593" max="13594" width="9.5703125" style="74" bestFit="1" customWidth="1"/>
    <col min="13595" max="13596" width="10.140625" style="74" bestFit="1" customWidth="1"/>
    <col min="13597" max="13597" width="9.5703125" style="74" bestFit="1" customWidth="1"/>
    <col min="13598" max="13598" width="9.5703125" style="74" customWidth="1"/>
    <col min="13599" max="13599" width="9" style="74" customWidth="1"/>
    <col min="13600" max="13600" width="10.5703125" style="74" bestFit="1" customWidth="1"/>
    <col min="13601" max="13601" width="11.42578125" style="74" bestFit="1" customWidth="1"/>
    <col min="13602" max="13602" width="18" style="74" bestFit="1" customWidth="1"/>
    <col min="13603" max="13820" width="9.140625" style="74"/>
    <col min="13821" max="13821" width="41" style="74" customWidth="1"/>
    <col min="13822" max="13822" width="19.5703125" style="74" bestFit="1" customWidth="1"/>
    <col min="13823" max="13823" width="10.140625" style="74" customWidth="1"/>
    <col min="13824" max="13824" width="10.42578125" style="74" bestFit="1" customWidth="1"/>
    <col min="13825" max="13825" width="11.28515625" style="74" customWidth="1"/>
    <col min="13826" max="13826" width="9.42578125" style="74" customWidth="1"/>
    <col min="13827" max="13827" width="10.140625" style="74" bestFit="1" customWidth="1"/>
    <col min="13828" max="13829" width="9.140625" style="74"/>
    <col min="13830" max="13830" width="7.28515625" style="74" customWidth="1"/>
    <col min="13831" max="13836" width="7.42578125" style="74" customWidth="1"/>
    <col min="13837" max="13837" width="9.42578125" style="74" bestFit="1" customWidth="1"/>
    <col min="13838" max="13838" width="12" style="74" bestFit="1" customWidth="1"/>
    <col min="13839" max="13840" width="12" style="74" customWidth="1"/>
    <col min="13841" max="13841" width="13.140625" style="74" bestFit="1" customWidth="1"/>
    <col min="13842" max="13843" width="13.140625" style="74" customWidth="1"/>
    <col min="13844" max="13845" width="14.42578125" style="74" bestFit="1" customWidth="1"/>
    <col min="13846" max="13847" width="9.140625" style="74" customWidth="1"/>
    <col min="13848" max="13848" width="9.5703125" style="74" customWidth="1"/>
    <col min="13849" max="13850" width="9.5703125" style="74" bestFit="1" customWidth="1"/>
    <col min="13851" max="13852" width="10.140625" style="74" bestFit="1" customWidth="1"/>
    <col min="13853" max="13853" width="9.5703125" style="74" bestFit="1" customWidth="1"/>
    <col min="13854" max="13854" width="9.5703125" style="74" customWidth="1"/>
    <col min="13855" max="13855" width="9" style="74" customWidth="1"/>
    <col min="13856" max="13856" width="10.5703125" style="74" bestFit="1" customWidth="1"/>
    <col min="13857" max="13857" width="11.42578125" style="74" bestFit="1" customWidth="1"/>
    <col min="13858" max="13858" width="18" style="74" bestFit="1" customWidth="1"/>
    <col min="13859" max="14076" width="9.140625" style="74"/>
    <col min="14077" max="14077" width="41" style="74" customWidth="1"/>
    <col min="14078" max="14078" width="19.5703125" style="74" bestFit="1" customWidth="1"/>
    <col min="14079" max="14079" width="10.140625" style="74" customWidth="1"/>
    <col min="14080" max="14080" width="10.42578125" style="74" bestFit="1" customWidth="1"/>
    <col min="14081" max="14081" width="11.28515625" style="74" customWidth="1"/>
    <col min="14082" max="14082" width="9.42578125" style="74" customWidth="1"/>
    <col min="14083" max="14083" width="10.140625" style="74" bestFit="1" customWidth="1"/>
    <col min="14084" max="14085" width="9.140625" style="74"/>
    <col min="14086" max="14086" width="7.28515625" style="74" customWidth="1"/>
    <col min="14087" max="14092" width="7.42578125" style="74" customWidth="1"/>
    <col min="14093" max="14093" width="9.42578125" style="74" bestFit="1" customWidth="1"/>
    <col min="14094" max="14094" width="12" style="74" bestFit="1" customWidth="1"/>
    <col min="14095" max="14096" width="12" style="74" customWidth="1"/>
    <col min="14097" max="14097" width="13.140625" style="74" bestFit="1" customWidth="1"/>
    <col min="14098" max="14099" width="13.140625" style="74" customWidth="1"/>
    <col min="14100" max="14101" width="14.42578125" style="74" bestFit="1" customWidth="1"/>
    <col min="14102" max="14103" width="9.140625" style="74" customWidth="1"/>
    <col min="14104" max="14104" width="9.5703125" style="74" customWidth="1"/>
    <col min="14105" max="14106" width="9.5703125" style="74" bestFit="1" customWidth="1"/>
    <col min="14107" max="14108" width="10.140625" style="74" bestFit="1" customWidth="1"/>
    <col min="14109" max="14109" width="9.5703125" style="74" bestFit="1" customWidth="1"/>
    <col min="14110" max="14110" width="9.5703125" style="74" customWidth="1"/>
    <col min="14111" max="14111" width="9" style="74" customWidth="1"/>
    <col min="14112" max="14112" width="10.5703125" style="74" bestFit="1" customWidth="1"/>
    <col min="14113" max="14113" width="11.42578125" style="74" bestFit="1" customWidth="1"/>
    <col min="14114" max="14114" width="18" style="74" bestFit="1" customWidth="1"/>
    <col min="14115" max="14332" width="9.140625" style="74"/>
    <col min="14333" max="14333" width="41" style="74" customWidth="1"/>
    <col min="14334" max="14334" width="19.5703125" style="74" bestFit="1" customWidth="1"/>
    <col min="14335" max="14335" width="10.140625" style="74" customWidth="1"/>
    <col min="14336" max="14336" width="10.42578125" style="74" bestFit="1" customWidth="1"/>
    <col min="14337" max="14337" width="11.28515625" style="74" customWidth="1"/>
    <col min="14338" max="14338" width="9.42578125" style="74" customWidth="1"/>
    <col min="14339" max="14339" width="10.140625" style="74" bestFit="1" customWidth="1"/>
    <col min="14340" max="14341" width="9.140625" style="74"/>
    <col min="14342" max="14342" width="7.28515625" style="74" customWidth="1"/>
    <col min="14343" max="14348" width="7.42578125" style="74" customWidth="1"/>
    <col min="14349" max="14349" width="9.42578125" style="74" bestFit="1" customWidth="1"/>
    <col min="14350" max="14350" width="12" style="74" bestFit="1" customWidth="1"/>
    <col min="14351" max="14352" width="12" style="74" customWidth="1"/>
    <col min="14353" max="14353" width="13.140625" style="74" bestFit="1" customWidth="1"/>
    <col min="14354" max="14355" width="13.140625" style="74" customWidth="1"/>
    <col min="14356" max="14357" width="14.42578125" style="74" bestFit="1" customWidth="1"/>
    <col min="14358" max="14359" width="9.140625" style="74" customWidth="1"/>
    <col min="14360" max="14360" width="9.5703125" style="74" customWidth="1"/>
    <col min="14361" max="14362" width="9.5703125" style="74" bestFit="1" customWidth="1"/>
    <col min="14363" max="14364" width="10.140625" style="74" bestFit="1" customWidth="1"/>
    <col min="14365" max="14365" width="9.5703125" style="74" bestFit="1" customWidth="1"/>
    <col min="14366" max="14366" width="9.5703125" style="74" customWidth="1"/>
    <col min="14367" max="14367" width="9" style="74" customWidth="1"/>
    <col min="14368" max="14368" width="10.5703125" style="74" bestFit="1" customWidth="1"/>
    <col min="14369" max="14369" width="11.42578125" style="74" bestFit="1" customWidth="1"/>
    <col min="14370" max="14370" width="18" style="74" bestFit="1" customWidth="1"/>
    <col min="14371" max="14588" width="9.140625" style="74"/>
    <col min="14589" max="14589" width="41" style="74" customWidth="1"/>
    <col min="14590" max="14590" width="19.5703125" style="74" bestFit="1" customWidth="1"/>
    <col min="14591" max="14591" width="10.140625" style="74" customWidth="1"/>
    <col min="14592" max="14592" width="10.42578125" style="74" bestFit="1" customWidth="1"/>
    <col min="14593" max="14593" width="11.28515625" style="74" customWidth="1"/>
    <col min="14594" max="14594" width="9.42578125" style="74" customWidth="1"/>
    <col min="14595" max="14595" width="10.140625" style="74" bestFit="1" customWidth="1"/>
    <col min="14596" max="14597" width="9.140625" style="74"/>
    <col min="14598" max="14598" width="7.28515625" style="74" customWidth="1"/>
    <col min="14599" max="14604" width="7.42578125" style="74" customWidth="1"/>
    <col min="14605" max="14605" width="9.42578125" style="74" bestFit="1" customWidth="1"/>
    <col min="14606" max="14606" width="12" style="74" bestFit="1" customWidth="1"/>
    <col min="14607" max="14608" width="12" style="74" customWidth="1"/>
    <col min="14609" max="14609" width="13.140625" style="74" bestFit="1" customWidth="1"/>
    <col min="14610" max="14611" width="13.140625" style="74" customWidth="1"/>
    <col min="14612" max="14613" width="14.42578125" style="74" bestFit="1" customWidth="1"/>
    <col min="14614" max="14615" width="9.140625" style="74" customWidth="1"/>
    <col min="14616" max="14616" width="9.5703125" style="74" customWidth="1"/>
    <col min="14617" max="14618" width="9.5703125" style="74" bestFit="1" customWidth="1"/>
    <col min="14619" max="14620" width="10.140625" style="74" bestFit="1" customWidth="1"/>
    <col min="14621" max="14621" width="9.5703125" style="74" bestFit="1" customWidth="1"/>
    <col min="14622" max="14622" width="9.5703125" style="74" customWidth="1"/>
    <col min="14623" max="14623" width="9" style="74" customWidth="1"/>
    <col min="14624" max="14624" width="10.5703125" style="74" bestFit="1" customWidth="1"/>
    <col min="14625" max="14625" width="11.42578125" style="74" bestFit="1" customWidth="1"/>
    <col min="14626" max="14626" width="18" style="74" bestFit="1" customWidth="1"/>
    <col min="14627" max="14844" width="9.140625" style="74"/>
    <col min="14845" max="14845" width="41" style="74" customWidth="1"/>
    <col min="14846" max="14846" width="19.5703125" style="74" bestFit="1" customWidth="1"/>
    <col min="14847" max="14847" width="10.140625" style="74" customWidth="1"/>
    <col min="14848" max="14848" width="10.42578125" style="74" bestFit="1" customWidth="1"/>
    <col min="14849" max="14849" width="11.28515625" style="74" customWidth="1"/>
    <col min="14850" max="14850" width="9.42578125" style="74" customWidth="1"/>
    <col min="14851" max="14851" width="10.140625" style="74" bestFit="1" customWidth="1"/>
    <col min="14852" max="14853" width="9.140625" style="74"/>
    <col min="14854" max="14854" width="7.28515625" style="74" customWidth="1"/>
    <col min="14855" max="14860" width="7.42578125" style="74" customWidth="1"/>
    <col min="14861" max="14861" width="9.42578125" style="74" bestFit="1" customWidth="1"/>
    <col min="14862" max="14862" width="12" style="74" bestFit="1" customWidth="1"/>
    <col min="14863" max="14864" width="12" style="74" customWidth="1"/>
    <col min="14865" max="14865" width="13.140625" style="74" bestFit="1" customWidth="1"/>
    <col min="14866" max="14867" width="13.140625" style="74" customWidth="1"/>
    <col min="14868" max="14869" width="14.42578125" style="74" bestFit="1" customWidth="1"/>
    <col min="14870" max="14871" width="9.140625" style="74" customWidth="1"/>
    <col min="14872" max="14872" width="9.5703125" style="74" customWidth="1"/>
    <col min="14873" max="14874" width="9.5703125" style="74" bestFit="1" customWidth="1"/>
    <col min="14875" max="14876" width="10.140625" style="74" bestFit="1" customWidth="1"/>
    <col min="14877" max="14877" width="9.5703125" style="74" bestFit="1" customWidth="1"/>
    <col min="14878" max="14878" width="9.5703125" style="74" customWidth="1"/>
    <col min="14879" max="14879" width="9" style="74" customWidth="1"/>
    <col min="14880" max="14880" width="10.5703125" style="74" bestFit="1" customWidth="1"/>
    <col min="14881" max="14881" width="11.42578125" style="74" bestFit="1" customWidth="1"/>
    <col min="14882" max="14882" width="18" style="74" bestFit="1" customWidth="1"/>
    <col min="14883" max="15100" width="9.140625" style="74"/>
    <col min="15101" max="15101" width="41" style="74" customWidth="1"/>
    <col min="15102" max="15102" width="19.5703125" style="74" bestFit="1" customWidth="1"/>
    <col min="15103" max="15103" width="10.140625" style="74" customWidth="1"/>
    <col min="15104" max="15104" width="10.42578125" style="74" bestFit="1" customWidth="1"/>
    <col min="15105" max="15105" width="11.28515625" style="74" customWidth="1"/>
    <col min="15106" max="15106" width="9.42578125" style="74" customWidth="1"/>
    <col min="15107" max="15107" width="10.140625" style="74" bestFit="1" customWidth="1"/>
    <col min="15108" max="15109" width="9.140625" style="74"/>
    <col min="15110" max="15110" width="7.28515625" style="74" customWidth="1"/>
    <col min="15111" max="15116" width="7.42578125" style="74" customWidth="1"/>
    <col min="15117" max="15117" width="9.42578125" style="74" bestFit="1" customWidth="1"/>
    <col min="15118" max="15118" width="12" style="74" bestFit="1" customWidth="1"/>
    <col min="15119" max="15120" width="12" style="74" customWidth="1"/>
    <col min="15121" max="15121" width="13.140625" style="74" bestFit="1" customWidth="1"/>
    <col min="15122" max="15123" width="13.140625" style="74" customWidth="1"/>
    <col min="15124" max="15125" width="14.42578125" style="74" bestFit="1" customWidth="1"/>
    <col min="15126" max="15127" width="9.140625" style="74" customWidth="1"/>
    <col min="15128" max="15128" width="9.5703125" style="74" customWidth="1"/>
    <col min="15129" max="15130" width="9.5703125" style="74" bestFit="1" customWidth="1"/>
    <col min="15131" max="15132" width="10.140625" style="74" bestFit="1" customWidth="1"/>
    <col min="15133" max="15133" width="9.5703125" style="74" bestFit="1" customWidth="1"/>
    <col min="15134" max="15134" width="9.5703125" style="74" customWidth="1"/>
    <col min="15135" max="15135" width="9" style="74" customWidth="1"/>
    <col min="15136" max="15136" width="10.5703125" style="74" bestFit="1" customWidth="1"/>
    <col min="15137" max="15137" width="11.42578125" style="74" bestFit="1" customWidth="1"/>
    <col min="15138" max="15138" width="18" style="74" bestFit="1" customWidth="1"/>
    <col min="15139" max="15356" width="9.140625" style="74"/>
    <col min="15357" max="15357" width="41" style="74" customWidth="1"/>
    <col min="15358" max="15358" width="19.5703125" style="74" bestFit="1" customWidth="1"/>
    <col min="15359" max="15359" width="10.140625" style="74" customWidth="1"/>
    <col min="15360" max="15360" width="10.42578125" style="74" bestFit="1" customWidth="1"/>
    <col min="15361" max="15361" width="11.28515625" style="74" customWidth="1"/>
    <col min="15362" max="15362" width="9.42578125" style="74" customWidth="1"/>
    <col min="15363" max="15363" width="10.140625" style="74" bestFit="1" customWidth="1"/>
    <col min="15364" max="15365" width="9.140625" style="74"/>
    <col min="15366" max="15366" width="7.28515625" style="74" customWidth="1"/>
    <col min="15367" max="15372" width="7.42578125" style="74" customWidth="1"/>
    <col min="15373" max="15373" width="9.42578125" style="74" bestFit="1" customWidth="1"/>
    <col min="15374" max="15374" width="12" style="74" bestFit="1" customWidth="1"/>
    <col min="15375" max="15376" width="12" style="74" customWidth="1"/>
    <col min="15377" max="15377" width="13.140625" style="74" bestFit="1" customWidth="1"/>
    <col min="15378" max="15379" width="13.140625" style="74" customWidth="1"/>
    <col min="15380" max="15381" width="14.42578125" style="74" bestFit="1" customWidth="1"/>
    <col min="15382" max="15383" width="9.140625" style="74" customWidth="1"/>
    <col min="15384" max="15384" width="9.5703125" style="74" customWidth="1"/>
    <col min="15385" max="15386" width="9.5703125" style="74" bestFit="1" customWidth="1"/>
    <col min="15387" max="15388" width="10.140625" style="74" bestFit="1" customWidth="1"/>
    <col min="15389" max="15389" width="9.5703125" style="74" bestFit="1" customWidth="1"/>
    <col min="15390" max="15390" width="9.5703125" style="74" customWidth="1"/>
    <col min="15391" max="15391" width="9" style="74" customWidth="1"/>
    <col min="15392" max="15392" width="10.5703125" style="74" bestFit="1" customWidth="1"/>
    <col min="15393" max="15393" width="11.42578125" style="74" bestFit="1" customWidth="1"/>
    <col min="15394" max="15394" width="18" style="74" bestFit="1" customWidth="1"/>
    <col min="15395" max="15612" width="9.140625" style="74"/>
    <col min="15613" max="15613" width="41" style="74" customWidth="1"/>
    <col min="15614" max="15614" width="19.5703125" style="74" bestFit="1" customWidth="1"/>
    <col min="15615" max="15615" width="10.140625" style="74" customWidth="1"/>
    <col min="15616" max="15616" width="10.42578125" style="74" bestFit="1" customWidth="1"/>
    <col min="15617" max="15617" width="11.28515625" style="74" customWidth="1"/>
    <col min="15618" max="15618" width="9.42578125" style="74" customWidth="1"/>
    <col min="15619" max="15619" width="10.140625" style="74" bestFit="1" customWidth="1"/>
    <col min="15620" max="15621" width="9.140625" style="74"/>
    <col min="15622" max="15622" width="7.28515625" style="74" customWidth="1"/>
    <col min="15623" max="15628" width="7.42578125" style="74" customWidth="1"/>
    <col min="15629" max="15629" width="9.42578125" style="74" bestFit="1" customWidth="1"/>
    <col min="15630" max="15630" width="12" style="74" bestFit="1" customWidth="1"/>
    <col min="15631" max="15632" width="12" style="74" customWidth="1"/>
    <col min="15633" max="15633" width="13.140625" style="74" bestFit="1" customWidth="1"/>
    <col min="15634" max="15635" width="13.140625" style="74" customWidth="1"/>
    <col min="15636" max="15637" width="14.42578125" style="74" bestFit="1" customWidth="1"/>
    <col min="15638" max="15639" width="9.140625" style="74" customWidth="1"/>
    <col min="15640" max="15640" width="9.5703125" style="74" customWidth="1"/>
    <col min="15641" max="15642" width="9.5703125" style="74" bestFit="1" customWidth="1"/>
    <col min="15643" max="15644" width="10.140625" style="74" bestFit="1" customWidth="1"/>
    <col min="15645" max="15645" width="9.5703125" style="74" bestFit="1" customWidth="1"/>
    <col min="15646" max="15646" width="9.5703125" style="74" customWidth="1"/>
    <col min="15647" max="15647" width="9" style="74" customWidth="1"/>
    <col min="15648" max="15648" width="10.5703125" style="74" bestFit="1" customWidth="1"/>
    <col min="15649" max="15649" width="11.42578125" style="74" bestFit="1" customWidth="1"/>
    <col min="15650" max="15650" width="18" style="74" bestFit="1" customWidth="1"/>
    <col min="15651" max="15868" width="9.140625" style="74"/>
    <col min="15869" max="15869" width="41" style="74" customWidth="1"/>
    <col min="15870" max="15870" width="19.5703125" style="74" bestFit="1" customWidth="1"/>
    <col min="15871" max="15871" width="10.140625" style="74" customWidth="1"/>
    <col min="15872" max="15872" width="10.42578125" style="74" bestFit="1" customWidth="1"/>
    <col min="15873" max="15873" width="11.28515625" style="74" customWidth="1"/>
    <col min="15874" max="15874" width="9.42578125" style="74" customWidth="1"/>
    <col min="15875" max="15875" width="10.140625" style="74" bestFit="1" customWidth="1"/>
    <col min="15876" max="15877" width="9.140625" style="74"/>
    <col min="15878" max="15878" width="7.28515625" style="74" customWidth="1"/>
    <col min="15879" max="15884" width="7.42578125" style="74" customWidth="1"/>
    <col min="15885" max="15885" width="9.42578125" style="74" bestFit="1" customWidth="1"/>
    <col min="15886" max="15886" width="12" style="74" bestFit="1" customWidth="1"/>
    <col min="15887" max="15888" width="12" style="74" customWidth="1"/>
    <col min="15889" max="15889" width="13.140625" style="74" bestFit="1" customWidth="1"/>
    <col min="15890" max="15891" width="13.140625" style="74" customWidth="1"/>
    <col min="15892" max="15893" width="14.42578125" style="74" bestFit="1" customWidth="1"/>
    <col min="15894" max="15895" width="9.140625" style="74" customWidth="1"/>
    <col min="15896" max="15896" width="9.5703125" style="74" customWidth="1"/>
    <col min="15897" max="15898" width="9.5703125" style="74" bestFit="1" customWidth="1"/>
    <col min="15899" max="15900" width="10.140625" style="74" bestFit="1" customWidth="1"/>
    <col min="15901" max="15901" width="9.5703125" style="74" bestFit="1" customWidth="1"/>
    <col min="15902" max="15902" width="9.5703125" style="74" customWidth="1"/>
    <col min="15903" max="15903" width="9" style="74" customWidth="1"/>
    <col min="15904" max="15904" width="10.5703125" style="74" bestFit="1" customWidth="1"/>
    <col min="15905" max="15905" width="11.42578125" style="74" bestFit="1" customWidth="1"/>
    <col min="15906" max="15906" width="18" style="74" bestFit="1" customWidth="1"/>
    <col min="15907" max="16124" width="9.140625" style="74"/>
    <col min="16125" max="16125" width="41" style="74" customWidth="1"/>
    <col min="16126" max="16126" width="19.5703125" style="74" bestFit="1" customWidth="1"/>
    <col min="16127" max="16127" width="10.140625" style="74" customWidth="1"/>
    <col min="16128" max="16128" width="10.42578125" style="74" bestFit="1" customWidth="1"/>
    <col min="16129" max="16129" width="11.28515625" style="74" customWidth="1"/>
    <col min="16130" max="16130" width="9.42578125" style="74" customWidth="1"/>
    <col min="16131" max="16131" width="10.140625" style="74" bestFit="1" customWidth="1"/>
    <col min="16132" max="16133" width="9.140625" style="74"/>
    <col min="16134" max="16134" width="7.28515625" style="74" customWidth="1"/>
    <col min="16135" max="16140" width="7.42578125" style="74" customWidth="1"/>
    <col min="16141" max="16141" width="9.42578125" style="74" bestFit="1" customWidth="1"/>
    <col min="16142" max="16142" width="12" style="74" bestFit="1" customWidth="1"/>
    <col min="16143" max="16144" width="12" style="74" customWidth="1"/>
    <col min="16145" max="16145" width="13.140625" style="74" bestFit="1" customWidth="1"/>
    <col min="16146" max="16147" width="13.140625" style="74" customWidth="1"/>
    <col min="16148" max="16149" width="14.42578125" style="74" bestFit="1" customWidth="1"/>
    <col min="16150" max="16151" width="9.140625" style="74" customWidth="1"/>
    <col min="16152" max="16152" width="9.5703125" style="74" customWidth="1"/>
    <col min="16153" max="16154" width="9.5703125" style="74" bestFit="1" customWidth="1"/>
    <col min="16155" max="16156" width="10.140625" style="74" bestFit="1" customWidth="1"/>
    <col min="16157" max="16157" width="9.5703125" style="74" bestFit="1" customWidth="1"/>
    <col min="16158" max="16158" width="9.5703125" style="74" customWidth="1"/>
    <col min="16159" max="16159" width="9" style="74" customWidth="1"/>
    <col min="16160" max="16160" width="10.5703125" style="74" bestFit="1" customWidth="1"/>
    <col min="16161" max="16161" width="11.42578125" style="74" bestFit="1" customWidth="1"/>
    <col min="16162" max="16162" width="18" style="74" bestFit="1" customWidth="1"/>
    <col min="16163" max="16384" width="9.140625" style="74"/>
  </cols>
  <sheetData>
    <row r="1" spans="1:32" ht="24" customHeight="1" x14ac:dyDescent="0.2">
      <c r="A1" s="188" t="s">
        <v>235</v>
      </c>
      <c r="B1" s="189"/>
      <c r="C1" s="189"/>
      <c r="D1" s="189"/>
      <c r="E1" s="189"/>
      <c r="F1" s="189"/>
      <c r="G1" s="190"/>
      <c r="H1" s="70"/>
      <c r="I1" s="71"/>
      <c r="J1" s="71"/>
      <c r="K1" s="71"/>
      <c r="L1" s="71"/>
      <c r="M1" s="71"/>
      <c r="N1" s="71"/>
      <c r="O1" s="71"/>
      <c r="P1" s="71"/>
      <c r="Q1" s="71"/>
      <c r="R1" s="72"/>
      <c r="S1" s="72"/>
      <c r="T1" s="72"/>
      <c r="U1" s="72"/>
      <c r="V1" s="73"/>
      <c r="W1" s="73"/>
      <c r="X1" s="73"/>
      <c r="Y1" s="73"/>
      <c r="Z1" s="73"/>
      <c r="AA1" s="73"/>
      <c r="AB1" s="73"/>
      <c r="AC1" s="73"/>
      <c r="AD1" s="73"/>
      <c r="AE1" s="73"/>
      <c r="AF1" s="73"/>
    </row>
    <row r="2" spans="1:32" ht="76.5" customHeight="1" thickBot="1" x14ac:dyDescent="0.3">
      <c r="A2" s="191" t="s">
        <v>236</v>
      </c>
      <c r="B2" s="191"/>
      <c r="C2" s="191"/>
      <c r="D2" s="191"/>
      <c r="E2" s="191"/>
      <c r="F2" s="191"/>
      <c r="G2" s="191"/>
      <c r="H2" s="75"/>
      <c r="I2" s="71"/>
      <c r="J2" s="71"/>
      <c r="K2" s="71"/>
      <c r="L2" s="71"/>
      <c r="M2" s="71"/>
      <c r="N2" s="71"/>
      <c r="O2" s="71"/>
      <c r="P2" s="71"/>
      <c r="Q2" s="71"/>
      <c r="R2" s="72"/>
      <c r="S2" s="72"/>
      <c r="T2" s="72"/>
      <c r="U2" s="72"/>
      <c r="V2" s="73"/>
      <c r="W2" s="73"/>
      <c r="X2" s="73"/>
      <c r="Y2" s="73"/>
      <c r="Z2" s="73"/>
      <c r="AA2" s="73"/>
      <c r="AB2" s="73"/>
      <c r="AC2" s="73"/>
      <c r="AD2" s="73"/>
      <c r="AE2" s="73"/>
      <c r="AF2" s="73"/>
    </row>
    <row r="3" spans="1:32" ht="24.75" customHeight="1" thickBot="1" x14ac:dyDescent="0.25">
      <c r="A3" s="170" t="s">
        <v>135</v>
      </c>
      <c r="B3" s="192">
        <v>45108</v>
      </c>
      <c r="C3" s="193"/>
      <c r="D3" s="193"/>
      <c r="E3" s="193"/>
      <c r="F3" s="193"/>
      <c r="G3" s="194"/>
      <c r="H3" s="76"/>
      <c r="I3" s="77"/>
      <c r="J3" s="77"/>
      <c r="K3" s="77"/>
      <c r="L3" s="77"/>
      <c r="M3" s="77"/>
      <c r="N3" s="77"/>
      <c r="O3" s="77"/>
      <c r="P3" s="77"/>
      <c r="Q3" s="77"/>
      <c r="R3" s="72"/>
      <c r="S3" s="72"/>
      <c r="T3" s="72"/>
      <c r="U3" s="72"/>
      <c r="V3" s="73"/>
      <c r="W3" s="73"/>
      <c r="X3" s="73"/>
      <c r="Y3" s="73"/>
      <c r="Z3" s="73"/>
      <c r="AA3" s="73"/>
      <c r="AB3" s="73"/>
      <c r="AC3" s="73"/>
      <c r="AD3" s="73"/>
      <c r="AE3" s="73"/>
      <c r="AF3" s="73"/>
    </row>
    <row r="4" spans="1:32" ht="99" hidden="1" customHeight="1" x14ac:dyDescent="0.2">
      <c r="A4" s="169" t="s">
        <v>187</v>
      </c>
      <c r="B4" s="195"/>
      <c r="C4" s="196"/>
      <c r="D4" s="196"/>
      <c r="E4" s="196"/>
      <c r="F4" s="196"/>
      <c r="G4" s="196"/>
      <c r="H4" s="197"/>
      <c r="I4" s="197"/>
      <c r="J4" s="197"/>
      <c r="K4" s="197"/>
      <c r="L4" s="197"/>
      <c r="M4" s="197"/>
      <c r="N4" s="197"/>
      <c r="O4" s="197"/>
      <c r="P4" s="197"/>
      <c r="Q4" s="78"/>
      <c r="R4" s="72"/>
      <c r="S4" s="72"/>
      <c r="T4" s="72"/>
      <c r="U4" s="72"/>
      <c r="V4" s="73"/>
      <c r="W4" s="73"/>
      <c r="X4" s="73"/>
      <c r="Y4" s="73"/>
      <c r="Z4" s="73"/>
      <c r="AA4" s="73"/>
      <c r="AB4" s="73"/>
      <c r="AC4" s="73"/>
      <c r="AD4" s="73"/>
      <c r="AE4" s="73"/>
      <c r="AF4" s="73"/>
    </row>
    <row r="5" spans="1:32" ht="12.75" hidden="1" customHeight="1" x14ac:dyDescent="0.2">
      <c r="A5" s="198" t="s">
        <v>188</v>
      </c>
      <c r="B5" s="198"/>
      <c r="C5" s="198"/>
      <c r="D5" s="198"/>
      <c r="E5" s="198"/>
      <c r="F5" s="198"/>
      <c r="G5" s="198"/>
      <c r="H5" s="197"/>
      <c r="I5" s="197"/>
      <c r="J5" s="197"/>
      <c r="K5" s="197"/>
      <c r="L5" s="197"/>
      <c r="M5" s="197"/>
      <c r="N5" s="197"/>
      <c r="O5" s="197"/>
      <c r="P5" s="197"/>
      <c r="Q5" s="79"/>
      <c r="R5" s="79"/>
      <c r="S5" s="79"/>
      <c r="T5" s="79"/>
      <c r="U5" s="79"/>
      <c r="V5" s="73"/>
      <c r="W5" s="73"/>
      <c r="X5" s="73"/>
      <c r="Y5" s="73"/>
      <c r="Z5" s="73"/>
      <c r="AA5" s="73"/>
      <c r="AB5" s="73"/>
      <c r="AC5" s="73"/>
      <c r="AD5" s="73"/>
      <c r="AE5" s="73"/>
      <c r="AF5" s="73"/>
    </row>
    <row r="6" spans="1:32" s="83" customFormat="1" ht="12.75" hidden="1" customHeight="1" x14ac:dyDescent="0.2">
      <c r="A6" s="199" t="s">
        <v>189</v>
      </c>
      <c r="B6" s="198"/>
      <c r="C6" s="198"/>
      <c r="D6" s="198"/>
      <c r="E6" s="198"/>
      <c r="F6" s="198"/>
      <c r="G6" s="198"/>
      <c r="H6" s="197"/>
      <c r="I6" s="197"/>
      <c r="J6" s="197"/>
      <c r="K6" s="197"/>
      <c r="L6" s="197"/>
      <c r="M6" s="197"/>
      <c r="N6" s="197"/>
      <c r="O6" s="197"/>
      <c r="P6" s="197"/>
      <c r="Q6" s="80"/>
      <c r="R6" s="81"/>
      <c r="S6" s="81"/>
      <c r="T6" s="81"/>
      <c r="U6" s="81"/>
      <c r="V6" s="82"/>
      <c r="W6" s="82"/>
      <c r="X6" s="82"/>
      <c r="Y6" s="82"/>
      <c r="Z6" s="82"/>
      <c r="AA6" s="82"/>
      <c r="AB6" s="82"/>
      <c r="AC6" s="82"/>
      <c r="AD6" s="82"/>
      <c r="AE6" s="82"/>
      <c r="AF6" s="82"/>
    </row>
    <row r="7" spans="1:32" s="83" customFormat="1" ht="25.5" hidden="1" customHeight="1" x14ac:dyDescent="0.2">
      <c r="A7" s="198"/>
      <c r="B7" s="198"/>
      <c r="C7" s="198"/>
      <c r="D7" s="198"/>
      <c r="E7" s="198"/>
      <c r="F7" s="198"/>
      <c r="G7" s="198"/>
      <c r="H7" s="80"/>
      <c r="I7" s="80"/>
      <c r="J7" s="80"/>
      <c r="K7" s="80"/>
      <c r="L7" s="80"/>
      <c r="M7" s="80"/>
      <c r="N7" s="80"/>
      <c r="O7" s="80"/>
      <c r="P7" s="80"/>
      <c r="Q7" s="80"/>
      <c r="R7" s="200"/>
      <c r="S7" s="200"/>
      <c r="T7" s="200"/>
      <c r="U7" s="200"/>
      <c r="V7" s="82"/>
      <c r="W7" s="82"/>
      <c r="X7" s="82"/>
      <c r="Y7" s="82"/>
      <c r="Z7" s="82"/>
      <c r="AA7" s="82"/>
      <c r="AB7" s="82"/>
      <c r="AC7" s="82"/>
      <c r="AD7" s="82"/>
      <c r="AE7" s="82"/>
      <c r="AF7" s="82"/>
    </row>
    <row r="8" spans="1:32" hidden="1" x14ac:dyDescent="0.2">
      <c r="A8" s="84"/>
      <c r="B8" s="84"/>
      <c r="C8" s="84"/>
      <c r="D8" s="84"/>
      <c r="E8" s="84"/>
      <c r="F8" s="84"/>
      <c r="G8" s="84"/>
      <c r="H8" s="84"/>
      <c r="I8" s="85"/>
      <c r="J8" s="85"/>
      <c r="K8" s="85"/>
      <c r="L8" s="85"/>
      <c r="M8" s="85"/>
      <c r="N8" s="85"/>
      <c r="O8" s="85"/>
      <c r="P8" s="85"/>
      <c r="Q8" s="85"/>
      <c r="R8" s="86"/>
      <c r="S8" s="86"/>
      <c r="T8" s="86"/>
      <c r="U8" s="86"/>
      <c r="V8" s="73"/>
      <c r="W8" s="73"/>
      <c r="X8" s="73"/>
      <c r="Y8" s="73"/>
      <c r="Z8" s="73"/>
      <c r="AA8" s="73"/>
      <c r="AB8" s="73"/>
      <c r="AC8" s="73"/>
      <c r="AD8" s="73"/>
      <c r="AE8" s="73"/>
      <c r="AF8" s="73"/>
    </row>
    <row r="9" spans="1:32" ht="18.75" hidden="1" customHeight="1" x14ac:dyDescent="0.2">
      <c r="A9" s="87" t="s">
        <v>190</v>
      </c>
      <c r="B9" s="88" t="s">
        <v>191</v>
      </c>
      <c r="C9" s="84"/>
      <c r="D9" s="84"/>
      <c r="E9" s="84"/>
      <c r="F9" s="84"/>
      <c r="G9" s="84"/>
      <c r="H9" s="84"/>
      <c r="I9" s="85"/>
      <c r="J9" s="85"/>
      <c r="K9" s="85"/>
      <c r="L9" s="85"/>
      <c r="M9" s="85"/>
      <c r="N9" s="85"/>
      <c r="O9" s="85"/>
      <c r="P9" s="85"/>
      <c r="Q9" s="85"/>
      <c r="R9" s="86"/>
      <c r="S9" s="86"/>
      <c r="T9" s="86"/>
      <c r="U9" s="86"/>
      <c r="V9" s="73"/>
      <c r="W9" s="73"/>
      <c r="X9" s="73"/>
      <c r="Y9" s="73"/>
      <c r="Z9" s="73"/>
      <c r="AA9" s="73"/>
      <c r="AB9" s="73"/>
      <c r="AC9" s="73"/>
      <c r="AD9" s="73"/>
      <c r="AE9" s="73"/>
      <c r="AF9" s="73"/>
    </row>
    <row r="10" spans="1:32" ht="25.5" hidden="1" x14ac:dyDescent="0.2">
      <c r="A10" s="87" t="s">
        <v>192</v>
      </c>
      <c r="B10" s="88" t="s">
        <v>193</v>
      </c>
      <c r="C10" s="89"/>
      <c r="D10" s="90"/>
      <c r="E10" s="90"/>
      <c r="F10" s="90"/>
      <c r="G10" s="90"/>
      <c r="H10" s="90"/>
      <c r="I10" s="90"/>
      <c r="J10" s="90"/>
      <c r="K10" s="90"/>
      <c r="L10" s="90"/>
      <c r="M10" s="90"/>
      <c r="N10" s="91"/>
      <c r="O10" s="85"/>
      <c r="P10" s="92"/>
      <c r="Q10" s="92"/>
      <c r="R10" s="86"/>
      <c r="S10" s="86"/>
      <c r="T10" s="86"/>
      <c r="U10" s="86"/>
      <c r="V10" s="73"/>
      <c r="W10" s="73"/>
      <c r="X10" s="73"/>
      <c r="Y10" s="73"/>
      <c r="Z10" s="73"/>
      <c r="AA10" s="73"/>
      <c r="AB10" s="73"/>
      <c r="AC10" s="73"/>
      <c r="AD10" s="73"/>
      <c r="AE10" s="73"/>
      <c r="AF10" s="73"/>
    </row>
    <row r="11" spans="1:32" ht="25.5" hidden="1" x14ac:dyDescent="0.2">
      <c r="A11" s="87" t="s">
        <v>194</v>
      </c>
      <c r="B11" s="88" t="s">
        <v>195</v>
      </c>
      <c r="C11" s="89"/>
      <c r="D11" s="90"/>
      <c r="E11" s="90"/>
      <c r="F11" s="90"/>
      <c r="G11" s="90"/>
      <c r="H11" s="90"/>
      <c r="I11" s="90"/>
      <c r="J11" s="90"/>
      <c r="K11" s="90"/>
      <c r="L11" s="90"/>
      <c r="M11" s="90"/>
      <c r="N11" s="90"/>
      <c r="O11" s="90"/>
      <c r="P11" s="90"/>
      <c r="Q11" s="90"/>
      <c r="R11" s="90"/>
      <c r="S11" s="86"/>
      <c r="T11" s="86"/>
      <c r="U11" s="86"/>
      <c r="V11" s="73"/>
      <c r="W11" s="73"/>
      <c r="X11" s="73"/>
      <c r="Y11" s="73"/>
      <c r="Z11" s="73"/>
      <c r="AA11" s="73"/>
      <c r="AB11" s="73"/>
      <c r="AC11" s="73"/>
      <c r="AD11" s="73"/>
      <c r="AE11" s="73"/>
      <c r="AF11" s="73"/>
    </row>
    <row r="12" spans="1:32" ht="25.5" hidden="1" x14ac:dyDescent="0.2">
      <c r="A12" s="87" t="s">
        <v>196</v>
      </c>
      <c r="B12" s="88" t="s">
        <v>197</v>
      </c>
      <c r="C12" s="84"/>
      <c r="D12" s="84"/>
      <c r="E12" s="84"/>
      <c r="F12" s="84"/>
      <c r="G12" s="84"/>
      <c r="H12" s="84"/>
      <c r="I12" s="85"/>
      <c r="J12" s="85"/>
      <c r="K12" s="85"/>
      <c r="L12" s="85"/>
      <c r="M12" s="85"/>
      <c r="N12" s="85"/>
      <c r="O12" s="85"/>
      <c r="P12" s="92"/>
      <c r="Q12" s="92"/>
      <c r="R12" s="86"/>
      <c r="S12" s="86"/>
      <c r="T12" s="86"/>
      <c r="U12" s="86"/>
      <c r="V12" s="73"/>
      <c r="W12" s="73"/>
      <c r="X12" s="73"/>
      <c r="Y12" s="73"/>
      <c r="Z12" s="73"/>
      <c r="AA12" s="73"/>
      <c r="AB12" s="73"/>
      <c r="AC12" s="73"/>
      <c r="AD12" s="73"/>
      <c r="AE12" s="73"/>
      <c r="AF12" s="73"/>
    </row>
    <row r="13" spans="1:32" ht="63.75" hidden="1" x14ac:dyDescent="0.2">
      <c r="A13" s="87" t="s">
        <v>198</v>
      </c>
      <c r="B13" s="88" t="s">
        <v>199</v>
      </c>
      <c r="C13" s="84"/>
      <c r="D13" s="84"/>
      <c r="E13" s="84"/>
      <c r="F13" s="84"/>
      <c r="G13" s="84"/>
      <c r="H13" s="84"/>
      <c r="I13" s="85"/>
      <c r="J13" s="85"/>
      <c r="K13" s="85"/>
      <c r="L13" s="85"/>
      <c r="M13" s="85"/>
      <c r="N13" s="85"/>
      <c r="O13" s="85"/>
      <c r="P13" s="92"/>
      <c r="Q13" s="92"/>
      <c r="R13" s="86"/>
      <c r="S13" s="86"/>
      <c r="T13" s="86"/>
      <c r="U13" s="86"/>
      <c r="V13" s="73"/>
      <c r="W13" s="73"/>
      <c r="X13" s="73"/>
      <c r="Y13" s="73"/>
      <c r="Z13" s="73"/>
      <c r="AA13" s="73"/>
      <c r="AB13" s="73"/>
      <c r="AC13" s="73"/>
      <c r="AD13" s="73"/>
      <c r="AE13" s="73"/>
      <c r="AF13" s="73"/>
    </row>
    <row r="14" spans="1:32" x14ac:dyDescent="0.2">
      <c r="A14" s="73"/>
      <c r="B14" s="84"/>
      <c r="C14" s="84"/>
      <c r="D14" s="84"/>
      <c r="E14" s="84"/>
      <c r="F14" s="84"/>
      <c r="G14" s="84"/>
      <c r="H14" s="84"/>
      <c r="I14" s="85"/>
      <c r="J14" s="85"/>
      <c r="K14" s="85"/>
      <c r="L14" s="85"/>
      <c r="M14" s="85"/>
      <c r="N14" s="85"/>
      <c r="O14" s="85"/>
      <c r="P14" s="85"/>
      <c r="Q14" s="85"/>
      <c r="R14" s="86"/>
      <c r="S14" s="86"/>
      <c r="T14" s="86"/>
      <c r="U14" s="86"/>
      <c r="V14" s="73"/>
      <c r="W14" s="73"/>
      <c r="X14" s="73"/>
      <c r="Y14" s="73"/>
      <c r="Z14" s="73"/>
      <c r="AA14" s="73"/>
      <c r="AB14" s="73"/>
      <c r="AC14" s="73"/>
      <c r="AD14" s="73"/>
      <c r="AE14" s="73"/>
      <c r="AF14" s="73"/>
    </row>
    <row r="15" spans="1:32" x14ac:dyDescent="0.2">
      <c r="A15" s="93" t="s">
        <v>200</v>
      </c>
      <c r="B15" s="94" t="s">
        <v>201</v>
      </c>
      <c r="C15" s="84"/>
      <c r="D15" s="84"/>
      <c r="E15" s="84"/>
      <c r="F15" s="84"/>
      <c r="G15" s="84"/>
      <c r="H15" s="84"/>
      <c r="I15" s="85"/>
      <c r="J15" s="85"/>
      <c r="K15" s="85"/>
      <c r="L15" s="85"/>
      <c r="M15" s="85"/>
      <c r="N15" s="85"/>
      <c r="O15" s="85"/>
      <c r="P15" s="85"/>
      <c r="Q15" s="85"/>
      <c r="R15" s="86"/>
      <c r="S15" s="86"/>
      <c r="T15" s="86"/>
      <c r="U15" s="86"/>
      <c r="V15" s="73"/>
      <c r="W15" s="73"/>
      <c r="X15" s="73"/>
      <c r="Y15" s="73"/>
      <c r="Z15" s="73"/>
      <c r="AA15" s="73"/>
      <c r="AB15" s="73"/>
      <c r="AC15" s="73"/>
      <c r="AD15" s="73"/>
      <c r="AE15" s="73"/>
      <c r="AF15" s="73"/>
    </row>
    <row r="16" spans="1:32" ht="38.25" x14ac:dyDescent="0.2">
      <c r="A16" s="95" t="str">
        <f>'AUTO CALCULATION SHEET (2)'!D19</f>
        <v>3 CORE X 150 SQ MM + 1 CORE X 16 SQ MM + 1 CORE X 95 SQ MM (AB CABLES) (BARE)</v>
      </c>
      <c r="B16" s="96">
        <f>'AUTO CALCULATION SHEET (2)'!E19</f>
        <v>457959.96057</v>
      </c>
      <c r="C16" s="84"/>
      <c r="D16" s="97"/>
      <c r="E16" s="97"/>
      <c r="F16" s="97"/>
      <c r="G16" s="97"/>
      <c r="H16" s="97"/>
      <c r="I16" s="97"/>
      <c r="J16" s="97"/>
      <c r="K16" s="97"/>
      <c r="L16" s="85"/>
      <c r="M16" s="85"/>
      <c r="N16" s="85"/>
      <c r="O16" s="85"/>
      <c r="P16" s="85"/>
      <c r="Q16" s="85"/>
      <c r="R16" s="86"/>
      <c r="S16" s="86"/>
      <c r="T16" s="86"/>
      <c r="U16" s="86"/>
      <c r="V16" s="73"/>
      <c r="W16" s="73"/>
      <c r="X16" s="73"/>
      <c r="Y16" s="73"/>
      <c r="Z16" s="73"/>
      <c r="AA16" s="73"/>
      <c r="AB16" s="73"/>
      <c r="AC16" s="73"/>
      <c r="AD16" s="73"/>
      <c r="AE16" s="73"/>
      <c r="AF16" s="73"/>
    </row>
    <row r="17" spans="1:38" ht="30" customHeight="1" thickBot="1" x14ac:dyDescent="0.25">
      <c r="A17" s="73"/>
      <c r="B17" s="98"/>
      <c r="C17" s="99"/>
      <c r="D17" s="100"/>
      <c r="E17" s="85"/>
      <c r="F17" s="85"/>
      <c r="G17" s="85"/>
      <c r="H17" s="85"/>
      <c r="I17" s="85"/>
      <c r="J17" s="85"/>
      <c r="K17" s="85"/>
      <c r="L17" s="85"/>
      <c r="M17" s="85"/>
      <c r="N17" s="85"/>
      <c r="O17" s="85"/>
      <c r="P17" s="85"/>
      <c r="Q17" s="85"/>
      <c r="R17" s="72"/>
      <c r="S17" s="72"/>
      <c r="T17" s="72"/>
      <c r="U17" s="72"/>
      <c r="V17" s="73"/>
      <c r="W17" s="73"/>
      <c r="X17" s="73"/>
      <c r="Y17" s="73"/>
      <c r="Z17" s="73"/>
      <c r="AA17" s="73"/>
      <c r="AB17" s="73"/>
      <c r="AC17" s="73"/>
      <c r="AD17" s="73"/>
      <c r="AE17" s="73"/>
      <c r="AF17" s="73"/>
    </row>
    <row r="18" spans="1:38" ht="12.75" customHeight="1" x14ac:dyDescent="0.2">
      <c r="A18" s="201" t="s">
        <v>200</v>
      </c>
      <c r="B18" s="204" t="s">
        <v>202</v>
      </c>
      <c r="C18" s="207" t="s">
        <v>203</v>
      </c>
      <c r="D18" s="210" t="s">
        <v>204</v>
      </c>
      <c r="E18" s="211"/>
      <c r="F18" s="211"/>
      <c r="G18" s="210" t="s">
        <v>205</v>
      </c>
      <c r="H18" s="211"/>
      <c r="I18" s="212"/>
      <c r="J18" s="213" t="s">
        <v>206</v>
      </c>
      <c r="K18" s="214"/>
      <c r="L18" s="214"/>
      <c r="M18" s="214"/>
      <c r="N18" s="214"/>
      <c r="O18" s="214"/>
      <c r="P18" s="207"/>
      <c r="Q18" s="217" t="s">
        <v>207</v>
      </c>
      <c r="R18" s="219" t="s">
        <v>208</v>
      </c>
      <c r="S18" s="211" t="s">
        <v>209</v>
      </c>
      <c r="T18" s="211" t="s">
        <v>210</v>
      </c>
      <c r="U18" s="211" t="s">
        <v>211</v>
      </c>
      <c r="V18" s="211" t="s">
        <v>212</v>
      </c>
      <c r="W18" s="211" t="s">
        <v>213</v>
      </c>
      <c r="X18" s="217" t="s">
        <v>214</v>
      </c>
      <c r="Y18" s="213" t="s">
        <v>215</v>
      </c>
      <c r="Z18" s="224" t="s">
        <v>216</v>
      </c>
      <c r="AA18" s="225"/>
      <c r="AB18" s="225"/>
      <c r="AC18" s="225"/>
      <c r="AD18" s="225"/>
      <c r="AE18" s="225"/>
      <c r="AF18" s="225"/>
      <c r="AG18" s="225"/>
      <c r="AH18" s="225"/>
      <c r="AI18" s="225"/>
      <c r="AJ18" s="225"/>
      <c r="AK18" s="226"/>
    </row>
    <row r="19" spans="1:38" x14ac:dyDescent="0.2">
      <c r="A19" s="202"/>
      <c r="B19" s="205"/>
      <c r="C19" s="208"/>
      <c r="D19" s="230" t="s">
        <v>217</v>
      </c>
      <c r="E19" s="221" t="s">
        <v>218</v>
      </c>
      <c r="F19" s="221" t="s">
        <v>219</v>
      </c>
      <c r="G19" s="230" t="s">
        <v>217</v>
      </c>
      <c r="H19" s="221" t="s">
        <v>220</v>
      </c>
      <c r="I19" s="222" t="s">
        <v>221</v>
      </c>
      <c r="J19" s="215"/>
      <c r="K19" s="216"/>
      <c r="L19" s="216"/>
      <c r="M19" s="216"/>
      <c r="N19" s="216"/>
      <c r="O19" s="216"/>
      <c r="P19" s="209"/>
      <c r="Q19" s="218"/>
      <c r="R19" s="220"/>
      <c r="S19" s="221"/>
      <c r="T19" s="221"/>
      <c r="U19" s="221"/>
      <c r="V19" s="221"/>
      <c r="W19" s="221"/>
      <c r="X19" s="218"/>
      <c r="Y19" s="223"/>
      <c r="Z19" s="227"/>
      <c r="AA19" s="228"/>
      <c r="AB19" s="228"/>
      <c r="AC19" s="228"/>
      <c r="AD19" s="228"/>
      <c r="AE19" s="228"/>
      <c r="AF19" s="228"/>
      <c r="AG19" s="228"/>
      <c r="AH19" s="228"/>
      <c r="AI19" s="228"/>
      <c r="AJ19" s="228"/>
      <c r="AK19" s="229"/>
    </row>
    <row r="20" spans="1:38" ht="42.75" customHeight="1" x14ac:dyDescent="0.2">
      <c r="A20" s="203"/>
      <c r="B20" s="206"/>
      <c r="C20" s="209"/>
      <c r="D20" s="230"/>
      <c r="E20" s="221"/>
      <c r="F20" s="221"/>
      <c r="G20" s="230"/>
      <c r="H20" s="221"/>
      <c r="I20" s="222"/>
      <c r="J20" s="163" t="s">
        <v>190</v>
      </c>
      <c r="K20" s="101" t="s">
        <v>192</v>
      </c>
      <c r="L20" s="101" t="s">
        <v>194</v>
      </c>
      <c r="M20" s="101" t="s">
        <v>222</v>
      </c>
      <c r="N20" s="101" t="s">
        <v>196</v>
      </c>
      <c r="O20" s="101" t="s">
        <v>198</v>
      </c>
      <c r="P20" s="160" t="s">
        <v>223</v>
      </c>
      <c r="Q20" s="218"/>
      <c r="R20" s="220"/>
      <c r="S20" s="221"/>
      <c r="T20" s="221"/>
      <c r="U20" s="221"/>
      <c r="V20" s="221"/>
      <c r="W20" s="221"/>
      <c r="X20" s="218"/>
      <c r="Y20" s="215"/>
      <c r="Z20" s="102" t="s">
        <v>224</v>
      </c>
      <c r="AA20" s="103" t="s">
        <v>225</v>
      </c>
      <c r="AB20" s="103" t="s">
        <v>86</v>
      </c>
      <c r="AC20" s="103" t="s">
        <v>226</v>
      </c>
      <c r="AD20" s="104" t="s">
        <v>227</v>
      </c>
      <c r="AE20" s="103" t="s">
        <v>228</v>
      </c>
      <c r="AF20" s="104" t="s">
        <v>229</v>
      </c>
      <c r="AG20" s="103" t="s">
        <v>230</v>
      </c>
      <c r="AH20" s="104" t="s">
        <v>231</v>
      </c>
      <c r="AI20" s="104" t="s">
        <v>232</v>
      </c>
      <c r="AJ20" s="104" t="s">
        <v>233</v>
      </c>
      <c r="AK20" s="105" t="s">
        <v>234</v>
      </c>
    </row>
    <row r="21" spans="1:38" ht="19.5" customHeight="1" x14ac:dyDescent="0.2">
      <c r="A21" s="106"/>
      <c r="B21" s="106"/>
      <c r="C21" s="107"/>
      <c r="D21" s="108"/>
      <c r="E21" s="109"/>
      <c r="F21" s="109"/>
      <c r="G21" s="110"/>
      <c r="H21" s="109"/>
      <c r="I21" s="161"/>
      <c r="J21" s="164"/>
      <c r="K21" s="111"/>
      <c r="L21" s="111"/>
      <c r="M21" s="111"/>
      <c r="N21" s="111"/>
      <c r="O21" s="111"/>
      <c r="P21" s="165"/>
      <c r="Q21" s="112"/>
      <c r="R21" s="113"/>
      <c r="S21" s="113"/>
      <c r="T21" s="113"/>
      <c r="U21" s="113"/>
      <c r="V21" s="113"/>
      <c r="W21" s="113"/>
      <c r="X21" s="114"/>
      <c r="Y21" s="115"/>
      <c r="Z21" s="116">
        <v>211</v>
      </c>
      <c r="AA21" s="117">
        <v>218</v>
      </c>
      <c r="AB21" s="117">
        <v>110</v>
      </c>
      <c r="AC21" s="118"/>
      <c r="AD21" s="119"/>
      <c r="AE21" s="118"/>
      <c r="AF21" s="119"/>
      <c r="AG21" s="118"/>
      <c r="AH21" s="120"/>
      <c r="AI21" s="118"/>
      <c r="AJ21" s="121"/>
      <c r="AK21" s="122"/>
    </row>
    <row r="22" spans="1:38" s="141" customFormat="1" ht="38.25" x14ac:dyDescent="0.2">
      <c r="A22" s="123" t="str">
        <f>A16</f>
        <v>3 CORE X 150 SQ MM + 1 CORE X 16 SQ MM + 1 CORE X 95 SQ MM (AB CABLES) (BARE)</v>
      </c>
      <c r="B22" s="142"/>
      <c r="C22" s="124"/>
      <c r="D22" s="126">
        <v>45137</v>
      </c>
      <c r="E22" s="168">
        <v>201717.77</v>
      </c>
      <c r="F22" s="125">
        <v>151990</v>
      </c>
      <c r="G22" s="126">
        <v>45108</v>
      </c>
      <c r="H22" s="168">
        <v>201717.77</v>
      </c>
      <c r="I22" s="125">
        <v>151990</v>
      </c>
      <c r="J22" s="166">
        <v>3</v>
      </c>
      <c r="K22" s="127">
        <v>0.42499999999999999</v>
      </c>
      <c r="L22" s="127">
        <v>0.27400000000000002</v>
      </c>
      <c r="M22" s="127">
        <v>4.5999999999999999E-2</v>
      </c>
      <c r="N22" s="127">
        <v>8.5000000000000006E-2</v>
      </c>
      <c r="O22" s="127"/>
      <c r="P22" s="167">
        <v>2.4E-2</v>
      </c>
      <c r="Q22" s="128">
        <f>B16</f>
        <v>457959.96057</v>
      </c>
      <c r="R22" s="129">
        <f>(K22*J22*(E22-H22))</f>
        <v>0</v>
      </c>
      <c r="S22" s="129">
        <f>L22*(E22-H22)</f>
        <v>0</v>
      </c>
      <c r="T22" s="129">
        <f>M22*(E22-H22)</f>
        <v>0</v>
      </c>
      <c r="U22" s="129">
        <f>(N22*J22*(F22-I22))</f>
        <v>0</v>
      </c>
      <c r="V22" s="129">
        <f>O22*(F22-I22)</f>
        <v>0</v>
      </c>
      <c r="W22" s="129">
        <f>P22*(F22-I22)</f>
        <v>0</v>
      </c>
      <c r="X22" s="130">
        <f>R22+S22+T22+U22+V22+W22</f>
        <v>0</v>
      </c>
      <c r="Y22" s="131">
        <f>Q22+X22</f>
        <v>457959.96057</v>
      </c>
      <c r="Z22" s="132">
        <f>'AUTO CALCULATION SHEET (2)'!N19</f>
        <v>1259</v>
      </c>
      <c r="AA22" s="133">
        <f>'AUTO CALCULATION SHEET (2)'!T19</f>
        <v>262</v>
      </c>
      <c r="AB22" s="134">
        <f>'AUTO CALCULATION SHEET (2)'!AF19</f>
        <v>320</v>
      </c>
      <c r="AC22" s="135">
        <f>SUMPRODUCT($Z$21:$AB$21,Z22:AB22)</f>
        <v>357965</v>
      </c>
      <c r="AD22" s="136">
        <f>'AUTO CALCULATION SHEET (2)'!BZ19</f>
        <v>14697.63</v>
      </c>
      <c r="AE22" s="135">
        <f>+AC22+AD22</f>
        <v>372662.63</v>
      </c>
      <c r="AF22" s="135">
        <f>+Y22-AE22</f>
        <v>85297.330569999991</v>
      </c>
      <c r="AG22" s="137">
        <f>+AF22/AE22</f>
        <v>0.22888619277441366</v>
      </c>
      <c r="AH22" s="138"/>
      <c r="AI22" s="138">
        <v>0.02</v>
      </c>
      <c r="AJ22" s="138">
        <v>0.03</v>
      </c>
      <c r="AK22" s="139">
        <f>+AG22-(AH22+AI22+AJ22)</f>
        <v>0.17888619277441364</v>
      </c>
      <c r="AL22" s="140"/>
    </row>
    <row r="23" spans="1:38" s="141" customFormat="1" ht="15.75" customHeight="1" thickBot="1" x14ac:dyDescent="0.25">
      <c r="A23" s="143"/>
      <c r="B23" s="143"/>
      <c r="C23" s="144"/>
      <c r="D23" s="145"/>
      <c r="E23" s="146"/>
      <c r="F23" s="146"/>
      <c r="G23" s="148"/>
      <c r="H23" s="149"/>
      <c r="I23" s="162"/>
      <c r="J23" s="148"/>
      <c r="K23" s="150"/>
      <c r="L23" s="150"/>
      <c r="M23" s="150"/>
      <c r="N23" s="150"/>
      <c r="O23" s="150"/>
      <c r="P23" s="147"/>
      <c r="Q23" s="151"/>
      <c r="R23" s="152"/>
      <c r="S23" s="152"/>
      <c r="T23" s="152"/>
      <c r="U23" s="152"/>
      <c r="V23" s="153"/>
      <c r="W23" s="153"/>
      <c r="X23" s="154"/>
      <c r="Y23" s="155"/>
      <c r="Z23" s="156"/>
      <c r="AA23" s="157"/>
      <c r="AB23" s="157"/>
      <c r="AC23" s="157"/>
      <c r="AD23" s="157"/>
      <c r="AE23" s="157"/>
      <c r="AF23" s="157"/>
      <c r="AG23" s="157"/>
      <c r="AH23" s="157"/>
      <c r="AI23" s="157"/>
      <c r="AJ23" s="157"/>
      <c r="AK23" s="158"/>
    </row>
    <row r="24" spans="1:38" x14ac:dyDescent="0.2">
      <c r="A24" s="73"/>
      <c r="B24" s="73"/>
      <c r="C24" s="73"/>
      <c r="D24" s="73"/>
      <c r="E24" s="159"/>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row>
  </sheetData>
  <mergeCells count="30">
    <mergeCell ref="X18:X20"/>
    <mergeCell ref="Y18:Y20"/>
    <mergeCell ref="Z18:AK19"/>
    <mergeCell ref="D19:D20"/>
    <mergeCell ref="E19:E20"/>
    <mergeCell ref="F19:F20"/>
    <mergeCell ref="G19:G20"/>
    <mergeCell ref="H19:H20"/>
    <mergeCell ref="T18:T20"/>
    <mergeCell ref="U18:U20"/>
    <mergeCell ref="V18:V20"/>
    <mergeCell ref="W18:W20"/>
    <mergeCell ref="R7:U7"/>
    <mergeCell ref="A18:A20"/>
    <mergeCell ref="B18:B20"/>
    <mergeCell ref="C18:C20"/>
    <mergeCell ref="D18:F18"/>
    <mergeCell ref="G18:I18"/>
    <mergeCell ref="J18:P19"/>
    <mergeCell ref="Q18:Q20"/>
    <mergeCell ref="R18:R20"/>
    <mergeCell ref="S18:S20"/>
    <mergeCell ref="I19:I20"/>
    <mergeCell ref="A1:G1"/>
    <mergeCell ref="A2:G2"/>
    <mergeCell ref="B3:G3"/>
    <mergeCell ref="B4:G4"/>
    <mergeCell ref="H4:P6"/>
    <mergeCell ref="A5:G5"/>
    <mergeCell ref="A6:G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2023-07-31T07:54:07Z</cp:lastPrinted>
  <dcterms:created xsi:type="dcterms:W3CDTF">2021-04-03T12:13:55Z</dcterms:created>
  <dcterms:modified xsi:type="dcterms:W3CDTF">2023-08-01T06:21:33Z</dcterms:modified>
</cp:coreProperties>
</file>