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7_JULY 2025\GETCO_TN-07-ACSR-16528\"/>
    </mc:Choice>
  </mc:AlternateContent>
  <xr:revisionPtr revIDLastSave="0" documentId="13_ncr:1_{3CB7F108-99B2-4AA6-8CE4-BD23DB762869}"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4" l="1"/>
  <c r="H35" i="4"/>
  <c r="A13" i="6" l="1"/>
  <c r="A14" i="6"/>
  <c r="A15" i="6"/>
  <c r="A12" i="6"/>
  <c r="V15" i="6"/>
  <c r="V14" i="6"/>
  <c r="V13" i="6"/>
  <c r="V12" i="6"/>
  <c r="T13" i="6"/>
  <c r="T14" i="6"/>
  <c r="T15" i="6"/>
  <c r="T12" i="6"/>
  <c r="S13" i="6"/>
  <c r="S14" i="6"/>
  <c r="S15" i="6"/>
  <c r="S12" i="6"/>
  <c r="R13" i="6"/>
  <c r="R14" i="6"/>
  <c r="R15" i="6"/>
  <c r="R12" i="6"/>
  <c r="Q13" i="6"/>
  <c r="Q14" i="6"/>
  <c r="U14" i="6" s="1"/>
  <c r="W14" i="6" s="1"/>
  <c r="Q15" i="6"/>
  <c r="Q12" i="6"/>
  <c r="U12" i="6" s="1"/>
  <c r="W12" i="6" s="1"/>
  <c r="T10" i="6"/>
  <c r="S10" i="6"/>
  <c r="R10" i="6"/>
  <c r="Q10" i="6"/>
  <c r="N15" i="6"/>
  <c r="N14" i="6"/>
  <c r="N13" i="6"/>
  <c r="N12" i="6"/>
  <c r="M15" i="6"/>
  <c r="O15" i="6" s="1"/>
  <c r="M14" i="6"/>
  <c r="O14" i="6" s="1"/>
  <c r="M13" i="6"/>
  <c r="O13" i="6" s="1"/>
  <c r="M12" i="6"/>
  <c r="O12" i="6" s="1"/>
  <c r="G15" i="6"/>
  <c r="G14" i="6"/>
  <c r="G13" i="6"/>
  <c r="G12" i="6"/>
  <c r="U15" i="6" l="1"/>
  <c r="W15" i="6" s="1"/>
  <c r="U13" i="6"/>
  <c r="W13" i="6" s="1"/>
  <c r="N28" i="4" l="1"/>
  <c r="N29" i="4"/>
  <c r="N30" i="4"/>
  <c r="N27" i="4"/>
  <c r="CK22" i="4"/>
  <c r="CK21" i="4"/>
  <c r="CK20" i="4"/>
  <c r="CK19" i="4"/>
  <c r="CX19" i="4" l="1"/>
  <c r="CM19" i="4"/>
  <c r="CJ19" i="4"/>
  <c r="CF19" i="4"/>
  <c r="CE19" i="4"/>
  <c r="CD19" i="4"/>
  <c r="CC19" i="4"/>
  <c r="CB19" i="4"/>
  <c r="CA19" i="4"/>
  <c r="BZ19" i="4"/>
  <c r="BX19" i="4"/>
  <c r="BW19" i="4"/>
  <c r="BV19" i="4"/>
  <c r="BU19" i="4"/>
  <c r="BT19" i="4"/>
  <c r="BS19" i="4"/>
  <c r="BR19" i="4"/>
  <c r="BQ19" i="4"/>
  <c r="BP19"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BA27" i="4" s="1"/>
  <c r="L19" i="4"/>
  <c r="K19" i="4"/>
  <c r="H19" i="4"/>
  <c r="D19" i="4"/>
  <c r="D27" i="4" s="1"/>
  <c r="C19" i="4"/>
  <c r="A19" i="4"/>
  <c r="CX22" i="4"/>
  <c r="CM22" i="4"/>
  <c r="CJ22" i="4"/>
  <c r="F30" i="4" s="1"/>
  <c r="J30" i="4" s="1"/>
  <c r="CF22" i="4"/>
  <c r="CE22" i="4"/>
  <c r="CD22" i="4"/>
  <c r="CC22" i="4"/>
  <c r="CB22" i="4"/>
  <c r="CA22" i="4"/>
  <c r="BZ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BA30" i="4" s="1"/>
  <c r="BY30" i="4" s="1"/>
  <c r="CG30" i="4" s="1"/>
  <c r="L22" i="4"/>
  <c r="K22" i="4"/>
  <c r="E30" i="4" s="1"/>
  <c r="H22" i="4"/>
  <c r="D22" i="4"/>
  <c r="D30" i="4" s="1"/>
  <c r="C22" i="4"/>
  <c r="A22" i="4"/>
  <c r="CX21" i="4"/>
  <c r="CM21" i="4"/>
  <c r="CJ21" i="4"/>
  <c r="F29" i="4" s="1"/>
  <c r="J29" i="4" s="1"/>
  <c r="CF21" i="4"/>
  <c r="CE21" i="4"/>
  <c r="CD21" i="4"/>
  <c r="CC21" i="4"/>
  <c r="CB21" i="4"/>
  <c r="CA21" i="4"/>
  <c r="BZ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L21" i="4"/>
  <c r="K21" i="4"/>
  <c r="E29" i="4" s="1"/>
  <c r="H21" i="4"/>
  <c r="D21" i="4"/>
  <c r="D29" i="4" s="1"/>
  <c r="C21" i="4"/>
  <c r="A21" i="4"/>
  <c r="S20" i="4"/>
  <c r="S18" i="4"/>
  <c r="R20" i="4"/>
  <c r="R18" i="4"/>
  <c r="AT20" i="4"/>
  <c r="AT18" i="4"/>
  <c r="Q20" i="4"/>
  <c r="Q18" i="4"/>
  <c r="BU20" i="4"/>
  <c r="BU18" i="4"/>
  <c r="AY20" i="4"/>
  <c r="AY18" i="4"/>
  <c r="CJ20" i="4"/>
  <c r="L20" i="4"/>
  <c r="K20" i="4"/>
  <c r="H20" i="4"/>
  <c r="CX20" i="4"/>
  <c r="K30" i="4" l="1"/>
  <c r="L30" i="4" s="1"/>
  <c r="M30" i="4" s="1"/>
  <c r="F22" i="4" s="1"/>
  <c r="BY27" i="4"/>
  <c r="CG27" i="4" s="1"/>
  <c r="E27" i="4"/>
  <c r="E28" i="4"/>
  <c r="F27" i="4"/>
  <c r="F28" i="4"/>
  <c r="J28" i="4" s="1"/>
  <c r="K28" i="4" s="1"/>
  <c r="L28" i="4" s="1"/>
  <c r="M28" i="4" s="1"/>
  <c r="F20" i="4" s="1"/>
  <c r="BA29" i="4"/>
  <c r="BY29" i="4" s="1"/>
  <c r="CG29" i="4" s="1"/>
  <c r="K29" i="4"/>
  <c r="L29" i="4" s="1"/>
  <c r="M29" i="4" s="1"/>
  <c r="F21" i="4" s="1"/>
  <c r="J27" i="4"/>
  <c r="K27" i="4" s="1"/>
  <c r="L27" i="4" s="1"/>
  <c r="M27" i="4" s="1"/>
  <c r="F19" i="4" s="1"/>
  <c r="BP20" i="4" l="1"/>
  <c r="BP18" i="4"/>
  <c r="BE20" i="4" l="1"/>
  <c r="BE18" i="4"/>
  <c r="AN20" i="4" l="1"/>
  <c r="AN18" i="4"/>
  <c r="AM20" i="4"/>
  <c r="AM18" i="4"/>
  <c r="AO20" i="4"/>
  <c r="AO18" i="4"/>
  <c r="AG20" i="4" l="1"/>
  <c r="CM20" i="4" l="1"/>
  <c r="A20" i="4" l="1"/>
  <c r="W18" i="4" l="1"/>
  <c r="V18" i="4"/>
  <c r="AE20" i="4" l="1"/>
  <c r="AD20" i="4"/>
  <c r="AC20" i="4"/>
  <c r="AB20" i="4"/>
  <c r="AA20" i="4"/>
  <c r="Z20" i="4"/>
  <c r="Y20" i="4"/>
  <c r="X20" i="4"/>
  <c r="W20" i="4"/>
  <c r="V20" i="4"/>
  <c r="CF20" i="4"/>
  <c r="CE20" i="4"/>
  <c r="CD20" i="4"/>
  <c r="CC20" i="4"/>
  <c r="CB20" i="4"/>
  <c r="CA20" i="4"/>
  <c r="BZ20" i="4"/>
  <c r="CD18" i="4"/>
  <c r="CE18" i="4"/>
  <c r="CF18" i="4"/>
  <c r="CC18" i="4"/>
  <c r="CB18" i="4"/>
  <c r="CA18" i="4"/>
  <c r="BZ18" i="4"/>
  <c r="BX18" i="4"/>
  <c r="BX20" i="4"/>
  <c r="BW20" i="4"/>
  <c r="BV20" i="4"/>
  <c r="BT20" i="4"/>
  <c r="BS20" i="4"/>
  <c r="BR20" i="4"/>
  <c r="BQ20" i="4"/>
  <c r="BO20" i="4"/>
  <c r="BN20" i="4"/>
  <c r="BM20" i="4"/>
  <c r="BL20" i="4"/>
  <c r="BW18" i="4"/>
  <c r="BV18" i="4"/>
  <c r="BT18" i="4"/>
  <c r="BS18" i="4"/>
  <c r="BR18" i="4"/>
  <c r="BQ18" i="4"/>
  <c r="BO18" i="4"/>
  <c r="BN18" i="4"/>
  <c r="BM18" i="4"/>
  <c r="BL18" i="4"/>
  <c r="BK20" i="4"/>
  <c r="BJ20" i="4"/>
  <c r="BI20" i="4"/>
  <c r="BH20" i="4"/>
  <c r="BG20" i="4"/>
  <c r="BF20" i="4"/>
  <c r="BD20" i="4"/>
  <c r="BC20" i="4"/>
  <c r="BB20" i="4"/>
  <c r="BA20" i="4"/>
  <c r="BK18" i="4"/>
  <c r="BJ18" i="4"/>
  <c r="BI18" i="4"/>
  <c r="BH18" i="4"/>
  <c r="BG18" i="4"/>
  <c r="BF18" i="4"/>
  <c r="BD18" i="4"/>
  <c r="BC18" i="4"/>
  <c r="AZ18" i="4"/>
  <c r="AZ20" i="4"/>
  <c r="AX20" i="4"/>
  <c r="AW20" i="4"/>
  <c r="AV20" i="4"/>
  <c r="AU20" i="4"/>
  <c r="AS20" i="4"/>
  <c r="AR20" i="4"/>
  <c r="AX18" i="4"/>
  <c r="AW18" i="4"/>
  <c r="AV18" i="4"/>
  <c r="AU18" i="4"/>
  <c r="AS18" i="4"/>
  <c r="AR18" i="4"/>
  <c r="AQ18" i="4"/>
  <c r="AQ20" i="4"/>
  <c r="AP20" i="4"/>
  <c r="AL20" i="4"/>
  <c r="AK20" i="4"/>
  <c r="AJ20" i="4"/>
  <c r="AI20" i="4"/>
  <c r="AH20" i="4"/>
  <c r="AP18" i="4"/>
  <c r="AL18" i="4"/>
  <c r="AK18" i="4"/>
  <c r="AH18" i="4"/>
  <c r="AJ18" i="4"/>
  <c r="AI18" i="4"/>
  <c r="AG18" i="4"/>
  <c r="AF20" i="4"/>
  <c r="AF18" i="4"/>
  <c r="AE18" i="4" l="1"/>
  <c r="AD18" i="4"/>
  <c r="AC18" i="4"/>
  <c r="AB18" i="4"/>
  <c r="AA18" i="4"/>
  <c r="Z18" i="4"/>
  <c r="Y18" i="4"/>
  <c r="X18" i="4"/>
  <c r="U18" i="4" l="1"/>
  <c r="T18" i="4"/>
  <c r="P18" i="4"/>
  <c r="O18" i="4"/>
  <c r="N20" i="4"/>
  <c r="U20" i="4"/>
  <c r="T20" i="4"/>
  <c r="P20" i="4"/>
  <c r="O20" i="4"/>
  <c r="D20" i="4"/>
  <c r="D28" i="4" s="1"/>
  <c r="C20" i="4"/>
  <c r="BA28" i="4" l="1"/>
  <c r="BY28" i="4" s="1"/>
  <c r="CG28" i="4" s="1"/>
  <c r="CL19" i="4"/>
  <c r="CL21" i="4"/>
  <c r="CL22" i="4"/>
  <c r="CL20" i="4"/>
  <c r="CN19" i="4" l="1"/>
  <c r="CR19" i="4"/>
  <c r="CS19" i="4" s="1"/>
  <c r="CP19" i="4"/>
  <c r="CN22" i="4"/>
  <c r="CR22" i="4"/>
  <c r="CP22" i="4"/>
  <c r="CP21" i="4"/>
  <c r="CN21" i="4"/>
  <c r="CR21" i="4"/>
  <c r="CN20" i="4"/>
  <c r="CP20" i="4"/>
  <c r="CR20" i="4"/>
  <c r="CW19" i="4" l="1"/>
  <c r="CY19" i="4"/>
  <c r="CU19" i="4"/>
  <c r="CS22" i="4"/>
  <c r="CY22" i="4" s="1"/>
  <c r="CS21" i="4"/>
  <c r="CY21" i="4" s="1"/>
  <c r="CS20" i="4"/>
  <c r="E19" i="4" l="1"/>
  <c r="L12" i="6" s="1"/>
  <c r="P12" i="6" s="1"/>
  <c r="X12" i="6" s="1"/>
  <c r="Y12" i="6" s="1"/>
  <c r="AC12" i="6" s="1"/>
  <c r="CW22" i="4"/>
  <c r="CW21" i="4"/>
  <c r="CU22" i="4"/>
  <c r="CU21" i="4"/>
  <c r="CY20" i="4"/>
  <c r="CU20" i="4"/>
  <c r="CW20" i="4"/>
  <c r="G19" i="4" l="1"/>
  <c r="I19" i="4" s="1"/>
  <c r="J19" i="4" s="1"/>
  <c r="M19" i="4" s="1"/>
  <c r="E21" i="4"/>
  <c r="L14" i="6" s="1"/>
  <c r="P14" i="6" s="1"/>
  <c r="X14" i="6" s="1"/>
  <c r="Y14" i="6" s="1"/>
  <c r="AC14" i="6" s="1"/>
  <c r="E22" i="4"/>
  <c r="L15" i="6" s="1"/>
  <c r="P15" i="6" s="1"/>
  <c r="X15" i="6" s="1"/>
  <c r="Y15" i="6" s="1"/>
  <c r="AC15" i="6" s="1"/>
  <c r="E20" i="4"/>
  <c r="G20" i="4" l="1"/>
  <c r="L13" i="6"/>
  <c r="P13" i="6" s="1"/>
  <c r="X13" i="6" s="1"/>
  <c r="Y13" i="6" s="1"/>
  <c r="AC13" i="6" s="1"/>
  <c r="G21" i="4"/>
  <c r="I21" i="4" s="1"/>
  <c r="J21" i="4" s="1"/>
  <c r="M21" i="4" s="1"/>
  <c r="G22" i="4"/>
  <c r="I22" i="4" s="1"/>
  <c r="J22" i="4" s="1"/>
  <c r="M22" i="4" s="1"/>
  <c r="I20" i="4"/>
  <c r="J20" i="4" s="1"/>
  <c r="M20" i="4" s="1"/>
  <c r="M23" i="4" l="1"/>
  <c r="M34" i="4" s="1"/>
  <c r="M3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<sst xmlns="http://schemas.openxmlformats.org/spreadsheetml/2006/main" count="381" uniqueCount="310">
  <si>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</si>
  <si>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</si>
  <si>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</si>
  <si>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</si>
  <si>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</si>
  <si>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</si>
  <si>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</si>
  <si>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</si>
  <si>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</si>
  <si>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</si>
  <si>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</si>
  <si>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</si>
  <si>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</si>
  <si>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</si>
  <si>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</si>
  <si>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</si>
  <si>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</si>
  <si>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</si>
  <si>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</si>
  <si>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</si>
  <si>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</si>
  <si>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</si>
  <si>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</si>
  <si>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</si>
  <si>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</si>
  <si>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</si>
  <si>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</si>
  <si>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</si>
  <si>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</si>
  <si>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</si>
  <si>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</si>
  <si>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</si>
  <si>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</si>
  <si>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</si>
  <si>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</si>
  <si>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</si>
  <si>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</si>
  <si>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</si>
  <si>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</si>
  <si>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</si>
  <si>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</si>
  <si>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</si>
  <si>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</si>
  <si>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</si>
  <si>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</si>
  <si>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</si>
  <si>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</si>
  <si>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</si>
  <si>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</si>
  <si>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</si>
  <si>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</si>
  <si>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</si>
  <si>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</si>
  <si>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</si>
  <si>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</si>
  <si>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</si>
  <si>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</si>
  <si>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</si>
  <si>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</si>
  <si>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</si>
  <si>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</si>
  <si>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</si>
  <si>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</si>
  <si>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</si>
  <si>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</si>
  <si>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</si>
  <si>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</si>
  <si>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</si>
  <si>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</si>
  <si>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</si>
  <si>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</si>
  <si>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</si>
  <si>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</si>
  <si>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</si>
  <si>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</si>
  <si>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</si>
  <si>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</si>
  <si>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</si>
  <si>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</si>
  <si>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</si>
  <si>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</si>
  <si>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</si>
  <si>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</si>
  <si>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</si>
  <si>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</si>
  <si>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</si>
  <si>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</si>
  <si>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</si>
  <si>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</si>
  <si>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</si>
  <si>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</si>
  <si>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</si>
  <si>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</si>
  <si>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</si>
  <si>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</si>
  <si>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</si>
  <si>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</si>
  <si>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</si>
  <si>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</si>
  <si>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</si>
  <si>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</si>
  <si>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</si>
  <si>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</si>
  <si>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</si>
  <si>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</si>
  <si>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</si>
  <si>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</si>
  <si>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</si>
  <si>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</si>
  <si>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</si>
  <si>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</si>
  <si>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</si>
  <si>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</si>
  <si>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</si>
  <si>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</si>
  <si>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</si>
  <si>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</si>
  <si>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</si>
  <si>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</si>
  <si>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</si>
  <si>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</si>
  <si>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</si>
  <si>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</si>
  <si>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</si>
  <si>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</si>
  <si>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</si>
  <si>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</si>
  <si>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</si>
  <si>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</si>
  <si>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</si>
  <si>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</si>
  <si>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</si>
  <si>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</si>
  <si>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</si>
  <si>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</si>
  <si>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</si>
  <si>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</si>
  <si>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</si>
  <si>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</si>
  <si>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</si>
  <si>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</si>
  <si>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</si>
  <si>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</si>
  <si>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</si>
  <si>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</si>
  <si>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</si>
  <si>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</si>
  <si>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</si>
  <si>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</si>
  <si>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</si>
  <si>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</si>
  <si>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</si>
  <si>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</si>
  <si>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</si>
  <si>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</si>
  <si>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</si>
  <si>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</si>
  <si>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</si>
  <si>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</si>
  <si>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</si>
  <si>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</si>
  <si>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</si>
  <si>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</si>
  <si>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</si>
  <si>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</si>
  <si>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</si>
  <si>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</si>
  <si>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</si>
  <si>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</si>
  <si>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</si>
  <si>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</si>
  <si>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</si>
  <si>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</si>
  <si>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</si>
  <si>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</si>
  <si>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</si>
  <si>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</si>
  <si>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</si>
  <si>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</si>
  <si>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</si>
  <si>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</si>
  <si>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</si>
  <si>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</si>
  <si>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</si>
  <si>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</si>
  <si>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</si>
  <si>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</si>
  <si>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</si>
  <si>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</si>
  <si>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</si>
  <si>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</si>
  <si>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</si>
  <si>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</si>
  <si>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</si>
  <si>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</si>
  <si>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</si>
  <si>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</si>
  <si>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</si>
  <si>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</si>
  <si>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</si>
  <si>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</si>
  <si>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</si>
  <si>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</si>
  <si>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</si>
  <si>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</si>
  <si>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</si>
  <si>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</si>
  <si>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</si>
  <si>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</si>
  <si>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</si>
  <si>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</si>
  <si>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</si>
  <si>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</si>
  <si>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</si>
  <si>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</si>
  <si>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</si>
  <si>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</si>
  <si>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</si>
  <si>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</si>
  <si>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Standard Length(MTR)</t>
  </si>
  <si>
    <t>ENQ-16528-25-26</t>
  </si>
  <si>
    <t>FC3700003</t>
  </si>
  <si>
    <t>ACSR : PANTHER CONDUCTOR - 200 SQ. MM. (30/7/3.00)</t>
  </si>
  <si>
    <t>WOOD</t>
  </si>
  <si>
    <t>KMS</t>
  </si>
  <si>
    <t>MD0100061</t>
  </si>
  <si>
    <t>DRUM - 56 X 24 X 32 X 3</t>
  </si>
  <si>
    <t>FC6100001</t>
  </si>
  <si>
    <t>ACSR : ZEBRA CONDUCTOR - 420 SQ. MM. (54/7/3.18)</t>
  </si>
  <si>
    <t>MD0100062</t>
  </si>
  <si>
    <t>DRUM - 74 X 24 X 32 X 3</t>
  </si>
  <si>
    <t>FC6100002</t>
  </si>
  <si>
    <t>ACSR : MOOSE CONDUCTOR - 520 SQ. MM. (54/7/3.53)</t>
  </si>
  <si>
    <t>FC6200002</t>
  </si>
  <si>
    <t>ACSR : DOG CONDUCTOR - 100 SQ. MM. (6/4.72/7/1.57)</t>
  </si>
  <si>
    <t>MD0100013</t>
  </si>
  <si>
    <t>DRUM - 48 X 14 X 36 X 2.25</t>
  </si>
  <si>
    <t>STEEL</t>
  </si>
  <si>
    <t>SP0400144</t>
  </si>
  <si>
    <t>CORRUGATED DISPATCH STEEL DRUM 1060 X 600 X 965 MM</t>
  </si>
  <si>
    <t>SP0400152</t>
  </si>
  <si>
    <t>CORRUGATED DISPATCH STEEL DRUM 1500 X 800 X 915</t>
  </si>
  <si>
    <t>SP0400126</t>
  </si>
  <si>
    <t>CORRUGATED DISPATCH STEEL DRUM 1900 X 830 X 915 MM</t>
  </si>
  <si>
    <t>SP0400139</t>
  </si>
  <si>
    <t>CORRUGATED DISPATCH STEEL DRUM 2130 X 890 X 965</t>
  </si>
  <si>
    <t>16 MT</t>
  </si>
  <si>
    <t>25 MT TRAILOR</t>
  </si>
  <si>
    <t>CONDUCTOR WEIGHT KG/KM</t>
  </si>
  <si>
    <t>DRUM WEIGHT</t>
  </si>
  <si>
    <t>CONDUCTOR+DRUM WEIGHT</t>
  </si>
  <si>
    <t>TRUCK/TRAILOR WEIGHT</t>
  </si>
  <si>
    <t>GUJARAT ENERGY TRANSMISSION CORPORATION LIMITED</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</si>
  <si>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</si>
  <si>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</si>
  <si>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</si>
  <si>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</si>
  <si>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</si>
  <si>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</si>
  <si>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</si>
  <si>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</si>
  <si>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</si>
  <si>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</si>
  <si>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</si>
  <si>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CE (P&amp;C)/TN-07/25-26 (Tender ID- 200421)
ACE(P&amp;C)/SE(P&amp;C)/EE(Proc)/I/E-3057/ACSR Conductor/2025-26</t>
  </si>
  <si>
    <t>Purchase of ACSR Dog, Panther, Zebra &amp; Moose Conductors on returnable steel drums as per specifications for F.Y. 2025-26 on variable price basis against tender no. ACE(P&amp;C)/SE(P&amp;C)/EE(Proc)/I/E-3057/ACSR Conductor/2025-26</t>
  </si>
  <si>
    <t>31-07-2025 16:00</t>
  </si>
  <si>
    <t>Inter-se Reverse Bidding = Applicable
Item wise Nos. NEW/REGULAR Bidders                                       Particulars
                             2                                                                                           No elimination
                       3 to 5                                                                               H-1 Bidder shall be eliminated
                     6 or more bidders                                                      H-1 &amp; H-2 Bidders shall be eliminated</t>
  </si>
  <si>
    <t>Base date for price variation will be 1st working day of the month, one month prior to month of opening of tender.
The average of prices as on first day of the previous calendar month of the due date of the tender in Rupees of E.C. Grade Aluminum wire Rods per MT exclusive of E.D. and ST as notified by CACMAI without ceiling</t>
  </si>
  <si>
    <t>The offer will have to be kept valid for a period of 120 days from the date of opening of bids. In case of finalization of the tender is likely to be delayed, the tenderer’s will be asked to extend the same without change in the prices or any terms and conditions of the offer.</t>
  </si>
  <si>
    <t>Commencement Period = One Month
ACSR Dog Conductor on returnable steel drums = One (01) Quarter
ACSR Panther Conductor on returnable steel drums = Three (03) Quarters (Equal quarterly basis)
ACSR Zebra Conductor on returnable steel drums = Two (02) Quarters (Equal quarterly basis)
ACSR Moose Conductor on returnable steel drums = Two (02) Quarters (Equal quarterly basis)
However early delivery will be acceptable.</t>
  </si>
  <si>
    <t>Payment shall be made by GETCO, either directly to you or to suppliers Banker for the materials supplied as per GETCO standard payment terms and conditions i.e. 80% of F.O.R. Destination Price and 100% GST and Cess as applicable, from the date of receipt of material [as mentioned in Truck Receipt Certificate (TRC)]within 30 (Thirty) days on verifying required documents as per A/T conditions and balance 20% of F.O.R. Destination Price within 45 days (Forty Five) on receipt of Store Receipt (S.R.) Note from the consignee.</t>
  </si>
  <si>
    <t>ACSR Dog Conductor on returnable steel drums
ACSR Panther Conductor on returnable steel drums
ACSR Zebra Conductor on returnable steel drums
ACSR Moose Conductor on returnable steel drums</t>
  </si>
  <si>
    <t>The standard length of the conductor shall be 2000 meter.
ACSR Moose, Zebra, Panther, And Dog. = 2000/2500 meter
Only one length of conductor shall be wound on each drum.</t>
  </si>
  <si>
    <t xml:space="preserve">This is the multiplication constant to be adopted for computing price Variation per Km. of the finished goods, which is as under:
ACSR Dog Conductor  = X   = 0.287
ACSR Panther Conductor = X   = 0.580 
ACSR Zebra Conductor = X   = 1.1899 
ACSR Moose Conductor = X   = 1.464 
ACSR Dog Conductor = Y = 0.106
ACSR Panther Conducto  = Y  = 0.388
ACSR Zebra Conductor  = Y  = 0.435 
ACSR Moose Conductor = Y   = 0.534 </t>
  </si>
  <si>
    <t>Item</t>
  </si>
  <si>
    <t>Calculation part</t>
  </si>
  <si>
    <t>DI date</t>
  </si>
  <si>
    <t>Applicable Date</t>
  </si>
  <si>
    <t>FACTORS</t>
  </si>
  <si>
    <t>EX-works rate</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</si>
  <si>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</si>
  <si>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</si>
  <si>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</si>
  <si>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</si>
  <si>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</si>
  <si>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</si>
  <si>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</si>
  <si>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</si>
  <si>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</si>
  <si>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</si>
  <si>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</si>
  <si>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</si>
  <si>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</si>
  <si>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</si>
  <si>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</si>
  <si>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</si>
  <si>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</si>
  <si>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</si>
  <si>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</si>
  <si>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</si>
  <si>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</si>
  <si>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ESTIMATED COST (INCLUDING GST) =</t>
  </si>
  <si>
    <t>OUR COST (INCLUDING GST) =</t>
  </si>
  <si>
    <t>DIFF % FROM OUR COST =</t>
  </si>
  <si>
    <t>GONDAL, GUJARAT-360311</t>
  </si>
  <si>
    <t>HALDARVA, GUJARAT-392011</t>
  </si>
  <si>
    <t>trailor</t>
  </si>
  <si>
    <t xml:space="preserve">average = </t>
  </si>
  <si>
    <t>16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</si>
</sst>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quot;#,##0"/>
    <numFmt numFmtId="172" formatCode="0.0"/>
    <numFmt numFmtId="173" formatCode="0.000"/>
    <numFmt numFmtId="174" formatCode="&quot;₹&quot;\ #,##0"/>
    <numFmt numFmtId="175" formatCode="&quot;Rs.&quot;#,##0.00"/>
    <numFmt numFmtId="176" formatCode="0.00000"/>
  </numFmts>
  <fonts count="57"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Arial"/>
      <family val="2"/>
    </font>
    <font>
      <sz val="10"/>
      <name val="Calibri"/>
      <family val="2"/>
      <scheme val="minor"/>
    </font>
    <font>
      <b/>
      <sz val="10"/>
      <name val="Verdana"/>
      <family val="2"/>
    </font>
    <font>
      <b/>
      <sz val="10"/>
      <name val="Arial"/>
      <family val="2"/>
    </font>
  </fonts>
  <fills count="1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3" fillId="0" borderId="0"/>
    <xf numFmtId="9" fontId="47" fillId="0" borderId="0" applyFont="0" applyFill="0" applyBorder="0" applyAlignment="0" applyProtection="0"/>
  </cellStyleXfs>
  <cellXfs count="247">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3" fontId="0" fillId="0" borderId="0" xfId="0" applyNumberFormat="1" applyAlignment="1">
      <alignment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52" fillId="0" borderId="0" xfId="6" applyFont="1" applyAlignment="1">
      <alignment horizontal="center" wrapText="1"/>
    </xf>
    <xf numFmtId="0" fontId="52" fillId="0" borderId="0" xfId="6" applyFont="1"/>
    <xf numFmtId="0" fontId="54" fillId="0" borderId="0" xfId="7" applyFont="1"/>
    <xf numFmtId="0" fontId="47" fillId="0" borderId="0" xfId="6"/>
    <xf numFmtId="0" fontId="0" fillId="0" borderId="0" xfId="0" applyAlignment="1">
      <alignment horizontal="center" wrapText="1"/>
    </xf>
    <xf numFmtId="0" fontId="55" fillId="0" borderId="1" xfId="6" applyFont="1" applyBorder="1" applyAlignment="1">
      <alignment horizontal="center" vertical="center"/>
    </xf>
    <xf numFmtId="0" fontId="54" fillId="0" borderId="0" xfId="6" applyFont="1" applyAlignment="1">
      <alignment horizontal="center"/>
    </xf>
    <xf numFmtId="0" fontId="47" fillId="0" borderId="0" xfId="6" applyAlignment="1">
      <alignment horizontal="center"/>
    </xf>
    <xf numFmtId="0" fontId="52" fillId="0" borderId="0" xfId="6" applyFont="1" applyAlignment="1">
      <alignment horizontal="center" vertical="center"/>
    </xf>
    <xf numFmtId="0" fontId="52" fillId="0" borderId="0" xfId="6" applyFont="1" applyAlignment="1">
      <alignment vertical="center"/>
    </xf>
    <xf numFmtId="0" fontId="2" fillId="0" borderId="0" xfId="0" applyFont="1" applyAlignment="1">
      <alignment vertical="center"/>
    </xf>
    <xf numFmtId="0" fontId="55" fillId="0" borderId="0" xfId="6" applyFont="1"/>
    <xf numFmtId="0" fontId="52" fillId="0" borderId="25" xfId="7" applyFont="1" applyBorder="1" applyAlignment="1">
      <alignment horizontal="center" vertical="center" wrapText="1"/>
    </xf>
    <xf numFmtId="0" fontId="52" fillId="0" borderId="13" xfId="7" applyFont="1" applyBorder="1" applyAlignment="1">
      <alignment horizontal="center" vertical="center" wrapText="1"/>
    </xf>
    <xf numFmtId="0" fontId="56" fillId="0" borderId="9" xfId="7" applyFont="1" applyBorder="1" applyAlignment="1">
      <alignment horizontal="center" vertical="center" wrapText="1"/>
    </xf>
    <xf numFmtId="0" fontId="56" fillId="0" borderId="37" xfId="7" applyFont="1" applyBorder="1" applyAlignment="1">
      <alignment horizontal="center" vertical="center" wrapText="1"/>
    </xf>
    <xf numFmtId="0" fontId="56" fillId="10" borderId="37" xfId="7" applyFont="1" applyFill="1" applyBorder="1" applyAlignment="1">
      <alignment horizontal="center" vertical="center" wrapText="1"/>
    </xf>
    <xf numFmtId="0" fontId="56" fillId="0" borderId="38" xfId="7" applyFont="1" applyBorder="1" applyAlignment="1">
      <alignment horizontal="center" vertical="center" wrapText="1"/>
    </xf>
    <xf numFmtId="0" fontId="56" fillId="0" borderId="39" xfId="7" applyFont="1" applyBorder="1" applyAlignment="1">
      <alignment horizontal="center" vertical="center" wrapText="1"/>
    </xf>
    <xf numFmtId="0" fontId="47" fillId="0" borderId="23" xfId="6" applyBorder="1"/>
    <xf numFmtId="0" fontId="47" fillId="0" borderId="15" xfId="6" applyBorder="1"/>
    <xf numFmtId="0" fontId="54" fillId="0" borderId="23" xfId="7" applyFont="1" applyBorder="1"/>
    <xf numFmtId="0" fontId="54" fillId="0" borderId="23" xfId="7" applyFont="1" applyBorder="1" applyAlignment="1">
      <alignment horizontal="left" vertical="center" wrapText="1"/>
    </xf>
    <xf numFmtId="14" fontId="54" fillId="0" borderId="13" xfId="7" applyNumberFormat="1" applyFont="1" applyBorder="1" applyAlignment="1">
      <alignment horizontal="center" vertical="center" wrapText="1"/>
    </xf>
    <xf numFmtId="14" fontId="54" fillId="0" borderId="11" xfId="7" applyNumberFormat="1" applyFont="1" applyBorder="1" applyAlignment="1">
      <alignment horizontal="center" vertical="center" wrapText="1"/>
    </xf>
    <xf numFmtId="14" fontId="54" fillId="0" borderId="40" xfId="7" applyNumberFormat="1" applyFont="1" applyBorder="1" applyAlignment="1">
      <alignment horizontal="center" vertical="center" wrapText="1"/>
    </xf>
    <xf numFmtId="14" fontId="54" fillId="0" borderId="0" xfId="7" applyNumberFormat="1" applyFont="1" applyAlignment="1">
      <alignment horizontal="center" vertical="center" wrapText="1"/>
    </xf>
    <xf numFmtId="2" fontId="52" fillId="0" borderId="33" xfId="7" applyNumberFormat="1" applyFont="1" applyBorder="1" applyAlignment="1">
      <alignment horizontal="center" vertical="center" wrapText="1"/>
    </xf>
    <xf numFmtId="0" fontId="54" fillId="0" borderId="27" xfId="7" applyFont="1" applyBorder="1" applyAlignment="1">
      <alignment horizontal="center" vertical="center" wrapText="1"/>
    </xf>
    <xf numFmtId="0" fontId="54" fillId="0" borderId="11" xfId="7" applyFont="1" applyBorder="1" applyAlignment="1">
      <alignment horizontal="center" vertical="center" wrapText="1"/>
    </xf>
    <xf numFmtId="171" fontId="56" fillId="0" borderId="10" xfId="7" applyNumberFormat="1" applyFont="1" applyBorder="1" applyAlignment="1">
      <alignment horizontal="center" vertical="center" wrapText="1"/>
    </xf>
    <xf numFmtId="171" fontId="56" fillId="0" borderId="1" xfId="7" applyNumberFormat="1" applyFont="1" applyBorder="1" applyAlignment="1">
      <alignment horizontal="center" vertical="center" wrapText="1"/>
    </xf>
    <xf numFmtId="1" fontId="53" fillId="0" borderId="1" xfId="7" applyNumberFormat="1" applyBorder="1"/>
    <xf numFmtId="1" fontId="56" fillId="0" borderId="4" xfId="7" applyNumberFormat="1" applyFont="1" applyBorder="1"/>
    <xf numFmtId="1" fontId="53" fillId="0" borderId="1" xfId="7" applyNumberFormat="1" applyBorder="1" applyAlignment="1">
      <alignment horizontal="center"/>
    </xf>
    <xf numFmtId="0" fontId="53" fillId="0" borderId="41" xfId="7" applyBorder="1"/>
    <xf numFmtId="0" fontId="47" fillId="0" borderId="2" xfId="6" applyBorder="1" applyAlignment="1">
      <alignment horizontal="center" wrapText="1"/>
    </xf>
    <xf numFmtId="0" fontId="47" fillId="0" borderId="24" xfId="6" applyBorder="1"/>
    <xf numFmtId="14" fontId="54" fillId="0" borderId="33" xfId="7" applyNumberFormat="1" applyFont="1" applyBorder="1" applyAlignment="1">
      <alignment horizontal="center" vertical="center" wrapText="1"/>
    </xf>
    <xf numFmtId="14" fontId="52" fillId="11" borderId="33" xfId="7" applyNumberFormat="1" applyFont="1" applyFill="1" applyBorder="1" applyAlignment="1">
      <alignment horizontal="center" vertical="center" wrapText="1"/>
    </xf>
    <xf numFmtId="2" fontId="4" fillId="0" borderId="4" xfId="7" applyNumberFormat="1" applyFont="1" applyBorder="1" applyAlignment="1">
      <alignment horizontal="center" vertical="center" wrapText="1"/>
    </xf>
    <xf numFmtId="172" fontId="54" fillId="0" borderId="2" xfId="7" applyNumberFormat="1" applyFont="1" applyBorder="1" applyAlignment="1">
      <alignment horizontal="center" vertical="center" wrapText="1"/>
    </xf>
    <xf numFmtId="173" fontId="54" fillId="0" borderId="33" xfId="7" applyNumberFormat="1" applyFont="1" applyBorder="1" applyAlignment="1">
      <alignment horizontal="center" vertical="center" wrapText="1"/>
    </xf>
    <xf numFmtId="174" fontId="52" fillId="0" borderId="33" xfId="7" applyNumberFormat="1" applyFont="1" applyBorder="1" applyAlignment="1">
      <alignment horizontal="center" vertical="center" wrapText="1"/>
    </xf>
    <xf numFmtId="170" fontId="54" fillId="0" borderId="4" xfId="7" applyNumberFormat="1" applyFont="1" applyBorder="1" applyAlignment="1">
      <alignment vertical="center" wrapText="1"/>
    </xf>
    <xf numFmtId="170" fontId="54" fillId="0" borderId="1" xfId="7" applyNumberFormat="1" applyFont="1" applyBorder="1" applyAlignment="1">
      <alignment vertical="center" wrapText="1"/>
    </xf>
    <xf numFmtId="174" fontId="52" fillId="12" borderId="1" xfId="7" applyNumberFormat="1" applyFont="1" applyFill="1" applyBorder="1" applyAlignment="1">
      <alignment horizontal="center" vertical="center" wrapText="1"/>
    </xf>
    <xf numFmtId="174" fontId="52" fillId="13" borderId="2" xfId="7" applyNumberFormat="1" applyFont="1" applyFill="1" applyBorder="1" applyAlignment="1">
      <alignment horizontal="center" vertical="center" wrapText="1"/>
    </xf>
    <xf numFmtId="2" fontId="53" fillId="0" borderId="10" xfId="7" applyNumberFormat="1" applyBorder="1" applyAlignment="1">
      <alignment horizontal="center" vertical="center"/>
    </xf>
    <xf numFmtId="2" fontId="53" fillId="0" borderId="1" xfId="7" applyNumberFormat="1" applyBorder="1" applyAlignment="1">
      <alignment horizontal="center" vertical="center"/>
    </xf>
    <xf numFmtId="175" fontId="53" fillId="0" borderId="1" xfId="7" applyNumberFormat="1" applyBorder="1" applyAlignment="1">
      <alignment vertical="center"/>
    </xf>
    <xf numFmtId="10" fontId="55" fillId="0" borderId="4" xfId="8" applyNumberFormat="1" applyFont="1" applyFill="1" applyBorder="1" applyAlignment="1">
      <alignment vertical="center"/>
    </xf>
    <xf numFmtId="10" fontId="53" fillId="0" borderId="1" xfId="7" applyNumberFormat="1" applyBorder="1" applyAlignment="1">
      <alignment vertical="center"/>
    </xf>
    <xf numFmtId="10" fontId="55" fillId="0" borderId="41" xfId="7" applyNumberFormat="1" applyFont="1" applyBorder="1" applyAlignment="1">
      <alignment vertical="center"/>
    </xf>
    <xf numFmtId="170" fontId="54" fillId="0" borderId="33" xfId="7" applyNumberFormat="1" applyFont="1" applyBorder="1" applyAlignment="1">
      <alignment horizontal="center" vertical="center" wrapText="1"/>
    </xf>
    <xf numFmtId="0" fontId="47" fillId="0" borderId="42" xfId="6" applyBorder="1" applyAlignment="1">
      <alignment wrapText="1"/>
    </xf>
    <xf numFmtId="0" fontId="47" fillId="0" borderId="29" xfId="6" applyBorder="1"/>
    <xf numFmtId="14" fontId="54" fillId="0" borderId="42" xfId="7" applyNumberFormat="1" applyFont="1" applyBorder="1" applyAlignment="1">
      <alignment horizontal="center" vertical="center" wrapText="1"/>
    </xf>
    <xf numFmtId="2" fontId="54" fillId="0" borderId="43" xfId="7" applyNumberFormat="1" applyFont="1" applyBorder="1" applyAlignment="1">
      <alignment horizontal="center" vertical="center" wrapText="1"/>
    </xf>
    <xf numFmtId="2" fontId="54" fillId="0" borderId="30" xfId="7" applyNumberFormat="1" applyFont="1" applyBorder="1" applyAlignment="1">
      <alignment horizontal="center" vertical="center" wrapText="1"/>
    </xf>
    <xf numFmtId="2" fontId="54" fillId="0" borderId="42" xfId="7" applyNumberFormat="1" applyFont="1" applyBorder="1" applyAlignment="1">
      <alignment horizontal="center" vertical="center" wrapText="1"/>
    </xf>
    <xf numFmtId="172" fontId="54" fillId="0" borderId="43" xfId="7" applyNumberFormat="1" applyFont="1" applyBorder="1" applyAlignment="1">
      <alignment horizontal="center" vertical="center" wrapText="1"/>
    </xf>
    <xf numFmtId="172" fontId="54" fillId="0" borderId="30" xfId="7" applyNumberFormat="1" applyFont="1" applyBorder="1" applyAlignment="1">
      <alignment horizontal="center" vertical="center" wrapText="1"/>
    </xf>
    <xf numFmtId="176" fontId="54" fillId="0" borderId="43" xfId="7" applyNumberFormat="1" applyFont="1" applyBorder="1" applyAlignment="1">
      <alignment vertical="center" wrapText="1"/>
    </xf>
    <xf numFmtId="170" fontId="54" fillId="0" borderId="44" xfId="7" applyNumberFormat="1" applyFont="1" applyBorder="1" applyAlignment="1">
      <alignment horizontal="center" vertical="center" wrapText="1"/>
    </xf>
    <xf numFmtId="0" fontId="47" fillId="0" borderId="11" xfId="6" applyBorder="1" applyAlignment="1">
      <alignment vertical="center"/>
    </xf>
    <xf numFmtId="0" fontId="47" fillId="0" borderId="0" xfId="6" applyAlignment="1">
      <alignment vertical="center"/>
    </xf>
    <xf numFmtId="164" fontId="0" fillId="0" borderId="0" xfId="0" applyNumberFormat="1"/>
    <xf numFmtId="0" fontId="2" fillId="0" borderId="0" xfId="0" applyFont="1" applyAlignment="1">
      <alignment horizontal="right"/>
    </xf>
    <xf numFmtId="164" fontId="2" fillId="0" borderId="0" xfId="1" applyFont="1"/>
    <xf numFmtId="10" fontId="2" fillId="0" borderId="0" xfId="2" applyNumberFormat="1" applyFont="1" applyAlignment="1">
      <alignment horizontal="center"/>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wrapText="1"/>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29" xfId="7" applyFont="1" applyBorder="1" applyAlignment="1">
      <alignment horizontal="center" vertical="center"/>
    </xf>
    <xf numFmtId="0" fontId="56" fillId="0" borderId="30" xfId="7" applyFont="1" applyBorder="1" applyAlignment="1">
      <alignment horizontal="center" vertical="center"/>
    </xf>
    <xf numFmtId="0" fontId="56" fillId="0" borderId="31" xfId="7" applyFont="1" applyBorder="1" applyAlignment="1">
      <alignment horizontal="center" vertical="center"/>
    </xf>
    <xf numFmtId="0" fontId="52" fillId="0" borderId="19"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34"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7" xfId="7" applyFont="1" applyBorder="1" applyAlignment="1">
      <alignment horizontal="center" vertical="center" wrapText="1"/>
    </xf>
    <xf numFmtId="0" fontId="52" fillId="0" borderId="35" xfId="7" applyFont="1" applyBorder="1" applyAlignment="1">
      <alignment horizontal="center" vertical="center" wrapText="1"/>
    </xf>
    <xf numFmtId="0" fontId="52" fillId="0" borderId="21" xfId="7" applyFont="1" applyBorder="1" applyAlignment="1">
      <alignment horizontal="center" vertical="center" wrapText="1"/>
    </xf>
    <xf numFmtId="0" fontId="52" fillId="0" borderId="28" xfId="7" applyFont="1" applyBorder="1" applyAlignment="1">
      <alignment horizontal="center" vertical="center" wrapText="1"/>
    </xf>
    <xf numFmtId="0" fontId="52" fillId="0" borderId="36" xfId="7" applyFont="1" applyBorder="1" applyAlignment="1">
      <alignment horizontal="center" vertical="center" wrapText="1"/>
    </xf>
    <xf numFmtId="0" fontId="56" fillId="0" borderId="15" xfId="7" applyFont="1" applyBorder="1" applyAlignment="1">
      <alignment horizontal="center" vertical="center"/>
    </xf>
    <xf numFmtId="0" fontId="56" fillId="0" borderId="22" xfId="7" applyFont="1" applyBorder="1" applyAlignment="1">
      <alignment horizontal="center" vertical="center"/>
    </xf>
    <xf numFmtId="0" fontId="56" fillId="0" borderId="18" xfId="7" applyFont="1" applyBorder="1" applyAlignment="1">
      <alignment horizontal="center" vertical="center"/>
    </xf>
    <xf numFmtId="0" fontId="52" fillId="0" borderId="2" xfId="6" applyFont="1" applyBorder="1" applyAlignment="1">
      <alignment horizontal="center" vertical="center" wrapText="1"/>
    </xf>
    <xf numFmtId="0" fontId="52" fillId="0" borderId="3" xfId="6" applyFont="1" applyBorder="1" applyAlignment="1">
      <alignment horizontal="center" vertical="center" wrapText="1"/>
    </xf>
    <xf numFmtId="0" fontId="52" fillId="0" borderId="4" xfId="6" applyFont="1" applyBorder="1" applyAlignment="1">
      <alignment horizontal="center" vertical="center" wrapText="1"/>
    </xf>
    <xf numFmtId="0" fontId="2" fillId="0" borderId="1" xfId="0" applyFont="1" applyBorder="1" applyAlignment="1">
      <alignment horizontal="center" wrapText="1"/>
    </xf>
    <xf numFmtId="14" fontId="55" fillId="9" borderId="1" xfId="6" applyNumberFormat="1" applyFont="1" applyFill="1" applyBorder="1" applyAlignment="1">
      <alignment horizontal="center" vertical="center"/>
    </xf>
    <xf numFmtId="0" fontId="55" fillId="9" borderId="1" xfId="6" applyFont="1" applyFill="1" applyBorder="1" applyAlignment="1">
      <alignment horizontal="center" vertical="center"/>
    </xf>
    <xf numFmtId="0" fontId="52" fillId="0" borderId="18" xfId="7" applyFont="1" applyBorder="1" applyAlignment="1">
      <alignment horizontal="center" vertical="center" wrapText="1"/>
    </xf>
    <xf numFmtId="0" fontId="52" fillId="0" borderId="24" xfId="7" applyFont="1" applyBorder="1" applyAlignment="1">
      <alignment horizontal="center" vertical="center" wrapText="1"/>
    </xf>
    <xf numFmtId="0" fontId="52" fillId="0" borderId="26"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32" xfId="7" applyFont="1" applyBorder="1" applyAlignment="1">
      <alignment horizontal="center" vertical="center" wrapText="1"/>
    </xf>
    <xf numFmtId="0" fontId="52" fillId="0" borderId="25" xfId="7" applyFont="1" applyBorder="1" applyAlignment="1">
      <alignment horizontal="center" vertical="center" wrapText="1"/>
    </xf>
    <xf numFmtId="0" fontId="52" fillId="0" borderId="33" xfId="7" applyFont="1" applyBorder="1" applyAlignment="1">
      <alignment horizontal="center" vertical="center" wrapText="1"/>
    </xf>
    <xf numFmtId="0" fontId="52" fillId="0" borderId="4" xfId="7" applyFont="1" applyBorder="1" applyAlignment="1">
      <alignment horizontal="center" vertical="center" wrapText="1"/>
    </xf>
    <xf numFmtId="0" fontId="52" fillId="0" borderId="2" xfId="7" applyFont="1" applyBorder="1" applyAlignment="1">
      <alignment horizontal="center" vertical="center" wrapText="1"/>
    </xf>
    <xf numFmtId="0" fontId="47" fillId="0" borderId="12" xfId="6" applyBorder="1" applyAlignment="1">
      <alignment horizontal="center"/>
    </xf>
    <xf numFmtId="0" fontId="47" fillId="0" borderId="13" xfId="6" applyBorder="1" applyAlignment="1">
      <alignment horizontal="center"/>
    </xf>
    <xf numFmtId="0" fontId="52" fillId="0" borderId="1" xfId="6" applyFont="1" applyBorder="1" applyAlignment="1">
      <alignment horizontal="left" vertical="center" wrapText="1"/>
    </xf>
    <xf numFmtId="0" fontId="55" fillId="0" borderId="14" xfId="6" applyFont="1" applyBorder="1" applyAlignment="1">
      <alignment horizontal="center" vertical="center"/>
    </xf>
    <xf numFmtId="0" fontId="55" fillId="0" borderId="23" xfId="6" applyFont="1" applyBorder="1" applyAlignment="1">
      <alignment horizontal="center" vertical="center"/>
    </xf>
    <xf numFmtId="0" fontId="55" fillId="0" borderId="32" xfId="6" applyFont="1" applyBorder="1" applyAlignment="1">
      <alignment horizontal="center" vertical="center"/>
    </xf>
    <xf numFmtId="0" fontId="55" fillId="0" borderId="15" xfId="6" applyFont="1" applyBorder="1" applyAlignment="1">
      <alignment horizontal="center" vertical="center" wrapText="1"/>
    </xf>
    <xf numFmtId="0" fontId="55" fillId="0" borderId="24" xfId="6" applyFont="1" applyBorder="1" applyAlignment="1">
      <alignment horizontal="center" vertical="center" wrapText="1"/>
    </xf>
    <xf numFmtId="0" fontId="5" fillId="0" borderId="0" xfId="0" applyFont="1" applyAlignment="1">
      <alignment horizontal="right"/>
    </xf>
    <xf numFmtId="0" fontId="0" fillId="0" borderId="0" xfId="0" applyAlignment="1">
      <alignment horizontal="right"/>
    </xf>
    <xf numFmtId="4" fontId="0" fillId="0" borderId="0" xfId="2" applyNumberFormat="1" applyFont="1"/>
    <xf numFmtId="4" fontId="2" fillId="0" borderId="0" xfId="2" applyNumberFormat="1" applyFont="1"/>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FD863724-DEF6-4EFF-9B8E-414C5C34F5E0}"/>
    <cellStyle name="Normal 6 2" xfId="6" xr:uid="{ED589843-B85C-47BA-BCE0-2FB4580E5D24}"/>
    <cellStyle name="Percent" xfId="2" builtinId="5"/>
    <cellStyle name="Percent 2" xfId="8" xr:uid="{69E9F900-CB25-451C-9511-5DBF62573232}"/>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T1" activePane="topRight" state="frozen"/>
      <selection pane="topRight" activeCell="AT3" sqref="AT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92</v>
      </c>
      <c r="CY1" s="10" t="s">
        <v>93</v>
      </c>
      <c r="CZ1" s="10" t="s">
        <v>219</v>
      </c>
    </row>
    <row r="2" spans="1:104" s="10" customFormat="1" ht="18" customHeight="1" x14ac:dyDescent="0.25">
      <c r="A2" s="6" t="s">
        <v>220</v>
      </c>
      <c r="B2" s="63"/>
      <c r="C2" s="1" t="s">
        <v>221</v>
      </c>
      <c r="D2" s="1" t="s">
        <v>222</v>
      </c>
      <c r="E2" s="1" t="s">
        <v>223</v>
      </c>
      <c r="F2" s="58"/>
      <c r="G2" s="58"/>
      <c r="H2" s="58">
        <v>0</v>
      </c>
      <c r="I2" s="58"/>
      <c r="J2" s="53" t="s">
        <v>41</v>
      </c>
      <c r="K2" s="53"/>
      <c r="L2" s="53">
        <v>588</v>
      </c>
      <c r="M2" s="53"/>
      <c r="N2" s="52"/>
      <c r="O2" s="52"/>
      <c r="P2" s="52">
        <v>0</v>
      </c>
      <c r="Q2" s="52"/>
      <c r="R2" s="56"/>
      <c r="S2" s="56"/>
      <c r="T2" s="56">
        <v>0</v>
      </c>
      <c r="U2" s="56"/>
      <c r="V2" s="55"/>
      <c r="W2" s="55"/>
      <c r="X2" s="55">
        <v>0</v>
      </c>
      <c r="Y2" s="55"/>
      <c r="Z2" s="1"/>
      <c r="AA2" s="1"/>
      <c r="AB2" s="1">
        <v>0</v>
      </c>
      <c r="AC2" s="1"/>
      <c r="AD2" s="54"/>
      <c r="AE2" s="54"/>
      <c r="AF2" s="54">
        <v>0</v>
      </c>
      <c r="AG2" s="54"/>
      <c r="AH2" s="55" t="s">
        <v>55</v>
      </c>
      <c r="AI2" s="55"/>
      <c r="AJ2" s="55">
        <v>388</v>
      </c>
      <c r="AK2" s="55"/>
      <c r="AL2" s="1"/>
      <c r="AM2" s="1"/>
      <c r="AN2" s="1">
        <v>0</v>
      </c>
      <c r="AO2" s="1"/>
      <c r="AP2" s="57"/>
      <c r="AQ2" s="57"/>
      <c r="AR2" s="57">
        <v>0</v>
      </c>
      <c r="AS2" s="57"/>
      <c r="AT2" s="1" t="s">
        <v>50</v>
      </c>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3956</v>
      </c>
      <c r="CA2" s="1">
        <v>3956</v>
      </c>
      <c r="CB2" s="60"/>
      <c r="CC2" s="1"/>
      <c r="CD2" s="60"/>
      <c r="CE2" s="1"/>
      <c r="CF2" s="60"/>
      <c r="CG2" s="1"/>
      <c r="CH2" s="1">
        <v>3956</v>
      </c>
      <c r="CI2" s="60"/>
      <c r="CJ2" s="1"/>
      <c r="CK2" s="60"/>
      <c r="CL2" s="1"/>
      <c r="CM2" s="1"/>
      <c r="CN2" s="1"/>
      <c r="CO2" s="1">
        <v>3956</v>
      </c>
      <c r="CP2" s="60"/>
      <c r="CQ2" s="1">
        <v>3956</v>
      </c>
      <c r="CR2" s="60">
        <v>0.18</v>
      </c>
      <c r="CS2" s="1">
        <v>712.08</v>
      </c>
      <c r="CT2" s="1">
        <v>4668.08</v>
      </c>
      <c r="CU2" s="59">
        <v>10772</v>
      </c>
      <c r="CV2" s="59" t="s">
        <v>224</v>
      </c>
      <c r="CW2" s="59">
        <v>50284558</v>
      </c>
      <c r="CX2" s="1" t="s">
        <v>225</v>
      </c>
      <c r="CY2" s="10" t="s">
        <v>226</v>
      </c>
      <c r="CZ2" s="10">
        <v>2000</v>
      </c>
    </row>
    <row r="3" spans="1:104" s="10" customFormat="1" ht="18" customHeight="1" x14ac:dyDescent="0.25">
      <c r="A3" s="6" t="s">
        <v>220</v>
      </c>
      <c r="B3" s="63"/>
      <c r="C3" s="1" t="s">
        <v>227</v>
      </c>
      <c r="D3" s="1" t="s">
        <v>228</v>
      </c>
      <c r="E3" s="1" t="s">
        <v>223</v>
      </c>
      <c r="F3" s="58"/>
      <c r="G3" s="58"/>
      <c r="H3" s="58">
        <v>0</v>
      </c>
      <c r="I3" s="58"/>
      <c r="J3" s="53" t="s">
        <v>41</v>
      </c>
      <c r="K3" s="53"/>
      <c r="L3" s="53">
        <v>1186</v>
      </c>
      <c r="M3" s="53"/>
      <c r="N3" s="52"/>
      <c r="O3" s="52"/>
      <c r="P3" s="52">
        <v>0</v>
      </c>
      <c r="Q3" s="52"/>
      <c r="R3" s="56"/>
      <c r="S3" s="56"/>
      <c r="T3" s="56">
        <v>0</v>
      </c>
      <c r="U3" s="56"/>
      <c r="V3" s="55"/>
      <c r="W3" s="55"/>
      <c r="X3" s="55">
        <v>0</v>
      </c>
      <c r="Y3" s="55"/>
      <c r="Z3" s="1"/>
      <c r="AA3" s="1"/>
      <c r="AB3" s="1">
        <v>0</v>
      </c>
      <c r="AC3" s="1"/>
      <c r="AD3" s="54"/>
      <c r="AE3" s="54"/>
      <c r="AF3" s="54">
        <v>0</v>
      </c>
      <c r="AG3" s="54"/>
      <c r="AH3" s="55" t="s">
        <v>55</v>
      </c>
      <c r="AI3" s="55"/>
      <c r="AJ3" s="55">
        <v>436</v>
      </c>
      <c r="AK3" s="55"/>
      <c r="AL3" s="1"/>
      <c r="AM3" s="1"/>
      <c r="AN3" s="1">
        <v>0</v>
      </c>
      <c r="AO3" s="1"/>
      <c r="AP3" s="57"/>
      <c r="AQ3" s="57"/>
      <c r="AR3" s="57">
        <v>0</v>
      </c>
      <c r="AS3" s="57"/>
      <c r="AT3" s="1"/>
      <c r="AU3" s="1"/>
      <c r="AV3" s="1">
        <v>0</v>
      </c>
      <c r="AW3" s="1"/>
      <c r="AX3" s="1"/>
      <c r="AY3" s="1"/>
      <c r="AZ3" s="1">
        <v>0</v>
      </c>
      <c r="BA3" s="1"/>
      <c r="BB3" s="1"/>
      <c r="BC3" s="1"/>
      <c r="BD3" s="1">
        <v>0</v>
      </c>
      <c r="BE3" s="1"/>
      <c r="BF3" s="1"/>
      <c r="BG3" s="1"/>
      <c r="BH3" s="1">
        <v>0</v>
      </c>
      <c r="BI3" s="1"/>
      <c r="BJ3" s="1"/>
      <c r="BK3" s="1"/>
      <c r="BL3" s="1">
        <v>0</v>
      </c>
      <c r="BM3" s="70"/>
      <c r="BN3" s="1"/>
      <c r="BO3" s="1"/>
      <c r="BP3" s="1">
        <v>0</v>
      </c>
      <c r="BQ3" s="1"/>
      <c r="BR3" s="1"/>
      <c r="BS3" s="1"/>
      <c r="BT3" s="1">
        <v>0</v>
      </c>
      <c r="BU3" s="1"/>
      <c r="BV3" s="1"/>
      <c r="BW3" s="1"/>
      <c r="BX3" s="1">
        <v>0</v>
      </c>
      <c r="BY3" s="1"/>
      <c r="BZ3" s="1">
        <v>7182</v>
      </c>
      <c r="CA3" s="1">
        <v>7182</v>
      </c>
      <c r="CB3" s="60"/>
      <c r="CC3" s="1"/>
      <c r="CD3" s="60"/>
      <c r="CE3" s="1"/>
      <c r="CF3" s="60"/>
      <c r="CG3" s="1"/>
      <c r="CH3" s="1">
        <v>7182</v>
      </c>
      <c r="CI3" s="60"/>
      <c r="CJ3" s="1"/>
      <c r="CK3" s="60"/>
      <c r="CL3" s="1"/>
      <c r="CM3" s="1"/>
      <c r="CN3" s="1"/>
      <c r="CO3" s="1">
        <v>7182</v>
      </c>
      <c r="CP3" s="60"/>
      <c r="CQ3" s="1">
        <v>7182</v>
      </c>
      <c r="CR3" s="60">
        <v>0.18</v>
      </c>
      <c r="CS3" s="1">
        <v>1292.76</v>
      </c>
      <c r="CT3" s="1">
        <v>8474.76</v>
      </c>
      <c r="CU3" s="59">
        <v>1566</v>
      </c>
      <c r="CV3" s="59" t="s">
        <v>224</v>
      </c>
      <c r="CW3" s="59">
        <v>13271474</v>
      </c>
      <c r="CX3" s="1" t="s">
        <v>229</v>
      </c>
      <c r="CY3" s="10" t="s">
        <v>230</v>
      </c>
      <c r="CZ3" s="10">
        <v>2000</v>
      </c>
    </row>
    <row r="4" spans="1:104" s="10" customFormat="1" ht="18" customHeight="1" x14ac:dyDescent="0.25">
      <c r="A4" s="6" t="s">
        <v>220</v>
      </c>
      <c r="B4" s="63"/>
      <c r="C4" s="1" t="s">
        <v>231</v>
      </c>
      <c r="D4" s="1" t="s">
        <v>232</v>
      </c>
      <c r="E4" s="1" t="s">
        <v>223</v>
      </c>
      <c r="F4" s="58"/>
      <c r="G4" s="58"/>
      <c r="H4" s="58">
        <v>0</v>
      </c>
      <c r="I4" s="58"/>
      <c r="J4" s="53" t="s">
        <v>41</v>
      </c>
      <c r="K4" s="53"/>
      <c r="L4" s="53">
        <v>1467</v>
      </c>
      <c r="M4" s="53"/>
      <c r="N4" s="52"/>
      <c r="O4" s="52"/>
      <c r="P4" s="52">
        <v>0</v>
      </c>
      <c r="Q4" s="52"/>
      <c r="R4" s="56"/>
      <c r="S4" s="56"/>
      <c r="T4" s="56">
        <v>0</v>
      </c>
      <c r="U4" s="56"/>
      <c r="V4" s="55"/>
      <c r="W4" s="55"/>
      <c r="X4" s="55">
        <v>0</v>
      </c>
      <c r="Y4" s="55"/>
      <c r="Z4" s="1"/>
      <c r="AA4" s="1"/>
      <c r="AB4" s="1">
        <v>0</v>
      </c>
      <c r="AC4" s="1"/>
      <c r="AD4" s="54"/>
      <c r="AE4" s="54"/>
      <c r="AF4" s="54">
        <v>0</v>
      </c>
      <c r="AG4" s="54"/>
      <c r="AH4" s="55" t="s">
        <v>55</v>
      </c>
      <c r="AI4" s="55"/>
      <c r="AJ4" s="55">
        <v>537</v>
      </c>
      <c r="AK4" s="55"/>
      <c r="AL4" s="1"/>
      <c r="AM4" s="1"/>
      <c r="AN4" s="1">
        <v>0</v>
      </c>
      <c r="AO4" s="1"/>
      <c r="AP4" s="57"/>
      <c r="AQ4" s="57"/>
      <c r="AR4" s="57">
        <v>0</v>
      </c>
      <c r="AS4" s="57"/>
      <c r="AT4" s="1" t="s">
        <v>50</v>
      </c>
      <c r="AU4" s="1"/>
      <c r="AV4" s="1">
        <v>0</v>
      </c>
      <c r="AW4" s="1"/>
      <c r="AX4" s="1"/>
      <c r="AY4" s="1"/>
      <c r="AZ4" s="1">
        <v>0</v>
      </c>
      <c r="BA4" s="1"/>
      <c r="BB4" s="1"/>
      <c r="BC4" s="1"/>
      <c r="BD4" s="1">
        <v>0</v>
      </c>
      <c r="BE4" s="1"/>
      <c r="BF4" s="1"/>
      <c r="BG4" s="1"/>
      <c r="BH4" s="1">
        <v>0</v>
      </c>
      <c r="BI4" s="1"/>
      <c r="BJ4" s="1"/>
      <c r="BK4" s="1"/>
      <c r="BL4" s="1">
        <v>0</v>
      </c>
      <c r="BM4" s="70"/>
      <c r="BN4" s="1"/>
      <c r="BO4" s="1"/>
      <c r="BP4" s="1">
        <v>0</v>
      </c>
      <c r="BQ4" s="1"/>
      <c r="BR4" s="1"/>
      <c r="BS4" s="1"/>
      <c r="BT4" s="1">
        <v>0</v>
      </c>
      <c r="BU4" s="1"/>
      <c r="BV4" s="1"/>
      <c r="BW4" s="1"/>
      <c r="BX4" s="1">
        <v>0</v>
      </c>
      <c r="BY4" s="1"/>
      <c r="BZ4" s="1"/>
      <c r="CA4" s="1"/>
      <c r="CB4" s="60"/>
      <c r="CC4" s="1"/>
      <c r="CD4" s="60"/>
      <c r="CE4" s="1"/>
      <c r="CF4" s="60"/>
      <c r="CG4" s="1"/>
      <c r="CH4" s="1"/>
      <c r="CI4" s="60"/>
      <c r="CJ4" s="1"/>
      <c r="CK4" s="60"/>
      <c r="CL4" s="1"/>
      <c r="CM4" s="1"/>
      <c r="CN4" s="1"/>
      <c r="CO4" s="1"/>
      <c r="CP4" s="60"/>
      <c r="CQ4" s="1"/>
      <c r="CR4" s="60">
        <v>0.18</v>
      </c>
      <c r="CS4" s="1"/>
      <c r="CT4" s="1"/>
      <c r="CU4" s="59">
        <v>2200</v>
      </c>
      <c r="CV4" s="59" t="s">
        <v>224</v>
      </c>
      <c r="CW4" s="59"/>
      <c r="CX4" s="1"/>
      <c r="CZ4" s="10">
        <v>2000</v>
      </c>
    </row>
    <row r="5" spans="1:104" s="10" customFormat="1" ht="18" customHeight="1" x14ac:dyDescent="0.25">
      <c r="A5" s="6" t="s">
        <v>220</v>
      </c>
      <c r="B5" s="63"/>
      <c r="C5" s="1" t="s">
        <v>233</v>
      </c>
      <c r="D5" s="1" t="s">
        <v>234</v>
      </c>
      <c r="E5" s="1" t="s">
        <v>223</v>
      </c>
      <c r="F5" s="58"/>
      <c r="G5" s="58"/>
      <c r="H5" s="58">
        <v>0</v>
      </c>
      <c r="I5" s="58"/>
      <c r="J5" s="53" t="s">
        <v>41</v>
      </c>
      <c r="K5" s="53"/>
      <c r="L5" s="53">
        <v>288</v>
      </c>
      <c r="M5" s="53"/>
      <c r="N5" s="52"/>
      <c r="O5" s="52"/>
      <c r="P5" s="52">
        <v>0</v>
      </c>
      <c r="Q5" s="52"/>
      <c r="R5" s="56"/>
      <c r="S5" s="56"/>
      <c r="T5" s="56">
        <v>0</v>
      </c>
      <c r="U5" s="56"/>
      <c r="V5" s="55"/>
      <c r="W5" s="55"/>
      <c r="X5" s="55">
        <v>0</v>
      </c>
      <c r="Y5" s="55"/>
      <c r="Z5" s="1"/>
      <c r="AA5" s="1"/>
      <c r="AB5" s="1">
        <v>0</v>
      </c>
      <c r="AC5" s="1"/>
      <c r="AD5" s="54"/>
      <c r="AE5" s="54"/>
      <c r="AF5" s="54">
        <v>0</v>
      </c>
      <c r="AG5" s="54"/>
      <c r="AH5" s="55" t="s">
        <v>42</v>
      </c>
      <c r="AI5" s="55"/>
      <c r="AJ5" s="55">
        <v>106</v>
      </c>
      <c r="AK5" s="55"/>
      <c r="AL5" s="1"/>
      <c r="AM5" s="1"/>
      <c r="AN5" s="1">
        <v>0</v>
      </c>
      <c r="AO5" s="1"/>
      <c r="AP5" s="57"/>
      <c r="AQ5" s="57"/>
      <c r="AR5" s="57">
        <v>0</v>
      </c>
      <c r="AS5" s="57"/>
      <c r="AT5" s="1" t="s">
        <v>50</v>
      </c>
      <c r="AU5" s="1"/>
      <c r="AV5" s="1">
        <v>0</v>
      </c>
      <c r="AW5" s="1"/>
      <c r="AX5" s="1"/>
      <c r="AY5" s="1"/>
      <c r="AZ5" s="1">
        <v>0</v>
      </c>
      <c r="BA5" s="1"/>
      <c r="BB5" s="1"/>
      <c r="BC5" s="1"/>
      <c r="BD5" s="1">
        <v>0</v>
      </c>
      <c r="BE5" s="1"/>
      <c r="BF5" s="1"/>
      <c r="BG5" s="1"/>
      <c r="BH5" s="1">
        <v>0</v>
      </c>
      <c r="BI5" s="1"/>
      <c r="BJ5" s="1"/>
      <c r="BK5" s="1"/>
      <c r="BL5" s="1">
        <v>0</v>
      </c>
      <c r="BM5" s="1"/>
      <c r="BN5" s="1"/>
      <c r="BO5" s="1"/>
      <c r="BP5" s="1">
        <v>0</v>
      </c>
      <c r="BQ5" s="1"/>
      <c r="BR5" s="1"/>
      <c r="BS5" s="1"/>
      <c r="BT5" s="1">
        <v>0</v>
      </c>
      <c r="BU5" s="1"/>
      <c r="BV5" s="1"/>
      <c r="BW5" s="1"/>
      <c r="BX5" s="1">
        <v>0</v>
      </c>
      <c r="BY5" s="1"/>
      <c r="BZ5" s="1">
        <v>2259</v>
      </c>
      <c r="CA5" s="1">
        <v>2259</v>
      </c>
      <c r="CB5" s="60"/>
      <c r="CC5" s="1"/>
      <c r="CD5" s="60"/>
      <c r="CE5" s="1"/>
      <c r="CF5" s="60"/>
      <c r="CG5" s="1"/>
      <c r="CH5" s="1">
        <v>2259</v>
      </c>
      <c r="CI5" s="60"/>
      <c r="CJ5" s="1"/>
      <c r="CK5" s="60"/>
      <c r="CL5" s="1"/>
      <c r="CM5" s="1"/>
      <c r="CN5" s="1"/>
      <c r="CO5" s="1">
        <v>2259</v>
      </c>
      <c r="CP5" s="60"/>
      <c r="CQ5" s="1">
        <v>2259</v>
      </c>
      <c r="CR5" s="60">
        <v>0.18</v>
      </c>
      <c r="CS5" s="1">
        <v>406.62</v>
      </c>
      <c r="CT5" s="1">
        <v>2665.62</v>
      </c>
      <c r="CU5" s="59">
        <v>916</v>
      </c>
      <c r="CV5" s="59" t="s">
        <v>224</v>
      </c>
      <c r="CW5" s="59">
        <v>2441708</v>
      </c>
      <c r="CX5" s="1" t="s">
        <v>235</v>
      </c>
      <c r="CY5" s="10" t="s">
        <v>236</v>
      </c>
      <c r="CZ5" s="10">
        <v>2000</v>
      </c>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4"/>
  <sheetViews>
    <sheetView showZeros="0" tabSelected="1" topLeftCell="A11" zoomScale="85" zoomScaleNormal="85" workbookViewId="0">
      <selection activeCell="J39" sqref="J39"/>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5.42578125" customWidth="1"/>
    <col min="7" max="7" width="15.42578125" bestFit="1" customWidth="1"/>
    <col min="8" max="8" width="13.42578125" style="5" customWidth="1"/>
    <col min="9" max="9" width="10.28515625" bestFit="1" customWidth="1"/>
    <col min="10" max="10" width="13.140625" bestFit="1" customWidth="1"/>
    <col min="11" max="11" width="11.28515625" bestFit="1" customWidth="1"/>
    <col min="12" max="12" width="14" customWidth="1"/>
    <col min="13" max="13" width="20" customWidth="1"/>
    <col min="14" max="14" width="7.85546875" style="15" customWidth="1"/>
    <col min="15" max="52" width="7.85546875" style="15" hidden="1" customWidth="1"/>
    <col min="53" max="54" width="7.85546875" style="15" customWidth="1"/>
    <col min="55" max="76" width="7.85546875" style="15" hidden="1" customWidth="1"/>
    <col min="77" max="77" width="7.85546875" style="15" customWidth="1"/>
    <col min="78" max="84" width="7.85546875" style="15" hidden="1" customWidth="1"/>
    <col min="85" max="85" width="7.85546875" style="15" customWidth="1"/>
    <col min="86" max="86" width="11" style="15" customWidth="1"/>
    <col min="87" max="87" width="25.710937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100"/>
      <c r="B1" s="100"/>
      <c r="C1" s="100"/>
      <c r="D1" s="100"/>
      <c r="E1" s="100"/>
      <c r="F1" s="100"/>
      <c r="G1" s="100"/>
      <c r="H1" s="100"/>
      <c r="I1" s="100"/>
      <c r="J1" s="100"/>
      <c r="K1" s="100"/>
      <c r="L1" s="100"/>
      <c r="M1" s="100"/>
      <c r="N1" s="100"/>
      <c r="O1" s="100"/>
      <c r="P1" s="100"/>
      <c r="Q1" s="100"/>
      <c r="R1" s="100"/>
    </row>
    <row r="2" spans="1:104" ht="23.25" thickBot="1" x14ac:dyDescent="0.5">
      <c r="A2" s="188" t="s">
        <v>252</v>
      </c>
      <c r="B2" s="189"/>
      <c r="C2" s="189"/>
      <c r="D2" s="189"/>
      <c r="E2" s="189"/>
      <c r="F2" s="189"/>
      <c r="G2" s="189"/>
      <c r="H2" s="189"/>
      <c r="I2" s="189"/>
      <c r="J2" s="189"/>
      <c r="K2" s="189"/>
      <c r="L2" s="189"/>
      <c r="M2" s="189"/>
      <c r="N2" s="189"/>
      <c r="O2" s="189"/>
      <c r="P2" s="189"/>
      <c r="Q2" s="189"/>
      <c r="R2" s="190"/>
    </row>
    <row r="3" spans="1:104" ht="15.75" thickBot="1" x14ac:dyDescent="0.3">
      <c r="B3"/>
      <c r="E3"/>
      <c r="H3"/>
      <c r="N3"/>
      <c r="O3"/>
      <c r="P3"/>
      <c r="Q3"/>
      <c r="R3"/>
    </row>
    <row r="4" spans="1:104" ht="45.75" thickBot="1" x14ac:dyDescent="0.3">
      <c r="A4" s="101" t="s">
        <v>253</v>
      </c>
      <c r="B4" s="191" t="s">
        <v>264</v>
      </c>
      <c r="C4" s="192"/>
      <c r="D4" s="192"/>
      <c r="E4" s="192"/>
      <c r="F4" s="192"/>
      <c r="G4" s="192"/>
      <c r="H4" s="192"/>
      <c r="I4" s="192"/>
      <c r="J4" s="192"/>
      <c r="K4" s="192"/>
      <c r="L4" s="192"/>
      <c r="M4" s="192"/>
      <c r="N4" s="192"/>
      <c r="O4" s="192"/>
      <c r="P4" s="192"/>
      <c r="Q4" s="192"/>
      <c r="R4" s="192"/>
    </row>
    <row r="5" spans="1:104" ht="45" x14ac:dyDescent="0.25">
      <c r="A5" s="101" t="s">
        <v>254</v>
      </c>
      <c r="B5" s="191" t="s">
        <v>265</v>
      </c>
      <c r="C5" s="191"/>
      <c r="D5" s="191"/>
      <c r="E5" s="191"/>
      <c r="F5" s="191"/>
      <c r="G5" s="191"/>
      <c r="H5" s="191"/>
      <c r="I5" s="191"/>
      <c r="J5" s="191"/>
      <c r="K5" s="191"/>
      <c r="L5" s="191"/>
      <c r="M5" s="191"/>
      <c r="N5" s="191"/>
      <c r="O5" s="191"/>
      <c r="P5" s="191"/>
      <c r="Q5" s="191"/>
      <c r="R5" s="191"/>
    </row>
    <row r="6" spans="1:104" ht="45" x14ac:dyDescent="0.25">
      <c r="A6" s="102" t="s">
        <v>255</v>
      </c>
      <c r="B6" s="193" t="s">
        <v>266</v>
      </c>
      <c r="C6" s="192"/>
      <c r="D6" s="192"/>
      <c r="E6" s="192"/>
      <c r="F6" s="192"/>
      <c r="G6" s="192"/>
      <c r="H6" s="192"/>
      <c r="I6" s="192"/>
      <c r="J6" s="192"/>
      <c r="K6" s="192"/>
      <c r="L6" s="192"/>
      <c r="M6" s="192"/>
      <c r="N6" s="192"/>
      <c r="O6" s="192"/>
      <c r="P6" s="192"/>
      <c r="Q6" s="192"/>
      <c r="R6" s="192"/>
    </row>
    <row r="7" spans="1:104" ht="84" customHeight="1" x14ac:dyDescent="0.25">
      <c r="A7" s="102" t="s">
        <v>256</v>
      </c>
      <c r="B7" s="191" t="s">
        <v>267</v>
      </c>
      <c r="C7" s="192"/>
      <c r="D7" s="192"/>
      <c r="E7" s="192"/>
      <c r="F7" s="192"/>
      <c r="G7" s="192"/>
      <c r="H7" s="192"/>
      <c r="I7" s="192"/>
      <c r="J7" s="192"/>
      <c r="K7" s="192"/>
      <c r="L7" s="192"/>
      <c r="M7" s="192"/>
      <c r="N7" s="192"/>
      <c r="O7" s="192"/>
      <c r="P7" s="192"/>
      <c r="Q7" s="192"/>
      <c r="R7" s="192"/>
    </row>
    <row r="8" spans="1:104" ht="38.25" customHeight="1" x14ac:dyDescent="0.25">
      <c r="A8" s="102" t="s">
        <v>257</v>
      </c>
      <c r="B8" s="191" t="s">
        <v>268</v>
      </c>
      <c r="C8" s="191"/>
      <c r="D8" s="191"/>
      <c r="E8" s="191"/>
      <c r="F8" s="191"/>
      <c r="G8" s="191"/>
      <c r="H8" s="191"/>
      <c r="I8" s="191"/>
      <c r="J8" s="191"/>
      <c r="K8" s="191"/>
      <c r="L8" s="191"/>
      <c r="M8" s="191"/>
      <c r="N8" s="191"/>
      <c r="O8" s="191"/>
      <c r="P8" s="191"/>
      <c r="Q8" s="191"/>
      <c r="R8" s="191"/>
    </row>
    <row r="9" spans="1:104" ht="33.75" customHeight="1" x14ac:dyDescent="0.25">
      <c r="A9" s="102" t="s">
        <v>258</v>
      </c>
      <c r="B9" s="195" t="s">
        <v>269</v>
      </c>
      <c r="C9" s="196"/>
      <c r="D9" s="196"/>
      <c r="E9" s="196"/>
      <c r="F9" s="196"/>
      <c r="G9" s="196"/>
      <c r="H9" s="196"/>
      <c r="I9" s="196"/>
      <c r="J9" s="196"/>
      <c r="K9" s="196"/>
      <c r="L9" s="196"/>
      <c r="M9" s="196"/>
      <c r="N9" s="196"/>
      <c r="O9" s="196"/>
      <c r="P9" s="196"/>
      <c r="Q9" s="196"/>
      <c r="R9" s="197"/>
    </row>
    <row r="10" spans="1:104" ht="98.25" customHeight="1" x14ac:dyDescent="0.25">
      <c r="A10" s="102" t="s">
        <v>259</v>
      </c>
      <c r="B10" s="191" t="s">
        <v>270</v>
      </c>
      <c r="C10" s="191"/>
      <c r="D10" s="191"/>
      <c r="E10" s="191"/>
      <c r="F10" s="191"/>
      <c r="G10" s="191"/>
      <c r="H10" s="191"/>
      <c r="I10" s="191"/>
      <c r="J10" s="191"/>
      <c r="K10" s="191"/>
      <c r="L10" s="191"/>
      <c r="M10" s="191"/>
      <c r="N10" s="191"/>
      <c r="O10" s="191"/>
      <c r="P10" s="191"/>
      <c r="Q10" s="191"/>
      <c r="R10" s="191"/>
    </row>
    <row r="11" spans="1:104" ht="53.25" customHeight="1" x14ac:dyDescent="0.25">
      <c r="A11" s="102" t="s">
        <v>260</v>
      </c>
      <c r="B11" s="198" t="s">
        <v>271</v>
      </c>
      <c r="C11" s="199"/>
      <c r="D11" s="199"/>
      <c r="E11" s="199"/>
      <c r="F11" s="199"/>
      <c r="G11" s="199"/>
      <c r="H11" s="199"/>
      <c r="I11" s="199"/>
      <c r="J11" s="199"/>
      <c r="K11" s="199"/>
      <c r="L11" s="199"/>
      <c r="M11" s="199"/>
      <c r="N11" s="199"/>
      <c r="O11" s="199"/>
      <c r="P11" s="199"/>
      <c r="Q11" s="199"/>
      <c r="R11" s="200"/>
    </row>
    <row r="12" spans="1:104" ht="54" customHeight="1" x14ac:dyDescent="0.25">
      <c r="A12" s="103" t="s">
        <v>261</v>
      </c>
      <c r="B12" s="194" t="s">
        <v>273</v>
      </c>
      <c r="C12" s="194"/>
      <c r="D12" s="194"/>
      <c r="E12" s="194"/>
      <c r="F12" s="194"/>
      <c r="G12" s="194"/>
      <c r="H12" s="194"/>
      <c r="I12" s="194"/>
      <c r="J12" s="194"/>
      <c r="K12" s="194"/>
      <c r="L12" s="194"/>
      <c r="M12" s="194"/>
      <c r="N12" s="194"/>
      <c r="O12" s="194"/>
      <c r="P12" s="194"/>
      <c r="Q12" s="194"/>
      <c r="R12" s="194"/>
    </row>
    <row r="13" spans="1:104" ht="68.25" customHeight="1" x14ac:dyDescent="0.25">
      <c r="A13" s="103" t="s">
        <v>262</v>
      </c>
      <c r="B13" s="194" t="s">
        <v>272</v>
      </c>
      <c r="C13" s="194"/>
      <c r="D13" s="194"/>
      <c r="E13" s="194"/>
      <c r="F13" s="194"/>
      <c r="G13" s="194"/>
      <c r="H13" s="194"/>
      <c r="I13" s="194"/>
      <c r="J13" s="194"/>
      <c r="K13" s="194"/>
      <c r="L13" s="194"/>
      <c r="M13" s="194"/>
      <c r="N13" s="194"/>
      <c r="O13" s="194"/>
      <c r="P13" s="194"/>
      <c r="Q13" s="194"/>
      <c r="R13" s="194"/>
    </row>
    <row r="14" spans="1:104" ht="30" x14ac:dyDescent="0.25">
      <c r="A14" s="104" t="s">
        <v>263</v>
      </c>
      <c r="B14" s="194"/>
      <c r="C14" s="194"/>
      <c r="D14" s="194"/>
      <c r="E14" s="194"/>
      <c r="F14" s="194"/>
      <c r="G14" s="194"/>
      <c r="H14" s="194"/>
      <c r="I14" s="194"/>
      <c r="J14" s="194"/>
      <c r="K14" s="194"/>
      <c r="L14" s="194"/>
      <c r="M14" s="194"/>
      <c r="N14" s="194"/>
      <c r="O14" s="194"/>
      <c r="P14" s="194"/>
      <c r="Q14" s="194"/>
      <c r="R14" s="194"/>
    </row>
    <row r="16" spans="1:104" s="22" customFormat="1" ht="28.9" customHeight="1" x14ac:dyDescent="0.25">
      <c r="A16" s="88"/>
      <c r="B16" s="88"/>
      <c r="C16" s="89"/>
      <c r="D16" s="89"/>
      <c r="E16" s="26"/>
      <c r="H16" s="27"/>
      <c r="N16" s="183" t="s">
        <v>82</v>
      </c>
      <c r="O16" s="183"/>
      <c r="P16" s="183"/>
      <c r="Q16" s="183"/>
      <c r="R16" s="183"/>
      <c r="S16" s="183"/>
      <c r="T16" s="183"/>
      <c r="U16" s="183"/>
      <c r="V16" s="184" t="s">
        <v>4</v>
      </c>
      <c r="W16" s="184"/>
      <c r="X16" s="185" t="s">
        <v>3</v>
      </c>
      <c r="Y16" s="185"/>
      <c r="Z16" s="185"/>
      <c r="AA16" s="185"/>
      <c r="AB16" s="185"/>
      <c r="AC16" s="185"/>
      <c r="AD16" s="185"/>
      <c r="AE16" s="185"/>
      <c r="AF16" s="186" t="s">
        <v>5</v>
      </c>
      <c r="AG16" s="186"/>
      <c r="AH16" s="187" t="s">
        <v>6</v>
      </c>
      <c r="AI16" s="187"/>
      <c r="AJ16" s="187"/>
      <c r="AK16" s="187"/>
      <c r="AL16" s="187"/>
      <c r="AM16" s="187"/>
      <c r="AN16" s="187"/>
      <c r="AO16" s="187"/>
      <c r="AP16" s="187"/>
      <c r="AQ16" s="35" t="s">
        <v>7</v>
      </c>
      <c r="AR16" s="179" t="s">
        <v>8</v>
      </c>
      <c r="AS16" s="180"/>
      <c r="AT16" s="180"/>
      <c r="AU16" s="180"/>
      <c r="AV16" s="180"/>
      <c r="AW16" s="180"/>
      <c r="AX16" s="180"/>
      <c r="AY16" s="180"/>
      <c r="AZ16" s="180"/>
      <c r="BA16" s="181" t="s">
        <v>9</v>
      </c>
      <c r="BB16" s="181"/>
      <c r="BC16" s="181"/>
      <c r="BD16" s="181"/>
      <c r="BE16" s="181"/>
      <c r="BF16" s="181"/>
      <c r="BG16" s="181"/>
      <c r="BH16" s="181"/>
      <c r="BI16" s="181"/>
      <c r="BJ16" s="181"/>
      <c r="BK16" s="181"/>
      <c r="BL16" s="182" t="s">
        <v>10</v>
      </c>
      <c r="BM16" s="182"/>
      <c r="BN16" s="182"/>
      <c r="BO16" s="182"/>
      <c r="BP16" s="182"/>
      <c r="BQ16" s="182"/>
      <c r="BR16" s="182"/>
      <c r="BS16" s="182"/>
      <c r="BT16" s="182"/>
      <c r="BU16" s="182"/>
      <c r="BV16" s="182"/>
      <c r="BW16" s="182"/>
      <c r="BX16" s="39" t="s">
        <v>11</v>
      </c>
      <c r="BY16" s="42" t="s">
        <v>12</v>
      </c>
      <c r="BZ16" s="30" t="s">
        <v>13</v>
      </c>
      <c r="CA16" s="34" t="s">
        <v>14</v>
      </c>
      <c r="CB16" s="31" t="s">
        <v>15</v>
      </c>
      <c r="CC16" s="45" t="s">
        <v>16</v>
      </c>
      <c r="CD16" s="47" t="s">
        <v>17</v>
      </c>
      <c r="CE16" s="41" t="s">
        <v>18</v>
      </c>
      <c r="CF16" s="30" t="s">
        <v>19</v>
      </c>
      <c r="CG16" s="176" t="s">
        <v>84</v>
      </c>
      <c r="CH16" s="177"/>
      <c r="CI16" s="177"/>
      <c r="CJ16" s="178"/>
      <c r="CK16" s="65" t="s">
        <v>20</v>
      </c>
      <c r="CL16" s="23" t="s">
        <v>21</v>
      </c>
      <c r="CM16" s="24" t="s">
        <v>40</v>
      </c>
      <c r="CN16" s="23" t="s">
        <v>81</v>
      </c>
      <c r="CO16" s="25"/>
      <c r="CP16" s="26"/>
      <c r="CQ16" s="27"/>
      <c r="CR16" s="26"/>
      <c r="CS16" s="26"/>
      <c r="CT16" s="27"/>
      <c r="CV16" s="27"/>
      <c r="CZ16" s="22" t="s">
        <v>126</v>
      </c>
    </row>
    <row r="17" spans="1:104" s="11" customFormat="1" ht="89.25" x14ac:dyDescent="0.25">
      <c r="A17" s="80" t="s">
        <v>0</v>
      </c>
      <c r="B17" s="81" t="s">
        <v>85</v>
      </c>
      <c r="C17" s="80" t="s">
        <v>1</v>
      </c>
      <c r="D17" s="80" t="s">
        <v>2</v>
      </c>
      <c r="E17" s="3" t="s">
        <v>31</v>
      </c>
      <c r="F17" s="9" t="s">
        <v>32</v>
      </c>
      <c r="G17" s="9" t="s">
        <v>33</v>
      </c>
      <c r="H17" s="4" t="s">
        <v>34</v>
      </c>
      <c r="I17" s="9" t="s">
        <v>35</v>
      </c>
      <c r="J17" s="9" t="s">
        <v>36</v>
      </c>
      <c r="K17" s="9" t="s">
        <v>37</v>
      </c>
      <c r="L17" s="9" t="s">
        <v>38</v>
      </c>
      <c r="M17" s="9" t="s">
        <v>39</v>
      </c>
      <c r="N17" s="82" t="s">
        <v>41</v>
      </c>
      <c r="O17" s="82" t="s">
        <v>46</v>
      </c>
      <c r="P17" s="82" t="s">
        <v>43</v>
      </c>
      <c r="Q17" s="82" t="s">
        <v>123</v>
      </c>
      <c r="R17" s="82" t="s">
        <v>124</v>
      </c>
      <c r="S17" s="82" t="s">
        <v>125</v>
      </c>
      <c r="T17" s="82" t="s">
        <v>44</v>
      </c>
      <c r="U17" s="82" t="s">
        <v>45</v>
      </c>
      <c r="V17" s="82" t="s">
        <v>41</v>
      </c>
      <c r="W17" s="82" t="s">
        <v>46</v>
      </c>
      <c r="X17" s="83" t="s">
        <v>53</v>
      </c>
      <c r="Y17" s="83" t="s">
        <v>57</v>
      </c>
      <c r="Z17" s="83" t="s">
        <v>60</v>
      </c>
      <c r="AA17" s="83" t="s">
        <v>65</v>
      </c>
      <c r="AB17" s="83" t="s">
        <v>69</v>
      </c>
      <c r="AC17" s="83" t="s">
        <v>71</v>
      </c>
      <c r="AD17" s="83" t="s">
        <v>73</v>
      </c>
      <c r="AE17" s="83" t="s">
        <v>75</v>
      </c>
      <c r="AF17" s="83" t="s">
        <v>52</v>
      </c>
      <c r="AG17" s="83" t="s">
        <v>56</v>
      </c>
      <c r="AH17" s="83" t="s">
        <v>51</v>
      </c>
      <c r="AI17" s="83" t="s">
        <v>47</v>
      </c>
      <c r="AJ17" s="83" t="s">
        <v>59</v>
      </c>
      <c r="AK17" s="83" t="s">
        <v>64</v>
      </c>
      <c r="AL17" s="83" t="s">
        <v>68</v>
      </c>
      <c r="AM17" s="83" t="s">
        <v>87</v>
      </c>
      <c r="AN17" s="83" t="s">
        <v>88</v>
      </c>
      <c r="AO17" s="83" t="s">
        <v>86</v>
      </c>
      <c r="AP17" s="83" t="s">
        <v>94</v>
      </c>
      <c r="AQ17" s="84" t="s">
        <v>7</v>
      </c>
      <c r="AR17" s="83" t="s">
        <v>54</v>
      </c>
      <c r="AS17" s="83" t="s">
        <v>58</v>
      </c>
      <c r="AT17" s="83" t="s">
        <v>63</v>
      </c>
      <c r="AU17" s="83" t="s">
        <v>61</v>
      </c>
      <c r="AV17" s="83" t="s">
        <v>66</v>
      </c>
      <c r="AW17" s="83" t="s">
        <v>70</v>
      </c>
      <c r="AX17" s="83" t="s">
        <v>48</v>
      </c>
      <c r="AY17" s="83" t="s">
        <v>122</v>
      </c>
      <c r="AZ17" s="83" t="s">
        <v>74</v>
      </c>
      <c r="BA17" s="83" t="s">
        <v>55</v>
      </c>
      <c r="BB17" s="83" t="s">
        <v>42</v>
      </c>
      <c r="BC17" s="83" t="s">
        <v>62</v>
      </c>
      <c r="BD17" s="83" t="s">
        <v>67</v>
      </c>
      <c r="BE17" s="83" t="s">
        <v>89</v>
      </c>
      <c r="BF17" s="83" t="s">
        <v>72</v>
      </c>
      <c r="BG17" s="83" t="s">
        <v>49</v>
      </c>
      <c r="BH17" s="83" t="s">
        <v>76</v>
      </c>
      <c r="BI17" s="83" t="s">
        <v>77</v>
      </c>
      <c r="BJ17" s="83" t="s">
        <v>78</v>
      </c>
      <c r="BK17" s="83" t="s">
        <v>80</v>
      </c>
      <c r="BL17" s="83" t="s">
        <v>54</v>
      </c>
      <c r="BM17" s="83" t="s">
        <v>58</v>
      </c>
      <c r="BN17" s="83" t="s">
        <v>63</v>
      </c>
      <c r="BO17" s="83" t="s">
        <v>61</v>
      </c>
      <c r="BP17" s="83" t="s">
        <v>90</v>
      </c>
      <c r="BQ17" s="83" t="s">
        <v>95</v>
      </c>
      <c r="BR17" s="83" t="s">
        <v>91</v>
      </c>
      <c r="BS17" s="83" t="s">
        <v>66</v>
      </c>
      <c r="BT17" s="83" t="s">
        <v>48</v>
      </c>
      <c r="BU17" s="83" t="s">
        <v>122</v>
      </c>
      <c r="BV17" s="83" t="s">
        <v>74</v>
      </c>
      <c r="BW17" s="83" t="s">
        <v>79</v>
      </c>
      <c r="BX17" s="84" t="s">
        <v>11</v>
      </c>
      <c r="BY17" s="84" t="s">
        <v>50</v>
      </c>
      <c r="BZ17" s="85" t="s">
        <v>13</v>
      </c>
      <c r="CA17" s="86" t="s">
        <v>14</v>
      </c>
      <c r="CB17" s="85" t="s">
        <v>15</v>
      </c>
      <c r="CC17" s="85" t="s">
        <v>16</v>
      </c>
      <c r="CD17" s="85" t="s">
        <v>17</v>
      </c>
      <c r="CE17" s="86" t="s">
        <v>18</v>
      </c>
      <c r="CF17" s="85" t="s">
        <v>19</v>
      </c>
      <c r="CG17" s="69" t="s">
        <v>83</v>
      </c>
      <c r="CH17" s="69" t="s">
        <v>92</v>
      </c>
      <c r="CI17" s="69" t="s">
        <v>93</v>
      </c>
      <c r="CJ17" s="69"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4" s="14" customFormat="1" x14ac:dyDescent="0.25">
      <c r="A18" s="16"/>
      <c r="B18" s="61"/>
      <c r="C18" s="16"/>
      <c r="D18" s="16"/>
      <c r="E18" s="3"/>
      <c r="F18" s="77"/>
      <c r="G18" s="64"/>
      <c r="H18" s="3"/>
      <c r="I18" s="3"/>
      <c r="J18" s="3"/>
      <c r="K18" s="78"/>
      <c r="L18" s="3"/>
      <c r="M18" s="3"/>
      <c r="N18" s="17">
        <v>260</v>
      </c>
      <c r="O18" s="17">
        <f>+IFERROR(VLOOKUP($O$17,Sheet1!J:L,2,0),0)</f>
        <v>0</v>
      </c>
      <c r="P18" s="17">
        <f>+IFERROR(VLOOKUP($P$17,Sheet1!J:M,2,0),0)</f>
        <v>0</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f>+IFERROR(VLOOKUP($AA$17,Sheet1!F:I,2,0),0)</f>
        <v>0</v>
      </c>
      <c r="AB18" s="18">
        <f>+IFERROR(VLOOKUP($AB$17,Sheet1!F:I,2,0),0)</f>
        <v>0</v>
      </c>
      <c r="AC18" s="18">
        <f>+IFERROR(VLOOKUP($AC$17,Sheet1!F:I,2,0),0)</f>
        <v>0</v>
      </c>
      <c r="AD18" s="18">
        <f>+IFERROR(VLOOKUP($AD$17,Sheet1!F:I,2,0),0)</f>
        <v>0</v>
      </c>
      <c r="AE18" s="18">
        <f>+IFERROR(VLOOKUP($AE$17,Sheet1!F:I,2,0),0)</f>
        <v>0</v>
      </c>
      <c r="AF18" s="18">
        <f>+IFERROR(VLOOKUP($AF$17,Sheet1!R:U,2,0),0)</f>
        <v>0</v>
      </c>
      <c r="AG18" s="18">
        <f>+IFERROR(VLOOKUP($AG$17,Sheet1!R:U,2,0),0)</f>
        <v>0</v>
      </c>
      <c r="AH18" s="18">
        <f>+IFERROR(VLOOKUP($AH$17,Sheet1!V:Y,2,0),0)</f>
        <v>0</v>
      </c>
      <c r="AI18" s="18">
        <f>+IFERROR(VLOOKUP($AI$17,Sheet1!V:Y,2,0),0)</f>
        <v>0</v>
      </c>
      <c r="AJ18" s="18">
        <f>+IFERROR(VLOOKUP($AJ$17,Sheet1!V:Y,2,0),0)</f>
        <v>0</v>
      </c>
      <c r="AK18" s="18">
        <f>+IFERROR(VLOOKUP($AK$17,Sheet1!V:Y,2,0),0)</f>
        <v>0</v>
      </c>
      <c r="AL18" s="18">
        <f>+IFERROR(VLOOKUP($AL$17,Sheet1!V:Y,2,0),0)</f>
        <v>0</v>
      </c>
      <c r="AM18" s="18">
        <f>+IFERROR(VLOOKUP($AM$17,Sheet1!V:Y,2,0),0)</f>
        <v>0</v>
      </c>
      <c r="AN18" s="18">
        <f>+IFERROR(VLOOKUP($AN$17,Sheet1!V:Y,2,0),0)</f>
        <v>0</v>
      </c>
      <c r="AO18" s="18">
        <f>+IFERROR(VLOOKUP($AO$17,Sheet1!V:Y,2,0),0)</f>
        <v>0</v>
      </c>
      <c r="AP18" s="18">
        <f>+IFERROR(VLOOKUP($AP$17,Sheet1!V:Y,2,0),0)</f>
        <v>0</v>
      </c>
      <c r="AQ18" s="19">
        <f>+IFERROR(VLOOKUP($AQ$17,Sheet1!Z2:AA840,2,0),0)</f>
        <v>0</v>
      </c>
      <c r="AR18" s="18">
        <f>+IFERROR(VLOOKUP($AR$17,Sheet1!AD2:AG840,2,0),0)</f>
        <v>0</v>
      </c>
      <c r="AS18" s="18">
        <f>+IFERROR(VLOOKUP($AS$17,Sheet1!AD2:AG840,2,0),0)</f>
        <v>0</v>
      </c>
      <c r="AT18" s="18">
        <f>+IFERROR(VLOOKUP($AT$17,Sheet1!AD2:AG840,2,0),0)</f>
        <v>0</v>
      </c>
      <c r="AU18" s="18">
        <f>+IFERROR(VLOOKUP($AU$17,Sheet1!AD2:AG840,2,0),0)</f>
        <v>0</v>
      </c>
      <c r="AV18" s="18">
        <f>+IFERROR(VLOOKUP($AV$17,Sheet1!AD2:AG840,2,0),0)</f>
        <v>0</v>
      </c>
      <c r="AW18" s="18">
        <f>+IFERROR(VLOOKUP($AW$17,Sheet1!AD2:AG840,2,0),0)</f>
        <v>0</v>
      </c>
      <c r="AX18" s="18">
        <f>+IFERROR(VLOOKUP($AX$17,Sheet1!AD2:AG840,2,0),0)</f>
        <v>0</v>
      </c>
      <c r="AY18" s="18">
        <f>+IFERROR(VLOOKUP($AY$17,Sheet1!AD2:AG840,2,0),0)</f>
        <v>0</v>
      </c>
      <c r="AZ18" s="18">
        <f>+IFERROR(VLOOKUP($AZ$17,Sheet1!AD2:AG840,2,0),0)</f>
        <v>0</v>
      </c>
      <c r="BA18" s="18">
        <v>68</v>
      </c>
      <c r="BB18" s="18">
        <v>84</v>
      </c>
      <c r="BC18" s="18">
        <f>+IFERROR(VLOOKUP($BC$17,Sheet1!AH2:AK840,2,0),0)</f>
        <v>0</v>
      </c>
      <c r="BD18" s="18">
        <f>+IFERROR(VLOOKUP($BD$17,Sheet1!AH2:AK840,2,0),0)</f>
        <v>0</v>
      </c>
      <c r="BE18" s="18">
        <f>+IFERROR(VLOOKUP($BE$17,Sheet1!AH2:AK840,2,0),0)</f>
        <v>0</v>
      </c>
      <c r="BF18" s="18">
        <f>+IFERROR(VLOOKUP($BF$17,Sheet1!AH2:AK840,2,0),0)</f>
        <v>0</v>
      </c>
      <c r="BG18" s="18">
        <f>+IFERROR(VLOOKUP($BG$17,Sheet1!AH2:AK840,2,0),0)</f>
        <v>0</v>
      </c>
      <c r="BH18" s="18">
        <f>+IFERROR(VLOOKUP($BH$17,Sheet1!AH2:AK840,2,0),0)</f>
        <v>0</v>
      </c>
      <c r="BI18" s="18">
        <f>+IFERROR(VLOOKUP($BI$17,Sheet1!AH2:AK840,2,0),0)</f>
        <v>0</v>
      </c>
      <c r="BJ18" s="18">
        <f>+IFERROR(VLOOKUP($BJ$17,Sheet1!AH2:AK840,2,0),0)</f>
        <v>0</v>
      </c>
      <c r="BK18" s="18">
        <f>+IFERROR(VLOOKUP($BK$17,Sheet1!AH2:AK840,2,0),0)</f>
        <v>0</v>
      </c>
      <c r="BL18" s="18">
        <f>+IFERROR(VLOOKUP($BL$17,Sheet1!AL2:AO840,2,0),0)</f>
        <v>0</v>
      </c>
      <c r="BM18" s="18">
        <f>+IFERROR(VLOOKUP($BM$17,Sheet1!AL2:AO840,2,0),0)</f>
        <v>0</v>
      </c>
      <c r="BN18" s="18">
        <f>+IFERROR(VLOOKUP($BN$17,Sheet1!AL2:AO840,2,0),0)</f>
        <v>0</v>
      </c>
      <c r="BO18" s="18">
        <f>+IFERROR(VLOOKUP($BO$17,Sheet1!AL2:AO840,2,0),0)</f>
        <v>0</v>
      </c>
      <c r="BP18" s="18">
        <f>+IFERROR(VLOOKUP($BP$17,Sheet1!AL2:AO840,2,0),0)</f>
        <v>0</v>
      </c>
      <c r="BQ18" s="18">
        <f>+IFERROR(VLOOKUP($BQ$17,Sheet1!AL2:AO840,2,0),0)</f>
        <v>0</v>
      </c>
      <c r="BR18" s="18">
        <f>+IFERROR(VLOOKUP($BR$17,Sheet1!AL2:AO840,2,0),0)</f>
        <v>0</v>
      </c>
      <c r="BS18" s="18">
        <f>+IFERROR(VLOOKUP($BS$17,Sheet1!AL2:AO840,2,0),0)</f>
        <v>0</v>
      </c>
      <c r="BT18" s="18">
        <f>+IFERROR(VLOOKUP($BT$17,Sheet1!AL2:AO840,2,0),0)</f>
        <v>0</v>
      </c>
      <c r="BU18" s="18">
        <f>+IFERROR(VLOOKUP($BU$17,Sheet1!AL2:AO840,2,0),0)</f>
        <v>0</v>
      </c>
      <c r="BV18" s="18">
        <f>+IFERROR(VLOOKUP($BV$17,Sheet1!AL2:AO840,2,0),0)</f>
        <v>0</v>
      </c>
      <c r="BW18" s="18">
        <f>+IFERROR(VLOOKUP($BW$17,Sheet1!AL2:AO840,2,0),0)</f>
        <v>0</v>
      </c>
      <c r="BX18" s="19">
        <f>+IFERROR(VLOOKUP($BX$17,Sheet1!AP2:AS840,2,0),0)</f>
        <v>0</v>
      </c>
      <c r="BY18" s="19">
        <v>197</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f>+IFERROR(VLOOKUP($CE$17,Sheet1!BR2:BU840,2,0),0)</f>
        <v>0</v>
      </c>
      <c r="CF18" s="20">
        <f>+IFERROR(VLOOKUP($CF$17,Sheet1!BV2:BY840,2,0),0)</f>
        <v>0</v>
      </c>
      <c r="CG18" s="66"/>
      <c r="CH18" s="66"/>
      <c r="CI18" s="66"/>
      <c r="CJ18" s="66"/>
      <c r="CO18" s="3"/>
      <c r="CP18" s="3"/>
      <c r="CQ18" s="3"/>
      <c r="CR18" s="3"/>
      <c r="CS18" s="3"/>
      <c r="CT18" s="3"/>
      <c r="CU18" s="3"/>
      <c r="CV18" s="3"/>
      <c r="CW18" s="3"/>
      <c r="CX18" s="3"/>
      <c r="CY18" s="3"/>
    </row>
    <row r="19" spans="1:104" s="22" customFormat="1" ht="30" x14ac:dyDescent="0.25">
      <c r="A19" s="6" t="str">
        <f>Sheet1!A5</f>
        <v>ENQ-16528-25-26</v>
      </c>
      <c r="B19" s="87">
        <v>45839</v>
      </c>
      <c r="C19" s="6" t="str">
        <f>Sheet1!C5</f>
        <v>FC6200002</v>
      </c>
      <c r="D19" s="6" t="str">
        <f>Sheet1!D5</f>
        <v>ACSR : DOG CONDUCTOR - 100 SQ. MM. (6/4.72/7/1.57)</v>
      </c>
      <c r="E19" s="23">
        <f>CS19+CU19+CW19+CY19</f>
        <v>98870.987500000003</v>
      </c>
      <c r="F19" s="98">
        <f>ROUNDUP(M27,0)</f>
        <v>2852</v>
      </c>
      <c r="G19" s="28">
        <f>E19+F19</f>
        <v>101722.9875</v>
      </c>
      <c r="H19" s="29">
        <f>Sheet1!CR5</f>
        <v>0.18</v>
      </c>
      <c r="I19" s="28">
        <f>G19*H19</f>
        <v>18310.137749999998</v>
      </c>
      <c r="J19" s="28">
        <f>G19+I19</f>
        <v>120033.12525</v>
      </c>
      <c r="K19" s="79">
        <f>Sheet1!CU5</f>
        <v>916</v>
      </c>
      <c r="L19" s="76" t="str">
        <f>Sheet1!CV5</f>
        <v>KMS</v>
      </c>
      <c r="M19" s="23">
        <f>J19*K19</f>
        <v>109950342.729</v>
      </c>
      <c r="N19" s="71">
        <v>288.3</v>
      </c>
      <c r="O19" s="71">
        <f>+IFERROR(VLOOKUP($O$17,Sheet1!J5:L5,3,0),0)</f>
        <v>0</v>
      </c>
      <c r="P19" s="71">
        <f>+IFERROR(VLOOKUP($P$17,Sheet1!J5:M5,3,0),0)</f>
        <v>0</v>
      </c>
      <c r="Q19" s="71">
        <f>+IFERROR(VLOOKUP($Q$17,Sheet1!J5:M5,3,0),0)</f>
        <v>0</v>
      </c>
      <c r="R19" s="71">
        <f>+IFERROR(VLOOKUP($R$17,Sheet1!J5:M5,3,0),0)</f>
        <v>0</v>
      </c>
      <c r="S19" s="71">
        <f>+IFERROR(VLOOKUP($S$17,Sheet1!J5:M5,3,0),0)</f>
        <v>0</v>
      </c>
      <c r="T19" s="71">
        <f>+IFERROR(VLOOKUP($T$17,Sheet1!J5:M5,3,0),0)</f>
        <v>0</v>
      </c>
      <c r="U19" s="71">
        <f>+IFERROR(VLOOKUP($U$17,Sheet1!J5:M5,3,0),0)</f>
        <v>0</v>
      </c>
      <c r="V19" s="72">
        <f>+IFERROR(VLOOKUP($V$17,Sheet1!N5:Q5,3,0),0)</f>
        <v>0</v>
      </c>
      <c r="W19" s="72">
        <f>+IFERROR(VLOOKUP($W$17,Sheet1!N5:Q5,3,0),0)</f>
        <v>0</v>
      </c>
      <c r="X19" s="73">
        <f>+IFERROR(VLOOKUP($X$17,Sheet1!F5:I5,3,0),0)</f>
        <v>0</v>
      </c>
      <c r="Y19" s="73">
        <f>+IFERROR(VLOOKUP($Y$17,Sheet1!F5:I5,3,0),0)</f>
        <v>0</v>
      </c>
      <c r="Z19" s="73">
        <f>+IFERROR(VLOOKUP($Z$17,Sheet1!F5:I5,3,0),0)</f>
        <v>0</v>
      </c>
      <c r="AA19" s="73">
        <f>+IFERROR(VLOOKUP($AA$17,Sheet1!F5:I5,3,0),0)</f>
        <v>0</v>
      </c>
      <c r="AB19" s="73">
        <f>+IFERROR(VLOOKUP($AB$17,Sheet1!F5:I5,3,0),0)</f>
        <v>0</v>
      </c>
      <c r="AC19" s="73">
        <f>+IFERROR(VLOOKUP($AC$17,Sheet1!F5:I5,3,0),0)</f>
        <v>0</v>
      </c>
      <c r="AD19" s="73">
        <f>+IFERROR(VLOOKUP($AD$17,Sheet1!F5:I5,3,0),0)</f>
        <v>0</v>
      </c>
      <c r="AE19" s="73">
        <f>+IFERROR(VLOOKUP($AE$17,Sheet1!F5:I5,3,0),0)</f>
        <v>0</v>
      </c>
      <c r="AF19" s="74">
        <f>+IFERROR(VLOOKUP($AF$17,Sheet1!R5:U5,3,0),0)</f>
        <v>0</v>
      </c>
      <c r="AG19" s="32">
        <f>+IFERROR(VLOOKUP($AG$17,Sheet1!R5:U5,3,0),0)</f>
        <v>0</v>
      </c>
      <c r="AH19" s="75">
        <f>+IFERROR(VLOOKUP($AH$17,Sheet1!V5:Y5,3,0),0)</f>
        <v>0</v>
      </c>
      <c r="AI19" s="33">
        <f>+IFERROR(VLOOKUP($AI$17,Sheet1!V5:Y5,3,0),0)</f>
        <v>0</v>
      </c>
      <c r="AJ19" s="33">
        <f>+IFERROR(VLOOKUP($AJ$17,Sheet1!V5:Y5,3,0),0)</f>
        <v>0</v>
      </c>
      <c r="AK19" s="33">
        <f>+IFERROR(VLOOKUP($AK$17,Sheet1!V5:Y5,3,0),0)</f>
        <v>0</v>
      </c>
      <c r="AL19" s="33">
        <f>+IFERROR(VLOOKUP($AL$17,Sheet1!V5:Y5,3,0),0)</f>
        <v>0</v>
      </c>
      <c r="AM19" s="33">
        <f>+IFERROR(VLOOKUP($AM$17,Sheet1!V5:Y5,3,0),0)</f>
        <v>0</v>
      </c>
      <c r="AN19" s="33">
        <f>+IFERROR(VLOOKUP($AN$17,Sheet1!V5:Y5,3,0),0)</f>
        <v>0</v>
      </c>
      <c r="AO19" s="33">
        <f>+IFERROR(VLOOKUP($AO$17,Sheet1!V5:Y5,3,0),0)</f>
        <v>0</v>
      </c>
      <c r="AP19" s="33">
        <f>+IFERROR(VLOOKUP($AP$17,Sheet1!V5:Y5,3,0),0)</f>
        <v>0</v>
      </c>
      <c r="AQ19" s="36">
        <f>+IFERROR(VLOOKUP($AQ$17,Sheet1!Z5:AB5,3,0),0)</f>
        <v>0</v>
      </c>
      <c r="AR19" s="37">
        <f>+IFERROR(VLOOKUP($AR$17,Sheet1!AD5:AG5,3,0),0)</f>
        <v>0</v>
      </c>
      <c r="AS19" s="37">
        <f>+IFERROR(VLOOKUP($AS$17,Sheet1!AD5:AG5,3,0),0)</f>
        <v>0</v>
      </c>
      <c r="AT19" s="37">
        <f>+IFERROR(VLOOKUP($AT$17,Sheet1!AD5:AG5,3,0),0)</f>
        <v>0</v>
      </c>
      <c r="AU19" s="37">
        <f>+IFERROR(VLOOKUP($AU$17,Sheet1!AD5:AG5,3,0),0)</f>
        <v>0</v>
      </c>
      <c r="AV19" s="37">
        <f>+IFERROR(VLOOKUP($AV$17,Sheet1!AD5:AG5,3,0),0)</f>
        <v>0</v>
      </c>
      <c r="AW19" s="37">
        <f>+IFERROR(VLOOKUP($AW$17,Sheet1!AD5:AG5,3,0),0)</f>
        <v>0</v>
      </c>
      <c r="AX19" s="37">
        <f>+IFERROR(VLOOKUP($AX$17,Sheet1!AD5:AG5,3,0),0)</f>
        <v>0</v>
      </c>
      <c r="AY19" s="37">
        <f>+IFERROR(VLOOKUP($AY$17,Sheet1!AD5:AG5,3,0),0)</f>
        <v>0</v>
      </c>
      <c r="AZ19" s="37">
        <f>+IFERROR(VLOOKUP($AZ$17,Sheet1!AD5:AG5,3,0),0)</f>
        <v>0</v>
      </c>
      <c r="BA19" s="36">
        <f>+IFERROR(VLOOKUP($BA$17,Sheet1!AH5:AK5,3,0),0)</f>
        <v>0</v>
      </c>
      <c r="BB19" s="36">
        <f>+IFERROR(VLOOKUP($BB$17,Sheet1!AH5:AK5,3,0),0)</f>
        <v>106</v>
      </c>
      <c r="BC19" s="36">
        <f>+IFERROR(VLOOKUP($BC$17,Sheet1!AH5:AK5,3,0),0)</f>
        <v>0</v>
      </c>
      <c r="BD19" s="36">
        <f>+IFERROR(VLOOKUP($BD$17,Sheet1!AH5:AK5,3,0),0)</f>
        <v>0</v>
      </c>
      <c r="BE19" s="36">
        <f>+IFERROR(VLOOKUP($BE$17,Sheet1!AH5:AK5,3,0),0)</f>
        <v>0</v>
      </c>
      <c r="BF19" s="36">
        <f>+IFERROR(VLOOKUP($BF$17,Sheet1!AH5:AK5,3,0),0)</f>
        <v>0</v>
      </c>
      <c r="BG19" s="36">
        <f>+IFERROR(VLOOKUP($BG$17,Sheet1!AH5:AK5,3,0),0)</f>
        <v>0</v>
      </c>
      <c r="BH19" s="36">
        <f>+IFERROR(VLOOKUP($BH$17,Sheet1!AH5:AK5,3,0),0)</f>
        <v>0</v>
      </c>
      <c r="BI19" s="36">
        <f>+IFERROR(VLOOKUP($BI$17,Sheet1!AH5:AK5,3,0),0)</f>
        <v>0</v>
      </c>
      <c r="BJ19" s="36">
        <f>+IFERROR(VLOOKUP($BJ$17,Sheet1!AH5:AK5,3,0),0)</f>
        <v>0</v>
      </c>
      <c r="BK19" s="36">
        <f>+IFERROR(VLOOKUP($BK$17,Sheet1!AH5:AK5,3,0),0)</f>
        <v>0</v>
      </c>
      <c r="BL19" s="9">
        <f>+IFERROR(VLOOKUP($BL$17,Sheet1!AL5:AO5,3,0),0)</f>
        <v>0</v>
      </c>
      <c r="BM19" s="9">
        <f>+IFERROR(VLOOKUP($BM$17,Sheet1!AL5:AO5,3,0),0)</f>
        <v>0</v>
      </c>
      <c r="BN19" s="9">
        <f>+IFERROR(VLOOKUP($BN$17,Sheet1!AL5:AO5,3,0),0)</f>
        <v>0</v>
      </c>
      <c r="BO19" s="9">
        <f>+IFERROR(VLOOKUP($BO$17,Sheet1!AL5:AO5,3,0),0)</f>
        <v>0</v>
      </c>
      <c r="BP19" s="9">
        <f>+IFERROR(VLOOKUP($BP$17,Sheet1!AL5:AO5,3,0),0)</f>
        <v>0</v>
      </c>
      <c r="BQ19" s="9">
        <f>+IFERROR(VLOOKUP($BQ$17,Sheet1!AL5:AO5,3,0),0)</f>
        <v>0</v>
      </c>
      <c r="BR19" s="9">
        <f>+IFERROR(VLOOKUP($BR$17,Sheet1!AL5:AO5,3,0),0)</f>
        <v>0</v>
      </c>
      <c r="BS19" s="9">
        <f>+IFERROR(VLOOKUP($BS$17,Sheet1!AL5:AO5,3,0),0)</f>
        <v>0</v>
      </c>
      <c r="BT19" s="9">
        <f>+IFERROR(VLOOKUP($BT$17,Sheet1!AL5:AO5,3,0),0)</f>
        <v>0</v>
      </c>
      <c r="BU19" s="9">
        <f>+IFERROR(VLOOKUP($BU$17,Sheet1!AL5:AO5,3,0),0)</f>
        <v>0</v>
      </c>
      <c r="BV19" s="9">
        <f>+IFERROR(VLOOKUP($BV$17,Sheet1!AL5:AO5,3,0),0)</f>
        <v>0</v>
      </c>
      <c r="BW19" s="9">
        <f>+IFERROR(VLOOKUP($BW$17,Sheet1!AL5:AO5,3,0),0)</f>
        <v>0</v>
      </c>
      <c r="BX19" s="40">
        <f>+IFERROR(VLOOKUP($BX$17,Sheet1!AP5:AS5,3,0),0)</f>
        <v>0</v>
      </c>
      <c r="BY19" s="43">
        <v>4</v>
      </c>
      <c r="BZ19" s="44">
        <f>+IFERROR(VLOOKUP($BZ$17,Sheet1!AX5:BA5,3,0),0)</f>
        <v>0</v>
      </c>
      <c r="CA19" s="46">
        <f>+IFERROR(VLOOKUP($CA$17,Sheet1!BB5:BE5,3,0),0)</f>
        <v>0</v>
      </c>
      <c r="CB19" s="48">
        <f>+IFERROR(VLOOKUP($CB$17,Sheet1!BF5:BI5,3,0),0)</f>
        <v>0</v>
      </c>
      <c r="CC19" s="49">
        <f>+IFERROR(VLOOKUP($CC$17,Sheet1!BJ5:BM5,3,0),0)</f>
        <v>0</v>
      </c>
      <c r="CD19" s="50">
        <f>+IFERROR(VLOOKUP($CD$17,Sheet1!BN5:BQ5,3,0),0)</f>
        <v>0</v>
      </c>
      <c r="CE19" s="38">
        <f>+IFERROR(VLOOKUP($CE$17,Sheet1!BR5:BU5,3,0),0)</f>
        <v>0</v>
      </c>
      <c r="CF19" s="44">
        <f>+IFERROR(VLOOKUP($CF$17,Sheet1!BV5:BY5,3,0),0)</f>
        <v>0</v>
      </c>
      <c r="CG19" s="67" t="s">
        <v>237</v>
      </c>
      <c r="CH19" s="68" t="s">
        <v>238</v>
      </c>
      <c r="CI19" s="68" t="s">
        <v>239</v>
      </c>
      <c r="CJ19" s="68">
        <f>Sheet1!CZ5</f>
        <v>2000</v>
      </c>
      <c r="CK19" s="23">
        <f>18000/2</f>
        <v>9000</v>
      </c>
      <c r="CL19" s="23">
        <f>SUMPRODUCT($N$18:$CF$18,N19:CF19)+CK19</f>
        <v>93650</v>
      </c>
      <c r="CM19" s="24">
        <f>Sheet1!CB5</f>
        <v>0</v>
      </c>
      <c r="CN19" s="23">
        <f>CL19*CM19</f>
        <v>0</v>
      </c>
      <c r="CO19" s="95">
        <v>0.03</v>
      </c>
      <c r="CP19" s="23">
        <f>CL19*CO19</f>
        <v>2809.5</v>
      </c>
      <c r="CQ19" s="95">
        <v>0</v>
      </c>
      <c r="CR19" s="23">
        <f>CL19*CQ19</f>
        <v>0</v>
      </c>
      <c r="CS19" s="23">
        <f>CL19+CN19+CP19+CR19</f>
        <v>96459.5</v>
      </c>
      <c r="CT19" s="95">
        <v>0.02</v>
      </c>
      <c r="CU19" s="6">
        <f>CS19*CT19</f>
        <v>1929.19</v>
      </c>
      <c r="CV19" s="95">
        <v>5.0000000000000001E-3</v>
      </c>
      <c r="CW19" s="6">
        <f>CS19*CV19</f>
        <v>482.29750000000001</v>
      </c>
      <c r="CX19" s="95">
        <f>Sheet1!CM5</f>
        <v>0</v>
      </c>
      <c r="CY19" s="6">
        <f>CX19*CS19</f>
        <v>0</v>
      </c>
      <c r="CZ19" s="22">
        <v>1</v>
      </c>
    </row>
    <row r="20" spans="1:104" s="22" customFormat="1" ht="30" x14ac:dyDescent="0.25">
      <c r="A20" s="6" t="str">
        <f>Sheet1!A2</f>
        <v>ENQ-16528-25-26</v>
      </c>
      <c r="B20" s="87">
        <v>45839</v>
      </c>
      <c r="C20" s="6" t="str">
        <f>Sheet1!C2</f>
        <v>FC3700003</v>
      </c>
      <c r="D20" s="6" t="str">
        <f>Sheet1!D2</f>
        <v>ACSR : PANTHER CONDUCTOR - 200 SQ. MM. (30/7/3.00)</v>
      </c>
      <c r="E20" s="23">
        <f>CS20+CU20+CW20+CY20</f>
        <v>198464.10799999998</v>
      </c>
      <c r="F20" s="98">
        <f>ROUNDUP(M28,0)</f>
        <v>6023</v>
      </c>
      <c r="G20" s="28">
        <f>E20+F20</f>
        <v>204487.10799999998</v>
      </c>
      <c r="H20" s="29">
        <f>Sheet1!CR2</f>
        <v>0.18</v>
      </c>
      <c r="I20" s="28">
        <f>G20*H20</f>
        <v>36807.679439999993</v>
      </c>
      <c r="J20" s="28">
        <f>G20+I20</f>
        <v>241294.78743999999</v>
      </c>
      <c r="K20" s="79">
        <f>Sheet1!CU2</f>
        <v>10772</v>
      </c>
      <c r="L20" s="76" t="str">
        <f>Sheet1!CV2</f>
        <v>KMS</v>
      </c>
      <c r="M20" s="23">
        <f>J20*K20</f>
        <v>2599227450.3036799</v>
      </c>
      <c r="N20" s="71">
        <f>+IFERROR(VLOOKUP($N$17,Sheet1!J2:L2,3,0),0)</f>
        <v>588</v>
      </c>
      <c r="O20" s="71">
        <f>+IFERROR(VLOOKUP($O$17,Sheet1!J2:L2,3,0),0)</f>
        <v>0</v>
      </c>
      <c r="P20" s="71">
        <f>+IFERROR(VLOOKUP($P$17,Sheet1!J2:M2,3,0),0)</f>
        <v>0</v>
      </c>
      <c r="Q20" s="71">
        <f>+IFERROR(VLOOKUP($Q$17,Sheet1!J2:M2,3,0),0)</f>
        <v>0</v>
      </c>
      <c r="R20" s="71">
        <f>+IFERROR(VLOOKUP($R$17,Sheet1!J2:M2,3,0),0)</f>
        <v>0</v>
      </c>
      <c r="S20" s="71">
        <f>+IFERROR(VLOOKUP($S$17,Sheet1!J2:M2,3,0),0)</f>
        <v>0</v>
      </c>
      <c r="T20" s="71">
        <f>+IFERROR(VLOOKUP($T$17,Sheet1!J2:M2,3,0),0)</f>
        <v>0</v>
      </c>
      <c r="U20" s="71">
        <f>+IFERROR(VLOOKUP($U$17,Sheet1!J2:M2,3,0),0)</f>
        <v>0</v>
      </c>
      <c r="V20" s="72">
        <f>+IFERROR(VLOOKUP($V$17,Sheet1!N2:Q2,3,0),0)</f>
        <v>0</v>
      </c>
      <c r="W20" s="72">
        <f>+IFERROR(VLOOKUP($W$17,Sheet1!N2:Q2,3,0),0)</f>
        <v>0</v>
      </c>
      <c r="X20" s="73">
        <f>+IFERROR(VLOOKUP($X$17,Sheet1!F2:I2,3,0),0)</f>
        <v>0</v>
      </c>
      <c r="Y20" s="73">
        <f>+IFERROR(VLOOKUP($Y$17,Sheet1!F2:I2,3,0),0)</f>
        <v>0</v>
      </c>
      <c r="Z20" s="73">
        <f>+IFERROR(VLOOKUP($Z$17,Sheet1!F2:I2,3,0),0)</f>
        <v>0</v>
      </c>
      <c r="AA20" s="73">
        <f>+IFERROR(VLOOKUP($AA$17,Sheet1!F2:I2,3,0),0)</f>
        <v>0</v>
      </c>
      <c r="AB20" s="73">
        <f>+IFERROR(VLOOKUP($AB$17,Sheet1!F2:I2,3,0),0)</f>
        <v>0</v>
      </c>
      <c r="AC20" s="73">
        <f>+IFERROR(VLOOKUP($AC$17,Sheet1!F2:I2,3,0),0)</f>
        <v>0</v>
      </c>
      <c r="AD20" s="73">
        <f>+IFERROR(VLOOKUP($AD$17,Sheet1!F2:I2,3,0),0)</f>
        <v>0</v>
      </c>
      <c r="AE20" s="73">
        <f>+IFERROR(VLOOKUP($AE$17,Sheet1!F2:I2,3,0),0)</f>
        <v>0</v>
      </c>
      <c r="AF20" s="74">
        <f>+IFERROR(VLOOKUP($AF$17,Sheet1!R2:U2,3,0),0)</f>
        <v>0</v>
      </c>
      <c r="AG20" s="32">
        <f>+IFERROR(VLOOKUP($AG$17,Sheet1!R2:U2,3,0),0)</f>
        <v>0</v>
      </c>
      <c r="AH20" s="75">
        <f>+IFERROR(VLOOKUP($AH$17,Sheet1!V2:Y2,3,0),0)</f>
        <v>0</v>
      </c>
      <c r="AI20" s="33">
        <f>+IFERROR(VLOOKUP($AI$17,Sheet1!V2:Y2,3,0),0)</f>
        <v>0</v>
      </c>
      <c r="AJ20" s="33">
        <f>+IFERROR(VLOOKUP($AJ$17,Sheet1!V2:Y2,3,0),0)</f>
        <v>0</v>
      </c>
      <c r="AK20" s="33">
        <f>+IFERROR(VLOOKUP($AK$17,Sheet1!V2:Y2,3,0),0)</f>
        <v>0</v>
      </c>
      <c r="AL20" s="33">
        <f>+IFERROR(VLOOKUP($AL$17,Sheet1!V2:Y2,3,0),0)</f>
        <v>0</v>
      </c>
      <c r="AM20" s="33">
        <f>+IFERROR(VLOOKUP($AM$17,Sheet1!V2:Y2,3,0),0)</f>
        <v>0</v>
      </c>
      <c r="AN20" s="33">
        <f>+IFERROR(VLOOKUP($AN$17,Sheet1!V2:Y2,3,0),0)</f>
        <v>0</v>
      </c>
      <c r="AO20" s="33">
        <f>+IFERROR(VLOOKUP($AO$17,Sheet1!V2:Y2,3,0),0)</f>
        <v>0</v>
      </c>
      <c r="AP20" s="33">
        <f>+IFERROR(VLOOKUP($AP$17,Sheet1!V2:Y2,3,0),0)</f>
        <v>0</v>
      </c>
      <c r="AQ20" s="36">
        <f>+IFERROR(VLOOKUP($AQ$17,Sheet1!Z2:AB2,3,0),0)</f>
        <v>0</v>
      </c>
      <c r="AR20" s="37">
        <f>+IFERROR(VLOOKUP($AR$17,Sheet1!AD2:AG2,3,0),0)</f>
        <v>0</v>
      </c>
      <c r="AS20" s="37">
        <f>+IFERROR(VLOOKUP($AS$17,Sheet1!AD2:AG2,3,0),0)</f>
        <v>0</v>
      </c>
      <c r="AT20" s="37">
        <f>+IFERROR(VLOOKUP($AT$17,Sheet1!AD2:AG2,3,0),0)</f>
        <v>0</v>
      </c>
      <c r="AU20" s="37">
        <f>+IFERROR(VLOOKUP($AU$17,Sheet1!AD2:AG2,3,0),0)</f>
        <v>0</v>
      </c>
      <c r="AV20" s="37">
        <f>+IFERROR(VLOOKUP($AV$17,Sheet1!AD2:AG2,3,0),0)</f>
        <v>0</v>
      </c>
      <c r="AW20" s="37">
        <f>+IFERROR(VLOOKUP($AW$17,Sheet1!AD2:AG2,3,0),0)</f>
        <v>0</v>
      </c>
      <c r="AX20" s="37">
        <f>+IFERROR(VLOOKUP($AX$17,Sheet1!AD2:AG2,3,0),0)</f>
        <v>0</v>
      </c>
      <c r="AY20" s="37">
        <f>+IFERROR(VLOOKUP($AY$17,Sheet1!AD2:AG2,3,0),0)</f>
        <v>0</v>
      </c>
      <c r="AZ20" s="37">
        <f>+IFERROR(VLOOKUP($AZ$17,Sheet1!AD2:AG2,3,0),0)</f>
        <v>0</v>
      </c>
      <c r="BA20" s="36">
        <f>+IFERROR(VLOOKUP($BA$17,Sheet1!AH2:AK2,3,0),0)</f>
        <v>388</v>
      </c>
      <c r="BB20" s="36">
        <f>+IFERROR(VLOOKUP($BB$17,Sheet1!AH2:AK2,3,0),0)</f>
        <v>0</v>
      </c>
      <c r="BC20" s="36">
        <f>+IFERROR(VLOOKUP($BC$17,Sheet1!AH2:AK2,3,0),0)</f>
        <v>0</v>
      </c>
      <c r="BD20" s="36">
        <f>+IFERROR(VLOOKUP($BD$17,Sheet1!AH2:AK2,3,0),0)</f>
        <v>0</v>
      </c>
      <c r="BE20" s="36">
        <f>+IFERROR(VLOOKUP($BE$17,Sheet1!AH2:AK2,3,0),0)</f>
        <v>0</v>
      </c>
      <c r="BF20" s="36">
        <f>+IFERROR(VLOOKUP($BF$17,Sheet1!AH2:AK2,3,0),0)</f>
        <v>0</v>
      </c>
      <c r="BG20" s="36">
        <f>+IFERROR(VLOOKUP($BG$17,Sheet1!AH2:AK2,3,0),0)</f>
        <v>0</v>
      </c>
      <c r="BH20" s="36">
        <f>+IFERROR(VLOOKUP($BH$17,Sheet1!AH2:AK2,3,0),0)</f>
        <v>0</v>
      </c>
      <c r="BI20" s="36">
        <f>+IFERROR(VLOOKUP($BI$17,Sheet1!AH2:AK2,3,0),0)</f>
        <v>0</v>
      </c>
      <c r="BJ20" s="36">
        <f>+IFERROR(VLOOKUP($BJ$17,Sheet1!AH2:AK2,3,0),0)</f>
        <v>0</v>
      </c>
      <c r="BK20" s="36">
        <f>+IFERROR(VLOOKUP($BK$17,Sheet1!AH2:AK2,3,0),0)</f>
        <v>0</v>
      </c>
      <c r="BL20" s="9">
        <f>+IFERROR(VLOOKUP($BL$17,Sheet1!AL2:AO2,3,0),0)</f>
        <v>0</v>
      </c>
      <c r="BM20" s="9">
        <f>+IFERROR(VLOOKUP($BM$17,Sheet1!AL2:AO2,3,0),0)</f>
        <v>0</v>
      </c>
      <c r="BN20" s="9">
        <f>+IFERROR(VLOOKUP($BN$17,Sheet1!AL2:AO2,3,0),0)</f>
        <v>0</v>
      </c>
      <c r="BO20" s="9">
        <f>+IFERROR(VLOOKUP($BO$17,Sheet1!AL2:AO2,3,0),0)</f>
        <v>0</v>
      </c>
      <c r="BP20" s="9">
        <f>+IFERROR(VLOOKUP($BP$17,Sheet1!AL2:AO2,3,0),0)</f>
        <v>0</v>
      </c>
      <c r="BQ20" s="9">
        <f>+IFERROR(VLOOKUP($BQ$17,Sheet1!AL2:AO2,3,0),0)</f>
        <v>0</v>
      </c>
      <c r="BR20" s="9">
        <f>+IFERROR(VLOOKUP($BR$17,Sheet1!AL2:AO2,3,0),0)</f>
        <v>0</v>
      </c>
      <c r="BS20" s="9">
        <f>+IFERROR(VLOOKUP($BS$17,Sheet1!AL2:AO2,3,0),0)</f>
        <v>0</v>
      </c>
      <c r="BT20" s="9">
        <f>+IFERROR(VLOOKUP($BT$17,Sheet1!AL2:AO2,3,0),0)</f>
        <v>0</v>
      </c>
      <c r="BU20" s="9">
        <f>+IFERROR(VLOOKUP($BU$17,Sheet1!AL2:AO2,3,0),0)</f>
        <v>0</v>
      </c>
      <c r="BV20" s="9">
        <f>+IFERROR(VLOOKUP($BV$17,Sheet1!AL2:AO2,3,0),0)</f>
        <v>0</v>
      </c>
      <c r="BW20" s="9">
        <f>+IFERROR(VLOOKUP($BW$17,Sheet1!AL2:AO2,3,0),0)</f>
        <v>0</v>
      </c>
      <c r="BX20" s="40">
        <f>+IFERROR(VLOOKUP($BX$17,Sheet1!AP2:AS2,3,0),0)</f>
        <v>0</v>
      </c>
      <c r="BY20" s="43">
        <v>10</v>
      </c>
      <c r="BZ20" s="44">
        <f>+IFERROR(VLOOKUP($BZ$17,Sheet1!AX2:BA2,3,0),0)</f>
        <v>0</v>
      </c>
      <c r="CA20" s="46">
        <f>+IFERROR(VLOOKUP($CA$17,Sheet1!BB2:BE2,3,0),0)</f>
        <v>0</v>
      </c>
      <c r="CB20" s="48">
        <f>+IFERROR(VLOOKUP($CB$17,Sheet1!BF2:BI2,3,0),0)</f>
        <v>0</v>
      </c>
      <c r="CC20" s="49">
        <f>+IFERROR(VLOOKUP($CC$17,Sheet1!BJ2:BM2,3,0),0)</f>
        <v>0</v>
      </c>
      <c r="CD20" s="50">
        <f>+IFERROR(VLOOKUP($CD$17,Sheet1!BN2:BQ2,3,0),0)</f>
        <v>0</v>
      </c>
      <c r="CE20" s="38">
        <f>+IFERROR(VLOOKUP($CE$17,Sheet1!BR2:BU2,3,0),0)</f>
        <v>0</v>
      </c>
      <c r="CF20" s="44">
        <f>+IFERROR(VLOOKUP($CF$17,Sheet1!BV2:BY2,3,0),0)</f>
        <v>0</v>
      </c>
      <c r="CG20" s="67" t="s">
        <v>237</v>
      </c>
      <c r="CH20" s="68" t="s">
        <v>240</v>
      </c>
      <c r="CI20" s="68" t="s">
        <v>241</v>
      </c>
      <c r="CJ20" s="68">
        <f>Sheet1!CZ2</f>
        <v>2000</v>
      </c>
      <c r="CK20" s="23">
        <f>13500/2</f>
        <v>6750</v>
      </c>
      <c r="CL20" s="23">
        <f>SUMPRODUCT($N$18:$CF$18,N20:CF20)+CK20</f>
        <v>187984</v>
      </c>
      <c r="CM20" s="24">
        <f>Sheet1!CB2</f>
        <v>0</v>
      </c>
      <c r="CN20" s="23">
        <f>CL20*CM20</f>
        <v>0</v>
      </c>
      <c r="CO20" s="95">
        <v>0.03</v>
      </c>
      <c r="CP20" s="23">
        <f>CL20*CO20</f>
        <v>5639.5199999999995</v>
      </c>
      <c r="CQ20" s="95">
        <v>0</v>
      </c>
      <c r="CR20" s="23">
        <f>CL20*CQ20</f>
        <v>0</v>
      </c>
      <c r="CS20" s="23">
        <f>CL20+CN20+CP20+CR20</f>
        <v>193623.52</v>
      </c>
      <c r="CT20" s="95">
        <v>0.02</v>
      </c>
      <c r="CU20" s="6">
        <f>CS20*CT20</f>
        <v>3872.4703999999997</v>
      </c>
      <c r="CV20" s="95">
        <v>5.0000000000000001E-3</v>
      </c>
      <c r="CW20" s="6">
        <f>CS20*CV20</f>
        <v>968.11759999999992</v>
      </c>
      <c r="CX20" s="95">
        <f>Sheet1!CM2</f>
        <v>0</v>
      </c>
      <c r="CY20" s="6">
        <f>CX20*CS20</f>
        <v>0</v>
      </c>
      <c r="CZ20" s="22">
        <v>2</v>
      </c>
    </row>
    <row r="21" spans="1:104" s="22" customFormat="1" ht="30" x14ac:dyDescent="0.25">
      <c r="A21" s="6" t="str">
        <f>Sheet1!A3</f>
        <v>ENQ-16528-25-26</v>
      </c>
      <c r="B21" s="87">
        <v>45839</v>
      </c>
      <c r="C21" s="6" t="str">
        <f>Sheet1!C3</f>
        <v>FC6100001</v>
      </c>
      <c r="D21" s="6" t="str">
        <f>Sheet1!D3</f>
        <v>ACSR : ZEBRA CONDUCTOR - 420 SQ. MM. (54/7/3.18)</v>
      </c>
      <c r="E21" s="23">
        <f>CS21+CU21+CW21+CY21</f>
        <v>368136.85774999997</v>
      </c>
      <c r="F21" s="98">
        <f>ROUNDUP(M29,0)</f>
        <v>13050</v>
      </c>
      <c r="G21" s="28">
        <f>E21+F21</f>
        <v>381186.85774999997</v>
      </c>
      <c r="H21" s="29">
        <f>Sheet1!CR3</f>
        <v>0.18</v>
      </c>
      <c r="I21" s="28">
        <f>G21*H21</f>
        <v>68613.634394999986</v>
      </c>
      <c r="J21" s="28">
        <f>G21+I21</f>
        <v>449800.49214499997</v>
      </c>
      <c r="K21" s="79">
        <f>Sheet1!CU3</f>
        <v>1566</v>
      </c>
      <c r="L21" s="76" t="str">
        <f>Sheet1!CV3</f>
        <v>KMS</v>
      </c>
      <c r="M21" s="23">
        <f>J21*K21</f>
        <v>704387570.69906998</v>
      </c>
      <c r="N21" s="71">
        <f>+IFERROR(VLOOKUP($N$17,Sheet1!J3:L3,3,0),0)</f>
        <v>1186</v>
      </c>
      <c r="O21" s="71">
        <f>+IFERROR(VLOOKUP($O$17,Sheet1!J3:L3,3,0),0)</f>
        <v>0</v>
      </c>
      <c r="P21" s="71">
        <f>+IFERROR(VLOOKUP($P$17,Sheet1!J3:M3,3,0),0)</f>
        <v>0</v>
      </c>
      <c r="Q21" s="71">
        <f>+IFERROR(VLOOKUP($Q$17,Sheet1!J3:M3,3,0),0)</f>
        <v>0</v>
      </c>
      <c r="R21" s="71">
        <f>+IFERROR(VLOOKUP($R$17,Sheet1!J3:M3,3,0),0)</f>
        <v>0</v>
      </c>
      <c r="S21" s="71">
        <f>+IFERROR(VLOOKUP($S$17,Sheet1!J3:M3,3,0),0)</f>
        <v>0</v>
      </c>
      <c r="T21" s="71">
        <f>+IFERROR(VLOOKUP($T$17,Sheet1!J3:M3,3,0),0)</f>
        <v>0</v>
      </c>
      <c r="U21" s="71">
        <f>+IFERROR(VLOOKUP($U$17,Sheet1!J3:M3,3,0),0)</f>
        <v>0</v>
      </c>
      <c r="V21" s="72">
        <f>+IFERROR(VLOOKUP($V$17,Sheet1!N3:Q3,3,0),0)</f>
        <v>0</v>
      </c>
      <c r="W21" s="72">
        <f>+IFERROR(VLOOKUP($W$17,Sheet1!N3:Q3,3,0),0)</f>
        <v>0</v>
      </c>
      <c r="X21" s="73">
        <f>+IFERROR(VLOOKUP($X$17,Sheet1!F3:I3,3,0),0)</f>
        <v>0</v>
      </c>
      <c r="Y21" s="73">
        <f>+IFERROR(VLOOKUP($Y$17,Sheet1!F3:I3,3,0),0)</f>
        <v>0</v>
      </c>
      <c r="Z21" s="73">
        <f>+IFERROR(VLOOKUP($Z$17,Sheet1!F3:I3,3,0),0)</f>
        <v>0</v>
      </c>
      <c r="AA21" s="73">
        <f>+IFERROR(VLOOKUP($AA$17,Sheet1!F3:I3,3,0),0)</f>
        <v>0</v>
      </c>
      <c r="AB21" s="73">
        <f>+IFERROR(VLOOKUP($AB$17,Sheet1!F3:I3,3,0),0)</f>
        <v>0</v>
      </c>
      <c r="AC21" s="73">
        <f>+IFERROR(VLOOKUP($AC$17,Sheet1!F3:I3,3,0),0)</f>
        <v>0</v>
      </c>
      <c r="AD21" s="73">
        <f>+IFERROR(VLOOKUP($AD$17,Sheet1!F3:I3,3,0),0)</f>
        <v>0</v>
      </c>
      <c r="AE21" s="73">
        <f>+IFERROR(VLOOKUP($AE$17,Sheet1!F3:I3,3,0),0)</f>
        <v>0</v>
      </c>
      <c r="AF21" s="74">
        <f>+IFERROR(VLOOKUP($AF$17,Sheet1!R3:U3,3,0),0)</f>
        <v>0</v>
      </c>
      <c r="AG21" s="32">
        <f>+IFERROR(VLOOKUP($AG$17,Sheet1!R3:U3,3,0),0)</f>
        <v>0</v>
      </c>
      <c r="AH21" s="75">
        <f>+IFERROR(VLOOKUP($AH$17,Sheet1!V3:Y3,3,0),0)</f>
        <v>0</v>
      </c>
      <c r="AI21" s="33">
        <f>+IFERROR(VLOOKUP($AI$17,Sheet1!V3:Y3,3,0),0)</f>
        <v>0</v>
      </c>
      <c r="AJ21" s="33">
        <f>+IFERROR(VLOOKUP($AJ$17,Sheet1!V3:Y3,3,0),0)</f>
        <v>0</v>
      </c>
      <c r="AK21" s="33">
        <f>+IFERROR(VLOOKUP($AK$17,Sheet1!V3:Y3,3,0),0)</f>
        <v>0</v>
      </c>
      <c r="AL21" s="33">
        <f>+IFERROR(VLOOKUP($AL$17,Sheet1!V3:Y3,3,0),0)</f>
        <v>0</v>
      </c>
      <c r="AM21" s="33">
        <f>+IFERROR(VLOOKUP($AM$17,Sheet1!V3:Y3,3,0),0)</f>
        <v>0</v>
      </c>
      <c r="AN21" s="33">
        <f>+IFERROR(VLOOKUP($AN$17,Sheet1!V3:Y3,3,0),0)</f>
        <v>0</v>
      </c>
      <c r="AO21" s="33">
        <f>+IFERROR(VLOOKUP($AO$17,Sheet1!V3:Y3,3,0),0)</f>
        <v>0</v>
      </c>
      <c r="AP21" s="33">
        <f>+IFERROR(VLOOKUP($AP$17,Sheet1!V3:Y3,3,0),0)</f>
        <v>0</v>
      </c>
      <c r="AQ21" s="36">
        <f>+IFERROR(VLOOKUP($AQ$17,Sheet1!Z3:AB3,3,0),0)</f>
        <v>0</v>
      </c>
      <c r="AR21" s="37">
        <f>+IFERROR(VLOOKUP($AR$17,Sheet1!AD3:AG3,3,0),0)</f>
        <v>0</v>
      </c>
      <c r="AS21" s="37">
        <f>+IFERROR(VLOOKUP($AS$17,Sheet1!AD3:AG3,3,0),0)</f>
        <v>0</v>
      </c>
      <c r="AT21" s="37">
        <f>+IFERROR(VLOOKUP($AT$17,Sheet1!AD3:AG3,3,0),0)</f>
        <v>0</v>
      </c>
      <c r="AU21" s="37">
        <f>+IFERROR(VLOOKUP($AU$17,Sheet1!AD3:AG3,3,0),0)</f>
        <v>0</v>
      </c>
      <c r="AV21" s="37">
        <f>+IFERROR(VLOOKUP($AV$17,Sheet1!AD3:AG3,3,0),0)</f>
        <v>0</v>
      </c>
      <c r="AW21" s="37">
        <f>+IFERROR(VLOOKUP($AW$17,Sheet1!AD3:AG3,3,0),0)</f>
        <v>0</v>
      </c>
      <c r="AX21" s="37">
        <f>+IFERROR(VLOOKUP($AX$17,Sheet1!AD3:AG3,3,0),0)</f>
        <v>0</v>
      </c>
      <c r="AY21" s="37">
        <f>+IFERROR(VLOOKUP($AY$17,Sheet1!AD3:AG3,3,0),0)</f>
        <v>0</v>
      </c>
      <c r="AZ21" s="37">
        <f>+IFERROR(VLOOKUP($AZ$17,Sheet1!AD3:AG3,3,0),0)</f>
        <v>0</v>
      </c>
      <c r="BA21" s="36">
        <f>+IFERROR(VLOOKUP($BA$17,Sheet1!AH3:AK3,3,0),0)</f>
        <v>436</v>
      </c>
      <c r="BB21" s="36">
        <f>+IFERROR(VLOOKUP($BB$17,Sheet1!AH3:AK3,3,0),0)</f>
        <v>0</v>
      </c>
      <c r="BC21" s="36">
        <f>+IFERROR(VLOOKUP($BC$17,Sheet1!AH3:AK3,3,0),0)</f>
        <v>0</v>
      </c>
      <c r="BD21" s="36">
        <f>+IFERROR(VLOOKUP($BD$17,Sheet1!AH3:AK3,3,0),0)</f>
        <v>0</v>
      </c>
      <c r="BE21" s="36">
        <f>+IFERROR(VLOOKUP($BE$17,Sheet1!AH3:AK3,3,0),0)</f>
        <v>0</v>
      </c>
      <c r="BF21" s="36">
        <f>+IFERROR(VLOOKUP($BF$17,Sheet1!AH3:AK3,3,0),0)</f>
        <v>0</v>
      </c>
      <c r="BG21" s="36">
        <f>+IFERROR(VLOOKUP($BG$17,Sheet1!AH3:AK3,3,0),0)</f>
        <v>0</v>
      </c>
      <c r="BH21" s="36">
        <f>+IFERROR(VLOOKUP($BH$17,Sheet1!AH3:AK3,3,0),0)</f>
        <v>0</v>
      </c>
      <c r="BI21" s="36">
        <f>+IFERROR(VLOOKUP($BI$17,Sheet1!AH3:AK3,3,0),0)</f>
        <v>0</v>
      </c>
      <c r="BJ21" s="36">
        <f>+IFERROR(VLOOKUP($BJ$17,Sheet1!AH3:AK3,3,0),0)</f>
        <v>0</v>
      </c>
      <c r="BK21" s="36">
        <f>+IFERROR(VLOOKUP($BK$17,Sheet1!AH3:AK3,3,0),0)</f>
        <v>0</v>
      </c>
      <c r="BL21" s="9">
        <f>+IFERROR(VLOOKUP($BL$17,Sheet1!AL3:AO3,3,0),0)</f>
        <v>0</v>
      </c>
      <c r="BM21" s="9">
        <f>+IFERROR(VLOOKUP($BM$17,Sheet1!AL3:AO3,3,0),0)</f>
        <v>0</v>
      </c>
      <c r="BN21" s="9">
        <f>+IFERROR(VLOOKUP($BN$17,Sheet1!AL3:AO3,3,0),0)</f>
        <v>0</v>
      </c>
      <c r="BO21" s="9">
        <f>+IFERROR(VLOOKUP($BO$17,Sheet1!AL3:AO3,3,0),0)</f>
        <v>0</v>
      </c>
      <c r="BP21" s="9">
        <f>+IFERROR(VLOOKUP($BP$17,Sheet1!AL3:AO3,3,0),0)</f>
        <v>0</v>
      </c>
      <c r="BQ21" s="9">
        <f>+IFERROR(VLOOKUP($BQ$17,Sheet1!AL3:AO3,3,0),0)</f>
        <v>0</v>
      </c>
      <c r="BR21" s="9">
        <f>+IFERROR(VLOOKUP($BR$17,Sheet1!AL3:AO3,3,0),0)</f>
        <v>0</v>
      </c>
      <c r="BS21" s="9">
        <f>+IFERROR(VLOOKUP($BS$17,Sheet1!AL3:AO3,3,0),0)</f>
        <v>0</v>
      </c>
      <c r="BT21" s="9">
        <f>+IFERROR(VLOOKUP($BT$17,Sheet1!AL3:AO3,3,0),0)</f>
        <v>0</v>
      </c>
      <c r="BU21" s="9">
        <f>+IFERROR(VLOOKUP($BU$17,Sheet1!AL3:AO3,3,0),0)</f>
        <v>0</v>
      </c>
      <c r="BV21" s="9">
        <f>+IFERROR(VLOOKUP($BV$17,Sheet1!AL3:AO3,3,0),0)</f>
        <v>0</v>
      </c>
      <c r="BW21" s="9">
        <f>+IFERROR(VLOOKUP($BW$17,Sheet1!AL3:AO3,3,0),0)</f>
        <v>0</v>
      </c>
      <c r="BX21" s="40">
        <f>+IFERROR(VLOOKUP($BX$17,Sheet1!AP3:AS3,3,0),0)</f>
        <v>0</v>
      </c>
      <c r="BY21" s="43">
        <v>12</v>
      </c>
      <c r="BZ21" s="44">
        <f>+IFERROR(VLOOKUP($BZ$17,Sheet1!AX3:BA3,3,0),0)</f>
        <v>0</v>
      </c>
      <c r="CA21" s="46">
        <f>+IFERROR(VLOOKUP($CA$17,Sheet1!BB3:BE3,3,0),0)</f>
        <v>0</v>
      </c>
      <c r="CB21" s="48">
        <f>+IFERROR(VLOOKUP($CB$17,Sheet1!BF3:BI3,3,0),0)</f>
        <v>0</v>
      </c>
      <c r="CC21" s="49">
        <f>+IFERROR(VLOOKUP($CC$17,Sheet1!BJ3:BM3,3,0),0)</f>
        <v>0</v>
      </c>
      <c r="CD21" s="50">
        <f>+IFERROR(VLOOKUP($CD$17,Sheet1!BN3:BQ3,3,0),0)</f>
        <v>0</v>
      </c>
      <c r="CE21" s="38">
        <f>+IFERROR(VLOOKUP($CE$17,Sheet1!BR3:BU3,3,0),0)</f>
        <v>0</v>
      </c>
      <c r="CF21" s="44">
        <f>+IFERROR(VLOOKUP($CF$17,Sheet1!BV3:BY3,3,0),0)</f>
        <v>0</v>
      </c>
      <c r="CG21" s="67" t="s">
        <v>237</v>
      </c>
      <c r="CH21" s="68" t="s">
        <v>242</v>
      </c>
      <c r="CI21" s="68" t="s">
        <v>243</v>
      </c>
      <c r="CJ21" s="68">
        <f>Sheet1!CZ3</f>
        <v>2000</v>
      </c>
      <c r="CK21" s="23">
        <f>16650/2</f>
        <v>8325</v>
      </c>
      <c r="CL21" s="23">
        <f>SUMPRODUCT($N$18:$CF$18,N21:CF21)+CK21</f>
        <v>348697</v>
      </c>
      <c r="CM21" s="24">
        <f>Sheet1!CB3</f>
        <v>0</v>
      </c>
      <c r="CN21" s="23">
        <f>CL21*CM21</f>
        <v>0</v>
      </c>
      <c r="CO21" s="95">
        <v>0.03</v>
      </c>
      <c r="CP21" s="23">
        <f>CL21*CO21</f>
        <v>10460.91</v>
      </c>
      <c r="CQ21" s="95">
        <v>0</v>
      </c>
      <c r="CR21" s="23">
        <f>CL21*CQ21</f>
        <v>0</v>
      </c>
      <c r="CS21" s="23">
        <f>CL21+CN21+CP21+CR21</f>
        <v>359157.91</v>
      </c>
      <c r="CT21" s="95">
        <v>0.02</v>
      </c>
      <c r="CU21" s="6">
        <f>CS21*CT21</f>
        <v>7183.1581999999999</v>
      </c>
      <c r="CV21" s="95">
        <v>5.0000000000000001E-3</v>
      </c>
      <c r="CW21" s="6">
        <f>CS21*CV21</f>
        <v>1795.78955</v>
      </c>
      <c r="CX21" s="95">
        <f>Sheet1!CM3</f>
        <v>0</v>
      </c>
      <c r="CY21" s="6">
        <f>CX21*CS21</f>
        <v>0</v>
      </c>
      <c r="CZ21" s="22">
        <v>3</v>
      </c>
    </row>
    <row r="22" spans="1:104" s="22" customFormat="1" ht="30" x14ac:dyDescent="0.25">
      <c r="A22" s="6" t="str">
        <f>Sheet1!A4</f>
        <v>ENQ-16528-25-26</v>
      </c>
      <c r="B22" s="87">
        <v>45839</v>
      </c>
      <c r="C22" s="6" t="str">
        <f>Sheet1!C4</f>
        <v>FC6100002</v>
      </c>
      <c r="D22" s="6" t="str">
        <f>Sheet1!D4</f>
        <v>ACSR : MOOSE CONDUCTOR - 520 SQ. MM. (54/7/3.53)</v>
      </c>
      <c r="E22" s="23">
        <f>CS22+CU22+CW22+CY22</f>
        <v>459350.49050000001</v>
      </c>
      <c r="F22" s="98">
        <f>ROUNDUP(M30,0)</f>
        <v>15600</v>
      </c>
      <c r="G22" s="28">
        <f>E22+F22</f>
        <v>474950.49050000001</v>
      </c>
      <c r="H22" s="29">
        <f>Sheet1!CR4</f>
        <v>0.18</v>
      </c>
      <c r="I22" s="28">
        <f>G22*H22</f>
        <v>85491.08829</v>
      </c>
      <c r="J22" s="28">
        <f>G22+I22</f>
        <v>560441.57879000006</v>
      </c>
      <c r="K22" s="79">
        <f>Sheet1!CU4</f>
        <v>2200</v>
      </c>
      <c r="L22" s="76" t="str">
        <f>Sheet1!CV4</f>
        <v>KMS</v>
      </c>
      <c r="M22" s="23">
        <f>J22*K22</f>
        <v>1232971473.3380001</v>
      </c>
      <c r="N22" s="71">
        <f>+IFERROR(VLOOKUP($N$17,Sheet1!J4:L4,3,0),0)</f>
        <v>1467</v>
      </c>
      <c r="O22" s="71">
        <f>+IFERROR(VLOOKUP($O$17,Sheet1!J4:L4,3,0),0)</f>
        <v>0</v>
      </c>
      <c r="P22" s="71">
        <f>+IFERROR(VLOOKUP($P$17,Sheet1!J4:M4,3,0),0)</f>
        <v>0</v>
      </c>
      <c r="Q22" s="71">
        <f>+IFERROR(VLOOKUP($Q$17,Sheet1!J4:M4,3,0),0)</f>
        <v>0</v>
      </c>
      <c r="R22" s="71">
        <f>+IFERROR(VLOOKUP($R$17,Sheet1!J4:M4,3,0),0)</f>
        <v>0</v>
      </c>
      <c r="S22" s="71">
        <f>+IFERROR(VLOOKUP($S$17,Sheet1!J4:M4,3,0),0)</f>
        <v>0</v>
      </c>
      <c r="T22" s="71">
        <f>+IFERROR(VLOOKUP($T$17,Sheet1!J4:M4,3,0),0)</f>
        <v>0</v>
      </c>
      <c r="U22" s="71">
        <f>+IFERROR(VLOOKUP($U$17,Sheet1!J4:M4,3,0),0)</f>
        <v>0</v>
      </c>
      <c r="V22" s="72">
        <f>+IFERROR(VLOOKUP($V$17,Sheet1!N4:Q4,3,0),0)</f>
        <v>0</v>
      </c>
      <c r="W22" s="72">
        <f>+IFERROR(VLOOKUP($W$17,Sheet1!N4:Q4,3,0),0)</f>
        <v>0</v>
      </c>
      <c r="X22" s="73">
        <f>+IFERROR(VLOOKUP($X$17,Sheet1!F4:I4,3,0),0)</f>
        <v>0</v>
      </c>
      <c r="Y22" s="73">
        <f>+IFERROR(VLOOKUP($Y$17,Sheet1!F4:I4,3,0),0)</f>
        <v>0</v>
      </c>
      <c r="Z22" s="73">
        <f>+IFERROR(VLOOKUP($Z$17,Sheet1!F4:I4,3,0),0)</f>
        <v>0</v>
      </c>
      <c r="AA22" s="73">
        <f>+IFERROR(VLOOKUP($AA$17,Sheet1!F4:I4,3,0),0)</f>
        <v>0</v>
      </c>
      <c r="AB22" s="73">
        <f>+IFERROR(VLOOKUP($AB$17,Sheet1!F4:I4,3,0),0)</f>
        <v>0</v>
      </c>
      <c r="AC22" s="73">
        <f>+IFERROR(VLOOKUP($AC$17,Sheet1!F4:I4,3,0),0)</f>
        <v>0</v>
      </c>
      <c r="AD22" s="73">
        <f>+IFERROR(VLOOKUP($AD$17,Sheet1!F4:I4,3,0),0)</f>
        <v>0</v>
      </c>
      <c r="AE22" s="73">
        <f>+IFERROR(VLOOKUP($AE$17,Sheet1!F4:I4,3,0),0)</f>
        <v>0</v>
      </c>
      <c r="AF22" s="74">
        <f>+IFERROR(VLOOKUP($AF$17,Sheet1!R4:U4,3,0),0)</f>
        <v>0</v>
      </c>
      <c r="AG22" s="32">
        <f>+IFERROR(VLOOKUP($AG$17,Sheet1!R4:U4,3,0),0)</f>
        <v>0</v>
      </c>
      <c r="AH22" s="75">
        <f>+IFERROR(VLOOKUP($AH$17,Sheet1!V4:Y4,3,0),0)</f>
        <v>0</v>
      </c>
      <c r="AI22" s="33">
        <f>+IFERROR(VLOOKUP($AI$17,Sheet1!V4:Y4,3,0),0)</f>
        <v>0</v>
      </c>
      <c r="AJ22" s="33">
        <f>+IFERROR(VLOOKUP($AJ$17,Sheet1!V4:Y4,3,0),0)</f>
        <v>0</v>
      </c>
      <c r="AK22" s="33">
        <f>+IFERROR(VLOOKUP($AK$17,Sheet1!V4:Y4,3,0),0)</f>
        <v>0</v>
      </c>
      <c r="AL22" s="33">
        <f>+IFERROR(VLOOKUP($AL$17,Sheet1!V4:Y4,3,0),0)</f>
        <v>0</v>
      </c>
      <c r="AM22" s="33">
        <f>+IFERROR(VLOOKUP($AM$17,Sheet1!V4:Y4,3,0),0)</f>
        <v>0</v>
      </c>
      <c r="AN22" s="33">
        <f>+IFERROR(VLOOKUP($AN$17,Sheet1!V4:Y4,3,0),0)</f>
        <v>0</v>
      </c>
      <c r="AO22" s="33">
        <f>+IFERROR(VLOOKUP($AO$17,Sheet1!V4:Y4,3,0),0)</f>
        <v>0</v>
      </c>
      <c r="AP22" s="33">
        <f>+IFERROR(VLOOKUP($AP$17,Sheet1!V4:Y4,3,0),0)</f>
        <v>0</v>
      </c>
      <c r="AQ22" s="36">
        <f>+IFERROR(VLOOKUP($AQ$17,Sheet1!Z4:AB4,3,0),0)</f>
        <v>0</v>
      </c>
      <c r="AR22" s="37">
        <f>+IFERROR(VLOOKUP($AR$17,Sheet1!AD4:AG4,3,0),0)</f>
        <v>0</v>
      </c>
      <c r="AS22" s="37">
        <f>+IFERROR(VLOOKUP($AS$17,Sheet1!AD4:AG4,3,0),0)</f>
        <v>0</v>
      </c>
      <c r="AT22" s="37">
        <f>+IFERROR(VLOOKUP($AT$17,Sheet1!AD4:AG4,3,0),0)</f>
        <v>0</v>
      </c>
      <c r="AU22" s="37">
        <f>+IFERROR(VLOOKUP($AU$17,Sheet1!AD4:AG4,3,0),0)</f>
        <v>0</v>
      </c>
      <c r="AV22" s="37">
        <f>+IFERROR(VLOOKUP($AV$17,Sheet1!AD4:AG4,3,0),0)</f>
        <v>0</v>
      </c>
      <c r="AW22" s="37">
        <f>+IFERROR(VLOOKUP($AW$17,Sheet1!AD4:AG4,3,0),0)</f>
        <v>0</v>
      </c>
      <c r="AX22" s="37">
        <f>+IFERROR(VLOOKUP($AX$17,Sheet1!AD4:AG4,3,0),0)</f>
        <v>0</v>
      </c>
      <c r="AY22" s="37">
        <f>+IFERROR(VLOOKUP($AY$17,Sheet1!AD4:AG4,3,0),0)</f>
        <v>0</v>
      </c>
      <c r="AZ22" s="37">
        <f>+IFERROR(VLOOKUP($AZ$17,Sheet1!AD4:AG4,3,0),0)</f>
        <v>0</v>
      </c>
      <c r="BA22" s="36">
        <f>+IFERROR(VLOOKUP($BA$17,Sheet1!AH4:AK4,3,0),0)</f>
        <v>537</v>
      </c>
      <c r="BB22" s="36">
        <f>+IFERROR(VLOOKUP($BB$17,Sheet1!AH4:AK4,3,0),0)</f>
        <v>0</v>
      </c>
      <c r="BC22" s="36">
        <f>+IFERROR(VLOOKUP($BC$17,Sheet1!AH4:AK4,3,0),0)</f>
        <v>0</v>
      </c>
      <c r="BD22" s="36">
        <f>+IFERROR(VLOOKUP($BD$17,Sheet1!AH4:AK4,3,0),0)</f>
        <v>0</v>
      </c>
      <c r="BE22" s="36">
        <f>+IFERROR(VLOOKUP($BE$17,Sheet1!AH4:AK4,3,0),0)</f>
        <v>0</v>
      </c>
      <c r="BF22" s="36">
        <f>+IFERROR(VLOOKUP($BF$17,Sheet1!AH4:AK4,3,0),0)</f>
        <v>0</v>
      </c>
      <c r="BG22" s="36">
        <f>+IFERROR(VLOOKUP($BG$17,Sheet1!AH4:AK4,3,0),0)</f>
        <v>0</v>
      </c>
      <c r="BH22" s="36">
        <f>+IFERROR(VLOOKUP($BH$17,Sheet1!AH4:AK4,3,0),0)</f>
        <v>0</v>
      </c>
      <c r="BI22" s="36">
        <f>+IFERROR(VLOOKUP($BI$17,Sheet1!AH4:AK4,3,0),0)</f>
        <v>0</v>
      </c>
      <c r="BJ22" s="36">
        <f>+IFERROR(VLOOKUP($BJ$17,Sheet1!AH4:AK4,3,0),0)</f>
        <v>0</v>
      </c>
      <c r="BK22" s="36">
        <f>+IFERROR(VLOOKUP($BK$17,Sheet1!AH4:AK4,3,0),0)</f>
        <v>0</v>
      </c>
      <c r="BL22" s="9">
        <f>+IFERROR(VLOOKUP($BL$17,Sheet1!AL4:AO4,3,0),0)</f>
        <v>0</v>
      </c>
      <c r="BM22" s="9">
        <f>+IFERROR(VLOOKUP($BM$17,Sheet1!AL4:AO4,3,0),0)</f>
        <v>0</v>
      </c>
      <c r="BN22" s="9">
        <f>+IFERROR(VLOOKUP($BN$17,Sheet1!AL4:AO4,3,0),0)</f>
        <v>0</v>
      </c>
      <c r="BO22" s="9">
        <f>+IFERROR(VLOOKUP($BO$17,Sheet1!AL4:AO4,3,0),0)</f>
        <v>0</v>
      </c>
      <c r="BP22" s="9">
        <f>+IFERROR(VLOOKUP($BP$17,Sheet1!AL4:AO4,3,0),0)</f>
        <v>0</v>
      </c>
      <c r="BQ22" s="9">
        <f>+IFERROR(VLOOKUP($BQ$17,Sheet1!AL4:AO4,3,0),0)</f>
        <v>0</v>
      </c>
      <c r="BR22" s="9">
        <f>+IFERROR(VLOOKUP($BR$17,Sheet1!AL4:AO4,3,0),0)</f>
        <v>0</v>
      </c>
      <c r="BS22" s="9">
        <f>+IFERROR(VLOOKUP($BS$17,Sheet1!AL4:AO4,3,0),0)</f>
        <v>0</v>
      </c>
      <c r="BT22" s="9">
        <f>+IFERROR(VLOOKUP($BT$17,Sheet1!AL4:AO4,3,0),0)</f>
        <v>0</v>
      </c>
      <c r="BU22" s="9">
        <f>+IFERROR(VLOOKUP($BU$17,Sheet1!AL4:AO4,3,0),0)</f>
        <v>0</v>
      </c>
      <c r="BV22" s="9">
        <f>+IFERROR(VLOOKUP($BV$17,Sheet1!AL4:AO4,3,0),0)</f>
        <v>0</v>
      </c>
      <c r="BW22" s="9">
        <f>+IFERROR(VLOOKUP($BW$17,Sheet1!AL4:AO4,3,0),0)</f>
        <v>0</v>
      </c>
      <c r="BX22" s="40">
        <f>+IFERROR(VLOOKUP($BX$17,Sheet1!AP4:AS4,3,0),0)</f>
        <v>0</v>
      </c>
      <c r="BY22" s="43">
        <v>14</v>
      </c>
      <c r="BZ22" s="44">
        <f>+IFERROR(VLOOKUP($BZ$17,Sheet1!AX4:BA4,3,0),0)</f>
        <v>0</v>
      </c>
      <c r="CA22" s="46">
        <f>+IFERROR(VLOOKUP($CA$17,Sheet1!BB4:BE4,3,0),0)</f>
        <v>0</v>
      </c>
      <c r="CB22" s="48">
        <f>+IFERROR(VLOOKUP($CB$17,Sheet1!BF4:BI4,3,0),0)</f>
        <v>0</v>
      </c>
      <c r="CC22" s="49">
        <f>+IFERROR(VLOOKUP($CC$17,Sheet1!BJ4:BM4,3,0),0)</f>
        <v>0</v>
      </c>
      <c r="CD22" s="50">
        <f>+IFERROR(VLOOKUP($CD$17,Sheet1!BN4:BQ4,3,0),0)</f>
        <v>0</v>
      </c>
      <c r="CE22" s="38">
        <f>+IFERROR(VLOOKUP($CE$17,Sheet1!BR4:BU4,3,0),0)</f>
        <v>0</v>
      </c>
      <c r="CF22" s="44">
        <f>+IFERROR(VLOOKUP($CF$17,Sheet1!BV4:BY4,3,0),0)</f>
        <v>0</v>
      </c>
      <c r="CG22" s="67" t="s">
        <v>237</v>
      </c>
      <c r="CH22" s="68" t="s">
        <v>244</v>
      </c>
      <c r="CI22" s="68" t="s">
        <v>245</v>
      </c>
      <c r="CJ22" s="68">
        <f>Sheet1!CZ4</f>
        <v>2000</v>
      </c>
      <c r="CK22" s="23">
        <f>28800/2</f>
        <v>14400</v>
      </c>
      <c r="CL22" s="23">
        <f>SUMPRODUCT($N$18:$CF$18,N22:CF22)+CK22</f>
        <v>435094</v>
      </c>
      <c r="CM22" s="24">
        <f>Sheet1!CB4</f>
        <v>0</v>
      </c>
      <c r="CN22" s="23">
        <f>CL22*CM22</f>
        <v>0</v>
      </c>
      <c r="CO22" s="95">
        <v>0.03</v>
      </c>
      <c r="CP22" s="23">
        <f>CL22*CO22</f>
        <v>13052.82</v>
      </c>
      <c r="CQ22" s="95">
        <v>0</v>
      </c>
      <c r="CR22" s="23">
        <f>CL22*CQ22</f>
        <v>0</v>
      </c>
      <c r="CS22" s="23">
        <f>CL22+CN22+CP22+CR22</f>
        <v>448146.82</v>
      </c>
      <c r="CT22" s="95">
        <v>0.02</v>
      </c>
      <c r="CU22" s="6">
        <f>CS22*CT22</f>
        <v>8962.9364000000005</v>
      </c>
      <c r="CV22" s="95">
        <v>5.0000000000000001E-3</v>
      </c>
      <c r="CW22" s="6">
        <f>CS22*CV22</f>
        <v>2240.7341000000001</v>
      </c>
      <c r="CX22" s="95">
        <f>Sheet1!CM4</f>
        <v>0</v>
      </c>
      <c r="CY22" s="6">
        <f>CX22*CS22</f>
        <v>0</v>
      </c>
      <c r="CZ22" s="22">
        <v>4</v>
      </c>
    </row>
    <row r="23" spans="1:104" x14ac:dyDescent="0.25">
      <c r="M23" s="172">
        <f>SUM(M19:M22)</f>
        <v>4646536837.0697498</v>
      </c>
    </row>
    <row r="26" spans="1:104" ht="75" x14ac:dyDescent="0.25">
      <c r="E26" s="1" t="s">
        <v>127</v>
      </c>
      <c r="F26" s="1" t="s">
        <v>128</v>
      </c>
      <c r="G26" s="90" t="s">
        <v>129</v>
      </c>
      <c r="H26" s="1" t="s">
        <v>130</v>
      </c>
      <c r="I26" s="1" t="s">
        <v>131</v>
      </c>
      <c r="J26" s="1" t="s">
        <v>132</v>
      </c>
      <c r="K26" s="1" t="s">
        <v>133</v>
      </c>
      <c r="L26" s="1" t="s">
        <v>134</v>
      </c>
      <c r="M26" s="91" t="s">
        <v>135</v>
      </c>
      <c r="BA26" s="15" t="s">
        <v>248</v>
      </c>
      <c r="BB26" s="15" t="s">
        <v>249</v>
      </c>
      <c r="BY26" s="15" t="s">
        <v>250</v>
      </c>
      <c r="CG26" s="15" t="s">
        <v>251</v>
      </c>
    </row>
    <row r="27" spans="1:104" ht="30" x14ac:dyDescent="0.25">
      <c r="D27" s="15" t="str">
        <f>D19</f>
        <v>ACSR : DOG CONDUCTOR - 100 SQ. MM. (6/4.72/7/1.57)</v>
      </c>
      <c r="E27" s="92">
        <f>K19</f>
        <v>916</v>
      </c>
      <c r="F27" s="93">
        <f>CJ19/1000</f>
        <v>2</v>
      </c>
      <c r="G27" s="90" t="s">
        <v>246</v>
      </c>
      <c r="H27" s="94">
        <v>84250</v>
      </c>
      <c r="I27" s="93">
        <v>15</v>
      </c>
      <c r="J27" s="90">
        <f>F27*I27</f>
        <v>30</v>
      </c>
      <c r="K27" s="90">
        <f>ROUNDUP((E27/J27),0)</f>
        <v>31</v>
      </c>
      <c r="L27" s="90">
        <f>H27*K27</f>
        <v>2611750</v>
      </c>
      <c r="M27" s="96">
        <f>L27/E27</f>
        <v>2851.2554585152839</v>
      </c>
      <c r="N27" s="99" t="str">
        <f>CH19</f>
        <v>SP0400144</v>
      </c>
      <c r="BA27" s="15">
        <f>SUM(N19:BY19)</f>
        <v>398.3</v>
      </c>
      <c r="BB27" s="15">
        <v>200</v>
      </c>
      <c r="BY27" s="15">
        <f>((BA27*F27)+BB27)</f>
        <v>996.6</v>
      </c>
      <c r="CG27" s="15">
        <f>BY27*I27</f>
        <v>14949</v>
      </c>
    </row>
    <row r="28" spans="1:104" ht="30" x14ac:dyDescent="0.25">
      <c r="D28" s="15" t="str">
        <f t="shared" ref="D28:D30" si="0">D20</f>
        <v>ACSR : PANTHER CONDUCTOR - 200 SQ. MM. (30/7/3.00)</v>
      </c>
      <c r="E28" s="92">
        <f t="shared" ref="E28:E30" si="1">K20</f>
        <v>10772</v>
      </c>
      <c r="F28" s="93">
        <f t="shared" ref="F28:F30" si="2">CJ20/1000</f>
        <v>2</v>
      </c>
      <c r="G28" s="90" t="s">
        <v>246</v>
      </c>
      <c r="H28" s="94">
        <v>84250</v>
      </c>
      <c r="I28" s="93">
        <v>7</v>
      </c>
      <c r="J28" s="90">
        <f t="shared" ref="J28:J30" si="3">F28*I28</f>
        <v>14</v>
      </c>
      <c r="K28" s="90">
        <f t="shared" ref="K28:K30" si="4">ROUNDUP((E28/J28),0)</f>
        <v>770</v>
      </c>
      <c r="L28" s="90">
        <f t="shared" ref="L28:L30" si="5">H28*K28</f>
        <v>64872500</v>
      </c>
      <c r="M28" s="96">
        <f t="shared" ref="M28:M30" si="6">L28/E28</f>
        <v>6022.3264017823985</v>
      </c>
      <c r="N28" s="99" t="str">
        <f t="shared" ref="N28:N30" si="7">CH20</f>
        <v>SP0400152</v>
      </c>
      <c r="BA28" s="15">
        <f t="shared" ref="BA28:BA30" si="8">SUM(N20:BY20)</f>
        <v>986</v>
      </c>
      <c r="BB28" s="15">
        <v>150</v>
      </c>
      <c r="BY28" s="15">
        <f t="shared" ref="BY28:BY30" si="9">((BA28*F28)+BB28)</f>
        <v>2122</v>
      </c>
      <c r="CG28" s="15">
        <f t="shared" ref="CG28:CG30" si="10">BY28*I28</f>
        <v>14854</v>
      </c>
    </row>
    <row r="29" spans="1:104" ht="30" x14ac:dyDescent="0.25">
      <c r="D29" s="15" t="str">
        <f t="shared" si="0"/>
        <v>ACSR : ZEBRA CONDUCTOR - 420 SQ. MM. (54/7/3.18)</v>
      </c>
      <c r="E29" s="92">
        <f t="shared" si="1"/>
        <v>1566</v>
      </c>
      <c r="F29" s="93">
        <f t="shared" si="2"/>
        <v>2</v>
      </c>
      <c r="G29" s="90" t="s">
        <v>247</v>
      </c>
      <c r="H29" s="94">
        <v>156000</v>
      </c>
      <c r="I29" s="93">
        <v>6</v>
      </c>
      <c r="J29" s="90">
        <f t="shared" si="3"/>
        <v>12</v>
      </c>
      <c r="K29" s="90">
        <f t="shared" si="4"/>
        <v>131</v>
      </c>
      <c r="L29" s="90">
        <f t="shared" si="5"/>
        <v>20436000</v>
      </c>
      <c r="M29" s="96">
        <f t="shared" si="6"/>
        <v>13049.808429118773</v>
      </c>
      <c r="N29" s="99" t="str">
        <f t="shared" si="7"/>
        <v>SP0400126</v>
      </c>
      <c r="BA29" s="15">
        <f t="shared" si="8"/>
        <v>1634</v>
      </c>
      <c r="BB29" s="15">
        <v>185</v>
      </c>
      <c r="BY29" s="15">
        <f t="shared" si="9"/>
        <v>3453</v>
      </c>
      <c r="CG29" s="15">
        <f t="shared" si="10"/>
        <v>20718</v>
      </c>
    </row>
    <row r="30" spans="1:104" ht="30" x14ac:dyDescent="0.25">
      <c r="D30" s="15" t="str">
        <f t="shared" si="0"/>
        <v>ACSR : MOOSE CONDUCTOR - 520 SQ. MM. (54/7/3.53)</v>
      </c>
      <c r="E30" s="92">
        <f t="shared" si="1"/>
        <v>2200</v>
      </c>
      <c r="F30" s="93">
        <f t="shared" si="2"/>
        <v>2</v>
      </c>
      <c r="G30" s="90" t="s">
        <v>247</v>
      </c>
      <c r="H30" s="94">
        <v>156000</v>
      </c>
      <c r="I30" s="93">
        <v>5</v>
      </c>
      <c r="J30" s="90">
        <f t="shared" si="3"/>
        <v>10</v>
      </c>
      <c r="K30" s="90">
        <f t="shared" si="4"/>
        <v>220</v>
      </c>
      <c r="L30" s="90">
        <f t="shared" si="5"/>
        <v>34320000</v>
      </c>
      <c r="M30" s="96">
        <f t="shared" si="6"/>
        <v>15600</v>
      </c>
      <c r="N30" s="99" t="str">
        <f t="shared" si="7"/>
        <v>SP0400139</v>
      </c>
      <c r="BA30" s="15">
        <f t="shared" si="8"/>
        <v>2018</v>
      </c>
      <c r="BB30" s="15">
        <v>320</v>
      </c>
      <c r="BY30" s="15">
        <f t="shared" si="9"/>
        <v>4356</v>
      </c>
      <c r="CG30" s="15">
        <f t="shared" si="10"/>
        <v>21780</v>
      </c>
    </row>
    <row r="31" spans="1:104" x14ac:dyDescent="0.25">
      <c r="M31" s="97"/>
    </row>
    <row r="32" spans="1:104" x14ac:dyDescent="0.25">
      <c r="H32" s="5" t="s">
        <v>307</v>
      </c>
      <c r="M32" s="97"/>
    </row>
    <row r="33" spans="7:13" x14ac:dyDescent="0.25">
      <c r="G33" s="243" t="s">
        <v>305</v>
      </c>
      <c r="H33" s="245">
        <v>165000</v>
      </c>
      <c r="L33" s="173" t="s">
        <v>302</v>
      </c>
      <c r="M33" s="174">
        <v>4311862000</v>
      </c>
    </row>
    <row r="34" spans="7:13" x14ac:dyDescent="0.25">
      <c r="G34" s="244" t="s">
        <v>306</v>
      </c>
      <c r="H34" s="245">
        <v>147000</v>
      </c>
      <c r="L34" s="173" t="s">
        <v>303</v>
      </c>
      <c r="M34" s="174">
        <f>M23</f>
        <v>4646536837.0697498</v>
      </c>
    </row>
    <row r="35" spans="7:13" x14ac:dyDescent="0.25">
      <c r="G35" s="173" t="s">
        <v>308</v>
      </c>
      <c r="H35" s="246">
        <f>AVERAGE(H33:H34)</f>
        <v>156000</v>
      </c>
      <c r="L35" s="173" t="s">
        <v>304</v>
      </c>
      <c r="M35" s="175">
        <f>((M34-M33)/M34)</f>
        <v>7.2026726313614287E-2</v>
      </c>
    </row>
    <row r="36" spans="7:13" x14ac:dyDescent="0.25">
      <c r="H36" s="245"/>
      <c r="M36" s="97"/>
    </row>
    <row r="37" spans="7:13" x14ac:dyDescent="0.25">
      <c r="H37" s="5" t="s">
        <v>309</v>
      </c>
      <c r="M37" s="97"/>
    </row>
    <row r="38" spans="7:13" x14ac:dyDescent="0.25">
      <c r="G38" s="243" t="s">
        <v>305</v>
      </c>
      <c r="H38" s="245">
        <v>92500</v>
      </c>
      <c r="M38" s="97"/>
    </row>
    <row r="39" spans="7:13" x14ac:dyDescent="0.25">
      <c r="G39" s="244" t="s">
        <v>306</v>
      </c>
      <c r="H39" s="245">
        <v>76000</v>
      </c>
      <c r="M39" s="97"/>
    </row>
    <row r="40" spans="7:13" x14ac:dyDescent="0.25">
      <c r="G40" s="173" t="s">
        <v>308</v>
      </c>
      <c r="H40" s="246">
        <f>AVERAGE(H38:H39)</f>
        <v>84250</v>
      </c>
      <c r="M40" s="97"/>
    </row>
    <row r="41" spans="7:13" x14ac:dyDescent="0.25">
      <c r="M41" s="97"/>
    </row>
    <row r="42" spans="7:13" x14ac:dyDescent="0.25">
      <c r="M42" s="97"/>
    </row>
    <row r="43" spans="7:13" x14ac:dyDescent="0.25">
      <c r="M43" s="97"/>
    </row>
    <row r="44" spans="7:13" x14ac:dyDescent="0.25">
      <c r="M44" s="97"/>
    </row>
    <row r="45" spans="7:13" x14ac:dyDescent="0.25">
      <c r="M45" s="97"/>
    </row>
    <row r="46" spans="7:13" x14ac:dyDescent="0.25">
      <c r="M46" s="97"/>
    </row>
    <row r="47" spans="7:13" x14ac:dyDescent="0.25">
      <c r="M47" s="97"/>
    </row>
    <row r="48" spans="7: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row r="74" spans="13:13" x14ac:dyDescent="0.25">
      <c r="M74" s="97"/>
    </row>
  </sheetData>
  <sortState xmlns:xlrd2="http://schemas.microsoft.com/office/spreadsheetml/2017/richdata2" ref="A19:CZ22">
    <sortCondition ref="CZ19:CZ22"/>
  </sortState>
  <mergeCells count="21">
    <mergeCell ref="B13:R13"/>
    <mergeCell ref="B14:R14"/>
    <mergeCell ref="B8:R8"/>
    <mergeCell ref="B9:R9"/>
    <mergeCell ref="B10:R10"/>
    <mergeCell ref="B11:R11"/>
    <mergeCell ref="B12:R12"/>
    <mergeCell ref="A2:R2"/>
    <mergeCell ref="B4:R4"/>
    <mergeCell ref="B5:R5"/>
    <mergeCell ref="B6:R6"/>
    <mergeCell ref="B7:R7"/>
    <mergeCell ref="CG16:CJ16"/>
    <mergeCell ref="AR16:AZ16"/>
    <mergeCell ref="BA16:BK16"/>
    <mergeCell ref="BL16:BW16"/>
    <mergeCell ref="N16:U16"/>
    <mergeCell ref="V16:W16"/>
    <mergeCell ref="X16:AE16"/>
    <mergeCell ref="AF16:AG16"/>
    <mergeCell ref="AH16:AP1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0901D-BE43-4F2A-9720-A2E9DBDFA6B6}">
  <sheetPr>
    <tabColor rgb="FFFF0000"/>
  </sheetPr>
  <dimension ref="A1:AC16"/>
  <sheetViews>
    <sheetView topLeftCell="A8" workbookViewId="0">
      <selection activeCell="C23" sqref="C23:C24"/>
    </sheetView>
  </sheetViews>
  <sheetFormatPr defaultRowHeight="12.75" x14ac:dyDescent="0.2"/>
  <cols>
    <col min="1" max="1" width="33.42578125" style="108" customWidth="1"/>
    <col min="2" max="2" width="13" style="108" customWidth="1"/>
    <col min="3" max="3" width="12.7109375" style="108" customWidth="1"/>
    <col min="4" max="4" width="10.7109375" style="108" bestFit="1" customWidth="1"/>
    <col min="5" max="5" width="11.28515625" style="108" customWidth="1"/>
    <col min="6" max="6" width="9.42578125" style="108" customWidth="1"/>
    <col min="7" max="7" width="10.7109375" style="108" bestFit="1" customWidth="1"/>
    <col min="8" max="8" width="10.140625" style="108" bestFit="1" customWidth="1"/>
    <col min="9" max="9" width="9.140625" style="108"/>
    <col min="10" max="11" width="8.42578125" style="108" bestFit="1" customWidth="1"/>
    <col min="12" max="12" width="9.42578125" style="108" bestFit="1" customWidth="1"/>
    <col min="13" max="13" width="11" style="108" bestFit="1" customWidth="1"/>
    <col min="14" max="14" width="10.42578125" style="108" bestFit="1" customWidth="1"/>
    <col min="15" max="15" width="10.28515625" style="108" bestFit="1" customWidth="1"/>
    <col min="16" max="16" width="14.42578125" style="108" bestFit="1" customWidth="1"/>
    <col min="17" max="17" width="9.42578125" style="108" bestFit="1" customWidth="1"/>
    <col min="18" max="18" width="11.5703125" style="108" bestFit="1" customWidth="1"/>
    <col min="19" max="19" width="12.28515625" style="108" bestFit="1" customWidth="1"/>
    <col min="20" max="20" width="12" style="108" customWidth="1"/>
    <col min="21" max="21" width="13.5703125" style="108" bestFit="1" customWidth="1"/>
    <col min="22" max="22" width="12" style="108" bestFit="1" customWidth="1"/>
    <col min="23" max="23" width="13.7109375" style="108" bestFit="1" customWidth="1"/>
    <col min="24" max="24" width="14.28515625" style="108" bestFit="1" customWidth="1"/>
    <col min="25" max="25" width="12.140625" style="108" bestFit="1" customWidth="1"/>
    <col min="26" max="28" width="6.28515625" style="108" bestFit="1" customWidth="1"/>
    <col min="29" max="29" width="12.140625" style="108" bestFit="1" customWidth="1"/>
    <col min="30" max="30" width="9.5703125" style="108" bestFit="1" customWidth="1"/>
    <col min="31" max="32" width="10.140625" style="108" bestFit="1" customWidth="1"/>
    <col min="33" max="33" width="10.5703125" style="108" bestFit="1" customWidth="1"/>
    <col min="34" max="34" width="9.5703125" style="108" customWidth="1"/>
    <col min="35" max="35" width="9.5703125" style="108" bestFit="1" customWidth="1"/>
    <col min="36" max="36" width="10.5703125" style="108" bestFit="1" customWidth="1"/>
    <col min="37" max="37" width="12.5703125" style="108" bestFit="1" customWidth="1"/>
    <col min="38" max="38" width="18" style="108" bestFit="1" customWidth="1"/>
    <col min="39" max="40" width="9.140625" style="108"/>
    <col min="41" max="41" width="9.5703125" style="108" bestFit="1" customWidth="1"/>
    <col min="42" max="256" width="9.140625" style="108"/>
    <col min="257" max="257" width="41" style="108" customWidth="1"/>
    <col min="258" max="258" width="19.5703125" style="108" bestFit="1" customWidth="1"/>
    <col min="259" max="259" width="10.140625" style="108" customWidth="1"/>
    <col min="260" max="260" width="10.42578125" style="108" bestFit="1" customWidth="1"/>
    <col min="261" max="261" width="11.28515625" style="108" customWidth="1"/>
    <col min="262" max="262" width="9.42578125" style="108" customWidth="1"/>
    <col min="263" max="263" width="10.140625" style="108" bestFit="1" customWidth="1"/>
    <col min="264" max="265" width="9.140625" style="108"/>
    <col min="266" max="266" width="7.28515625" style="108" customWidth="1"/>
    <col min="267" max="272" width="7.42578125" style="108" customWidth="1"/>
    <col min="273" max="273" width="9.42578125" style="108" bestFit="1" customWidth="1"/>
    <col min="274" max="274" width="12" style="108" bestFit="1" customWidth="1"/>
    <col min="275" max="276" width="12" style="108" customWidth="1"/>
    <col min="277" max="277" width="13.140625" style="108" bestFit="1" customWidth="1"/>
    <col min="278" max="279" width="13.140625" style="108" customWidth="1"/>
    <col min="280" max="281" width="14.42578125" style="108" bestFit="1" customWidth="1"/>
    <col min="282" max="283" width="9.140625" style="108" customWidth="1"/>
    <col min="284" max="284" width="9.5703125" style="108" customWidth="1"/>
    <col min="285" max="286" width="9.5703125" style="108" bestFit="1" customWidth="1"/>
    <col min="287" max="288" width="10.140625" style="108" bestFit="1" customWidth="1"/>
    <col min="289" max="289" width="9.5703125" style="108" bestFit="1" customWidth="1"/>
    <col min="290" max="290" width="9.5703125" style="108" customWidth="1"/>
    <col min="291" max="291" width="9" style="108" customWidth="1"/>
    <col min="292" max="292" width="10.5703125" style="108" bestFit="1" customWidth="1"/>
    <col min="293" max="293" width="11.42578125" style="108" bestFit="1" customWidth="1"/>
    <col min="294" max="294" width="18" style="108" bestFit="1" customWidth="1"/>
    <col min="295" max="512" width="9.140625" style="108"/>
    <col min="513" max="513" width="41" style="108" customWidth="1"/>
    <col min="514" max="514" width="19.5703125" style="108" bestFit="1" customWidth="1"/>
    <col min="515" max="515" width="10.140625" style="108" customWidth="1"/>
    <col min="516" max="516" width="10.42578125" style="108" bestFit="1" customWidth="1"/>
    <col min="517" max="517" width="11.28515625" style="108" customWidth="1"/>
    <col min="518" max="518" width="9.42578125" style="108" customWidth="1"/>
    <col min="519" max="519" width="10.140625" style="108" bestFit="1" customWidth="1"/>
    <col min="520" max="521" width="9.140625" style="108"/>
    <col min="522" max="522" width="7.28515625" style="108" customWidth="1"/>
    <col min="523" max="528" width="7.42578125" style="108" customWidth="1"/>
    <col min="529" max="529" width="9.42578125" style="108" bestFit="1" customWidth="1"/>
    <col min="530" max="530" width="12" style="108" bestFit="1" customWidth="1"/>
    <col min="531" max="532" width="12" style="108" customWidth="1"/>
    <col min="533" max="533" width="13.140625" style="108" bestFit="1" customWidth="1"/>
    <col min="534" max="535" width="13.140625" style="108" customWidth="1"/>
    <col min="536" max="537" width="14.42578125" style="108" bestFit="1" customWidth="1"/>
    <col min="538" max="539" width="9.140625" style="108" customWidth="1"/>
    <col min="540" max="540" width="9.5703125" style="108" customWidth="1"/>
    <col min="541" max="542" width="9.5703125" style="108" bestFit="1" customWidth="1"/>
    <col min="543" max="544" width="10.140625" style="108" bestFit="1" customWidth="1"/>
    <col min="545" max="545" width="9.5703125" style="108" bestFit="1" customWidth="1"/>
    <col min="546" max="546" width="9.5703125" style="108" customWidth="1"/>
    <col min="547" max="547" width="9" style="108" customWidth="1"/>
    <col min="548" max="548" width="10.5703125" style="108" bestFit="1" customWidth="1"/>
    <col min="549" max="549" width="11.42578125" style="108" bestFit="1" customWidth="1"/>
    <col min="550" max="550" width="18" style="108" bestFit="1" customWidth="1"/>
    <col min="551" max="768" width="9.140625" style="108"/>
    <col min="769" max="769" width="41" style="108" customWidth="1"/>
    <col min="770" max="770" width="19.5703125" style="108" bestFit="1" customWidth="1"/>
    <col min="771" max="771" width="10.140625" style="108" customWidth="1"/>
    <col min="772" max="772" width="10.42578125" style="108" bestFit="1" customWidth="1"/>
    <col min="773" max="773" width="11.28515625" style="108" customWidth="1"/>
    <col min="774" max="774" width="9.42578125" style="108" customWidth="1"/>
    <col min="775" max="775" width="10.140625" style="108" bestFit="1" customWidth="1"/>
    <col min="776" max="777" width="9.140625" style="108"/>
    <col min="778" max="778" width="7.28515625" style="108" customWidth="1"/>
    <col min="779" max="784" width="7.42578125" style="108" customWidth="1"/>
    <col min="785" max="785" width="9.42578125" style="108" bestFit="1" customWidth="1"/>
    <col min="786" max="786" width="12" style="108" bestFit="1" customWidth="1"/>
    <col min="787" max="788" width="12" style="108" customWidth="1"/>
    <col min="789" max="789" width="13.140625" style="108" bestFit="1" customWidth="1"/>
    <col min="790" max="791" width="13.140625" style="108" customWidth="1"/>
    <col min="792" max="793" width="14.42578125" style="108" bestFit="1" customWidth="1"/>
    <col min="794" max="795" width="9.140625" style="108" customWidth="1"/>
    <col min="796" max="796" width="9.5703125" style="108" customWidth="1"/>
    <col min="797" max="798" width="9.5703125" style="108" bestFit="1" customWidth="1"/>
    <col min="799" max="800" width="10.140625" style="108" bestFit="1" customWidth="1"/>
    <col min="801" max="801" width="9.5703125" style="108" bestFit="1" customWidth="1"/>
    <col min="802" max="802" width="9.5703125" style="108" customWidth="1"/>
    <col min="803" max="803" width="9" style="108" customWidth="1"/>
    <col min="804" max="804" width="10.5703125" style="108" bestFit="1" customWidth="1"/>
    <col min="805" max="805" width="11.42578125" style="108" bestFit="1" customWidth="1"/>
    <col min="806" max="806" width="18" style="108" bestFit="1" customWidth="1"/>
    <col min="807" max="1024" width="9.140625" style="108"/>
    <col min="1025" max="1025" width="41" style="108" customWidth="1"/>
    <col min="1026" max="1026" width="19.5703125" style="108" bestFit="1" customWidth="1"/>
    <col min="1027" max="1027" width="10.140625" style="108" customWidth="1"/>
    <col min="1028" max="1028" width="10.42578125" style="108" bestFit="1" customWidth="1"/>
    <col min="1029" max="1029" width="11.28515625" style="108" customWidth="1"/>
    <col min="1030" max="1030" width="9.42578125" style="108" customWidth="1"/>
    <col min="1031" max="1031" width="10.140625" style="108" bestFit="1" customWidth="1"/>
    <col min="1032" max="1033" width="9.140625" style="108"/>
    <col min="1034" max="1034" width="7.28515625" style="108" customWidth="1"/>
    <col min="1035" max="1040" width="7.42578125" style="108" customWidth="1"/>
    <col min="1041" max="1041" width="9.42578125" style="108" bestFit="1" customWidth="1"/>
    <col min="1042" max="1042" width="12" style="108" bestFit="1" customWidth="1"/>
    <col min="1043" max="1044" width="12" style="108" customWidth="1"/>
    <col min="1045" max="1045" width="13.140625" style="108" bestFit="1" customWidth="1"/>
    <col min="1046" max="1047" width="13.140625" style="108" customWidth="1"/>
    <col min="1048" max="1049" width="14.42578125" style="108" bestFit="1" customWidth="1"/>
    <col min="1050" max="1051" width="9.140625" style="108" customWidth="1"/>
    <col min="1052" max="1052" width="9.5703125" style="108" customWidth="1"/>
    <col min="1053" max="1054" width="9.5703125" style="108" bestFit="1" customWidth="1"/>
    <col min="1055" max="1056" width="10.140625" style="108" bestFit="1" customWidth="1"/>
    <col min="1057" max="1057" width="9.5703125" style="108" bestFit="1" customWidth="1"/>
    <col min="1058" max="1058" width="9.5703125" style="108" customWidth="1"/>
    <col min="1059" max="1059" width="9" style="108" customWidth="1"/>
    <col min="1060" max="1060" width="10.5703125" style="108" bestFit="1" customWidth="1"/>
    <col min="1061" max="1061" width="11.42578125" style="108" bestFit="1" customWidth="1"/>
    <col min="1062" max="1062" width="18" style="108" bestFit="1" customWidth="1"/>
    <col min="1063" max="1280" width="9.140625" style="108"/>
    <col min="1281" max="1281" width="41" style="108" customWidth="1"/>
    <col min="1282" max="1282" width="19.5703125" style="108" bestFit="1" customWidth="1"/>
    <col min="1283" max="1283" width="10.140625" style="108" customWidth="1"/>
    <col min="1284" max="1284" width="10.42578125" style="108" bestFit="1" customWidth="1"/>
    <col min="1285" max="1285" width="11.28515625" style="108" customWidth="1"/>
    <col min="1286" max="1286" width="9.42578125" style="108" customWidth="1"/>
    <col min="1287" max="1287" width="10.140625" style="108" bestFit="1" customWidth="1"/>
    <col min="1288" max="1289" width="9.140625" style="108"/>
    <col min="1290" max="1290" width="7.28515625" style="108" customWidth="1"/>
    <col min="1291" max="1296" width="7.42578125" style="108" customWidth="1"/>
    <col min="1297" max="1297" width="9.42578125" style="108" bestFit="1" customWidth="1"/>
    <col min="1298" max="1298" width="12" style="108" bestFit="1" customWidth="1"/>
    <col min="1299" max="1300" width="12" style="108" customWidth="1"/>
    <col min="1301" max="1301" width="13.140625" style="108" bestFit="1" customWidth="1"/>
    <col min="1302" max="1303" width="13.140625" style="108" customWidth="1"/>
    <col min="1304" max="1305" width="14.42578125" style="108" bestFit="1" customWidth="1"/>
    <col min="1306" max="1307" width="9.140625" style="108" customWidth="1"/>
    <col min="1308" max="1308" width="9.5703125" style="108" customWidth="1"/>
    <col min="1309" max="1310" width="9.5703125" style="108" bestFit="1" customWidth="1"/>
    <col min="1311" max="1312" width="10.140625" style="108" bestFit="1" customWidth="1"/>
    <col min="1313" max="1313" width="9.5703125" style="108" bestFit="1" customWidth="1"/>
    <col min="1314" max="1314" width="9.5703125" style="108" customWidth="1"/>
    <col min="1315" max="1315" width="9" style="108" customWidth="1"/>
    <col min="1316" max="1316" width="10.5703125" style="108" bestFit="1" customWidth="1"/>
    <col min="1317" max="1317" width="11.42578125" style="108" bestFit="1" customWidth="1"/>
    <col min="1318" max="1318" width="18" style="108" bestFit="1" customWidth="1"/>
    <col min="1319" max="1536" width="9.140625" style="108"/>
    <col min="1537" max="1537" width="41" style="108" customWidth="1"/>
    <col min="1538" max="1538" width="19.5703125" style="108" bestFit="1" customWidth="1"/>
    <col min="1539" max="1539" width="10.140625" style="108" customWidth="1"/>
    <col min="1540" max="1540" width="10.42578125" style="108" bestFit="1" customWidth="1"/>
    <col min="1541" max="1541" width="11.28515625" style="108" customWidth="1"/>
    <col min="1542" max="1542" width="9.42578125" style="108" customWidth="1"/>
    <col min="1543" max="1543" width="10.140625" style="108" bestFit="1" customWidth="1"/>
    <col min="1544" max="1545" width="9.140625" style="108"/>
    <col min="1546" max="1546" width="7.28515625" style="108" customWidth="1"/>
    <col min="1547" max="1552" width="7.42578125" style="108" customWidth="1"/>
    <col min="1553" max="1553" width="9.42578125" style="108" bestFit="1" customWidth="1"/>
    <col min="1554" max="1554" width="12" style="108" bestFit="1" customWidth="1"/>
    <col min="1555" max="1556" width="12" style="108" customWidth="1"/>
    <col min="1557" max="1557" width="13.140625" style="108" bestFit="1" customWidth="1"/>
    <col min="1558" max="1559" width="13.140625" style="108" customWidth="1"/>
    <col min="1560" max="1561" width="14.42578125" style="108" bestFit="1" customWidth="1"/>
    <col min="1562" max="1563" width="9.140625" style="108" customWidth="1"/>
    <col min="1564" max="1564" width="9.5703125" style="108" customWidth="1"/>
    <col min="1565" max="1566" width="9.5703125" style="108" bestFit="1" customWidth="1"/>
    <col min="1567" max="1568" width="10.140625" style="108" bestFit="1" customWidth="1"/>
    <col min="1569" max="1569" width="9.5703125" style="108" bestFit="1" customWidth="1"/>
    <col min="1570" max="1570" width="9.5703125" style="108" customWidth="1"/>
    <col min="1571" max="1571" width="9" style="108" customWidth="1"/>
    <col min="1572" max="1572" width="10.5703125" style="108" bestFit="1" customWidth="1"/>
    <col min="1573" max="1573" width="11.42578125" style="108" bestFit="1" customWidth="1"/>
    <col min="1574" max="1574" width="18" style="108" bestFit="1" customWidth="1"/>
    <col min="1575" max="1792" width="9.140625" style="108"/>
    <col min="1793" max="1793" width="41" style="108" customWidth="1"/>
    <col min="1794" max="1794" width="19.5703125" style="108" bestFit="1" customWidth="1"/>
    <col min="1795" max="1795" width="10.140625" style="108" customWidth="1"/>
    <col min="1796" max="1796" width="10.42578125" style="108" bestFit="1" customWidth="1"/>
    <col min="1797" max="1797" width="11.28515625" style="108" customWidth="1"/>
    <col min="1798" max="1798" width="9.42578125" style="108" customWidth="1"/>
    <col min="1799" max="1799" width="10.140625" style="108" bestFit="1" customWidth="1"/>
    <col min="1800" max="1801" width="9.140625" style="108"/>
    <col min="1802" max="1802" width="7.28515625" style="108" customWidth="1"/>
    <col min="1803" max="1808" width="7.42578125" style="108" customWidth="1"/>
    <col min="1809" max="1809" width="9.42578125" style="108" bestFit="1" customWidth="1"/>
    <col min="1810" max="1810" width="12" style="108" bestFit="1" customWidth="1"/>
    <col min="1811" max="1812" width="12" style="108" customWidth="1"/>
    <col min="1813" max="1813" width="13.140625" style="108" bestFit="1" customWidth="1"/>
    <col min="1814" max="1815" width="13.140625" style="108" customWidth="1"/>
    <col min="1816" max="1817" width="14.42578125" style="108" bestFit="1" customWidth="1"/>
    <col min="1818" max="1819" width="9.140625" style="108" customWidth="1"/>
    <col min="1820" max="1820" width="9.5703125" style="108" customWidth="1"/>
    <col min="1821" max="1822" width="9.5703125" style="108" bestFit="1" customWidth="1"/>
    <col min="1823" max="1824" width="10.140625" style="108" bestFit="1" customWidth="1"/>
    <col min="1825" max="1825" width="9.5703125" style="108" bestFit="1" customWidth="1"/>
    <col min="1826" max="1826" width="9.5703125" style="108" customWidth="1"/>
    <col min="1827" max="1827" width="9" style="108" customWidth="1"/>
    <col min="1828" max="1828" width="10.5703125" style="108" bestFit="1" customWidth="1"/>
    <col min="1829" max="1829" width="11.42578125" style="108" bestFit="1" customWidth="1"/>
    <col min="1830" max="1830" width="18" style="108" bestFit="1" customWidth="1"/>
    <col min="1831" max="2048" width="9.140625" style="108"/>
    <col min="2049" max="2049" width="41" style="108" customWidth="1"/>
    <col min="2050" max="2050" width="19.5703125" style="108" bestFit="1" customWidth="1"/>
    <col min="2051" max="2051" width="10.140625" style="108" customWidth="1"/>
    <col min="2052" max="2052" width="10.42578125" style="108" bestFit="1" customWidth="1"/>
    <col min="2053" max="2053" width="11.28515625" style="108" customWidth="1"/>
    <col min="2054" max="2054" width="9.42578125" style="108" customWidth="1"/>
    <col min="2055" max="2055" width="10.140625" style="108" bestFit="1" customWidth="1"/>
    <col min="2056" max="2057" width="9.140625" style="108"/>
    <col min="2058" max="2058" width="7.28515625" style="108" customWidth="1"/>
    <col min="2059" max="2064" width="7.42578125" style="108" customWidth="1"/>
    <col min="2065" max="2065" width="9.42578125" style="108" bestFit="1" customWidth="1"/>
    <col min="2066" max="2066" width="12" style="108" bestFit="1" customWidth="1"/>
    <col min="2067" max="2068" width="12" style="108" customWidth="1"/>
    <col min="2069" max="2069" width="13.140625" style="108" bestFit="1" customWidth="1"/>
    <col min="2070" max="2071" width="13.140625" style="108" customWidth="1"/>
    <col min="2072" max="2073" width="14.42578125" style="108" bestFit="1" customWidth="1"/>
    <col min="2074" max="2075" width="9.140625" style="108" customWidth="1"/>
    <col min="2076" max="2076" width="9.5703125" style="108" customWidth="1"/>
    <col min="2077" max="2078" width="9.5703125" style="108" bestFit="1" customWidth="1"/>
    <col min="2079" max="2080" width="10.140625" style="108" bestFit="1" customWidth="1"/>
    <col min="2081" max="2081" width="9.5703125" style="108" bestFit="1" customWidth="1"/>
    <col min="2082" max="2082" width="9.5703125" style="108" customWidth="1"/>
    <col min="2083" max="2083" width="9" style="108" customWidth="1"/>
    <col min="2084" max="2084" width="10.5703125" style="108" bestFit="1" customWidth="1"/>
    <col min="2085" max="2085" width="11.42578125" style="108" bestFit="1" customWidth="1"/>
    <col min="2086" max="2086" width="18" style="108" bestFit="1" customWidth="1"/>
    <col min="2087" max="2304" width="9.140625" style="108"/>
    <col min="2305" max="2305" width="41" style="108" customWidth="1"/>
    <col min="2306" max="2306" width="19.5703125" style="108" bestFit="1" customWidth="1"/>
    <col min="2307" max="2307" width="10.140625" style="108" customWidth="1"/>
    <col min="2308" max="2308" width="10.42578125" style="108" bestFit="1" customWidth="1"/>
    <col min="2309" max="2309" width="11.28515625" style="108" customWidth="1"/>
    <col min="2310" max="2310" width="9.42578125" style="108" customWidth="1"/>
    <col min="2311" max="2311" width="10.140625" style="108" bestFit="1" customWidth="1"/>
    <col min="2312" max="2313" width="9.140625" style="108"/>
    <col min="2314" max="2314" width="7.28515625" style="108" customWidth="1"/>
    <col min="2315" max="2320" width="7.42578125" style="108" customWidth="1"/>
    <col min="2321" max="2321" width="9.42578125" style="108" bestFit="1" customWidth="1"/>
    <col min="2322" max="2322" width="12" style="108" bestFit="1" customWidth="1"/>
    <col min="2323" max="2324" width="12" style="108" customWidth="1"/>
    <col min="2325" max="2325" width="13.140625" style="108" bestFit="1" customWidth="1"/>
    <col min="2326" max="2327" width="13.140625" style="108" customWidth="1"/>
    <col min="2328" max="2329" width="14.42578125" style="108" bestFit="1" customWidth="1"/>
    <col min="2330" max="2331" width="9.140625" style="108" customWidth="1"/>
    <col min="2332" max="2332" width="9.5703125" style="108" customWidth="1"/>
    <col min="2333" max="2334" width="9.5703125" style="108" bestFit="1" customWidth="1"/>
    <col min="2335" max="2336" width="10.140625" style="108" bestFit="1" customWidth="1"/>
    <col min="2337" max="2337" width="9.5703125" style="108" bestFit="1" customWidth="1"/>
    <col min="2338" max="2338" width="9.5703125" style="108" customWidth="1"/>
    <col min="2339" max="2339" width="9" style="108" customWidth="1"/>
    <col min="2340" max="2340" width="10.5703125" style="108" bestFit="1" customWidth="1"/>
    <col min="2341" max="2341" width="11.42578125" style="108" bestFit="1" customWidth="1"/>
    <col min="2342" max="2342" width="18" style="108" bestFit="1" customWidth="1"/>
    <col min="2343" max="2560" width="9.140625" style="108"/>
    <col min="2561" max="2561" width="41" style="108" customWidth="1"/>
    <col min="2562" max="2562" width="19.5703125" style="108" bestFit="1" customWidth="1"/>
    <col min="2563" max="2563" width="10.140625" style="108" customWidth="1"/>
    <col min="2564" max="2564" width="10.42578125" style="108" bestFit="1" customWidth="1"/>
    <col min="2565" max="2565" width="11.28515625" style="108" customWidth="1"/>
    <col min="2566" max="2566" width="9.42578125" style="108" customWidth="1"/>
    <col min="2567" max="2567" width="10.140625" style="108" bestFit="1" customWidth="1"/>
    <col min="2568" max="2569" width="9.140625" style="108"/>
    <col min="2570" max="2570" width="7.28515625" style="108" customWidth="1"/>
    <col min="2571" max="2576" width="7.42578125" style="108" customWidth="1"/>
    <col min="2577" max="2577" width="9.42578125" style="108" bestFit="1" customWidth="1"/>
    <col min="2578" max="2578" width="12" style="108" bestFit="1" customWidth="1"/>
    <col min="2579" max="2580" width="12" style="108" customWidth="1"/>
    <col min="2581" max="2581" width="13.140625" style="108" bestFit="1" customWidth="1"/>
    <col min="2582" max="2583" width="13.140625" style="108" customWidth="1"/>
    <col min="2584" max="2585" width="14.42578125" style="108" bestFit="1" customWidth="1"/>
    <col min="2586" max="2587" width="9.140625" style="108" customWidth="1"/>
    <col min="2588" max="2588" width="9.5703125" style="108" customWidth="1"/>
    <col min="2589" max="2590" width="9.5703125" style="108" bestFit="1" customWidth="1"/>
    <col min="2591" max="2592" width="10.140625" style="108" bestFit="1" customWidth="1"/>
    <col min="2593" max="2593" width="9.5703125" style="108" bestFit="1" customWidth="1"/>
    <col min="2594" max="2594" width="9.5703125" style="108" customWidth="1"/>
    <col min="2595" max="2595" width="9" style="108" customWidth="1"/>
    <col min="2596" max="2596" width="10.5703125" style="108" bestFit="1" customWidth="1"/>
    <col min="2597" max="2597" width="11.42578125" style="108" bestFit="1" customWidth="1"/>
    <col min="2598" max="2598" width="18" style="108" bestFit="1" customWidth="1"/>
    <col min="2599" max="2816" width="9.140625" style="108"/>
    <col min="2817" max="2817" width="41" style="108" customWidth="1"/>
    <col min="2818" max="2818" width="19.5703125" style="108" bestFit="1" customWidth="1"/>
    <col min="2819" max="2819" width="10.140625" style="108" customWidth="1"/>
    <col min="2820" max="2820" width="10.42578125" style="108" bestFit="1" customWidth="1"/>
    <col min="2821" max="2821" width="11.28515625" style="108" customWidth="1"/>
    <col min="2822" max="2822" width="9.42578125" style="108" customWidth="1"/>
    <col min="2823" max="2823" width="10.140625" style="108" bestFit="1" customWidth="1"/>
    <col min="2824" max="2825" width="9.140625" style="108"/>
    <col min="2826" max="2826" width="7.28515625" style="108" customWidth="1"/>
    <col min="2827" max="2832" width="7.42578125" style="108" customWidth="1"/>
    <col min="2833" max="2833" width="9.42578125" style="108" bestFit="1" customWidth="1"/>
    <col min="2834" max="2834" width="12" style="108" bestFit="1" customWidth="1"/>
    <col min="2835" max="2836" width="12" style="108" customWidth="1"/>
    <col min="2837" max="2837" width="13.140625" style="108" bestFit="1" customWidth="1"/>
    <col min="2838" max="2839" width="13.140625" style="108" customWidth="1"/>
    <col min="2840" max="2841" width="14.42578125" style="108" bestFit="1" customWidth="1"/>
    <col min="2842" max="2843" width="9.140625" style="108" customWidth="1"/>
    <col min="2844" max="2844" width="9.5703125" style="108" customWidth="1"/>
    <col min="2845" max="2846" width="9.5703125" style="108" bestFit="1" customWidth="1"/>
    <col min="2847" max="2848" width="10.140625" style="108" bestFit="1" customWidth="1"/>
    <col min="2849" max="2849" width="9.5703125" style="108" bestFit="1" customWidth="1"/>
    <col min="2850" max="2850" width="9.5703125" style="108" customWidth="1"/>
    <col min="2851" max="2851" width="9" style="108" customWidth="1"/>
    <col min="2852" max="2852" width="10.5703125" style="108" bestFit="1" customWidth="1"/>
    <col min="2853" max="2853" width="11.42578125" style="108" bestFit="1" customWidth="1"/>
    <col min="2854" max="2854" width="18" style="108" bestFit="1" customWidth="1"/>
    <col min="2855" max="3072" width="9.140625" style="108"/>
    <col min="3073" max="3073" width="41" style="108" customWidth="1"/>
    <col min="3074" max="3074" width="19.5703125" style="108" bestFit="1" customWidth="1"/>
    <col min="3075" max="3075" width="10.140625" style="108" customWidth="1"/>
    <col min="3076" max="3076" width="10.42578125" style="108" bestFit="1" customWidth="1"/>
    <col min="3077" max="3077" width="11.28515625" style="108" customWidth="1"/>
    <col min="3078" max="3078" width="9.42578125" style="108" customWidth="1"/>
    <col min="3079" max="3079" width="10.140625" style="108" bestFit="1" customWidth="1"/>
    <col min="3080" max="3081" width="9.140625" style="108"/>
    <col min="3082" max="3082" width="7.28515625" style="108" customWidth="1"/>
    <col min="3083" max="3088" width="7.42578125" style="108" customWidth="1"/>
    <col min="3089" max="3089" width="9.42578125" style="108" bestFit="1" customWidth="1"/>
    <col min="3090" max="3090" width="12" style="108" bestFit="1" customWidth="1"/>
    <col min="3091" max="3092" width="12" style="108" customWidth="1"/>
    <col min="3093" max="3093" width="13.140625" style="108" bestFit="1" customWidth="1"/>
    <col min="3094" max="3095" width="13.140625" style="108" customWidth="1"/>
    <col min="3096" max="3097" width="14.42578125" style="108" bestFit="1" customWidth="1"/>
    <col min="3098" max="3099" width="9.140625" style="108" customWidth="1"/>
    <col min="3100" max="3100" width="9.5703125" style="108" customWidth="1"/>
    <col min="3101" max="3102" width="9.5703125" style="108" bestFit="1" customWidth="1"/>
    <col min="3103" max="3104" width="10.140625" style="108" bestFit="1" customWidth="1"/>
    <col min="3105" max="3105" width="9.5703125" style="108" bestFit="1" customWidth="1"/>
    <col min="3106" max="3106" width="9.5703125" style="108" customWidth="1"/>
    <col min="3107" max="3107" width="9" style="108" customWidth="1"/>
    <col min="3108" max="3108" width="10.5703125" style="108" bestFit="1" customWidth="1"/>
    <col min="3109" max="3109" width="11.42578125" style="108" bestFit="1" customWidth="1"/>
    <col min="3110" max="3110" width="18" style="108" bestFit="1" customWidth="1"/>
    <col min="3111" max="3328" width="9.140625" style="108"/>
    <col min="3329" max="3329" width="41" style="108" customWidth="1"/>
    <col min="3330" max="3330" width="19.5703125" style="108" bestFit="1" customWidth="1"/>
    <col min="3331" max="3331" width="10.140625" style="108" customWidth="1"/>
    <col min="3332" max="3332" width="10.42578125" style="108" bestFit="1" customWidth="1"/>
    <col min="3333" max="3333" width="11.28515625" style="108" customWidth="1"/>
    <col min="3334" max="3334" width="9.42578125" style="108" customWidth="1"/>
    <col min="3335" max="3335" width="10.140625" style="108" bestFit="1" customWidth="1"/>
    <col min="3336" max="3337" width="9.140625" style="108"/>
    <col min="3338" max="3338" width="7.28515625" style="108" customWidth="1"/>
    <col min="3339" max="3344" width="7.42578125" style="108" customWidth="1"/>
    <col min="3345" max="3345" width="9.42578125" style="108" bestFit="1" customWidth="1"/>
    <col min="3346" max="3346" width="12" style="108" bestFit="1" customWidth="1"/>
    <col min="3347" max="3348" width="12" style="108" customWidth="1"/>
    <col min="3349" max="3349" width="13.140625" style="108" bestFit="1" customWidth="1"/>
    <col min="3350" max="3351" width="13.140625" style="108" customWidth="1"/>
    <col min="3352" max="3353" width="14.42578125" style="108" bestFit="1" customWidth="1"/>
    <col min="3354" max="3355" width="9.140625" style="108" customWidth="1"/>
    <col min="3356" max="3356" width="9.5703125" style="108" customWidth="1"/>
    <col min="3357" max="3358" width="9.5703125" style="108" bestFit="1" customWidth="1"/>
    <col min="3359" max="3360" width="10.140625" style="108" bestFit="1" customWidth="1"/>
    <col min="3361" max="3361" width="9.5703125" style="108" bestFit="1" customWidth="1"/>
    <col min="3362" max="3362" width="9.5703125" style="108" customWidth="1"/>
    <col min="3363" max="3363" width="9" style="108" customWidth="1"/>
    <col min="3364" max="3364" width="10.5703125" style="108" bestFit="1" customWidth="1"/>
    <col min="3365" max="3365" width="11.42578125" style="108" bestFit="1" customWidth="1"/>
    <col min="3366" max="3366" width="18" style="108" bestFit="1" customWidth="1"/>
    <col min="3367" max="3584" width="9.140625" style="108"/>
    <col min="3585" max="3585" width="41" style="108" customWidth="1"/>
    <col min="3586" max="3586" width="19.5703125" style="108" bestFit="1" customWidth="1"/>
    <col min="3587" max="3587" width="10.140625" style="108" customWidth="1"/>
    <col min="3588" max="3588" width="10.42578125" style="108" bestFit="1" customWidth="1"/>
    <col min="3589" max="3589" width="11.28515625" style="108" customWidth="1"/>
    <col min="3590" max="3590" width="9.42578125" style="108" customWidth="1"/>
    <col min="3591" max="3591" width="10.140625" style="108" bestFit="1" customWidth="1"/>
    <col min="3592" max="3593" width="9.140625" style="108"/>
    <col min="3594" max="3594" width="7.28515625" style="108" customWidth="1"/>
    <col min="3595" max="3600" width="7.42578125" style="108" customWidth="1"/>
    <col min="3601" max="3601" width="9.42578125" style="108" bestFit="1" customWidth="1"/>
    <col min="3602" max="3602" width="12" style="108" bestFit="1" customWidth="1"/>
    <col min="3603" max="3604" width="12" style="108" customWidth="1"/>
    <col min="3605" max="3605" width="13.140625" style="108" bestFit="1" customWidth="1"/>
    <col min="3606" max="3607" width="13.140625" style="108" customWidth="1"/>
    <col min="3608" max="3609" width="14.42578125" style="108" bestFit="1" customWidth="1"/>
    <col min="3610" max="3611" width="9.140625" style="108" customWidth="1"/>
    <col min="3612" max="3612" width="9.5703125" style="108" customWidth="1"/>
    <col min="3613" max="3614" width="9.5703125" style="108" bestFit="1" customWidth="1"/>
    <col min="3615" max="3616" width="10.140625" style="108" bestFit="1" customWidth="1"/>
    <col min="3617" max="3617" width="9.5703125" style="108" bestFit="1" customWidth="1"/>
    <col min="3618" max="3618" width="9.5703125" style="108" customWidth="1"/>
    <col min="3619" max="3619" width="9" style="108" customWidth="1"/>
    <col min="3620" max="3620" width="10.5703125" style="108" bestFit="1" customWidth="1"/>
    <col min="3621" max="3621" width="11.42578125" style="108" bestFit="1" customWidth="1"/>
    <col min="3622" max="3622" width="18" style="108" bestFit="1" customWidth="1"/>
    <col min="3623" max="3840" width="9.140625" style="108"/>
    <col min="3841" max="3841" width="41" style="108" customWidth="1"/>
    <col min="3842" max="3842" width="19.5703125" style="108" bestFit="1" customWidth="1"/>
    <col min="3843" max="3843" width="10.140625" style="108" customWidth="1"/>
    <col min="3844" max="3844" width="10.42578125" style="108" bestFit="1" customWidth="1"/>
    <col min="3845" max="3845" width="11.28515625" style="108" customWidth="1"/>
    <col min="3846" max="3846" width="9.42578125" style="108" customWidth="1"/>
    <col min="3847" max="3847" width="10.140625" style="108" bestFit="1" customWidth="1"/>
    <col min="3848" max="3849" width="9.140625" style="108"/>
    <col min="3850" max="3850" width="7.28515625" style="108" customWidth="1"/>
    <col min="3851" max="3856" width="7.42578125" style="108" customWidth="1"/>
    <col min="3857" max="3857" width="9.42578125" style="108" bestFit="1" customWidth="1"/>
    <col min="3858" max="3858" width="12" style="108" bestFit="1" customWidth="1"/>
    <col min="3859" max="3860" width="12" style="108" customWidth="1"/>
    <col min="3861" max="3861" width="13.140625" style="108" bestFit="1" customWidth="1"/>
    <col min="3862" max="3863" width="13.140625" style="108" customWidth="1"/>
    <col min="3864" max="3865" width="14.42578125" style="108" bestFit="1" customWidth="1"/>
    <col min="3866" max="3867" width="9.140625" style="108" customWidth="1"/>
    <col min="3868" max="3868" width="9.5703125" style="108" customWidth="1"/>
    <col min="3869" max="3870" width="9.5703125" style="108" bestFit="1" customWidth="1"/>
    <col min="3871" max="3872" width="10.140625" style="108" bestFit="1" customWidth="1"/>
    <col min="3873" max="3873" width="9.5703125" style="108" bestFit="1" customWidth="1"/>
    <col min="3874" max="3874" width="9.5703125" style="108" customWidth="1"/>
    <col min="3875" max="3875" width="9" style="108" customWidth="1"/>
    <col min="3876" max="3876" width="10.5703125" style="108" bestFit="1" customWidth="1"/>
    <col min="3877" max="3877" width="11.42578125" style="108" bestFit="1" customWidth="1"/>
    <col min="3878" max="3878" width="18" style="108" bestFit="1" customWidth="1"/>
    <col min="3879" max="4096" width="9.140625" style="108"/>
    <col min="4097" max="4097" width="41" style="108" customWidth="1"/>
    <col min="4098" max="4098" width="19.5703125" style="108" bestFit="1" customWidth="1"/>
    <col min="4099" max="4099" width="10.140625" style="108" customWidth="1"/>
    <col min="4100" max="4100" width="10.42578125" style="108" bestFit="1" customWidth="1"/>
    <col min="4101" max="4101" width="11.28515625" style="108" customWidth="1"/>
    <col min="4102" max="4102" width="9.42578125" style="108" customWidth="1"/>
    <col min="4103" max="4103" width="10.140625" style="108" bestFit="1" customWidth="1"/>
    <col min="4104" max="4105" width="9.140625" style="108"/>
    <col min="4106" max="4106" width="7.28515625" style="108" customWidth="1"/>
    <col min="4107" max="4112" width="7.42578125" style="108" customWidth="1"/>
    <col min="4113" max="4113" width="9.42578125" style="108" bestFit="1" customWidth="1"/>
    <col min="4114" max="4114" width="12" style="108" bestFit="1" customWidth="1"/>
    <col min="4115" max="4116" width="12" style="108" customWidth="1"/>
    <col min="4117" max="4117" width="13.140625" style="108" bestFit="1" customWidth="1"/>
    <col min="4118" max="4119" width="13.140625" style="108" customWidth="1"/>
    <col min="4120" max="4121" width="14.42578125" style="108" bestFit="1" customWidth="1"/>
    <col min="4122" max="4123" width="9.140625" style="108" customWidth="1"/>
    <col min="4124" max="4124" width="9.5703125" style="108" customWidth="1"/>
    <col min="4125" max="4126" width="9.5703125" style="108" bestFit="1" customWidth="1"/>
    <col min="4127" max="4128" width="10.140625" style="108" bestFit="1" customWidth="1"/>
    <col min="4129" max="4129" width="9.5703125" style="108" bestFit="1" customWidth="1"/>
    <col min="4130" max="4130" width="9.5703125" style="108" customWidth="1"/>
    <col min="4131" max="4131" width="9" style="108" customWidth="1"/>
    <col min="4132" max="4132" width="10.5703125" style="108" bestFit="1" customWidth="1"/>
    <col min="4133" max="4133" width="11.42578125" style="108" bestFit="1" customWidth="1"/>
    <col min="4134" max="4134" width="18" style="108" bestFit="1" customWidth="1"/>
    <col min="4135" max="4352" width="9.140625" style="108"/>
    <col min="4353" max="4353" width="41" style="108" customWidth="1"/>
    <col min="4354" max="4354" width="19.5703125" style="108" bestFit="1" customWidth="1"/>
    <col min="4355" max="4355" width="10.140625" style="108" customWidth="1"/>
    <col min="4356" max="4356" width="10.42578125" style="108" bestFit="1" customWidth="1"/>
    <col min="4357" max="4357" width="11.28515625" style="108" customWidth="1"/>
    <col min="4358" max="4358" width="9.42578125" style="108" customWidth="1"/>
    <col min="4359" max="4359" width="10.140625" style="108" bestFit="1" customWidth="1"/>
    <col min="4360" max="4361" width="9.140625" style="108"/>
    <col min="4362" max="4362" width="7.28515625" style="108" customWidth="1"/>
    <col min="4363" max="4368" width="7.42578125" style="108" customWidth="1"/>
    <col min="4369" max="4369" width="9.42578125" style="108" bestFit="1" customWidth="1"/>
    <col min="4370" max="4370" width="12" style="108" bestFit="1" customWidth="1"/>
    <col min="4371" max="4372" width="12" style="108" customWidth="1"/>
    <col min="4373" max="4373" width="13.140625" style="108" bestFit="1" customWidth="1"/>
    <col min="4374" max="4375" width="13.140625" style="108" customWidth="1"/>
    <col min="4376" max="4377" width="14.42578125" style="108" bestFit="1" customWidth="1"/>
    <col min="4378" max="4379" width="9.140625" style="108" customWidth="1"/>
    <col min="4380" max="4380" width="9.5703125" style="108" customWidth="1"/>
    <col min="4381" max="4382" width="9.5703125" style="108" bestFit="1" customWidth="1"/>
    <col min="4383" max="4384" width="10.140625" style="108" bestFit="1" customWidth="1"/>
    <col min="4385" max="4385" width="9.5703125" style="108" bestFit="1" customWidth="1"/>
    <col min="4386" max="4386" width="9.5703125" style="108" customWidth="1"/>
    <col min="4387" max="4387" width="9" style="108" customWidth="1"/>
    <col min="4388" max="4388" width="10.5703125" style="108" bestFit="1" customWidth="1"/>
    <col min="4389" max="4389" width="11.42578125" style="108" bestFit="1" customWidth="1"/>
    <col min="4390" max="4390" width="18" style="108" bestFit="1" customWidth="1"/>
    <col min="4391" max="4608" width="9.140625" style="108"/>
    <col min="4609" max="4609" width="41" style="108" customWidth="1"/>
    <col min="4610" max="4610" width="19.5703125" style="108" bestFit="1" customWidth="1"/>
    <col min="4611" max="4611" width="10.140625" style="108" customWidth="1"/>
    <col min="4612" max="4612" width="10.42578125" style="108" bestFit="1" customWidth="1"/>
    <col min="4613" max="4613" width="11.28515625" style="108" customWidth="1"/>
    <col min="4614" max="4614" width="9.42578125" style="108" customWidth="1"/>
    <col min="4615" max="4615" width="10.140625" style="108" bestFit="1" customWidth="1"/>
    <col min="4616" max="4617" width="9.140625" style="108"/>
    <col min="4618" max="4618" width="7.28515625" style="108" customWidth="1"/>
    <col min="4619" max="4624" width="7.42578125" style="108" customWidth="1"/>
    <col min="4625" max="4625" width="9.42578125" style="108" bestFit="1" customWidth="1"/>
    <col min="4626" max="4626" width="12" style="108" bestFit="1" customWidth="1"/>
    <col min="4627" max="4628" width="12" style="108" customWidth="1"/>
    <col min="4629" max="4629" width="13.140625" style="108" bestFit="1" customWidth="1"/>
    <col min="4630" max="4631" width="13.140625" style="108" customWidth="1"/>
    <col min="4632" max="4633" width="14.42578125" style="108" bestFit="1" customWidth="1"/>
    <col min="4634" max="4635" width="9.140625" style="108" customWidth="1"/>
    <col min="4636" max="4636" width="9.5703125" style="108" customWidth="1"/>
    <col min="4637" max="4638" width="9.5703125" style="108" bestFit="1" customWidth="1"/>
    <col min="4639" max="4640" width="10.140625" style="108" bestFit="1" customWidth="1"/>
    <col min="4641" max="4641" width="9.5703125" style="108" bestFit="1" customWidth="1"/>
    <col min="4642" max="4642" width="9.5703125" style="108" customWidth="1"/>
    <col min="4643" max="4643" width="9" style="108" customWidth="1"/>
    <col min="4644" max="4644" width="10.5703125" style="108" bestFit="1" customWidth="1"/>
    <col min="4645" max="4645" width="11.42578125" style="108" bestFit="1" customWidth="1"/>
    <col min="4646" max="4646" width="18" style="108" bestFit="1" customWidth="1"/>
    <col min="4647" max="4864" width="9.140625" style="108"/>
    <col min="4865" max="4865" width="41" style="108" customWidth="1"/>
    <col min="4866" max="4866" width="19.5703125" style="108" bestFit="1" customWidth="1"/>
    <col min="4867" max="4867" width="10.140625" style="108" customWidth="1"/>
    <col min="4868" max="4868" width="10.42578125" style="108" bestFit="1" customWidth="1"/>
    <col min="4869" max="4869" width="11.28515625" style="108" customWidth="1"/>
    <col min="4870" max="4870" width="9.42578125" style="108" customWidth="1"/>
    <col min="4871" max="4871" width="10.140625" style="108" bestFit="1" customWidth="1"/>
    <col min="4872" max="4873" width="9.140625" style="108"/>
    <col min="4874" max="4874" width="7.28515625" style="108" customWidth="1"/>
    <col min="4875" max="4880" width="7.42578125" style="108" customWidth="1"/>
    <col min="4881" max="4881" width="9.42578125" style="108" bestFit="1" customWidth="1"/>
    <col min="4882" max="4882" width="12" style="108" bestFit="1" customWidth="1"/>
    <col min="4883" max="4884" width="12" style="108" customWidth="1"/>
    <col min="4885" max="4885" width="13.140625" style="108" bestFit="1" customWidth="1"/>
    <col min="4886" max="4887" width="13.140625" style="108" customWidth="1"/>
    <col min="4888" max="4889" width="14.42578125" style="108" bestFit="1" customWidth="1"/>
    <col min="4890" max="4891" width="9.140625" style="108" customWidth="1"/>
    <col min="4892" max="4892" width="9.5703125" style="108" customWidth="1"/>
    <col min="4893" max="4894" width="9.5703125" style="108" bestFit="1" customWidth="1"/>
    <col min="4895" max="4896" width="10.140625" style="108" bestFit="1" customWidth="1"/>
    <col min="4897" max="4897" width="9.5703125" style="108" bestFit="1" customWidth="1"/>
    <col min="4898" max="4898" width="9.5703125" style="108" customWidth="1"/>
    <col min="4899" max="4899" width="9" style="108" customWidth="1"/>
    <col min="4900" max="4900" width="10.5703125" style="108" bestFit="1" customWidth="1"/>
    <col min="4901" max="4901" width="11.42578125" style="108" bestFit="1" customWidth="1"/>
    <col min="4902" max="4902" width="18" style="108" bestFit="1" customWidth="1"/>
    <col min="4903" max="5120" width="9.140625" style="108"/>
    <col min="5121" max="5121" width="41" style="108" customWidth="1"/>
    <col min="5122" max="5122" width="19.5703125" style="108" bestFit="1" customWidth="1"/>
    <col min="5123" max="5123" width="10.140625" style="108" customWidth="1"/>
    <col min="5124" max="5124" width="10.42578125" style="108" bestFit="1" customWidth="1"/>
    <col min="5125" max="5125" width="11.28515625" style="108" customWidth="1"/>
    <col min="5126" max="5126" width="9.42578125" style="108" customWidth="1"/>
    <col min="5127" max="5127" width="10.140625" style="108" bestFit="1" customWidth="1"/>
    <col min="5128" max="5129" width="9.140625" style="108"/>
    <col min="5130" max="5130" width="7.28515625" style="108" customWidth="1"/>
    <col min="5131" max="5136" width="7.42578125" style="108" customWidth="1"/>
    <col min="5137" max="5137" width="9.42578125" style="108" bestFit="1" customWidth="1"/>
    <col min="5138" max="5138" width="12" style="108" bestFit="1" customWidth="1"/>
    <col min="5139" max="5140" width="12" style="108" customWidth="1"/>
    <col min="5141" max="5141" width="13.140625" style="108" bestFit="1" customWidth="1"/>
    <col min="5142" max="5143" width="13.140625" style="108" customWidth="1"/>
    <col min="5144" max="5145" width="14.42578125" style="108" bestFit="1" customWidth="1"/>
    <col min="5146" max="5147" width="9.140625" style="108" customWidth="1"/>
    <col min="5148" max="5148" width="9.5703125" style="108" customWidth="1"/>
    <col min="5149" max="5150" width="9.5703125" style="108" bestFit="1" customWidth="1"/>
    <col min="5151" max="5152" width="10.140625" style="108" bestFit="1" customWidth="1"/>
    <col min="5153" max="5153" width="9.5703125" style="108" bestFit="1" customWidth="1"/>
    <col min="5154" max="5154" width="9.5703125" style="108" customWidth="1"/>
    <col min="5155" max="5155" width="9" style="108" customWidth="1"/>
    <col min="5156" max="5156" width="10.5703125" style="108" bestFit="1" customWidth="1"/>
    <col min="5157" max="5157" width="11.42578125" style="108" bestFit="1" customWidth="1"/>
    <col min="5158" max="5158" width="18" style="108" bestFit="1" customWidth="1"/>
    <col min="5159" max="5376" width="9.140625" style="108"/>
    <col min="5377" max="5377" width="41" style="108" customWidth="1"/>
    <col min="5378" max="5378" width="19.5703125" style="108" bestFit="1" customWidth="1"/>
    <col min="5379" max="5379" width="10.140625" style="108" customWidth="1"/>
    <col min="5380" max="5380" width="10.42578125" style="108" bestFit="1" customWidth="1"/>
    <col min="5381" max="5381" width="11.28515625" style="108" customWidth="1"/>
    <col min="5382" max="5382" width="9.42578125" style="108" customWidth="1"/>
    <col min="5383" max="5383" width="10.140625" style="108" bestFit="1" customWidth="1"/>
    <col min="5384" max="5385" width="9.140625" style="108"/>
    <col min="5386" max="5386" width="7.28515625" style="108" customWidth="1"/>
    <col min="5387" max="5392" width="7.42578125" style="108" customWidth="1"/>
    <col min="5393" max="5393" width="9.42578125" style="108" bestFit="1" customWidth="1"/>
    <col min="5394" max="5394" width="12" style="108" bestFit="1" customWidth="1"/>
    <col min="5395" max="5396" width="12" style="108" customWidth="1"/>
    <col min="5397" max="5397" width="13.140625" style="108" bestFit="1" customWidth="1"/>
    <col min="5398" max="5399" width="13.140625" style="108" customWidth="1"/>
    <col min="5400" max="5401" width="14.42578125" style="108" bestFit="1" customWidth="1"/>
    <col min="5402" max="5403" width="9.140625" style="108" customWidth="1"/>
    <col min="5404" max="5404" width="9.5703125" style="108" customWidth="1"/>
    <col min="5405" max="5406" width="9.5703125" style="108" bestFit="1" customWidth="1"/>
    <col min="5407" max="5408" width="10.140625" style="108" bestFit="1" customWidth="1"/>
    <col min="5409" max="5409" width="9.5703125" style="108" bestFit="1" customWidth="1"/>
    <col min="5410" max="5410" width="9.5703125" style="108" customWidth="1"/>
    <col min="5411" max="5411" width="9" style="108" customWidth="1"/>
    <col min="5412" max="5412" width="10.5703125" style="108" bestFit="1" customWidth="1"/>
    <col min="5413" max="5413" width="11.42578125" style="108" bestFit="1" customWidth="1"/>
    <col min="5414" max="5414" width="18" style="108" bestFit="1" customWidth="1"/>
    <col min="5415" max="5632" width="9.140625" style="108"/>
    <col min="5633" max="5633" width="41" style="108" customWidth="1"/>
    <col min="5634" max="5634" width="19.5703125" style="108" bestFit="1" customWidth="1"/>
    <col min="5635" max="5635" width="10.140625" style="108" customWidth="1"/>
    <col min="5636" max="5636" width="10.42578125" style="108" bestFit="1" customWidth="1"/>
    <col min="5637" max="5637" width="11.28515625" style="108" customWidth="1"/>
    <col min="5638" max="5638" width="9.42578125" style="108" customWidth="1"/>
    <col min="5639" max="5639" width="10.140625" style="108" bestFit="1" customWidth="1"/>
    <col min="5640" max="5641" width="9.140625" style="108"/>
    <col min="5642" max="5642" width="7.28515625" style="108" customWidth="1"/>
    <col min="5643" max="5648" width="7.42578125" style="108" customWidth="1"/>
    <col min="5649" max="5649" width="9.42578125" style="108" bestFit="1" customWidth="1"/>
    <col min="5650" max="5650" width="12" style="108" bestFit="1" customWidth="1"/>
    <col min="5651" max="5652" width="12" style="108" customWidth="1"/>
    <col min="5653" max="5653" width="13.140625" style="108" bestFit="1" customWidth="1"/>
    <col min="5654" max="5655" width="13.140625" style="108" customWidth="1"/>
    <col min="5656" max="5657" width="14.42578125" style="108" bestFit="1" customWidth="1"/>
    <col min="5658" max="5659" width="9.140625" style="108" customWidth="1"/>
    <col min="5660" max="5660" width="9.5703125" style="108" customWidth="1"/>
    <col min="5661" max="5662" width="9.5703125" style="108" bestFit="1" customWidth="1"/>
    <col min="5663" max="5664" width="10.140625" style="108" bestFit="1" customWidth="1"/>
    <col min="5665" max="5665" width="9.5703125" style="108" bestFit="1" customWidth="1"/>
    <col min="5666" max="5666" width="9.5703125" style="108" customWidth="1"/>
    <col min="5667" max="5667" width="9" style="108" customWidth="1"/>
    <col min="5668" max="5668" width="10.5703125" style="108" bestFit="1" customWidth="1"/>
    <col min="5669" max="5669" width="11.42578125" style="108" bestFit="1" customWidth="1"/>
    <col min="5670" max="5670" width="18" style="108" bestFit="1" customWidth="1"/>
    <col min="5671" max="5888" width="9.140625" style="108"/>
    <col min="5889" max="5889" width="41" style="108" customWidth="1"/>
    <col min="5890" max="5890" width="19.5703125" style="108" bestFit="1" customWidth="1"/>
    <col min="5891" max="5891" width="10.140625" style="108" customWidth="1"/>
    <col min="5892" max="5892" width="10.42578125" style="108" bestFit="1" customWidth="1"/>
    <col min="5893" max="5893" width="11.28515625" style="108" customWidth="1"/>
    <col min="5894" max="5894" width="9.42578125" style="108" customWidth="1"/>
    <col min="5895" max="5895" width="10.140625" style="108" bestFit="1" customWidth="1"/>
    <col min="5896" max="5897" width="9.140625" style="108"/>
    <col min="5898" max="5898" width="7.28515625" style="108" customWidth="1"/>
    <col min="5899" max="5904" width="7.42578125" style="108" customWidth="1"/>
    <col min="5905" max="5905" width="9.42578125" style="108" bestFit="1" customWidth="1"/>
    <col min="5906" max="5906" width="12" style="108" bestFit="1" customWidth="1"/>
    <col min="5907" max="5908" width="12" style="108" customWidth="1"/>
    <col min="5909" max="5909" width="13.140625" style="108" bestFit="1" customWidth="1"/>
    <col min="5910" max="5911" width="13.140625" style="108" customWidth="1"/>
    <col min="5912" max="5913" width="14.42578125" style="108" bestFit="1" customWidth="1"/>
    <col min="5914" max="5915" width="9.140625" style="108" customWidth="1"/>
    <col min="5916" max="5916" width="9.5703125" style="108" customWidth="1"/>
    <col min="5917" max="5918" width="9.5703125" style="108" bestFit="1" customWidth="1"/>
    <col min="5919" max="5920" width="10.140625" style="108" bestFit="1" customWidth="1"/>
    <col min="5921" max="5921" width="9.5703125" style="108" bestFit="1" customWidth="1"/>
    <col min="5922" max="5922" width="9.5703125" style="108" customWidth="1"/>
    <col min="5923" max="5923" width="9" style="108" customWidth="1"/>
    <col min="5924" max="5924" width="10.5703125" style="108" bestFit="1" customWidth="1"/>
    <col min="5925" max="5925" width="11.42578125" style="108" bestFit="1" customWidth="1"/>
    <col min="5926" max="5926" width="18" style="108" bestFit="1" customWidth="1"/>
    <col min="5927" max="6144" width="9.140625" style="108"/>
    <col min="6145" max="6145" width="41" style="108" customWidth="1"/>
    <col min="6146" max="6146" width="19.5703125" style="108" bestFit="1" customWidth="1"/>
    <col min="6147" max="6147" width="10.140625" style="108" customWidth="1"/>
    <col min="6148" max="6148" width="10.42578125" style="108" bestFit="1" customWidth="1"/>
    <col min="6149" max="6149" width="11.28515625" style="108" customWidth="1"/>
    <col min="6150" max="6150" width="9.42578125" style="108" customWidth="1"/>
    <col min="6151" max="6151" width="10.140625" style="108" bestFit="1" customWidth="1"/>
    <col min="6152" max="6153" width="9.140625" style="108"/>
    <col min="6154" max="6154" width="7.28515625" style="108" customWidth="1"/>
    <col min="6155" max="6160" width="7.42578125" style="108" customWidth="1"/>
    <col min="6161" max="6161" width="9.42578125" style="108" bestFit="1" customWidth="1"/>
    <col min="6162" max="6162" width="12" style="108" bestFit="1" customWidth="1"/>
    <col min="6163" max="6164" width="12" style="108" customWidth="1"/>
    <col min="6165" max="6165" width="13.140625" style="108" bestFit="1" customWidth="1"/>
    <col min="6166" max="6167" width="13.140625" style="108" customWidth="1"/>
    <col min="6168" max="6169" width="14.42578125" style="108" bestFit="1" customWidth="1"/>
    <col min="6170" max="6171" width="9.140625" style="108" customWidth="1"/>
    <col min="6172" max="6172" width="9.5703125" style="108" customWidth="1"/>
    <col min="6173" max="6174" width="9.5703125" style="108" bestFit="1" customWidth="1"/>
    <col min="6175" max="6176" width="10.140625" style="108" bestFit="1" customWidth="1"/>
    <col min="6177" max="6177" width="9.5703125" style="108" bestFit="1" customWidth="1"/>
    <col min="6178" max="6178" width="9.5703125" style="108" customWidth="1"/>
    <col min="6179" max="6179" width="9" style="108" customWidth="1"/>
    <col min="6180" max="6180" width="10.5703125" style="108" bestFit="1" customWidth="1"/>
    <col min="6181" max="6181" width="11.42578125" style="108" bestFit="1" customWidth="1"/>
    <col min="6182" max="6182" width="18" style="108" bestFit="1" customWidth="1"/>
    <col min="6183" max="6400" width="9.140625" style="108"/>
    <col min="6401" max="6401" width="41" style="108" customWidth="1"/>
    <col min="6402" max="6402" width="19.5703125" style="108" bestFit="1" customWidth="1"/>
    <col min="6403" max="6403" width="10.140625" style="108" customWidth="1"/>
    <col min="6404" max="6404" width="10.42578125" style="108" bestFit="1" customWidth="1"/>
    <col min="6405" max="6405" width="11.28515625" style="108" customWidth="1"/>
    <col min="6406" max="6406" width="9.42578125" style="108" customWidth="1"/>
    <col min="6407" max="6407" width="10.140625" style="108" bestFit="1" customWidth="1"/>
    <col min="6408" max="6409" width="9.140625" style="108"/>
    <col min="6410" max="6410" width="7.28515625" style="108" customWidth="1"/>
    <col min="6411" max="6416" width="7.42578125" style="108" customWidth="1"/>
    <col min="6417" max="6417" width="9.42578125" style="108" bestFit="1" customWidth="1"/>
    <col min="6418" max="6418" width="12" style="108" bestFit="1" customWidth="1"/>
    <col min="6419" max="6420" width="12" style="108" customWidth="1"/>
    <col min="6421" max="6421" width="13.140625" style="108" bestFit="1" customWidth="1"/>
    <col min="6422" max="6423" width="13.140625" style="108" customWidth="1"/>
    <col min="6424" max="6425" width="14.42578125" style="108" bestFit="1" customWidth="1"/>
    <col min="6426" max="6427" width="9.140625" style="108" customWidth="1"/>
    <col min="6428" max="6428" width="9.5703125" style="108" customWidth="1"/>
    <col min="6429" max="6430" width="9.5703125" style="108" bestFit="1" customWidth="1"/>
    <col min="6431" max="6432" width="10.140625" style="108" bestFit="1" customWidth="1"/>
    <col min="6433" max="6433" width="9.5703125" style="108" bestFit="1" customWidth="1"/>
    <col min="6434" max="6434" width="9.5703125" style="108" customWidth="1"/>
    <col min="6435" max="6435" width="9" style="108" customWidth="1"/>
    <col min="6436" max="6436" width="10.5703125" style="108" bestFit="1" customWidth="1"/>
    <col min="6437" max="6437" width="11.42578125" style="108" bestFit="1" customWidth="1"/>
    <col min="6438" max="6438" width="18" style="108" bestFit="1" customWidth="1"/>
    <col min="6439" max="6656" width="9.140625" style="108"/>
    <col min="6657" max="6657" width="41" style="108" customWidth="1"/>
    <col min="6658" max="6658" width="19.5703125" style="108" bestFit="1" customWidth="1"/>
    <col min="6659" max="6659" width="10.140625" style="108" customWidth="1"/>
    <col min="6660" max="6660" width="10.42578125" style="108" bestFit="1" customWidth="1"/>
    <col min="6661" max="6661" width="11.28515625" style="108" customWidth="1"/>
    <col min="6662" max="6662" width="9.42578125" style="108" customWidth="1"/>
    <col min="6663" max="6663" width="10.140625" style="108" bestFit="1" customWidth="1"/>
    <col min="6664" max="6665" width="9.140625" style="108"/>
    <col min="6666" max="6666" width="7.28515625" style="108" customWidth="1"/>
    <col min="6667" max="6672" width="7.42578125" style="108" customWidth="1"/>
    <col min="6673" max="6673" width="9.42578125" style="108" bestFit="1" customWidth="1"/>
    <col min="6674" max="6674" width="12" style="108" bestFit="1" customWidth="1"/>
    <col min="6675" max="6676" width="12" style="108" customWidth="1"/>
    <col min="6677" max="6677" width="13.140625" style="108" bestFit="1" customWidth="1"/>
    <col min="6678" max="6679" width="13.140625" style="108" customWidth="1"/>
    <col min="6680" max="6681" width="14.42578125" style="108" bestFit="1" customWidth="1"/>
    <col min="6682" max="6683" width="9.140625" style="108" customWidth="1"/>
    <col min="6684" max="6684" width="9.5703125" style="108" customWidth="1"/>
    <col min="6685" max="6686" width="9.5703125" style="108" bestFit="1" customWidth="1"/>
    <col min="6687" max="6688" width="10.140625" style="108" bestFit="1" customWidth="1"/>
    <col min="6689" max="6689" width="9.5703125" style="108" bestFit="1" customWidth="1"/>
    <col min="6690" max="6690" width="9.5703125" style="108" customWidth="1"/>
    <col min="6691" max="6691" width="9" style="108" customWidth="1"/>
    <col min="6692" max="6692" width="10.5703125" style="108" bestFit="1" customWidth="1"/>
    <col min="6693" max="6693" width="11.42578125" style="108" bestFit="1" customWidth="1"/>
    <col min="6694" max="6694" width="18" style="108" bestFit="1" customWidth="1"/>
    <col min="6695" max="6912" width="9.140625" style="108"/>
    <col min="6913" max="6913" width="41" style="108" customWidth="1"/>
    <col min="6914" max="6914" width="19.5703125" style="108" bestFit="1" customWidth="1"/>
    <col min="6915" max="6915" width="10.140625" style="108" customWidth="1"/>
    <col min="6916" max="6916" width="10.42578125" style="108" bestFit="1" customWidth="1"/>
    <col min="6917" max="6917" width="11.28515625" style="108" customWidth="1"/>
    <col min="6918" max="6918" width="9.42578125" style="108" customWidth="1"/>
    <col min="6919" max="6919" width="10.140625" style="108" bestFit="1" customWidth="1"/>
    <col min="6920" max="6921" width="9.140625" style="108"/>
    <col min="6922" max="6922" width="7.28515625" style="108" customWidth="1"/>
    <col min="6923" max="6928" width="7.42578125" style="108" customWidth="1"/>
    <col min="6929" max="6929" width="9.42578125" style="108" bestFit="1" customWidth="1"/>
    <col min="6930" max="6930" width="12" style="108" bestFit="1" customWidth="1"/>
    <col min="6931" max="6932" width="12" style="108" customWidth="1"/>
    <col min="6933" max="6933" width="13.140625" style="108" bestFit="1" customWidth="1"/>
    <col min="6934" max="6935" width="13.140625" style="108" customWidth="1"/>
    <col min="6936" max="6937" width="14.42578125" style="108" bestFit="1" customWidth="1"/>
    <col min="6938" max="6939" width="9.140625" style="108" customWidth="1"/>
    <col min="6940" max="6940" width="9.5703125" style="108" customWidth="1"/>
    <col min="6941" max="6942" width="9.5703125" style="108" bestFit="1" customWidth="1"/>
    <col min="6943" max="6944" width="10.140625" style="108" bestFit="1" customWidth="1"/>
    <col min="6945" max="6945" width="9.5703125" style="108" bestFit="1" customWidth="1"/>
    <col min="6946" max="6946" width="9.5703125" style="108" customWidth="1"/>
    <col min="6947" max="6947" width="9" style="108" customWidth="1"/>
    <col min="6948" max="6948" width="10.5703125" style="108" bestFit="1" customWidth="1"/>
    <col min="6949" max="6949" width="11.42578125" style="108" bestFit="1" customWidth="1"/>
    <col min="6950" max="6950" width="18" style="108" bestFit="1" customWidth="1"/>
    <col min="6951" max="7168" width="9.140625" style="108"/>
    <col min="7169" max="7169" width="41" style="108" customWidth="1"/>
    <col min="7170" max="7170" width="19.5703125" style="108" bestFit="1" customWidth="1"/>
    <col min="7171" max="7171" width="10.140625" style="108" customWidth="1"/>
    <col min="7172" max="7172" width="10.42578125" style="108" bestFit="1" customWidth="1"/>
    <col min="7173" max="7173" width="11.28515625" style="108" customWidth="1"/>
    <col min="7174" max="7174" width="9.42578125" style="108" customWidth="1"/>
    <col min="7175" max="7175" width="10.140625" style="108" bestFit="1" customWidth="1"/>
    <col min="7176" max="7177" width="9.140625" style="108"/>
    <col min="7178" max="7178" width="7.28515625" style="108" customWidth="1"/>
    <col min="7179" max="7184" width="7.42578125" style="108" customWidth="1"/>
    <col min="7185" max="7185" width="9.42578125" style="108" bestFit="1" customWidth="1"/>
    <col min="7186" max="7186" width="12" style="108" bestFit="1" customWidth="1"/>
    <col min="7187" max="7188" width="12" style="108" customWidth="1"/>
    <col min="7189" max="7189" width="13.140625" style="108" bestFit="1" customWidth="1"/>
    <col min="7190" max="7191" width="13.140625" style="108" customWidth="1"/>
    <col min="7192" max="7193" width="14.42578125" style="108" bestFit="1" customWidth="1"/>
    <col min="7194" max="7195" width="9.140625" style="108" customWidth="1"/>
    <col min="7196" max="7196" width="9.5703125" style="108" customWidth="1"/>
    <col min="7197" max="7198" width="9.5703125" style="108" bestFit="1" customWidth="1"/>
    <col min="7199" max="7200" width="10.140625" style="108" bestFit="1" customWidth="1"/>
    <col min="7201" max="7201" width="9.5703125" style="108" bestFit="1" customWidth="1"/>
    <col min="7202" max="7202" width="9.5703125" style="108" customWidth="1"/>
    <col min="7203" max="7203" width="9" style="108" customWidth="1"/>
    <col min="7204" max="7204" width="10.5703125" style="108" bestFit="1" customWidth="1"/>
    <col min="7205" max="7205" width="11.42578125" style="108" bestFit="1" customWidth="1"/>
    <col min="7206" max="7206" width="18" style="108" bestFit="1" customWidth="1"/>
    <col min="7207" max="7424" width="9.140625" style="108"/>
    <col min="7425" max="7425" width="41" style="108" customWidth="1"/>
    <col min="7426" max="7426" width="19.5703125" style="108" bestFit="1" customWidth="1"/>
    <col min="7427" max="7427" width="10.140625" style="108" customWidth="1"/>
    <col min="7428" max="7428" width="10.42578125" style="108" bestFit="1" customWidth="1"/>
    <col min="7429" max="7429" width="11.28515625" style="108" customWidth="1"/>
    <col min="7430" max="7430" width="9.42578125" style="108" customWidth="1"/>
    <col min="7431" max="7431" width="10.140625" style="108" bestFit="1" customWidth="1"/>
    <col min="7432" max="7433" width="9.140625" style="108"/>
    <col min="7434" max="7434" width="7.28515625" style="108" customWidth="1"/>
    <col min="7435" max="7440" width="7.42578125" style="108" customWidth="1"/>
    <col min="7441" max="7441" width="9.42578125" style="108" bestFit="1" customWidth="1"/>
    <col min="7442" max="7442" width="12" style="108" bestFit="1" customWidth="1"/>
    <col min="7443" max="7444" width="12" style="108" customWidth="1"/>
    <col min="7445" max="7445" width="13.140625" style="108" bestFit="1" customWidth="1"/>
    <col min="7446" max="7447" width="13.140625" style="108" customWidth="1"/>
    <col min="7448" max="7449" width="14.42578125" style="108" bestFit="1" customWidth="1"/>
    <col min="7450" max="7451" width="9.140625" style="108" customWidth="1"/>
    <col min="7452" max="7452" width="9.5703125" style="108" customWidth="1"/>
    <col min="7453" max="7454" width="9.5703125" style="108" bestFit="1" customWidth="1"/>
    <col min="7455" max="7456" width="10.140625" style="108" bestFit="1" customWidth="1"/>
    <col min="7457" max="7457" width="9.5703125" style="108" bestFit="1" customWidth="1"/>
    <col min="7458" max="7458" width="9.5703125" style="108" customWidth="1"/>
    <col min="7459" max="7459" width="9" style="108" customWidth="1"/>
    <col min="7460" max="7460" width="10.5703125" style="108" bestFit="1" customWidth="1"/>
    <col min="7461" max="7461" width="11.42578125" style="108" bestFit="1" customWidth="1"/>
    <col min="7462" max="7462" width="18" style="108" bestFit="1" customWidth="1"/>
    <col min="7463" max="7680" width="9.140625" style="108"/>
    <col min="7681" max="7681" width="41" style="108" customWidth="1"/>
    <col min="7682" max="7682" width="19.5703125" style="108" bestFit="1" customWidth="1"/>
    <col min="7683" max="7683" width="10.140625" style="108" customWidth="1"/>
    <col min="7684" max="7684" width="10.42578125" style="108" bestFit="1" customWidth="1"/>
    <col min="7685" max="7685" width="11.28515625" style="108" customWidth="1"/>
    <col min="7686" max="7686" width="9.42578125" style="108" customWidth="1"/>
    <col min="7687" max="7687" width="10.140625" style="108" bestFit="1" customWidth="1"/>
    <col min="7688" max="7689" width="9.140625" style="108"/>
    <col min="7690" max="7690" width="7.28515625" style="108" customWidth="1"/>
    <col min="7691" max="7696" width="7.42578125" style="108" customWidth="1"/>
    <col min="7697" max="7697" width="9.42578125" style="108" bestFit="1" customWidth="1"/>
    <col min="7698" max="7698" width="12" style="108" bestFit="1" customWidth="1"/>
    <col min="7699" max="7700" width="12" style="108" customWidth="1"/>
    <col min="7701" max="7701" width="13.140625" style="108" bestFit="1" customWidth="1"/>
    <col min="7702" max="7703" width="13.140625" style="108" customWidth="1"/>
    <col min="7704" max="7705" width="14.42578125" style="108" bestFit="1" customWidth="1"/>
    <col min="7706" max="7707" width="9.140625" style="108" customWidth="1"/>
    <col min="7708" max="7708" width="9.5703125" style="108" customWidth="1"/>
    <col min="7709" max="7710" width="9.5703125" style="108" bestFit="1" customWidth="1"/>
    <col min="7711" max="7712" width="10.140625" style="108" bestFit="1" customWidth="1"/>
    <col min="7713" max="7713" width="9.5703125" style="108" bestFit="1" customWidth="1"/>
    <col min="7714" max="7714" width="9.5703125" style="108" customWidth="1"/>
    <col min="7715" max="7715" width="9" style="108" customWidth="1"/>
    <col min="7716" max="7716" width="10.5703125" style="108" bestFit="1" customWidth="1"/>
    <col min="7717" max="7717" width="11.42578125" style="108" bestFit="1" customWidth="1"/>
    <col min="7718" max="7718" width="18" style="108" bestFit="1" customWidth="1"/>
    <col min="7719" max="7936" width="9.140625" style="108"/>
    <col min="7937" max="7937" width="41" style="108" customWidth="1"/>
    <col min="7938" max="7938" width="19.5703125" style="108" bestFit="1" customWidth="1"/>
    <col min="7939" max="7939" width="10.140625" style="108" customWidth="1"/>
    <col min="7940" max="7940" width="10.42578125" style="108" bestFit="1" customWidth="1"/>
    <col min="7941" max="7941" width="11.28515625" style="108" customWidth="1"/>
    <col min="7942" max="7942" width="9.42578125" style="108" customWidth="1"/>
    <col min="7943" max="7943" width="10.140625" style="108" bestFit="1" customWidth="1"/>
    <col min="7944" max="7945" width="9.140625" style="108"/>
    <col min="7946" max="7946" width="7.28515625" style="108" customWidth="1"/>
    <col min="7947" max="7952" width="7.42578125" style="108" customWidth="1"/>
    <col min="7953" max="7953" width="9.42578125" style="108" bestFit="1" customWidth="1"/>
    <col min="7954" max="7954" width="12" style="108" bestFit="1" customWidth="1"/>
    <col min="7955" max="7956" width="12" style="108" customWidth="1"/>
    <col min="7957" max="7957" width="13.140625" style="108" bestFit="1" customWidth="1"/>
    <col min="7958" max="7959" width="13.140625" style="108" customWidth="1"/>
    <col min="7960" max="7961" width="14.42578125" style="108" bestFit="1" customWidth="1"/>
    <col min="7962" max="7963" width="9.140625" style="108" customWidth="1"/>
    <col min="7964" max="7964" width="9.5703125" style="108" customWidth="1"/>
    <col min="7965" max="7966" width="9.5703125" style="108" bestFit="1" customWidth="1"/>
    <col min="7967" max="7968" width="10.140625" style="108" bestFit="1" customWidth="1"/>
    <col min="7969" max="7969" width="9.5703125" style="108" bestFit="1" customWidth="1"/>
    <col min="7970" max="7970" width="9.5703125" style="108" customWidth="1"/>
    <col min="7971" max="7971" width="9" style="108" customWidth="1"/>
    <col min="7972" max="7972" width="10.5703125" style="108" bestFit="1" customWidth="1"/>
    <col min="7973" max="7973" width="11.42578125" style="108" bestFit="1" customWidth="1"/>
    <col min="7974" max="7974" width="18" style="108" bestFit="1" customWidth="1"/>
    <col min="7975" max="8192" width="9.140625" style="108"/>
    <col min="8193" max="8193" width="41" style="108" customWidth="1"/>
    <col min="8194" max="8194" width="19.5703125" style="108" bestFit="1" customWidth="1"/>
    <col min="8195" max="8195" width="10.140625" style="108" customWidth="1"/>
    <col min="8196" max="8196" width="10.42578125" style="108" bestFit="1" customWidth="1"/>
    <col min="8197" max="8197" width="11.28515625" style="108" customWidth="1"/>
    <col min="8198" max="8198" width="9.42578125" style="108" customWidth="1"/>
    <col min="8199" max="8199" width="10.140625" style="108" bestFit="1" customWidth="1"/>
    <col min="8200" max="8201" width="9.140625" style="108"/>
    <col min="8202" max="8202" width="7.28515625" style="108" customWidth="1"/>
    <col min="8203" max="8208" width="7.42578125" style="108" customWidth="1"/>
    <col min="8209" max="8209" width="9.42578125" style="108" bestFit="1" customWidth="1"/>
    <col min="8210" max="8210" width="12" style="108" bestFit="1" customWidth="1"/>
    <col min="8211" max="8212" width="12" style="108" customWidth="1"/>
    <col min="8213" max="8213" width="13.140625" style="108" bestFit="1" customWidth="1"/>
    <col min="8214" max="8215" width="13.140625" style="108" customWidth="1"/>
    <col min="8216" max="8217" width="14.42578125" style="108" bestFit="1" customWidth="1"/>
    <col min="8218" max="8219" width="9.140625" style="108" customWidth="1"/>
    <col min="8220" max="8220" width="9.5703125" style="108" customWidth="1"/>
    <col min="8221" max="8222" width="9.5703125" style="108" bestFit="1" customWidth="1"/>
    <col min="8223" max="8224" width="10.140625" style="108" bestFit="1" customWidth="1"/>
    <col min="8225" max="8225" width="9.5703125" style="108" bestFit="1" customWidth="1"/>
    <col min="8226" max="8226" width="9.5703125" style="108" customWidth="1"/>
    <col min="8227" max="8227" width="9" style="108" customWidth="1"/>
    <col min="8228" max="8228" width="10.5703125" style="108" bestFit="1" customWidth="1"/>
    <col min="8229" max="8229" width="11.42578125" style="108" bestFit="1" customWidth="1"/>
    <col min="8230" max="8230" width="18" style="108" bestFit="1" customWidth="1"/>
    <col min="8231" max="8448" width="9.140625" style="108"/>
    <col min="8449" max="8449" width="41" style="108" customWidth="1"/>
    <col min="8450" max="8450" width="19.5703125" style="108" bestFit="1" customWidth="1"/>
    <col min="8451" max="8451" width="10.140625" style="108" customWidth="1"/>
    <col min="8452" max="8452" width="10.42578125" style="108" bestFit="1" customWidth="1"/>
    <col min="8453" max="8453" width="11.28515625" style="108" customWidth="1"/>
    <col min="8454" max="8454" width="9.42578125" style="108" customWidth="1"/>
    <col min="8455" max="8455" width="10.140625" style="108" bestFit="1" customWidth="1"/>
    <col min="8456" max="8457" width="9.140625" style="108"/>
    <col min="8458" max="8458" width="7.28515625" style="108" customWidth="1"/>
    <col min="8459" max="8464" width="7.42578125" style="108" customWidth="1"/>
    <col min="8465" max="8465" width="9.42578125" style="108" bestFit="1" customWidth="1"/>
    <col min="8466" max="8466" width="12" style="108" bestFit="1" customWidth="1"/>
    <col min="8467" max="8468" width="12" style="108" customWidth="1"/>
    <col min="8469" max="8469" width="13.140625" style="108" bestFit="1" customWidth="1"/>
    <col min="8470" max="8471" width="13.140625" style="108" customWidth="1"/>
    <col min="8472" max="8473" width="14.42578125" style="108" bestFit="1" customWidth="1"/>
    <col min="8474" max="8475" width="9.140625" style="108" customWidth="1"/>
    <col min="8476" max="8476" width="9.5703125" style="108" customWidth="1"/>
    <col min="8477" max="8478" width="9.5703125" style="108" bestFit="1" customWidth="1"/>
    <col min="8479" max="8480" width="10.140625" style="108" bestFit="1" customWidth="1"/>
    <col min="8481" max="8481" width="9.5703125" style="108" bestFit="1" customWidth="1"/>
    <col min="8482" max="8482" width="9.5703125" style="108" customWidth="1"/>
    <col min="8483" max="8483" width="9" style="108" customWidth="1"/>
    <col min="8484" max="8484" width="10.5703125" style="108" bestFit="1" customWidth="1"/>
    <col min="8485" max="8485" width="11.42578125" style="108" bestFit="1" customWidth="1"/>
    <col min="8486" max="8486" width="18" style="108" bestFit="1" customWidth="1"/>
    <col min="8487" max="8704" width="9.140625" style="108"/>
    <col min="8705" max="8705" width="41" style="108" customWidth="1"/>
    <col min="8706" max="8706" width="19.5703125" style="108" bestFit="1" customWidth="1"/>
    <col min="8707" max="8707" width="10.140625" style="108" customWidth="1"/>
    <col min="8708" max="8708" width="10.42578125" style="108" bestFit="1" customWidth="1"/>
    <col min="8709" max="8709" width="11.28515625" style="108" customWidth="1"/>
    <col min="8710" max="8710" width="9.42578125" style="108" customWidth="1"/>
    <col min="8711" max="8711" width="10.140625" style="108" bestFit="1" customWidth="1"/>
    <col min="8712" max="8713" width="9.140625" style="108"/>
    <col min="8714" max="8714" width="7.28515625" style="108" customWidth="1"/>
    <col min="8715" max="8720" width="7.42578125" style="108" customWidth="1"/>
    <col min="8721" max="8721" width="9.42578125" style="108" bestFit="1" customWidth="1"/>
    <col min="8722" max="8722" width="12" style="108" bestFit="1" customWidth="1"/>
    <col min="8723" max="8724" width="12" style="108" customWidth="1"/>
    <col min="8725" max="8725" width="13.140625" style="108" bestFit="1" customWidth="1"/>
    <col min="8726" max="8727" width="13.140625" style="108" customWidth="1"/>
    <col min="8728" max="8729" width="14.42578125" style="108" bestFit="1" customWidth="1"/>
    <col min="8730" max="8731" width="9.140625" style="108" customWidth="1"/>
    <col min="8732" max="8732" width="9.5703125" style="108" customWidth="1"/>
    <col min="8733" max="8734" width="9.5703125" style="108" bestFit="1" customWidth="1"/>
    <col min="8735" max="8736" width="10.140625" style="108" bestFit="1" customWidth="1"/>
    <col min="8737" max="8737" width="9.5703125" style="108" bestFit="1" customWidth="1"/>
    <col min="8738" max="8738" width="9.5703125" style="108" customWidth="1"/>
    <col min="8739" max="8739" width="9" style="108" customWidth="1"/>
    <col min="8740" max="8740" width="10.5703125" style="108" bestFit="1" customWidth="1"/>
    <col min="8741" max="8741" width="11.42578125" style="108" bestFit="1" customWidth="1"/>
    <col min="8742" max="8742" width="18" style="108" bestFit="1" customWidth="1"/>
    <col min="8743" max="8960" width="9.140625" style="108"/>
    <col min="8961" max="8961" width="41" style="108" customWidth="1"/>
    <col min="8962" max="8962" width="19.5703125" style="108" bestFit="1" customWidth="1"/>
    <col min="8963" max="8963" width="10.140625" style="108" customWidth="1"/>
    <col min="8964" max="8964" width="10.42578125" style="108" bestFit="1" customWidth="1"/>
    <col min="8965" max="8965" width="11.28515625" style="108" customWidth="1"/>
    <col min="8966" max="8966" width="9.42578125" style="108" customWidth="1"/>
    <col min="8967" max="8967" width="10.140625" style="108" bestFit="1" customWidth="1"/>
    <col min="8968" max="8969" width="9.140625" style="108"/>
    <col min="8970" max="8970" width="7.28515625" style="108" customWidth="1"/>
    <col min="8971" max="8976" width="7.42578125" style="108" customWidth="1"/>
    <col min="8977" max="8977" width="9.42578125" style="108" bestFit="1" customWidth="1"/>
    <col min="8978" max="8978" width="12" style="108" bestFit="1" customWidth="1"/>
    <col min="8979" max="8980" width="12" style="108" customWidth="1"/>
    <col min="8981" max="8981" width="13.140625" style="108" bestFit="1" customWidth="1"/>
    <col min="8982" max="8983" width="13.140625" style="108" customWidth="1"/>
    <col min="8984" max="8985" width="14.42578125" style="108" bestFit="1" customWidth="1"/>
    <col min="8986" max="8987" width="9.140625" style="108" customWidth="1"/>
    <col min="8988" max="8988" width="9.5703125" style="108" customWidth="1"/>
    <col min="8989" max="8990" width="9.5703125" style="108" bestFit="1" customWidth="1"/>
    <col min="8991" max="8992" width="10.140625" style="108" bestFit="1" customWidth="1"/>
    <col min="8993" max="8993" width="9.5703125" style="108" bestFit="1" customWidth="1"/>
    <col min="8994" max="8994" width="9.5703125" style="108" customWidth="1"/>
    <col min="8995" max="8995" width="9" style="108" customWidth="1"/>
    <col min="8996" max="8996" width="10.5703125" style="108" bestFit="1" customWidth="1"/>
    <col min="8997" max="8997" width="11.42578125" style="108" bestFit="1" customWidth="1"/>
    <col min="8998" max="8998" width="18" style="108" bestFit="1" customWidth="1"/>
    <col min="8999" max="9216" width="9.140625" style="108"/>
    <col min="9217" max="9217" width="41" style="108" customWidth="1"/>
    <col min="9218" max="9218" width="19.5703125" style="108" bestFit="1" customWidth="1"/>
    <col min="9219" max="9219" width="10.140625" style="108" customWidth="1"/>
    <col min="9220" max="9220" width="10.42578125" style="108" bestFit="1" customWidth="1"/>
    <col min="9221" max="9221" width="11.28515625" style="108" customWidth="1"/>
    <col min="9222" max="9222" width="9.42578125" style="108" customWidth="1"/>
    <col min="9223" max="9223" width="10.140625" style="108" bestFit="1" customWidth="1"/>
    <col min="9224" max="9225" width="9.140625" style="108"/>
    <col min="9226" max="9226" width="7.28515625" style="108" customWidth="1"/>
    <col min="9227" max="9232" width="7.42578125" style="108" customWidth="1"/>
    <col min="9233" max="9233" width="9.42578125" style="108" bestFit="1" customWidth="1"/>
    <col min="9234" max="9234" width="12" style="108" bestFit="1" customWidth="1"/>
    <col min="9235" max="9236" width="12" style="108" customWidth="1"/>
    <col min="9237" max="9237" width="13.140625" style="108" bestFit="1" customWidth="1"/>
    <col min="9238" max="9239" width="13.140625" style="108" customWidth="1"/>
    <col min="9240" max="9241" width="14.42578125" style="108" bestFit="1" customWidth="1"/>
    <col min="9242" max="9243" width="9.140625" style="108" customWidth="1"/>
    <col min="9244" max="9244" width="9.5703125" style="108" customWidth="1"/>
    <col min="9245" max="9246" width="9.5703125" style="108" bestFit="1" customWidth="1"/>
    <col min="9247" max="9248" width="10.140625" style="108" bestFit="1" customWidth="1"/>
    <col min="9249" max="9249" width="9.5703125" style="108" bestFit="1" customWidth="1"/>
    <col min="9250" max="9250" width="9.5703125" style="108" customWidth="1"/>
    <col min="9251" max="9251" width="9" style="108" customWidth="1"/>
    <col min="9252" max="9252" width="10.5703125" style="108" bestFit="1" customWidth="1"/>
    <col min="9253" max="9253" width="11.42578125" style="108" bestFit="1" customWidth="1"/>
    <col min="9254" max="9254" width="18" style="108" bestFit="1" customWidth="1"/>
    <col min="9255" max="9472" width="9.140625" style="108"/>
    <col min="9473" max="9473" width="41" style="108" customWidth="1"/>
    <col min="9474" max="9474" width="19.5703125" style="108" bestFit="1" customWidth="1"/>
    <col min="9475" max="9475" width="10.140625" style="108" customWidth="1"/>
    <col min="9476" max="9476" width="10.42578125" style="108" bestFit="1" customWidth="1"/>
    <col min="9477" max="9477" width="11.28515625" style="108" customWidth="1"/>
    <col min="9478" max="9478" width="9.42578125" style="108" customWidth="1"/>
    <col min="9479" max="9479" width="10.140625" style="108" bestFit="1" customWidth="1"/>
    <col min="9480" max="9481" width="9.140625" style="108"/>
    <col min="9482" max="9482" width="7.28515625" style="108" customWidth="1"/>
    <col min="9483" max="9488" width="7.42578125" style="108" customWidth="1"/>
    <col min="9489" max="9489" width="9.42578125" style="108" bestFit="1" customWidth="1"/>
    <col min="9490" max="9490" width="12" style="108" bestFit="1" customWidth="1"/>
    <col min="9491" max="9492" width="12" style="108" customWidth="1"/>
    <col min="9493" max="9493" width="13.140625" style="108" bestFit="1" customWidth="1"/>
    <col min="9494" max="9495" width="13.140625" style="108" customWidth="1"/>
    <col min="9496" max="9497" width="14.42578125" style="108" bestFit="1" customWidth="1"/>
    <col min="9498" max="9499" width="9.140625" style="108" customWidth="1"/>
    <col min="9500" max="9500" width="9.5703125" style="108" customWidth="1"/>
    <col min="9501" max="9502" width="9.5703125" style="108" bestFit="1" customWidth="1"/>
    <col min="9503" max="9504" width="10.140625" style="108" bestFit="1" customWidth="1"/>
    <col min="9505" max="9505" width="9.5703125" style="108" bestFit="1" customWidth="1"/>
    <col min="9506" max="9506" width="9.5703125" style="108" customWidth="1"/>
    <col min="9507" max="9507" width="9" style="108" customWidth="1"/>
    <col min="9508" max="9508" width="10.5703125" style="108" bestFit="1" customWidth="1"/>
    <col min="9509" max="9509" width="11.42578125" style="108" bestFit="1" customWidth="1"/>
    <col min="9510" max="9510" width="18" style="108" bestFit="1" customWidth="1"/>
    <col min="9511" max="9728" width="9.140625" style="108"/>
    <col min="9729" max="9729" width="41" style="108" customWidth="1"/>
    <col min="9730" max="9730" width="19.5703125" style="108" bestFit="1" customWidth="1"/>
    <col min="9731" max="9731" width="10.140625" style="108" customWidth="1"/>
    <col min="9732" max="9732" width="10.42578125" style="108" bestFit="1" customWidth="1"/>
    <col min="9733" max="9733" width="11.28515625" style="108" customWidth="1"/>
    <col min="9734" max="9734" width="9.42578125" style="108" customWidth="1"/>
    <col min="9735" max="9735" width="10.140625" style="108" bestFit="1" customWidth="1"/>
    <col min="9736" max="9737" width="9.140625" style="108"/>
    <col min="9738" max="9738" width="7.28515625" style="108" customWidth="1"/>
    <col min="9739" max="9744" width="7.42578125" style="108" customWidth="1"/>
    <col min="9745" max="9745" width="9.42578125" style="108" bestFit="1" customWidth="1"/>
    <col min="9746" max="9746" width="12" style="108" bestFit="1" customWidth="1"/>
    <col min="9747" max="9748" width="12" style="108" customWidth="1"/>
    <col min="9749" max="9749" width="13.140625" style="108" bestFit="1" customWidth="1"/>
    <col min="9750" max="9751" width="13.140625" style="108" customWidth="1"/>
    <col min="9752" max="9753" width="14.42578125" style="108" bestFit="1" customWidth="1"/>
    <col min="9754" max="9755" width="9.140625" style="108" customWidth="1"/>
    <col min="9756" max="9756" width="9.5703125" style="108" customWidth="1"/>
    <col min="9757" max="9758" width="9.5703125" style="108" bestFit="1" customWidth="1"/>
    <col min="9759" max="9760" width="10.140625" style="108" bestFit="1" customWidth="1"/>
    <col min="9761" max="9761" width="9.5703125" style="108" bestFit="1" customWidth="1"/>
    <col min="9762" max="9762" width="9.5703125" style="108" customWidth="1"/>
    <col min="9763" max="9763" width="9" style="108" customWidth="1"/>
    <col min="9764" max="9764" width="10.5703125" style="108" bestFit="1" customWidth="1"/>
    <col min="9765" max="9765" width="11.42578125" style="108" bestFit="1" customWidth="1"/>
    <col min="9766" max="9766" width="18" style="108" bestFit="1" customWidth="1"/>
    <col min="9767" max="9984" width="9.140625" style="108"/>
    <col min="9985" max="9985" width="41" style="108" customWidth="1"/>
    <col min="9986" max="9986" width="19.5703125" style="108" bestFit="1" customWidth="1"/>
    <col min="9987" max="9987" width="10.140625" style="108" customWidth="1"/>
    <col min="9988" max="9988" width="10.42578125" style="108" bestFit="1" customWidth="1"/>
    <col min="9989" max="9989" width="11.28515625" style="108" customWidth="1"/>
    <col min="9990" max="9990" width="9.42578125" style="108" customWidth="1"/>
    <col min="9991" max="9991" width="10.140625" style="108" bestFit="1" customWidth="1"/>
    <col min="9992" max="9993" width="9.140625" style="108"/>
    <col min="9994" max="9994" width="7.28515625" style="108" customWidth="1"/>
    <col min="9995" max="10000" width="7.42578125" style="108" customWidth="1"/>
    <col min="10001" max="10001" width="9.42578125" style="108" bestFit="1" customWidth="1"/>
    <col min="10002" max="10002" width="12" style="108" bestFit="1" customWidth="1"/>
    <col min="10003" max="10004" width="12" style="108" customWidth="1"/>
    <col min="10005" max="10005" width="13.140625" style="108" bestFit="1" customWidth="1"/>
    <col min="10006" max="10007" width="13.140625" style="108" customWidth="1"/>
    <col min="10008" max="10009" width="14.42578125" style="108" bestFit="1" customWidth="1"/>
    <col min="10010" max="10011" width="9.140625" style="108" customWidth="1"/>
    <col min="10012" max="10012" width="9.5703125" style="108" customWidth="1"/>
    <col min="10013" max="10014" width="9.5703125" style="108" bestFit="1" customWidth="1"/>
    <col min="10015" max="10016" width="10.140625" style="108" bestFit="1" customWidth="1"/>
    <col min="10017" max="10017" width="9.5703125" style="108" bestFit="1" customWidth="1"/>
    <col min="10018" max="10018" width="9.5703125" style="108" customWidth="1"/>
    <col min="10019" max="10019" width="9" style="108" customWidth="1"/>
    <col min="10020" max="10020" width="10.5703125" style="108" bestFit="1" customWidth="1"/>
    <col min="10021" max="10021" width="11.42578125" style="108" bestFit="1" customWidth="1"/>
    <col min="10022" max="10022" width="18" style="108" bestFit="1" customWidth="1"/>
    <col min="10023" max="10240" width="9.140625" style="108"/>
    <col min="10241" max="10241" width="41" style="108" customWidth="1"/>
    <col min="10242" max="10242" width="19.5703125" style="108" bestFit="1" customWidth="1"/>
    <col min="10243" max="10243" width="10.140625" style="108" customWidth="1"/>
    <col min="10244" max="10244" width="10.42578125" style="108" bestFit="1" customWidth="1"/>
    <col min="10245" max="10245" width="11.28515625" style="108" customWidth="1"/>
    <col min="10246" max="10246" width="9.42578125" style="108" customWidth="1"/>
    <col min="10247" max="10247" width="10.140625" style="108" bestFit="1" customWidth="1"/>
    <col min="10248" max="10249" width="9.140625" style="108"/>
    <col min="10250" max="10250" width="7.28515625" style="108" customWidth="1"/>
    <col min="10251" max="10256" width="7.42578125" style="108" customWidth="1"/>
    <col min="10257" max="10257" width="9.42578125" style="108" bestFit="1" customWidth="1"/>
    <col min="10258" max="10258" width="12" style="108" bestFit="1" customWidth="1"/>
    <col min="10259" max="10260" width="12" style="108" customWidth="1"/>
    <col min="10261" max="10261" width="13.140625" style="108" bestFit="1" customWidth="1"/>
    <col min="10262" max="10263" width="13.140625" style="108" customWidth="1"/>
    <col min="10264" max="10265" width="14.42578125" style="108" bestFit="1" customWidth="1"/>
    <col min="10266" max="10267" width="9.140625" style="108" customWidth="1"/>
    <col min="10268" max="10268" width="9.5703125" style="108" customWidth="1"/>
    <col min="10269" max="10270" width="9.5703125" style="108" bestFit="1" customWidth="1"/>
    <col min="10271" max="10272" width="10.140625" style="108" bestFit="1" customWidth="1"/>
    <col min="10273" max="10273" width="9.5703125" style="108" bestFit="1" customWidth="1"/>
    <col min="10274" max="10274" width="9.5703125" style="108" customWidth="1"/>
    <col min="10275" max="10275" width="9" style="108" customWidth="1"/>
    <col min="10276" max="10276" width="10.5703125" style="108" bestFit="1" customWidth="1"/>
    <col min="10277" max="10277" width="11.42578125" style="108" bestFit="1" customWidth="1"/>
    <col min="10278" max="10278" width="18" style="108" bestFit="1" customWidth="1"/>
    <col min="10279" max="10496" width="9.140625" style="108"/>
    <col min="10497" max="10497" width="41" style="108" customWidth="1"/>
    <col min="10498" max="10498" width="19.5703125" style="108" bestFit="1" customWidth="1"/>
    <col min="10499" max="10499" width="10.140625" style="108" customWidth="1"/>
    <col min="10500" max="10500" width="10.42578125" style="108" bestFit="1" customWidth="1"/>
    <col min="10501" max="10501" width="11.28515625" style="108" customWidth="1"/>
    <col min="10502" max="10502" width="9.42578125" style="108" customWidth="1"/>
    <col min="10503" max="10503" width="10.140625" style="108" bestFit="1" customWidth="1"/>
    <col min="10504" max="10505" width="9.140625" style="108"/>
    <col min="10506" max="10506" width="7.28515625" style="108" customWidth="1"/>
    <col min="10507" max="10512" width="7.42578125" style="108" customWidth="1"/>
    <col min="10513" max="10513" width="9.42578125" style="108" bestFit="1" customWidth="1"/>
    <col min="10514" max="10514" width="12" style="108" bestFit="1" customWidth="1"/>
    <col min="10515" max="10516" width="12" style="108" customWidth="1"/>
    <col min="10517" max="10517" width="13.140625" style="108" bestFit="1" customWidth="1"/>
    <col min="10518" max="10519" width="13.140625" style="108" customWidth="1"/>
    <col min="10520" max="10521" width="14.42578125" style="108" bestFit="1" customWidth="1"/>
    <col min="10522" max="10523" width="9.140625" style="108" customWidth="1"/>
    <col min="10524" max="10524" width="9.5703125" style="108" customWidth="1"/>
    <col min="10525" max="10526" width="9.5703125" style="108" bestFit="1" customWidth="1"/>
    <col min="10527" max="10528" width="10.140625" style="108" bestFit="1" customWidth="1"/>
    <col min="10529" max="10529" width="9.5703125" style="108" bestFit="1" customWidth="1"/>
    <col min="10530" max="10530" width="9.5703125" style="108" customWidth="1"/>
    <col min="10531" max="10531" width="9" style="108" customWidth="1"/>
    <col min="10532" max="10532" width="10.5703125" style="108" bestFit="1" customWidth="1"/>
    <col min="10533" max="10533" width="11.42578125" style="108" bestFit="1" customWidth="1"/>
    <col min="10534" max="10534" width="18" style="108" bestFit="1" customWidth="1"/>
    <col min="10535" max="10752" width="9.140625" style="108"/>
    <col min="10753" max="10753" width="41" style="108" customWidth="1"/>
    <col min="10754" max="10754" width="19.5703125" style="108" bestFit="1" customWidth="1"/>
    <col min="10755" max="10755" width="10.140625" style="108" customWidth="1"/>
    <col min="10756" max="10756" width="10.42578125" style="108" bestFit="1" customWidth="1"/>
    <col min="10757" max="10757" width="11.28515625" style="108" customWidth="1"/>
    <col min="10758" max="10758" width="9.42578125" style="108" customWidth="1"/>
    <col min="10759" max="10759" width="10.140625" style="108" bestFit="1" customWidth="1"/>
    <col min="10760" max="10761" width="9.140625" style="108"/>
    <col min="10762" max="10762" width="7.28515625" style="108" customWidth="1"/>
    <col min="10763" max="10768" width="7.42578125" style="108" customWidth="1"/>
    <col min="10769" max="10769" width="9.42578125" style="108" bestFit="1" customWidth="1"/>
    <col min="10770" max="10770" width="12" style="108" bestFit="1" customWidth="1"/>
    <col min="10771" max="10772" width="12" style="108" customWidth="1"/>
    <col min="10773" max="10773" width="13.140625" style="108" bestFit="1" customWidth="1"/>
    <col min="10774" max="10775" width="13.140625" style="108" customWidth="1"/>
    <col min="10776" max="10777" width="14.42578125" style="108" bestFit="1" customWidth="1"/>
    <col min="10778" max="10779" width="9.140625" style="108" customWidth="1"/>
    <col min="10780" max="10780" width="9.5703125" style="108" customWidth="1"/>
    <col min="10781" max="10782" width="9.5703125" style="108" bestFit="1" customWidth="1"/>
    <col min="10783" max="10784" width="10.140625" style="108" bestFit="1" customWidth="1"/>
    <col min="10785" max="10785" width="9.5703125" style="108" bestFit="1" customWidth="1"/>
    <col min="10786" max="10786" width="9.5703125" style="108" customWidth="1"/>
    <col min="10787" max="10787" width="9" style="108" customWidth="1"/>
    <col min="10788" max="10788" width="10.5703125" style="108" bestFit="1" customWidth="1"/>
    <col min="10789" max="10789" width="11.42578125" style="108" bestFit="1" customWidth="1"/>
    <col min="10790" max="10790" width="18" style="108" bestFit="1" customWidth="1"/>
    <col min="10791" max="11008" width="9.140625" style="108"/>
    <col min="11009" max="11009" width="41" style="108" customWidth="1"/>
    <col min="11010" max="11010" width="19.5703125" style="108" bestFit="1" customWidth="1"/>
    <col min="11011" max="11011" width="10.140625" style="108" customWidth="1"/>
    <col min="11012" max="11012" width="10.42578125" style="108" bestFit="1" customWidth="1"/>
    <col min="11013" max="11013" width="11.28515625" style="108" customWidth="1"/>
    <col min="11014" max="11014" width="9.42578125" style="108" customWidth="1"/>
    <col min="11015" max="11015" width="10.140625" style="108" bestFit="1" customWidth="1"/>
    <col min="11016" max="11017" width="9.140625" style="108"/>
    <col min="11018" max="11018" width="7.28515625" style="108" customWidth="1"/>
    <col min="11019" max="11024" width="7.42578125" style="108" customWidth="1"/>
    <col min="11025" max="11025" width="9.42578125" style="108" bestFit="1" customWidth="1"/>
    <col min="11026" max="11026" width="12" style="108" bestFit="1" customWidth="1"/>
    <col min="11027" max="11028" width="12" style="108" customWidth="1"/>
    <col min="11029" max="11029" width="13.140625" style="108" bestFit="1" customWidth="1"/>
    <col min="11030" max="11031" width="13.140625" style="108" customWidth="1"/>
    <col min="11032" max="11033" width="14.42578125" style="108" bestFit="1" customWidth="1"/>
    <col min="11034" max="11035" width="9.140625" style="108" customWidth="1"/>
    <col min="11036" max="11036" width="9.5703125" style="108" customWidth="1"/>
    <col min="11037" max="11038" width="9.5703125" style="108" bestFit="1" customWidth="1"/>
    <col min="11039" max="11040" width="10.140625" style="108" bestFit="1" customWidth="1"/>
    <col min="11041" max="11041" width="9.5703125" style="108" bestFit="1" customWidth="1"/>
    <col min="11042" max="11042" width="9.5703125" style="108" customWidth="1"/>
    <col min="11043" max="11043" width="9" style="108" customWidth="1"/>
    <col min="11044" max="11044" width="10.5703125" style="108" bestFit="1" customWidth="1"/>
    <col min="11045" max="11045" width="11.42578125" style="108" bestFit="1" customWidth="1"/>
    <col min="11046" max="11046" width="18" style="108" bestFit="1" customWidth="1"/>
    <col min="11047" max="11264" width="9.140625" style="108"/>
    <col min="11265" max="11265" width="41" style="108" customWidth="1"/>
    <col min="11266" max="11266" width="19.5703125" style="108" bestFit="1" customWidth="1"/>
    <col min="11267" max="11267" width="10.140625" style="108" customWidth="1"/>
    <col min="11268" max="11268" width="10.42578125" style="108" bestFit="1" customWidth="1"/>
    <col min="11269" max="11269" width="11.28515625" style="108" customWidth="1"/>
    <col min="11270" max="11270" width="9.42578125" style="108" customWidth="1"/>
    <col min="11271" max="11271" width="10.140625" style="108" bestFit="1" customWidth="1"/>
    <col min="11272" max="11273" width="9.140625" style="108"/>
    <col min="11274" max="11274" width="7.28515625" style="108" customWidth="1"/>
    <col min="11275" max="11280" width="7.42578125" style="108" customWidth="1"/>
    <col min="11281" max="11281" width="9.42578125" style="108" bestFit="1" customWidth="1"/>
    <col min="11282" max="11282" width="12" style="108" bestFit="1" customWidth="1"/>
    <col min="11283" max="11284" width="12" style="108" customWidth="1"/>
    <col min="11285" max="11285" width="13.140625" style="108" bestFit="1" customWidth="1"/>
    <col min="11286" max="11287" width="13.140625" style="108" customWidth="1"/>
    <col min="11288" max="11289" width="14.42578125" style="108" bestFit="1" customWidth="1"/>
    <col min="11290" max="11291" width="9.140625" style="108" customWidth="1"/>
    <col min="11292" max="11292" width="9.5703125" style="108" customWidth="1"/>
    <col min="11293" max="11294" width="9.5703125" style="108" bestFit="1" customWidth="1"/>
    <col min="11295" max="11296" width="10.140625" style="108" bestFit="1" customWidth="1"/>
    <col min="11297" max="11297" width="9.5703125" style="108" bestFit="1" customWidth="1"/>
    <col min="11298" max="11298" width="9.5703125" style="108" customWidth="1"/>
    <col min="11299" max="11299" width="9" style="108" customWidth="1"/>
    <col min="11300" max="11300" width="10.5703125" style="108" bestFit="1" customWidth="1"/>
    <col min="11301" max="11301" width="11.42578125" style="108" bestFit="1" customWidth="1"/>
    <col min="11302" max="11302" width="18" style="108" bestFit="1" customWidth="1"/>
    <col min="11303" max="11520" width="9.140625" style="108"/>
    <col min="11521" max="11521" width="41" style="108" customWidth="1"/>
    <col min="11522" max="11522" width="19.5703125" style="108" bestFit="1" customWidth="1"/>
    <col min="11523" max="11523" width="10.140625" style="108" customWidth="1"/>
    <col min="11524" max="11524" width="10.42578125" style="108" bestFit="1" customWidth="1"/>
    <col min="11525" max="11525" width="11.28515625" style="108" customWidth="1"/>
    <col min="11526" max="11526" width="9.42578125" style="108" customWidth="1"/>
    <col min="11527" max="11527" width="10.140625" style="108" bestFit="1" customWidth="1"/>
    <col min="11528" max="11529" width="9.140625" style="108"/>
    <col min="11530" max="11530" width="7.28515625" style="108" customWidth="1"/>
    <col min="11531" max="11536" width="7.42578125" style="108" customWidth="1"/>
    <col min="11537" max="11537" width="9.42578125" style="108" bestFit="1" customWidth="1"/>
    <col min="11538" max="11538" width="12" style="108" bestFit="1" customWidth="1"/>
    <col min="11539" max="11540" width="12" style="108" customWidth="1"/>
    <col min="11541" max="11541" width="13.140625" style="108" bestFit="1" customWidth="1"/>
    <col min="11542" max="11543" width="13.140625" style="108" customWidth="1"/>
    <col min="11544" max="11545" width="14.42578125" style="108" bestFit="1" customWidth="1"/>
    <col min="11546" max="11547" width="9.140625" style="108" customWidth="1"/>
    <col min="11548" max="11548" width="9.5703125" style="108" customWidth="1"/>
    <col min="11549" max="11550" width="9.5703125" style="108" bestFit="1" customWidth="1"/>
    <col min="11551" max="11552" width="10.140625" style="108" bestFit="1" customWidth="1"/>
    <col min="11553" max="11553" width="9.5703125" style="108" bestFit="1" customWidth="1"/>
    <col min="11554" max="11554" width="9.5703125" style="108" customWidth="1"/>
    <col min="11555" max="11555" width="9" style="108" customWidth="1"/>
    <col min="11556" max="11556" width="10.5703125" style="108" bestFit="1" customWidth="1"/>
    <col min="11557" max="11557" width="11.42578125" style="108" bestFit="1" customWidth="1"/>
    <col min="11558" max="11558" width="18" style="108" bestFit="1" customWidth="1"/>
    <col min="11559" max="11776" width="9.140625" style="108"/>
    <col min="11777" max="11777" width="41" style="108" customWidth="1"/>
    <col min="11778" max="11778" width="19.5703125" style="108" bestFit="1" customWidth="1"/>
    <col min="11779" max="11779" width="10.140625" style="108" customWidth="1"/>
    <col min="11780" max="11780" width="10.42578125" style="108" bestFit="1" customWidth="1"/>
    <col min="11781" max="11781" width="11.28515625" style="108" customWidth="1"/>
    <col min="11782" max="11782" width="9.42578125" style="108" customWidth="1"/>
    <col min="11783" max="11783" width="10.140625" style="108" bestFit="1" customWidth="1"/>
    <col min="11784" max="11785" width="9.140625" style="108"/>
    <col min="11786" max="11786" width="7.28515625" style="108" customWidth="1"/>
    <col min="11787" max="11792" width="7.42578125" style="108" customWidth="1"/>
    <col min="11793" max="11793" width="9.42578125" style="108" bestFit="1" customWidth="1"/>
    <col min="11794" max="11794" width="12" style="108" bestFit="1" customWidth="1"/>
    <col min="11795" max="11796" width="12" style="108" customWidth="1"/>
    <col min="11797" max="11797" width="13.140625" style="108" bestFit="1" customWidth="1"/>
    <col min="11798" max="11799" width="13.140625" style="108" customWidth="1"/>
    <col min="11800" max="11801" width="14.42578125" style="108" bestFit="1" customWidth="1"/>
    <col min="11802" max="11803" width="9.140625" style="108" customWidth="1"/>
    <col min="11804" max="11804" width="9.5703125" style="108" customWidth="1"/>
    <col min="11805" max="11806" width="9.5703125" style="108" bestFit="1" customWidth="1"/>
    <col min="11807" max="11808" width="10.140625" style="108" bestFit="1" customWidth="1"/>
    <col min="11809" max="11809" width="9.5703125" style="108" bestFit="1" customWidth="1"/>
    <col min="11810" max="11810" width="9.5703125" style="108" customWidth="1"/>
    <col min="11811" max="11811" width="9" style="108" customWidth="1"/>
    <col min="11812" max="11812" width="10.5703125" style="108" bestFit="1" customWidth="1"/>
    <col min="11813" max="11813" width="11.42578125" style="108" bestFit="1" customWidth="1"/>
    <col min="11814" max="11814" width="18" style="108" bestFit="1" customWidth="1"/>
    <col min="11815" max="12032" width="9.140625" style="108"/>
    <col min="12033" max="12033" width="41" style="108" customWidth="1"/>
    <col min="12034" max="12034" width="19.5703125" style="108" bestFit="1" customWidth="1"/>
    <col min="12035" max="12035" width="10.140625" style="108" customWidth="1"/>
    <col min="12036" max="12036" width="10.42578125" style="108" bestFit="1" customWidth="1"/>
    <col min="12037" max="12037" width="11.28515625" style="108" customWidth="1"/>
    <col min="12038" max="12038" width="9.42578125" style="108" customWidth="1"/>
    <col min="12039" max="12039" width="10.140625" style="108" bestFit="1" customWidth="1"/>
    <col min="12040" max="12041" width="9.140625" style="108"/>
    <col min="12042" max="12042" width="7.28515625" style="108" customWidth="1"/>
    <col min="12043" max="12048" width="7.42578125" style="108" customWidth="1"/>
    <col min="12049" max="12049" width="9.42578125" style="108" bestFit="1" customWidth="1"/>
    <col min="12050" max="12050" width="12" style="108" bestFit="1" customWidth="1"/>
    <col min="12051" max="12052" width="12" style="108" customWidth="1"/>
    <col min="12053" max="12053" width="13.140625" style="108" bestFit="1" customWidth="1"/>
    <col min="12054" max="12055" width="13.140625" style="108" customWidth="1"/>
    <col min="12056" max="12057" width="14.42578125" style="108" bestFit="1" customWidth="1"/>
    <col min="12058" max="12059" width="9.140625" style="108" customWidth="1"/>
    <col min="12060" max="12060" width="9.5703125" style="108" customWidth="1"/>
    <col min="12061" max="12062" width="9.5703125" style="108" bestFit="1" customWidth="1"/>
    <col min="12063" max="12064" width="10.140625" style="108" bestFit="1" customWidth="1"/>
    <col min="12065" max="12065" width="9.5703125" style="108" bestFit="1" customWidth="1"/>
    <col min="12066" max="12066" width="9.5703125" style="108" customWidth="1"/>
    <col min="12067" max="12067" width="9" style="108" customWidth="1"/>
    <col min="12068" max="12068" width="10.5703125" style="108" bestFit="1" customWidth="1"/>
    <col min="12069" max="12069" width="11.42578125" style="108" bestFit="1" customWidth="1"/>
    <col min="12070" max="12070" width="18" style="108" bestFit="1" customWidth="1"/>
    <col min="12071" max="12288" width="9.140625" style="108"/>
    <col min="12289" max="12289" width="41" style="108" customWidth="1"/>
    <col min="12290" max="12290" width="19.5703125" style="108" bestFit="1" customWidth="1"/>
    <col min="12291" max="12291" width="10.140625" style="108" customWidth="1"/>
    <col min="12292" max="12292" width="10.42578125" style="108" bestFit="1" customWidth="1"/>
    <col min="12293" max="12293" width="11.28515625" style="108" customWidth="1"/>
    <col min="12294" max="12294" width="9.42578125" style="108" customWidth="1"/>
    <col min="12295" max="12295" width="10.140625" style="108" bestFit="1" customWidth="1"/>
    <col min="12296" max="12297" width="9.140625" style="108"/>
    <col min="12298" max="12298" width="7.28515625" style="108" customWidth="1"/>
    <col min="12299" max="12304" width="7.42578125" style="108" customWidth="1"/>
    <col min="12305" max="12305" width="9.42578125" style="108" bestFit="1" customWidth="1"/>
    <col min="12306" max="12306" width="12" style="108" bestFit="1" customWidth="1"/>
    <col min="12307" max="12308" width="12" style="108" customWidth="1"/>
    <col min="12309" max="12309" width="13.140625" style="108" bestFit="1" customWidth="1"/>
    <col min="12310" max="12311" width="13.140625" style="108" customWidth="1"/>
    <col min="12312" max="12313" width="14.42578125" style="108" bestFit="1" customWidth="1"/>
    <col min="12314" max="12315" width="9.140625" style="108" customWidth="1"/>
    <col min="12316" max="12316" width="9.5703125" style="108" customWidth="1"/>
    <col min="12317" max="12318" width="9.5703125" style="108" bestFit="1" customWidth="1"/>
    <col min="12319" max="12320" width="10.140625" style="108" bestFit="1" customWidth="1"/>
    <col min="12321" max="12321" width="9.5703125" style="108" bestFit="1" customWidth="1"/>
    <col min="12322" max="12322" width="9.5703125" style="108" customWidth="1"/>
    <col min="12323" max="12323" width="9" style="108" customWidth="1"/>
    <col min="12324" max="12324" width="10.5703125" style="108" bestFit="1" customWidth="1"/>
    <col min="12325" max="12325" width="11.42578125" style="108" bestFit="1" customWidth="1"/>
    <col min="12326" max="12326" width="18" style="108" bestFit="1" customWidth="1"/>
    <col min="12327" max="12544" width="9.140625" style="108"/>
    <col min="12545" max="12545" width="41" style="108" customWidth="1"/>
    <col min="12546" max="12546" width="19.5703125" style="108" bestFit="1" customWidth="1"/>
    <col min="12547" max="12547" width="10.140625" style="108" customWidth="1"/>
    <col min="12548" max="12548" width="10.42578125" style="108" bestFit="1" customWidth="1"/>
    <col min="12549" max="12549" width="11.28515625" style="108" customWidth="1"/>
    <col min="12550" max="12550" width="9.42578125" style="108" customWidth="1"/>
    <col min="12551" max="12551" width="10.140625" style="108" bestFit="1" customWidth="1"/>
    <col min="12552" max="12553" width="9.140625" style="108"/>
    <col min="12554" max="12554" width="7.28515625" style="108" customWidth="1"/>
    <col min="12555" max="12560" width="7.42578125" style="108" customWidth="1"/>
    <col min="12561" max="12561" width="9.42578125" style="108" bestFit="1" customWidth="1"/>
    <col min="12562" max="12562" width="12" style="108" bestFit="1" customWidth="1"/>
    <col min="12563" max="12564" width="12" style="108" customWidth="1"/>
    <col min="12565" max="12565" width="13.140625" style="108" bestFit="1" customWidth="1"/>
    <col min="12566" max="12567" width="13.140625" style="108" customWidth="1"/>
    <col min="12568" max="12569" width="14.42578125" style="108" bestFit="1" customWidth="1"/>
    <col min="12570" max="12571" width="9.140625" style="108" customWidth="1"/>
    <col min="12572" max="12572" width="9.5703125" style="108" customWidth="1"/>
    <col min="12573" max="12574" width="9.5703125" style="108" bestFit="1" customWidth="1"/>
    <col min="12575" max="12576" width="10.140625" style="108" bestFit="1" customWidth="1"/>
    <col min="12577" max="12577" width="9.5703125" style="108" bestFit="1" customWidth="1"/>
    <col min="12578" max="12578" width="9.5703125" style="108" customWidth="1"/>
    <col min="12579" max="12579" width="9" style="108" customWidth="1"/>
    <col min="12580" max="12580" width="10.5703125" style="108" bestFit="1" customWidth="1"/>
    <col min="12581" max="12581" width="11.42578125" style="108" bestFit="1" customWidth="1"/>
    <col min="12582" max="12582" width="18" style="108" bestFit="1" customWidth="1"/>
    <col min="12583" max="12800" width="9.140625" style="108"/>
    <col min="12801" max="12801" width="41" style="108" customWidth="1"/>
    <col min="12802" max="12802" width="19.5703125" style="108" bestFit="1" customWidth="1"/>
    <col min="12803" max="12803" width="10.140625" style="108" customWidth="1"/>
    <col min="12804" max="12804" width="10.42578125" style="108" bestFit="1" customWidth="1"/>
    <col min="12805" max="12805" width="11.28515625" style="108" customWidth="1"/>
    <col min="12806" max="12806" width="9.42578125" style="108" customWidth="1"/>
    <col min="12807" max="12807" width="10.140625" style="108" bestFit="1" customWidth="1"/>
    <col min="12808" max="12809" width="9.140625" style="108"/>
    <col min="12810" max="12810" width="7.28515625" style="108" customWidth="1"/>
    <col min="12811" max="12816" width="7.42578125" style="108" customWidth="1"/>
    <col min="12817" max="12817" width="9.42578125" style="108" bestFit="1" customWidth="1"/>
    <col min="12818" max="12818" width="12" style="108" bestFit="1" customWidth="1"/>
    <col min="12819" max="12820" width="12" style="108" customWidth="1"/>
    <col min="12821" max="12821" width="13.140625" style="108" bestFit="1" customWidth="1"/>
    <col min="12822" max="12823" width="13.140625" style="108" customWidth="1"/>
    <col min="12824" max="12825" width="14.42578125" style="108" bestFit="1" customWidth="1"/>
    <col min="12826" max="12827" width="9.140625" style="108" customWidth="1"/>
    <col min="12828" max="12828" width="9.5703125" style="108" customWidth="1"/>
    <col min="12829" max="12830" width="9.5703125" style="108" bestFit="1" customWidth="1"/>
    <col min="12831" max="12832" width="10.140625" style="108" bestFit="1" customWidth="1"/>
    <col min="12833" max="12833" width="9.5703125" style="108" bestFit="1" customWidth="1"/>
    <col min="12834" max="12834" width="9.5703125" style="108" customWidth="1"/>
    <col min="12835" max="12835" width="9" style="108" customWidth="1"/>
    <col min="12836" max="12836" width="10.5703125" style="108" bestFit="1" customWidth="1"/>
    <col min="12837" max="12837" width="11.42578125" style="108" bestFit="1" customWidth="1"/>
    <col min="12838" max="12838" width="18" style="108" bestFit="1" customWidth="1"/>
    <col min="12839" max="13056" width="9.140625" style="108"/>
    <col min="13057" max="13057" width="41" style="108" customWidth="1"/>
    <col min="13058" max="13058" width="19.5703125" style="108" bestFit="1" customWidth="1"/>
    <col min="13059" max="13059" width="10.140625" style="108" customWidth="1"/>
    <col min="13060" max="13060" width="10.42578125" style="108" bestFit="1" customWidth="1"/>
    <col min="13061" max="13061" width="11.28515625" style="108" customWidth="1"/>
    <col min="13062" max="13062" width="9.42578125" style="108" customWidth="1"/>
    <col min="13063" max="13063" width="10.140625" style="108" bestFit="1" customWidth="1"/>
    <col min="13064" max="13065" width="9.140625" style="108"/>
    <col min="13066" max="13066" width="7.28515625" style="108" customWidth="1"/>
    <col min="13067" max="13072" width="7.42578125" style="108" customWidth="1"/>
    <col min="13073" max="13073" width="9.42578125" style="108" bestFit="1" customWidth="1"/>
    <col min="13074" max="13074" width="12" style="108" bestFit="1" customWidth="1"/>
    <col min="13075" max="13076" width="12" style="108" customWidth="1"/>
    <col min="13077" max="13077" width="13.140625" style="108" bestFit="1" customWidth="1"/>
    <col min="13078" max="13079" width="13.140625" style="108" customWidth="1"/>
    <col min="13080" max="13081" width="14.42578125" style="108" bestFit="1" customWidth="1"/>
    <col min="13082" max="13083" width="9.140625" style="108" customWidth="1"/>
    <col min="13084" max="13084" width="9.5703125" style="108" customWidth="1"/>
    <col min="13085" max="13086" width="9.5703125" style="108" bestFit="1" customWidth="1"/>
    <col min="13087" max="13088" width="10.140625" style="108" bestFit="1" customWidth="1"/>
    <col min="13089" max="13089" width="9.5703125" style="108" bestFit="1" customWidth="1"/>
    <col min="13090" max="13090" width="9.5703125" style="108" customWidth="1"/>
    <col min="13091" max="13091" width="9" style="108" customWidth="1"/>
    <col min="13092" max="13092" width="10.5703125" style="108" bestFit="1" customWidth="1"/>
    <col min="13093" max="13093" width="11.42578125" style="108" bestFit="1" customWidth="1"/>
    <col min="13094" max="13094" width="18" style="108" bestFit="1" customWidth="1"/>
    <col min="13095" max="13312" width="9.140625" style="108"/>
    <col min="13313" max="13313" width="41" style="108" customWidth="1"/>
    <col min="13314" max="13314" width="19.5703125" style="108" bestFit="1" customWidth="1"/>
    <col min="13315" max="13315" width="10.140625" style="108" customWidth="1"/>
    <col min="13316" max="13316" width="10.42578125" style="108" bestFit="1" customWidth="1"/>
    <col min="13317" max="13317" width="11.28515625" style="108" customWidth="1"/>
    <col min="13318" max="13318" width="9.42578125" style="108" customWidth="1"/>
    <col min="13319" max="13319" width="10.140625" style="108" bestFit="1" customWidth="1"/>
    <col min="13320" max="13321" width="9.140625" style="108"/>
    <col min="13322" max="13322" width="7.28515625" style="108" customWidth="1"/>
    <col min="13323" max="13328" width="7.42578125" style="108" customWidth="1"/>
    <col min="13329" max="13329" width="9.42578125" style="108" bestFit="1" customWidth="1"/>
    <col min="13330" max="13330" width="12" style="108" bestFit="1" customWidth="1"/>
    <col min="13331" max="13332" width="12" style="108" customWidth="1"/>
    <col min="13333" max="13333" width="13.140625" style="108" bestFit="1" customWidth="1"/>
    <col min="13334" max="13335" width="13.140625" style="108" customWidth="1"/>
    <col min="13336" max="13337" width="14.42578125" style="108" bestFit="1" customWidth="1"/>
    <col min="13338" max="13339" width="9.140625" style="108" customWidth="1"/>
    <col min="13340" max="13340" width="9.5703125" style="108" customWidth="1"/>
    <col min="13341" max="13342" width="9.5703125" style="108" bestFit="1" customWidth="1"/>
    <col min="13343" max="13344" width="10.140625" style="108" bestFit="1" customWidth="1"/>
    <col min="13345" max="13345" width="9.5703125" style="108" bestFit="1" customWidth="1"/>
    <col min="13346" max="13346" width="9.5703125" style="108" customWidth="1"/>
    <col min="13347" max="13347" width="9" style="108" customWidth="1"/>
    <col min="13348" max="13348" width="10.5703125" style="108" bestFit="1" customWidth="1"/>
    <col min="13349" max="13349" width="11.42578125" style="108" bestFit="1" customWidth="1"/>
    <col min="13350" max="13350" width="18" style="108" bestFit="1" customWidth="1"/>
    <col min="13351" max="13568" width="9.140625" style="108"/>
    <col min="13569" max="13569" width="41" style="108" customWidth="1"/>
    <col min="13570" max="13570" width="19.5703125" style="108" bestFit="1" customWidth="1"/>
    <col min="13571" max="13571" width="10.140625" style="108" customWidth="1"/>
    <col min="13572" max="13572" width="10.42578125" style="108" bestFit="1" customWidth="1"/>
    <col min="13573" max="13573" width="11.28515625" style="108" customWidth="1"/>
    <col min="13574" max="13574" width="9.42578125" style="108" customWidth="1"/>
    <col min="13575" max="13575" width="10.140625" style="108" bestFit="1" customWidth="1"/>
    <col min="13576" max="13577" width="9.140625" style="108"/>
    <col min="13578" max="13578" width="7.28515625" style="108" customWidth="1"/>
    <col min="13579" max="13584" width="7.42578125" style="108" customWidth="1"/>
    <col min="13585" max="13585" width="9.42578125" style="108" bestFit="1" customWidth="1"/>
    <col min="13586" max="13586" width="12" style="108" bestFit="1" customWidth="1"/>
    <col min="13587" max="13588" width="12" style="108" customWidth="1"/>
    <col min="13589" max="13589" width="13.140625" style="108" bestFit="1" customWidth="1"/>
    <col min="13590" max="13591" width="13.140625" style="108" customWidth="1"/>
    <col min="13592" max="13593" width="14.42578125" style="108" bestFit="1" customWidth="1"/>
    <col min="13594" max="13595" width="9.140625" style="108" customWidth="1"/>
    <col min="13596" max="13596" width="9.5703125" style="108" customWidth="1"/>
    <col min="13597" max="13598" width="9.5703125" style="108" bestFit="1" customWidth="1"/>
    <col min="13599" max="13600" width="10.140625" style="108" bestFit="1" customWidth="1"/>
    <col min="13601" max="13601" width="9.5703125" style="108" bestFit="1" customWidth="1"/>
    <col min="13602" max="13602" width="9.5703125" style="108" customWidth="1"/>
    <col min="13603" max="13603" width="9" style="108" customWidth="1"/>
    <col min="13604" max="13604" width="10.5703125" style="108" bestFit="1" customWidth="1"/>
    <col min="13605" max="13605" width="11.42578125" style="108" bestFit="1" customWidth="1"/>
    <col min="13606" max="13606" width="18" style="108" bestFit="1" customWidth="1"/>
    <col min="13607" max="13824" width="9.140625" style="108"/>
    <col min="13825" max="13825" width="41" style="108" customWidth="1"/>
    <col min="13826" max="13826" width="19.5703125" style="108" bestFit="1" customWidth="1"/>
    <col min="13827" max="13827" width="10.140625" style="108" customWidth="1"/>
    <col min="13828" max="13828" width="10.42578125" style="108" bestFit="1" customWidth="1"/>
    <col min="13829" max="13829" width="11.28515625" style="108" customWidth="1"/>
    <col min="13830" max="13830" width="9.42578125" style="108" customWidth="1"/>
    <col min="13831" max="13831" width="10.140625" style="108" bestFit="1" customWidth="1"/>
    <col min="13832" max="13833" width="9.140625" style="108"/>
    <col min="13834" max="13834" width="7.28515625" style="108" customWidth="1"/>
    <col min="13835" max="13840" width="7.42578125" style="108" customWidth="1"/>
    <col min="13841" max="13841" width="9.42578125" style="108" bestFit="1" customWidth="1"/>
    <col min="13842" max="13842" width="12" style="108" bestFit="1" customWidth="1"/>
    <col min="13843" max="13844" width="12" style="108" customWidth="1"/>
    <col min="13845" max="13845" width="13.140625" style="108" bestFit="1" customWidth="1"/>
    <col min="13846" max="13847" width="13.140625" style="108" customWidth="1"/>
    <col min="13848" max="13849" width="14.42578125" style="108" bestFit="1" customWidth="1"/>
    <col min="13850" max="13851" width="9.140625" style="108" customWidth="1"/>
    <col min="13852" max="13852" width="9.5703125" style="108" customWidth="1"/>
    <col min="13853" max="13854" width="9.5703125" style="108" bestFit="1" customWidth="1"/>
    <col min="13855" max="13856" width="10.140625" style="108" bestFit="1" customWidth="1"/>
    <col min="13857" max="13857" width="9.5703125" style="108" bestFit="1" customWidth="1"/>
    <col min="13858" max="13858" width="9.5703125" style="108" customWidth="1"/>
    <col min="13859" max="13859" width="9" style="108" customWidth="1"/>
    <col min="13860" max="13860" width="10.5703125" style="108" bestFit="1" customWidth="1"/>
    <col min="13861" max="13861" width="11.42578125" style="108" bestFit="1" customWidth="1"/>
    <col min="13862" max="13862" width="18" style="108" bestFit="1" customWidth="1"/>
    <col min="13863" max="14080" width="9.140625" style="108"/>
    <col min="14081" max="14081" width="41" style="108" customWidth="1"/>
    <col min="14082" max="14082" width="19.5703125" style="108" bestFit="1" customWidth="1"/>
    <col min="14083" max="14083" width="10.140625" style="108" customWidth="1"/>
    <col min="14084" max="14084" width="10.42578125" style="108" bestFit="1" customWidth="1"/>
    <col min="14085" max="14085" width="11.28515625" style="108" customWidth="1"/>
    <col min="14086" max="14086" width="9.42578125" style="108" customWidth="1"/>
    <col min="14087" max="14087" width="10.140625" style="108" bestFit="1" customWidth="1"/>
    <col min="14088" max="14089" width="9.140625" style="108"/>
    <col min="14090" max="14090" width="7.28515625" style="108" customWidth="1"/>
    <col min="14091" max="14096" width="7.42578125" style="108" customWidth="1"/>
    <col min="14097" max="14097" width="9.42578125" style="108" bestFit="1" customWidth="1"/>
    <col min="14098" max="14098" width="12" style="108" bestFit="1" customWidth="1"/>
    <col min="14099" max="14100" width="12" style="108" customWidth="1"/>
    <col min="14101" max="14101" width="13.140625" style="108" bestFit="1" customWidth="1"/>
    <col min="14102" max="14103" width="13.140625" style="108" customWidth="1"/>
    <col min="14104" max="14105" width="14.42578125" style="108" bestFit="1" customWidth="1"/>
    <col min="14106" max="14107" width="9.140625" style="108" customWidth="1"/>
    <col min="14108" max="14108" width="9.5703125" style="108" customWidth="1"/>
    <col min="14109" max="14110" width="9.5703125" style="108" bestFit="1" customWidth="1"/>
    <col min="14111" max="14112" width="10.140625" style="108" bestFit="1" customWidth="1"/>
    <col min="14113" max="14113" width="9.5703125" style="108" bestFit="1" customWidth="1"/>
    <col min="14114" max="14114" width="9.5703125" style="108" customWidth="1"/>
    <col min="14115" max="14115" width="9" style="108" customWidth="1"/>
    <col min="14116" max="14116" width="10.5703125" style="108" bestFit="1" customWidth="1"/>
    <col min="14117" max="14117" width="11.42578125" style="108" bestFit="1" customWidth="1"/>
    <col min="14118" max="14118" width="18" style="108" bestFit="1" customWidth="1"/>
    <col min="14119" max="14336" width="9.140625" style="108"/>
    <col min="14337" max="14337" width="41" style="108" customWidth="1"/>
    <col min="14338" max="14338" width="19.5703125" style="108" bestFit="1" customWidth="1"/>
    <col min="14339" max="14339" width="10.140625" style="108" customWidth="1"/>
    <col min="14340" max="14340" width="10.42578125" style="108" bestFit="1" customWidth="1"/>
    <col min="14341" max="14341" width="11.28515625" style="108" customWidth="1"/>
    <col min="14342" max="14342" width="9.42578125" style="108" customWidth="1"/>
    <col min="14343" max="14343" width="10.140625" style="108" bestFit="1" customWidth="1"/>
    <col min="14344" max="14345" width="9.140625" style="108"/>
    <col min="14346" max="14346" width="7.28515625" style="108" customWidth="1"/>
    <col min="14347" max="14352" width="7.42578125" style="108" customWidth="1"/>
    <col min="14353" max="14353" width="9.42578125" style="108" bestFit="1" customWidth="1"/>
    <col min="14354" max="14354" width="12" style="108" bestFit="1" customWidth="1"/>
    <col min="14355" max="14356" width="12" style="108" customWidth="1"/>
    <col min="14357" max="14357" width="13.140625" style="108" bestFit="1" customWidth="1"/>
    <col min="14358" max="14359" width="13.140625" style="108" customWidth="1"/>
    <col min="14360" max="14361" width="14.42578125" style="108" bestFit="1" customWidth="1"/>
    <col min="14362" max="14363" width="9.140625" style="108" customWidth="1"/>
    <col min="14364" max="14364" width="9.5703125" style="108" customWidth="1"/>
    <col min="14365" max="14366" width="9.5703125" style="108" bestFit="1" customWidth="1"/>
    <col min="14367" max="14368" width="10.140625" style="108" bestFit="1" customWidth="1"/>
    <col min="14369" max="14369" width="9.5703125" style="108" bestFit="1" customWidth="1"/>
    <col min="14370" max="14370" width="9.5703125" style="108" customWidth="1"/>
    <col min="14371" max="14371" width="9" style="108" customWidth="1"/>
    <col min="14372" max="14372" width="10.5703125" style="108" bestFit="1" customWidth="1"/>
    <col min="14373" max="14373" width="11.42578125" style="108" bestFit="1" customWidth="1"/>
    <col min="14374" max="14374" width="18" style="108" bestFit="1" customWidth="1"/>
    <col min="14375" max="14592" width="9.140625" style="108"/>
    <col min="14593" max="14593" width="41" style="108" customWidth="1"/>
    <col min="14594" max="14594" width="19.5703125" style="108" bestFit="1" customWidth="1"/>
    <col min="14595" max="14595" width="10.140625" style="108" customWidth="1"/>
    <col min="14596" max="14596" width="10.42578125" style="108" bestFit="1" customWidth="1"/>
    <col min="14597" max="14597" width="11.28515625" style="108" customWidth="1"/>
    <col min="14598" max="14598" width="9.42578125" style="108" customWidth="1"/>
    <col min="14599" max="14599" width="10.140625" style="108" bestFit="1" customWidth="1"/>
    <col min="14600" max="14601" width="9.140625" style="108"/>
    <col min="14602" max="14602" width="7.28515625" style="108" customWidth="1"/>
    <col min="14603" max="14608" width="7.42578125" style="108" customWidth="1"/>
    <col min="14609" max="14609" width="9.42578125" style="108" bestFit="1" customWidth="1"/>
    <col min="14610" max="14610" width="12" style="108" bestFit="1" customWidth="1"/>
    <col min="14611" max="14612" width="12" style="108" customWidth="1"/>
    <col min="14613" max="14613" width="13.140625" style="108" bestFit="1" customWidth="1"/>
    <col min="14614" max="14615" width="13.140625" style="108" customWidth="1"/>
    <col min="14616" max="14617" width="14.42578125" style="108" bestFit="1" customWidth="1"/>
    <col min="14618" max="14619" width="9.140625" style="108" customWidth="1"/>
    <col min="14620" max="14620" width="9.5703125" style="108" customWidth="1"/>
    <col min="14621" max="14622" width="9.5703125" style="108" bestFit="1" customWidth="1"/>
    <col min="14623" max="14624" width="10.140625" style="108" bestFit="1" customWidth="1"/>
    <col min="14625" max="14625" width="9.5703125" style="108" bestFit="1" customWidth="1"/>
    <col min="14626" max="14626" width="9.5703125" style="108" customWidth="1"/>
    <col min="14627" max="14627" width="9" style="108" customWidth="1"/>
    <col min="14628" max="14628" width="10.5703125" style="108" bestFit="1" customWidth="1"/>
    <col min="14629" max="14629" width="11.42578125" style="108" bestFit="1" customWidth="1"/>
    <col min="14630" max="14630" width="18" style="108" bestFit="1" customWidth="1"/>
    <col min="14631" max="14848" width="9.140625" style="108"/>
    <col min="14849" max="14849" width="41" style="108" customWidth="1"/>
    <col min="14850" max="14850" width="19.5703125" style="108" bestFit="1" customWidth="1"/>
    <col min="14851" max="14851" width="10.140625" style="108" customWidth="1"/>
    <col min="14852" max="14852" width="10.42578125" style="108" bestFit="1" customWidth="1"/>
    <col min="14853" max="14853" width="11.28515625" style="108" customWidth="1"/>
    <col min="14854" max="14854" width="9.42578125" style="108" customWidth="1"/>
    <col min="14855" max="14855" width="10.140625" style="108" bestFit="1" customWidth="1"/>
    <col min="14856" max="14857" width="9.140625" style="108"/>
    <col min="14858" max="14858" width="7.28515625" style="108" customWidth="1"/>
    <col min="14859" max="14864" width="7.42578125" style="108" customWidth="1"/>
    <col min="14865" max="14865" width="9.42578125" style="108" bestFit="1" customWidth="1"/>
    <col min="14866" max="14866" width="12" style="108" bestFit="1" customWidth="1"/>
    <col min="14867" max="14868" width="12" style="108" customWidth="1"/>
    <col min="14869" max="14869" width="13.140625" style="108" bestFit="1" customWidth="1"/>
    <col min="14870" max="14871" width="13.140625" style="108" customWidth="1"/>
    <col min="14872" max="14873" width="14.42578125" style="108" bestFit="1" customWidth="1"/>
    <col min="14874" max="14875" width="9.140625" style="108" customWidth="1"/>
    <col min="14876" max="14876" width="9.5703125" style="108" customWidth="1"/>
    <col min="14877" max="14878" width="9.5703125" style="108" bestFit="1" customWidth="1"/>
    <col min="14879" max="14880" width="10.140625" style="108" bestFit="1" customWidth="1"/>
    <col min="14881" max="14881" width="9.5703125" style="108" bestFit="1" customWidth="1"/>
    <col min="14882" max="14882" width="9.5703125" style="108" customWidth="1"/>
    <col min="14883" max="14883" width="9" style="108" customWidth="1"/>
    <col min="14884" max="14884" width="10.5703125" style="108" bestFit="1" customWidth="1"/>
    <col min="14885" max="14885" width="11.42578125" style="108" bestFit="1" customWidth="1"/>
    <col min="14886" max="14886" width="18" style="108" bestFit="1" customWidth="1"/>
    <col min="14887" max="15104" width="9.140625" style="108"/>
    <col min="15105" max="15105" width="41" style="108" customWidth="1"/>
    <col min="15106" max="15106" width="19.5703125" style="108" bestFit="1" customWidth="1"/>
    <col min="15107" max="15107" width="10.140625" style="108" customWidth="1"/>
    <col min="15108" max="15108" width="10.42578125" style="108" bestFit="1" customWidth="1"/>
    <col min="15109" max="15109" width="11.28515625" style="108" customWidth="1"/>
    <col min="15110" max="15110" width="9.42578125" style="108" customWidth="1"/>
    <col min="15111" max="15111" width="10.140625" style="108" bestFit="1" customWidth="1"/>
    <col min="15112" max="15113" width="9.140625" style="108"/>
    <col min="15114" max="15114" width="7.28515625" style="108" customWidth="1"/>
    <col min="15115" max="15120" width="7.42578125" style="108" customWidth="1"/>
    <col min="15121" max="15121" width="9.42578125" style="108" bestFit="1" customWidth="1"/>
    <col min="15122" max="15122" width="12" style="108" bestFit="1" customWidth="1"/>
    <col min="15123" max="15124" width="12" style="108" customWidth="1"/>
    <col min="15125" max="15125" width="13.140625" style="108" bestFit="1" customWidth="1"/>
    <col min="15126" max="15127" width="13.140625" style="108" customWidth="1"/>
    <col min="15128" max="15129" width="14.42578125" style="108" bestFit="1" customWidth="1"/>
    <col min="15130" max="15131" width="9.140625" style="108" customWidth="1"/>
    <col min="15132" max="15132" width="9.5703125" style="108" customWidth="1"/>
    <col min="15133" max="15134" width="9.5703125" style="108" bestFit="1" customWidth="1"/>
    <col min="15135" max="15136" width="10.140625" style="108" bestFit="1" customWidth="1"/>
    <col min="15137" max="15137" width="9.5703125" style="108" bestFit="1" customWidth="1"/>
    <col min="15138" max="15138" width="9.5703125" style="108" customWidth="1"/>
    <col min="15139" max="15139" width="9" style="108" customWidth="1"/>
    <col min="15140" max="15140" width="10.5703125" style="108" bestFit="1" customWidth="1"/>
    <col min="15141" max="15141" width="11.42578125" style="108" bestFit="1" customWidth="1"/>
    <col min="15142" max="15142" width="18" style="108" bestFit="1" customWidth="1"/>
    <col min="15143" max="15360" width="9.140625" style="108"/>
    <col min="15361" max="15361" width="41" style="108" customWidth="1"/>
    <col min="15362" max="15362" width="19.5703125" style="108" bestFit="1" customWidth="1"/>
    <col min="15363" max="15363" width="10.140625" style="108" customWidth="1"/>
    <col min="15364" max="15364" width="10.42578125" style="108" bestFit="1" customWidth="1"/>
    <col min="15365" max="15365" width="11.28515625" style="108" customWidth="1"/>
    <col min="15366" max="15366" width="9.42578125" style="108" customWidth="1"/>
    <col min="15367" max="15367" width="10.140625" style="108" bestFit="1" customWidth="1"/>
    <col min="15368" max="15369" width="9.140625" style="108"/>
    <col min="15370" max="15370" width="7.28515625" style="108" customWidth="1"/>
    <col min="15371" max="15376" width="7.42578125" style="108" customWidth="1"/>
    <col min="15377" max="15377" width="9.42578125" style="108" bestFit="1" customWidth="1"/>
    <col min="15378" max="15378" width="12" style="108" bestFit="1" customWidth="1"/>
    <col min="15379" max="15380" width="12" style="108" customWidth="1"/>
    <col min="15381" max="15381" width="13.140625" style="108" bestFit="1" customWidth="1"/>
    <col min="15382" max="15383" width="13.140625" style="108" customWidth="1"/>
    <col min="15384" max="15385" width="14.42578125" style="108" bestFit="1" customWidth="1"/>
    <col min="15386" max="15387" width="9.140625" style="108" customWidth="1"/>
    <col min="15388" max="15388" width="9.5703125" style="108" customWidth="1"/>
    <col min="15389" max="15390" width="9.5703125" style="108" bestFit="1" customWidth="1"/>
    <col min="15391" max="15392" width="10.140625" style="108" bestFit="1" customWidth="1"/>
    <col min="15393" max="15393" width="9.5703125" style="108" bestFit="1" customWidth="1"/>
    <col min="15394" max="15394" width="9.5703125" style="108" customWidth="1"/>
    <col min="15395" max="15395" width="9" style="108" customWidth="1"/>
    <col min="15396" max="15396" width="10.5703125" style="108" bestFit="1" customWidth="1"/>
    <col min="15397" max="15397" width="11.42578125" style="108" bestFit="1" customWidth="1"/>
    <col min="15398" max="15398" width="18" style="108" bestFit="1" customWidth="1"/>
    <col min="15399" max="15616" width="9.140625" style="108"/>
    <col min="15617" max="15617" width="41" style="108" customWidth="1"/>
    <col min="15618" max="15618" width="19.5703125" style="108" bestFit="1" customWidth="1"/>
    <col min="15619" max="15619" width="10.140625" style="108" customWidth="1"/>
    <col min="15620" max="15620" width="10.42578125" style="108" bestFit="1" customWidth="1"/>
    <col min="15621" max="15621" width="11.28515625" style="108" customWidth="1"/>
    <col min="15622" max="15622" width="9.42578125" style="108" customWidth="1"/>
    <col min="15623" max="15623" width="10.140625" style="108" bestFit="1" customWidth="1"/>
    <col min="15624" max="15625" width="9.140625" style="108"/>
    <col min="15626" max="15626" width="7.28515625" style="108" customWidth="1"/>
    <col min="15627" max="15632" width="7.42578125" style="108" customWidth="1"/>
    <col min="15633" max="15633" width="9.42578125" style="108" bestFit="1" customWidth="1"/>
    <col min="15634" max="15634" width="12" style="108" bestFit="1" customWidth="1"/>
    <col min="15635" max="15636" width="12" style="108" customWidth="1"/>
    <col min="15637" max="15637" width="13.140625" style="108" bestFit="1" customWidth="1"/>
    <col min="15638" max="15639" width="13.140625" style="108" customWidth="1"/>
    <col min="15640" max="15641" width="14.42578125" style="108" bestFit="1" customWidth="1"/>
    <col min="15642" max="15643" width="9.140625" style="108" customWidth="1"/>
    <col min="15644" max="15644" width="9.5703125" style="108" customWidth="1"/>
    <col min="15645" max="15646" width="9.5703125" style="108" bestFit="1" customWidth="1"/>
    <col min="15647" max="15648" width="10.140625" style="108" bestFit="1" customWidth="1"/>
    <col min="15649" max="15649" width="9.5703125" style="108" bestFit="1" customWidth="1"/>
    <col min="15650" max="15650" width="9.5703125" style="108" customWidth="1"/>
    <col min="15651" max="15651" width="9" style="108" customWidth="1"/>
    <col min="15652" max="15652" width="10.5703125" style="108" bestFit="1" customWidth="1"/>
    <col min="15653" max="15653" width="11.42578125" style="108" bestFit="1" customWidth="1"/>
    <col min="15654" max="15654" width="18" style="108" bestFit="1" customWidth="1"/>
    <col min="15655" max="15872" width="9.140625" style="108"/>
    <col min="15873" max="15873" width="41" style="108" customWidth="1"/>
    <col min="15874" max="15874" width="19.5703125" style="108" bestFit="1" customWidth="1"/>
    <col min="15875" max="15875" width="10.140625" style="108" customWidth="1"/>
    <col min="15876" max="15876" width="10.42578125" style="108" bestFit="1" customWidth="1"/>
    <col min="15877" max="15877" width="11.28515625" style="108" customWidth="1"/>
    <col min="15878" max="15878" width="9.42578125" style="108" customWidth="1"/>
    <col min="15879" max="15879" width="10.140625" style="108" bestFit="1" customWidth="1"/>
    <col min="15880" max="15881" width="9.140625" style="108"/>
    <col min="15882" max="15882" width="7.28515625" style="108" customWidth="1"/>
    <col min="15883" max="15888" width="7.42578125" style="108" customWidth="1"/>
    <col min="15889" max="15889" width="9.42578125" style="108" bestFit="1" customWidth="1"/>
    <col min="15890" max="15890" width="12" style="108" bestFit="1" customWidth="1"/>
    <col min="15891" max="15892" width="12" style="108" customWidth="1"/>
    <col min="15893" max="15893" width="13.140625" style="108" bestFit="1" customWidth="1"/>
    <col min="15894" max="15895" width="13.140625" style="108" customWidth="1"/>
    <col min="15896" max="15897" width="14.42578125" style="108" bestFit="1" customWidth="1"/>
    <col min="15898" max="15899" width="9.140625" style="108" customWidth="1"/>
    <col min="15900" max="15900" width="9.5703125" style="108" customWidth="1"/>
    <col min="15901" max="15902" width="9.5703125" style="108" bestFit="1" customWidth="1"/>
    <col min="15903" max="15904" width="10.140625" style="108" bestFit="1" customWidth="1"/>
    <col min="15905" max="15905" width="9.5703125" style="108" bestFit="1" customWidth="1"/>
    <col min="15906" max="15906" width="9.5703125" style="108" customWidth="1"/>
    <col min="15907" max="15907" width="9" style="108" customWidth="1"/>
    <col min="15908" max="15908" width="10.5703125" style="108" bestFit="1" customWidth="1"/>
    <col min="15909" max="15909" width="11.42578125" style="108" bestFit="1" customWidth="1"/>
    <col min="15910" max="15910" width="18" style="108" bestFit="1" customWidth="1"/>
    <col min="15911" max="16128" width="9.140625" style="108"/>
    <col min="16129" max="16129" width="41" style="108" customWidth="1"/>
    <col min="16130" max="16130" width="19.5703125" style="108" bestFit="1" customWidth="1"/>
    <col min="16131" max="16131" width="10.140625" style="108" customWidth="1"/>
    <col min="16132" max="16132" width="10.42578125" style="108" bestFit="1" customWidth="1"/>
    <col min="16133" max="16133" width="11.28515625" style="108" customWidth="1"/>
    <col min="16134" max="16134" width="9.42578125" style="108" customWidth="1"/>
    <col min="16135" max="16135" width="10.140625" style="108" bestFit="1" customWidth="1"/>
    <col min="16136" max="16137" width="9.140625" style="108"/>
    <col min="16138" max="16138" width="7.28515625" style="108" customWidth="1"/>
    <col min="16139" max="16144" width="7.42578125" style="108" customWidth="1"/>
    <col min="16145" max="16145" width="9.42578125" style="108" bestFit="1" customWidth="1"/>
    <col min="16146" max="16146" width="12" style="108" bestFit="1" customWidth="1"/>
    <col min="16147" max="16148" width="12" style="108" customWidth="1"/>
    <col min="16149" max="16149" width="13.140625" style="108" bestFit="1" customWidth="1"/>
    <col min="16150" max="16151" width="13.140625" style="108" customWidth="1"/>
    <col min="16152" max="16153" width="14.42578125" style="108" bestFit="1" customWidth="1"/>
    <col min="16154" max="16155" width="9.140625" style="108" customWidth="1"/>
    <col min="16156" max="16156" width="9.5703125" style="108" customWidth="1"/>
    <col min="16157" max="16158" width="9.5703125" style="108" bestFit="1" customWidth="1"/>
    <col min="16159" max="16160" width="10.140625" style="108" bestFit="1" customWidth="1"/>
    <col min="16161" max="16161" width="9.5703125" style="108" bestFit="1" customWidth="1"/>
    <col min="16162" max="16162" width="9.5703125" style="108" customWidth="1"/>
    <col min="16163" max="16163" width="9" style="108" customWidth="1"/>
    <col min="16164" max="16164" width="10.5703125" style="108" bestFit="1" customWidth="1"/>
    <col min="16165" max="16165" width="11.42578125" style="108" bestFit="1" customWidth="1"/>
    <col min="16166" max="16166" width="18" style="108" bestFit="1" customWidth="1"/>
    <col min="16167" max="16384" width="9.140625" style="108"/>
  </cols>
  <sheetData>
    <row r="1" spans="1:29" ht="30" customHeight="1" x14ac:dyDescent="0.2">
      <c r="A1" s="219" t="s">
        <v>252</v>
      </c>
      <c r="B1" s="220"/>
      <c r="C1" s="220"/>
      <c r="D1" s="220"/>
      <c r="E1" s="220"/>
      <c r="F1" s="220"/>
      <c r="G1" s="220"/>
      <c r="H1" s="221"/>
      <c r="I1" s="105"/>
      <c r="J1" s="106"/>
      <c r="K1" s="106"/>
      <c r="L1" s="106"/>
      <c r="M1" s="106"/>
      <c r="N1" s="106"/>
      <c r="O1" s="106"/>
      <c r="P1" s="106"/>
      <c r="Q1" s="106"/>
      <c r="R1" s="106"/>
      <c r="S1" s="106"/>
      <c r="T1" s="106"/>
      <c r="U1" s="107"/>
      <c r="V1" s="107"/>
      <c r="W1" s="107"/>
      <c r="X1" s="107"/>
    </row>
    <row r="2" spans="1:29" ht="15" x14ac:dyDescent="0.25">
      <c r="A2" s="222"/>
      <c r="B2" s="222"/>
      <c r="C2" s="222"/>
      <c r="D2" s="222"/>
      <c r="E2" s="222"/>
      <c r="F2" s="222"/>
      <c r="G2" s="222"/>
      <c r="H2" s="222"/>
      <c r="I2" s="109"/>
      <c r="J2" s="106"/>
      <c r="K2" s="106"/>
      <c r="L2" s="106"/>
      <c r="M2" s="106"/>
      <c r="N2" s="106"/>
      <c r="O2" s="106"/>
      <c r="P2" s="106"/>
      <c r="Q2" s="106"/>
      <c r="R2" s="106"/>
      <c r="S2" s="106"/>
      <c r="T2" s="106"/>
      <c r="U2" s="107"/>
      <c r="V2" s="107"/>
      <c r="W2" s="107"/>
      <c r="X2" s="107"/>
    </row>
    <row r="3" spans="1:29" ht="24.75" customHeight="1" x14ac:dyDescent="0.2">
      <c r="A3" s="110" t="s">
        <v>136</v>
      </c>
      <c r="B3" s="223">
        <v>45839</v>
      </c>
      <c r="C3" s="224"/>
      <c r="D3" s="224"/>
      <c r="E3" s="224"/>
      <c r="F3" s="224"/>
      <c r="G3" s="224"/>
      <c r="H3" s="224"/>
      <c r="I3" s="170"/>
      <c r="J3" s="171"/>
      <c r="K3" s="171"/>
      <c r="L3" s="171"/>
      <c r="M3" s="171"/>
      <c r="N3" s="171"/>
      <c r="O3" s="171"/>
      <c r="P3" s="171"/>
      <c r="Q3" s="111"/>
      <c r="R3" s="111"/>
      <c r="S3" s="111"/>
      <c r="T3" s="111"/>
      <c r="U3" s="107"/>
      <c r="V3" s="107"/>
      <c r="W3" s="107"/>
      <c r="X3" s="107"/>
    </row>
    <row r="4" spans="1:29" x14ac:dyDescent="0.2">
      <c r="A4" s="235"/>
      <c r="B4" s="237" t="s">
        <v>274</v>
      </c>
      <c r="C4" s="237"/>
      <c r="D4" s="237"/>
      <c r="E4" s="237"/>
      <c r="F4" s="237"/>
      <c r="G4" s="237"/>
      <c r="H4" s="237"/>
      <c r="I4" s="113"/>
      <c r="J4" s="114"/>
      <c r="K4" s="114"/>
      <c r="L4" s="114"/>
      <c r="M4" s="114"/>
      <c r="N4" s="114"/>
      <c r="O4" s="114"/>
      <c r="P4" s="114"/>
      <c r="Q4" s="114"/>
      <c r="R4" s="114"/>
      <c r="S4" s="114"/>
      <c r="T4" s="114"/>
      <c r="U4" s="112"/>
      <c r="V4" s="112"/>
      <c r="W4" s="112"/>
      <c r="X4" s="112"/>
    </row>
    <row r="5" spans="1:29" ht="15" x14ac:dyDescent="0.2">
      <c r="A5" s="236"/>
      <c r="B5" s="237"/>
      <c r="C5" s="237"/>
      <c r="D5" s="237"/>
      <c r="E5" s="237"/>
      <c r="F5" s="237"/>
      <c r="G5" s="237"/>
      <c r="H5" s="237"/>
      <c r="I5" s="115"/>
      <c r="J5" s="115"/>
      <c r="K5" s="115"/>
      <c r="L5" s="115"/>
      <c r="M5" s="115"/>
      <c r="N5" s="114"/>
      <c r="O5" s="114"/>
      <c r="P5" s="114"/>
      <c r="Q5" s="114"/>
      <c r="R5" s="114"/>
      <c r="S5" s="114"/>
      <c r="T5" s="114"/>
      <c r="U5" s="112"/>
      <c r="V5" s="112"/>
      <c r="W5" s="112"/>
      <c r="X5" s="112"/>
    </row>
    <row r="6" spans="1:29" ht="106.5" customHeight="1" x14ac:dyDescent="0.2">
      <c r="A6" s="236"/>
      <c r="B6" s="237"/>
      <c r="C6" s="237"/>
      <c r="D6" s="237"/>
      <c r="E6" s="237"/>
      <c r="F6" s="237"/>
      <c r="G6" s="237"/>
      <c r="H6" s="237"/>
      <c r="I6" s="115"/>
      <c r="J6" s="115"/>
      <c r="K6" s="115"/>
      <c r="L6" s="115"/>
      <c r="M6" s="115"/>
      <c r="N6" s="114"/>
      <c r="O6" s="114"/>
      <c r="P6" s="114"/>
      <c r="Q6" s="114"/>
      <c r="R6" s="114"/>
      <c r="S6" s="114"/>
      <c r="T6" s="114"/>
      <c r="U6" s="112"/>
      <c r="V6" s="112"/>
      <c r="W6" s="112"/>
      <c r="X6" s="112"/>
    </row>
    <row r="7" spans="1:29" ht="13.5" thickBot="1" x14ac:dyDescent="0.25">
      <c r="E7" s="116"/>
    </row>
    <row r="8" spans="1:29" ht="15" customHeight="1" thickBot="1" x14ac:dyDescent="0.25">
      <c r="A8" s="238" t="s">
        <v>275</v>
      </c>
      <c r="B8" s="241" t="s">
        <v>276</v>
      </c>
      <c r="C8" s="228" t="s">
        <v>277</v>
      </c>
      <c r="D8" s="201" t="s">
        <v>278</v>
      </c>
      <c r="E8" s="202"/>
      <c r="F8" s="203"/>
      <c r="G8" s="201" t="s">
        <v>85</v>
      </c>
      <c r="H8" s="202"/>
      <c r="I8" s="202"/>
      <c r="J8" s="201" t="s">
        <v>279</v>
      </c>
      <c r="K8" s="225"/>
      <c r="L8" s="228" t="s">
        <v>280</v>
      </c>
      <c r="M8" s="207" t="s">
        <v>281</v>
      </c>
      <c r="N8" s="210" t="s">
        <v>282</v>
      </c>
      <c r="O8" s="210" t="s">
        <v>283</v>
      </c>
      <c r="P8" s="213" t="s">
        <v>284</v>
      </c>
      <c r="Q8" s="216" t="s">
        <v>285</v>
      </c>
      <c r="R8" s="217"/>
      <c r="S8" s="217"/>
      <c r="T8" s="217"/>
      <c r="U8" s="217"/>
      <c r="V8" s="217"/>
      <c r="W8" s="217"/>
      <c r="X8" s="217"/>
      <c r="Y8" s="217"/>
      <c r="Z8" s="217"/>
      <c r="AA8" s="217"/>
      <c r="AB8" s="217"/>
      <c r="AC8" s="218"/>
    </row>
    <row r="9" spans="1:29" ht="15.75" customHeight="1" thickBot="1" x14ac:dyDescent="0.25">
      <c r="A9" s="239"/>
      <c r="B9" s="242"/>
      <c r="C9" s="229"/>
      <c r="D9" s="231" t="s">
        <v>286</v>
      </c>
      <c r="E9" s="233" t="s">
        <v>287</v>
      </c>
      <c r="F9" s="234" t="s">
        <v>288</v>
      </c>
      <c r="G9" s="228" t="s">
        <v>286</v>
      </c>
      <c r="H9" s="233" t="s">
        <v>289</v>
      </c>
      <c r="I9" s="234" t="s">
        <v>290</v>
      </c>
      <c r="J9" s="226"/>
      <c r="K9" s="227"/>
      <c r="L9" s="229"/>
      <c r="M9" s="208"/>
      <c r="N9" s="211"/>
      <c r="O9" s="211"/>
      <c r="P9" s="214"/>
      <c r="Q9" s="204"/>
      <c r="R9" s="205"/>
      <c r="S9" s="205"/>
      <c r="T9" s="205"/>
      <c r="U9" s="205"/>
      <c r="V9" s="205"/>
      <c r="W9" s="205"/>
      <c r="X9" s="205"/>
      <c r="Y9" s="205"/>
      <c r="Z9" s="205"/>
      <c r="AA9" s="205"/>
      <c r="AB9" s="205"/>
      <c r="AC9" s="206"/>
    </row>
    <row r="10" spans="1:29" ht="36" customHeight="1" thickBot="1" x14ac:dyDescent="0.25">
      <c r="A10" s="240"/>
      <c r="B10" s="242"/>
      <c r="C10" s="230"/>
      <c r="D10" s="232"/>
      <c r="E10" s="233"/>
      <c r="F10" s="234"/>
      <c r="G10" s="230"/>
      <c r="H10" s="233"/>
      <c r="I10" s="234"/>
      <c r="J10" s="117" t="s">
        <v>291</v>
      </c>
      <c r="K10" s="117" t="s">
        <v>292</v>
      </c>
      <c r="L10" s="230"/>
      <c r="M10" s="209"/>
      <c r="N10" s="212"/>
      <c r="O10" s="212"/>
      <c r="P10" s="215"/>
      <c r="Q10" s="119" t="str">
        <f>'AUTO CALCULATION SHEET (2)'!N17</f>
        <v>Alumimium</v>
      </c>
      <c r="R10" s="120" t="str">
        <f>'AUTO CALCULATION SHEET (2)'!BA17</f>
        <v>ACSR CORE WIRE</v>
      </c>
      <c r="S10" s="120" t="str">
        <f>'AUTO CALCULATION SHEET (2)'!BB17</f>
        <v>ACSR DOG STEEL WIRE</v>
      </c>
      <c r="T10" s="120" t="str">
        <f>'AUTO CALCULATION SHEET (2)'!BY17</f>
        <v>Grease</v>
      </c>
      <c r="U10" s="120" t="s">
        <v>293</v>
      </c>
      <c r="V10" s="120" t="s">
        <v>294</v>
      </c>
      <c r="W10" s="121" t="s">
        <v>295</v>
      </c>
      <c r="X10" s="120" t="s">
        <v>296</v>
      </c>
      <c r="Y10" s="122" t="s">
        <v>297</v>
      </c>
      <c r="Z10" s="120" t="s">
        <v>298</v>
      </c>
      <c r="AA10" s="120" t="s">
        <v>299</v>
      </c>
      <c r="AB10" s="120" t="s">
        <v>300</v>
      </c>
      <c r="AC10" s="123" t="s">
        <v>301</v>
      </c>
    </row>
    <row r="11" spans="1:29" ht="15" customHeight="1" x14ac:dyDescent="0.2">
      <c r="A11" s="124"/>
      <c r="B11" s="125"/>
      <c r="C11" s="126"/>
      <c r="D11" s="127"/>
      <c r="E11" s="128"/>
      <c r="F11" s="129"/>
      <c r="G11" s="130"/>
      <c r="H11" s="128"/>
      <c r="I11" s="131"/>
      <c r="J11" s="132"/>
      <c r="K11" s="132"/>
      <c r="L11" s="132"/>
      <c r="M11" s="118"/>
      <c r="N11" s="118"/>
      <c r="O11" s="133"/>
      <c r="P11" s="134"/>
      <c r="Q11" s="135">
        <v>267</v>
      </c>
      <c r="R11" s="136">
        <v>67</v>
      </c>
      <c r="S11" s="136">
        <v>82</v>
      </c>
      <c r="T11" s="136">
        <v>197</v>
      </c>
      <c r="U11" s="137"/>
      <c r="V11" s="137"/>
      <c r="W11" s="137"/>
      <c r="X11" s="137"/>
      <c r="Y11" s="138"/>
      <c r="Z11" s="137"/>
      <c r="AA11" s="139"/>
      <c r="AB11" s="137"/>
      <c r="AC11" s="140"/>
    </row>
    <row r="12" spans="1:29" ht="27" customHeight="1" x14ac:dyDescent="0.2">
      <c r="A12" s="141" t="str">
        <f>'AUTO CALCULATION SHEET (2)'!D19</f>
        <v>ACSR : DOG CONDUCTOR - 100 SQ. MM. (6/4.72/7/1.57)</v>
      </c>
      <c r="B12" s="142"/>
      <c r="C12" s="143"/>
      <c r="D12" s="144">
        <v>45839</v>
      </c>
      <c r="E12" s="145">
        <v>300288</v>
      </c>
      <c r="F12" s="146">
        <v>173750</v>
      </c>
      <c r="G12" s="144">
        <f t="shared" ref="G12:G15" si="0">$B$3</f>
        <v>45839</v>
      </c>
      <c r="H12" s="145">
        <v>300288</v>
      </c>
      <c r="I12" s="146">
        <v>173750</v>
      </c>
      <c r="J12" s="147">
        <v>0.28699999999999998</v>
      </c>
      <c r="K12" s="147">
        <v>0.106</v>
      </c>
      <c r="L12" s="148">
        <f>'AUTO CALCULATION SHEET (2)'!E19</f>
        <v>98870.987500000003</v>
      </c>
      <c r="M12" s="149">
        <f t="shared" ref="M12:N15" si="1">J12*(E12-H12)</f>
        <v>0</v>
      </c>
      <c r="N12" s="150">
        <f t="shared" si="1"/>
        <v>0</v>
      </c>
      <c r="O12" s="151">
        <f>M12+N12</f>
        <v>0</v>
      </c>
      <c r="P12" s="152">
        <f>L12+O12</f>
        <v>98870.987500000003</v>
      </c>
      <c r="Q12" s="153">
        <f>'AUTO CALCULATION SHEET (2)'!N19</f>
        <v>288.3</v>
      </c>
      <c r="R12" s="154">
        <f>'AUTO CALCULATION SHEET (2)'!BA19</f>
        <v>0</v>
      </c>
      <c r="S12" s="154">
        <f>'AUTO CALCULATION SHEET (2)'!BB19</f>
        <v>106</v>
      </c>
      <c r="T12" s="154">
        <f>'AUTO CALCULATION SHEET (2)'!BY19</f>
        <v>4</v>
      </c>
      <c r="U12" s="155">
        <f>SUMPRODUCT($Q$11:$T$11,Q12:T12)</f>
        <v>86456.1</v>
      </c>
      <c r="V12" s="155">
        <f>'AUTO CALCULATION SHEET (2)'!CK19</f>
        <v>9000</v>
      </c>
      <c r="W12" s="155">
        <f>U12+V12</f>
        <v>95456.1</v>
      </c>
      <c r="X12" s="155">
        <f>+P12-W12</f>
        <v>3414.8874999999971</v>
      </c>
      <c r="Y12" s="156">
        <f>X12/W12*100%</f>
        <v>3.5774429292627676E-2</v>
      </c>
      <c r="Z12" s="157"/>
      <c r="AA12" s="157">
        <v>0.01</v>
      </c>
      <c r="AB12" s="157">
        <v>5.0000000000000001E-3</v>
      </c>
      <c r="AC12" s="158">
        <f>Y12-SUM(Z12:AB12)</f>
        <v>2.0774429292627676E-2</v>
      </c>
    </row>
    <row r="13" spans="1:29" ht="27" customHeight="1" x14ac:dyDescent="0.2">
      <c r="A13" s="141" t="str">
        <f>'AUTO CALCULATION SHEET (2)'!D20</f>
        <v>ACSR : PANTHER CONDUCTOR - 200 SQ. MM. (30/7/3.00)</v>
      </c>
      <c r="B13" s="142"/>
      <c r="C13" s="143"/>
      <c r="D13" s="144">
        <v>45839</v>
      </c>
      <c r="E13" s="145">
        <v>300288</v>
      </c>
      <c r="F13" s="146">
        <v>157750</v>
      </c>
      <c r="G13" s="144">
        <f t="shared" si="0"/>
        <v>45839</v>
      </c>
      <c r="H13" s="145">
        <v>300288</v>
      </c>
      <c r="I13" s="146">
        <v>157750</v>
      </c>
      <c r="J13" s="147">
        <v>0.57999999999999996</v>
      </c>
      <c r="K13" s="147">
        <v>0.38800000000000001</v>
      </c>
      <c r="L13" s="148">
        <f>'AUTO CALCULATION SHEET (2)'!E20</f>
        <v>198464.10799999998</v>
      </c>
      <c r="M13" s="149">
        <f t="shared" si="1"/>
        <v>0</v>
      </c>
      <c r="N13" s="150">
        <f t="shared" si="1"/>
        <v>0</v>
      </c>
      <c r="O13" s="151">
        <f>M13+N13</f>
        <v>0</v>
      </c>
      <c r="P13" s="152">
        <f>L13+O13</f>
        <v>198464.10799999998</v>
      </c>
      <c r="Q13" s="153">
        <f>'AUTO CALCULATION SHEET (2)'!N20</f>
        <v>588</v>
      </c>
      <c r="R13" s="154">
        <f>'AUTO CALCULATION SHEET (2)'!BA20</f>
        <v>388</v>
      </c>
      <c r="S13" s="154">
        <f>'AUTO CALCULATION SHEET (2)'!BB20</f>
        <v>0</v>
      </c>
      <c r="T13" s="154">
        <f>'AUTO CALCULATION SHEET (2)'!BY20</f>
        <v>10</v>
      </c>
      <c r="U13" s="155">
        <f>SUMPRODUCT($Q$11:$T$11,Q13:T13)</f>
        <v>184962</v>
      </c>
      <c r="V13" s="155">
        <f>'AUTO CALCULATION SHEET (2)'!CK20</f>
        <v>6750</v>
      </c>
      <c r="W13" s="155">
        <f>U13+V13</f>
        <v>191712</v>
      </c>
      <c r="X13" s="155">
        <f>+P13-W13</f>
        <v>6752.1079999999783</v>
      </c>
      <c r="Y13" s="156">
        <f>X13/W13*100%</f>
        <v>3.5220059255549878E-2</v>
      </c>
      <c r="Z13" s="157"/>
      <c r="AA13" s="157">
        <v>0.01</v>
      </c>
      <c r="AB13" s="157">
        <v>5.0000000000000001E-3</v>
      </c>
      <c r="AC13" s="158">
        <f>Y13-SUM(Z13:AB13)</f>
        <v>2.0220059255549878E-2</v>
      </c>
    </row>
    <row r="14" spans="1:29" ht="27" customHeight="1" x14ac:dyDescent="0.2">
      <c r="A14" s="141" t="str">
        <f>'AUTO CALCULATION SHEET (2)'!D21</f>
        <v>ACSR : ZEBRA CONDUCTOR - 420 SQ. MM. (54/7/3.18)</v>
      </c>
      <c r="B14" s="142"/>
      <c r="C14" s="143"/>
      <c r="D14" s="144">
        <v>45839</v>
      </c>
      <c r="E14" s="145">
        <v>300288</v>
      </c>
      <c r="F14" s="146">
        <v>157750</v>
      </c>
      <c r="G14" s="144">
        <f t="shared" si="0"/>
        <v>45839</v>
      </c>
      <c r="H14" s="145">
        <v>300288</v>
      </c>
      <c r="I14" s="146">
        <v>157750</v>
      </c>
      <c r="J14" s="159">
        <v>1.1899</v>
      </c>
      <c r="K14" s="147">
        <v>0.435</v>
      </c>
      <c r="L14" s="148">
        <f>'AUTO CALCULATION SHEET (2)'!E21</f>
        <v>368136.85774999997</v>
      </c>
      <c r="M14" s="149">
        <f t="shared" si="1"/>
        <v>0</v>
      </c>
      <c r="N14" s="150">
        <f t="shared" si="1"/>
        <v>0</v>
      </c>
      <c r="O14" s="151">
        <f>M14+N14</f>
        <v>0</v>
      </c>
      <c r="P14" s="152">
        <f>L14+O14</f>
        <v>368136.85774999997</v>
      </c>
      <c r="Q14" s="153">
        <f>'AUTO CALCULATION SHEET (2)'!N21</f>
        <v>1186</v>
      </c>
      <c r="R14" s="154">
        <f>'AUTO CALCULATION SHEET (2)'!BA21</f>
        <v>436</v>
      </c>
      <c r="S14" s="154">
        <f>'AUTO CALCULATION SHEET (2)'!BB21</f>
        <v>0</v>
      </c>
      <c r="T14" s="154">
        <f>'AUTO CALCULATION SHEET (2)'!BY21</f>
        <v>12</v>
      </c>
      <c r="U14" s="155">
        <f>SUMPRODUCT($Q$11:$T$11,Q14:T14)</f>
        <v>348238</v>
      </c>
      <c r="V14" s="155">
        <f>'AUTO CALCULATION SHEET (2)'!CK21</f>
        <v>8325</v>
      </c>
      <c r="W14" s="155">
        <f>U14+V14</f>
        <v>356563</v>
      </c>
      <c r="X14" s="155">
        <f>+P14-W14</f>
        <v>11573.857749999966</v>
      </c>
      <c r="Y14" s="156">
        <f>X14/W14*100%</f>
        <v>3.2459502948987883E-2</v>
      </c>
      <c r="Z14" s="157"/>
      <c r="AA14" s="157">
        <v>0.01</v>
      </c>
      <c r="AB14" s="157">
        <v>5.0000000000000001E-3</v>
      </c>
      <c r="AC14" s="158">
        <f>Y14-SUM(Z14:AB14)</f>
        <v>1.7459502948987883E-2</v>
      </c>
    </row>
    <row r="15" spans="1:29" ht="27" customHeight="1" x14ac:dyDescent="0.2">
      <c r="A15" s="141" t="str">
        <f>'AUTO CALCULATION SHEET (2)'!D22</f>
        <v>ACSR : MOOSE CONDUCTOR - 520 SQ. MM. (54/7/3.53)</v>
      </c>
      <c r="B15" s="142"/>
      <c r="C15" s="143"/>
      <c r="D15" s="144">
        <v>45839</v>
      </c>
      <c r="E15" s="145">
        <v>300288</v>
      </c>
      <c r="F15" s="146">
        <v>157750</v>
      </c>
      <c r="G15" s="144">
        <f t="shared" si="0"/>
        <v>45839</v>
      </c>
      <c r="H15" s="145">
        <v>300288</v>
      </c>
      <c r="I15" s="146">
        <v>157750</v>
      </c>
      <c r="J15" s="147">
        <v>1.464</v>
      </c>
      <c r="K15" s="147">
        <v>0.53400000000000003</v>
      </c>
      <c r="L15" s="148">
        <f>'AUTO CALCULATION SHEET (2)'!E22</f>
        <v>459350.49050000001</v>
      </c>
      <c r="M15" s="149">
        <f t="shared" si="1"/>
        <v>0</v>
      </c>
      <c r="N15" s="150">
        <f t="shared" si="1"/>
        <v>0</v>
      </c>
      <c r="O15" s="151">
        <f>M15+N15</f>
        <v>0</v>
      </c>
      <c r="P15" s="152">
        <f>L15+O15</f>
        <v>459350.49050000001</v>
      </c>
      <c r="Q15" s="153">
        <f>'AUTO CALCULATION SHEET (2)'!N22</f>
        <v>1467</v>
      </c>
      <c r="R15" s="154">
        <f>'AUTO CALCULATION SHEET (2)'!BA22</f>
        <v>537</v>
      </c>
      <c r="S15" s="154">
        <f>'AUTO CALCULATION SHEET (2)'!BB22</f>
        <v>0</v>
      </c>
      <c r="T15" s="154">
        <f>'AUTO CALCULATION SHEET (2)'!BY22</f>
        <v>14</v>
      </c>
      <c r="U15" s="155">
        <f>SUMPRODUCT($Q$11:$T$11,Q15:T15)</f>
        <v>430426</v>
      </c>
      <c r="V15" s="155">
        <f>'AUTO CALCULATION SHEET (2)'!CK22</f>
        <v>14400</v>
      </c>
      <c r="W15" s="155">
        <f>U15+V15</f>
        <v>444826</v>
      </c>
      <c r="X15" s="155">
        <f>+P15-W15</f>
        <v>14524.490500000014</v>
      </c>
      <c r="Y15" s="156">
        <f>X15/W15*100%</f>
        <v>3.2652071821341409E-2</v>
      </c>
      <c r="Z15" s="157"/>
      <c r="AA15" s="157">
        <v>0.01</v>
      </c>
      <c r="AB15" s="157">
        <v>5.0000000000000001E-3</v>
      </c>
      <c r="AC15" s="158">
        <f t="shared" ref="AC15" si="2">Y15-SUM(Z15:AB15)</f>
        <v>1.765207182134141E-2</v>
      </c>
    </row>
    <row r="16" spans="1:29" ht="15.75" customHeight="1" thickBot="1" x14ac:dyDescent="0.25">
      <c r="A16" s="160"/>
      <c r="B16" s="161"/>
      <c r="C16" s="162"/>
      <c r="D16" s="162"/>
      <c r="E16" s="163"/>
      <c r="F16" s="164"/>
      <c r="G16" s="165"/>
      <c r="H16" s="166"/>
      <c r="I16" s="167"/>
      <c r="J16" s="165"/>
      <c r="K16" s="165"/>
      <c r="L16" s="165"/>
      <c r="M16" s="168"/>
      <c r="N16" s="168"/>
      <c r="O16" s="168"/>
      <c r="P16" s="169"/>
      <c r="Q16" s="204">
        <v>1</v>
      </c>
      <c r="R16" s="205"/>
      <c r="S16" s="205"/>
      <c r="T16" s="205"/>
      <c r="U16" s="205"/>
      <c r="V16" s="205"/>
      <c r="W16" s="205"/>
      <c r="X16" s="205"/>
      <c r="Y16" s="205"/>
      <c r="Z16" s="205"/>
      <c r="AA16" s="205"/>
      <c r="AB16" s="205"/>
      <c r="AC16" s="206"/>
    </row>
  </sheetData>
  <mergeCells count="24">
    <mergeCell ref="A1:H1"/>
    <mergeCell ref="A2:H2"/>
    <mergeCell ref="B3:H3"/>
    <mergeCell ref="J8:K9"/>
    <mergeCell ref="L8:L10"/>
    <mergeCell ref="D9:D10"/>
    <mergeCell ref="E9:E10"/>
    <mergeCell ref="F9:F10"/>
    <mergeCell ref="G9:G10"/>
    <mergeCell ref="H9:H10"/>
    <mergeCell ref="I9:I10"/>
    <mergeCell ref="A4:A6"/>
    <mergeCell ref="B4:H6"/>
    <mergeCell ref="A8:A10"/>
    <mergeCell ref="B8:B10"/>
    <mergeCell ref="C8:C10"/>
    <mergeCell ref="D8:F8"/>
    <mergeCell ref="G8:I8"/>
    <mergeCell ref="Q16:AC16"/>
    <mergeCell ref="M8:M10"/>
    <mergeCell ref="N8:N10"/>
    <mergeCell ref="O8:O10"/>
    <mergeCell ref="P8:P10"/>
    <mergeCell ref="Q8:AC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2025-07-28T11:27:55Z</dcterms:modified>
</cp:coreProperties>
</file>