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ing\2023-24\12_DECEMBER 2023\WBSEDCL-P-43-CONTROL-11584\"/>
    </mc:Choice>
  </mc:AlternateContent>
  <xr:revisionPtr revIDLastSave="0" documentId="13_ncr:1_{A29ACAC5-9F75-4EE3-B3FB-497FA3B029A1}" xr6:coauthVersionLast="47" xr6:coauthVersionMax="47" xr10:uidLastSave="{00000000-0000-0000-0000-000000000000}"/>
  <bookViews>
    <workbookView xWindow="0" yWindow="6120" windowWidth="28800" windowHeight="9435" firstSheet="1" activeTab="1" xr2:uid="{00000000-000D-0000-FFFF-FFFF00000000}"/>
  </bookViews>
  <sheets>
    <sheet name="Sheet1" sheetId="1" state="hidden" r:id="rId1"/>
    <sheet name="AUTO CALCULATION SHEET (2)" sheetId="4" r:id="rId2"/>
    <sheet name="Cable" sheetId="6" r:id="rId3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6" i="6" l="1"/>
  <c r="T15" i="6"/>
  <c r="T14" i="6"/>
  <c r="T13" i="6"/>
  <c r="S16" i="6"/>
  <c r="S15" i="6"/>
  <c r="S14" i="6"/>
  <c r="S13" i="6"/>
  <c r="R16" i="6"/>
  <c r="R15" i="6"/>
  <c r="R14" i="6"/>
  <c r="R13" i="6"/>
  <c r="Q16" i="6"/>
  <c r="Q15" i="6"/>
  <c r="Q14" i="6"/>
  <c r="Q13" i="6"/>
  <c r="P15" i="6"/>
  <c r="P14" i="6"/>
  <c r="P13" i="6"/>
  <c r="P16" i="6"/>
  <c r="CG19" i="4" l="1"/>
  <c r="CG20" i="4"/>
  <c r="CG21" i="4"/>
  <c r="CG22" i="4"/>
  <c r="Z14" i="6"/>
  <c r="Z15" i="6"/>
  <c r="Z16" i="6"/>
  <c r="Z13" i="6"/>
  <c r="Z11" i="6"/>
  <c r="A14" i="6"/>
  <c r="A15" i="6"/>
  <c r="A16" i="6"/>
  <c r="A13" i="6"/>
  <c r="AF14" i="6"/>
  <c r="AF15" i="6"/>
  <c r="AF16" i="6"/>
  <c r="AF13" i="6"/>
  <c r="U14" i="6"/>
  <c r="V14" i="6"/>
  <c r="W14" i="6"/>
  <c r="X14" i="6"/>
  <c r="Y14" i="6"/>
  <c r="AA14" i="6"/>
  <c r="AB14" i="6"/>
  <c r="AC14" i="6"/>
  <c r="AD14" i="6"/>
  <c r="U15" i="6"/>
  <c r="V15" i="6"/>
  <c r="W15" i="6"/>
  <c r="X15" i="6"/>
  <c r="Y15" i="6"/>
  <c r="AA15" i="6"/>
  <c r="AB15" i="6"/>
  <c r="AC15" i="6"/>
  <c r="AD15" i="6"/>
  <c r="U16" i="6"/>
  <c r="V16" i="6"/>
  <c r="W16" i="6"/>
  <c r="X16" i="6"/>
  <c r="Y16" i="6"/>
  <c r="AA16" i="6"/>
  <c r="AB16" i="6"/>
  <c r="AC16" i="6"/>
  <c r="AD16" i="6"/>
  <c r="AD13" i="6"/>
  <c r="AC13" i="6"/>
  <c r="AB13" i="6"/>
  <c r="AA13" i="6"/>
  <c r="Y13" i="6"/>
  <c r="X13" i="6"/>
  <c r="W13" i="6"/>
  <c r="V13" i="6"/>
  <c r="U13" i="6"/>
  <c r="H16" i="6"/>
  <c r="H15" i="6"/>
  <c r="H14" i="6"/>
  <c r="H13" i="6"/>
  <c r="BY17" i="4"/>
  <c r="J26" i="4"/>
  <c r="J27" i="4"/>
  <c r="J28" i="4"/>
  <c r="J25" i="4"/>
  <c r="AE14" i="6" l="1"/>
  <c r="AG14" i="6" s="1"/>
  <c r="AE16" i="6"/>
  <c r="AG16" i="6" s="1"/>
  <c r="AE15" i="6"/>
  <c r="AG15" i="6" s="1"/>
  <c r="AE13" i="6"/>
  <c r="AG13" i="6" s="1"/>
  <c r="A20" i="4" l="1"/>
  <c r="B20" i="4"/>
  <c r="C20" i="4"/>
  <c r="D20" i="4"/>
  <c r="D26" i="4" s="1"/>
  <c r="H20" i="4"/>
  <c r="K20" i="4"/>
  <c r="E26" i="4" s="1"/>
  <c r="K26" i="4" s="1"/>
  <c r="M26" i="4" s="1"/>
  <c r="L20" i="4"/>
  <c r="N20" i="4"/>
  <c r="O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J20" i="4"/>
  <c r="AL20" i="4"/>
  <c r="AN20" i="4"/>
  <c r="AO20" i="4"/>
  <c r="AP20" i="4"/>
  <c r="AR20" i="4"/>
  <c r="AS20" i="4"/>
  <c r="AT20" i="4"/>
  <c r="AU20" i="4"/>
  <c r="AV20" i="4"/>
  <c r="AW20" i="4"/>
  <c r="AX20" i="4"/>
  <c r="AY20" i="4"/>
  <c r="AZ20" i="4"/>
  <c r="BB20" i="4"/>
  <c r="BC20" i="4"/>
  <c r="BD20" i="4"/>
  <c r="BE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Z20" i="4"/>
  <c r="CB20" i="4"/>
  <c r="A19" i="4"/>
  <c r="B19" i="4"/>
  <c r="C19" i="4"/>
  <c r="D19" i="4"/>
  <c r="D25" i="4" s="1"/>
  <c r="H19" i="4"/>
  <c r="K19" i="4"/>
  <c r="E25" i="4" s="1"/>
  <c r="K25" i="4" s="1"/>
  <c r="M25" i="4" s="1"/>
  <c r="L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N19" i="4"/>
  <c r="AO19" i="4"/>
  <c r="AP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Z19" i="4"/>
  <c r="CB19" i="4"/>
  <c r="A22" i="4"/>
  <c r="B22" i="4"/>
  <c r="C22" i="4"/>
  <c r="D22" i="4"/>
  <c r="D28" i="4" s="1"/>
  <c r="H22" i="4"/>
  <c r="K22" i="4"/>
  <c r="E28" i="4" s="1"/>
  <c r="K28" i="4" s="1"/>
  <c r="M28" i="4" s="1"/>
  <c r="L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Z22" i="4"/>
  <c r="CB22" i="4"/>
  <c r="L28" i="4" l="1"/>
  <c r="F22" i="4"/>
  <c r="L26" i="4"/>
  <c r="F20" i="4"/>
  <c r="L25" i="4"/>
  <c r="F19" i="4"/>
  <c r="B21" i="4"/>
  <c r="BX21" i="4" l="1"/>
  <c r="BW21" i="4"/>
  <c r="BX17" i="4"/>
  <c r="BW17" i="4"/>
  <c r="BV21" i="4"/>
  <c r="BV17" i="4"/>
  <c r="B17" i="4"/>
  <c r="AB21" i="4" l="1"/>
  <c r="AA21" i="4"/>
  <c r="Z21" i="4"/>
  <c r="Y21" i="4"/>
  <c r="X21" i="4"/>
  <c r="W21" i="4"/>
  <c r="V21" i="4"/>
  <c r="U21" i="4"/>
  <c r="T21" i="4"/>
  <c r="S21" i="4"/>
  <c r="BU21" i="4"/>
  <c r="BT21" i="4"/>
  <c r="BS21" i="4"/>
  <c r="BR21" i="4"/>
  <c r="BQ21" i="4"/>
  <c r="BP21" i="4"/>
  <c r="BO21" i="4"/>
  <c r="BN21" i="4"/>
  <c r="BS18" i="4"/>
  <c r="BT18" i="4"/>
  <c r="BU18" i="4"/>
  <c r="BR18" i="4"/>
  <c r="BQ18" i="4"/>
  <c r="BP18" i="4"/>
  <c r="BN18" i="4"/>
  <c r="BO18" i="4"/>
  <c r="BM18" i="4"/>
  <c r="BM21" i="4"/>
  <c r="BL21" i="4"/>
  <c r="BK21" i="4"/>
  <c r="BJ21" i="4"/>
  <c r="BI21" i="4"/>
  <c r="BH21" i="4"/>
  <c r="BG21" i="4"/>
  <c r="BF21" i="4"/>
  <c r="BE21" i="4"/>
  <c r="BD21" i="4"/>
  <c r="BC21" i="4"/>
  <c r="BL18" i="4"/>
  <c r="BK18" i="4"/>
  <c r="BJ18" i="4"/>
  <c r="BB21" i="4"/>
  <c r="BA21" i="4"/>
  <c r="AZ21" i="4"/>
  <c r="AY21" i="4"/>
  <c r="AX21" i="4"/>
  <c r="AW21" i="4"/>
  <c r="AV21" i="4"/>
  <c r="AU21" i="4"/>
  <c r="AT21" i="4"/>
  <c r="AS21" i="4"/>
  <c r="AR21" i="4"/>
  <c r="AP21" i="4"/>
  <c r="AO21" i="4"/>
  <c r="AN21" i="4"/>
  <c r="AL21" i="4"/>
  <c r="AK21" i="4"/>
  <c r="AJ21" i="4"/>
  <c r="AI21" i="4"/>
  <c r="AH21" i="4"/>
  <c r="AG21" i="4"/>
  <c r="AF21" i="4"/>
  <c r="AE21" i="4"/>
  <c r="AD21" i="4"/>
  <c r="AC21" i="4"/>
  <c r="N21" i="4" l="1"/>
  <c r="R21" i="4"/>
  <c r="Q21" i="4"/>
  <c r="P21" i="4"/>
  <c r="O21" i="4"/>
  <c r="N16" i="4"/>
  <c r="L21" i="4"/>
  <c r="K21" i="4"/>
  <c r="E27" i="4" s="1"/>
  <c r="K27" i="4" s="1"/>
  <c r="M27" i="4" s="1"/>
  <c r="H21" i="4"/>
  <c r="CB21" i="4"/>
  <c r="BZ21" i="4"/>
  <c r="D21" i="4"/>
  <c r="D27" i="4" s="1"/>
  <c r="C21" i="4"/>
  <c r="A21" i="4"/>
  <c r="L27" i="4" l="1"/>
  <c r="F21" i="4"/>
  <c r="CA22" i="4"/>
  <c r="CA19" i="4"/>
  <c r="CA20" i="4"/>
  <c r="CA21" i="4"/>
  <c r="CE20" i="4" l="1"/>
  <c r="CC20" i="4"/>
  <c r="CC19" i="4"/>
  <c r="CE19" i="4"/>
  <c r="CC22" i="4"/>
  <c r="CE22" i="4"/>
  <c r="CC21" i="4"/>
  <c r="CE21" i="4"/>
  <c r="CH20" i="4" l="1"/>
  <c r="CL20" i="4" s="1"/>
  <c r="CH22" i="4"/>
  <c r="CH19" i="4"/>
  <c r="CH21" i="4"/>
  <c r="CJ20" i="4" l="1"/>
  <c r="E20" i="4" s="1"/>
  <c r="CJ19" i="4"/>
  <c r="CL19" i="4"/>
  <c r="CJ22" i="4"/>
  <c r="CL22" i="4"/>
  <c r="CJ21" i="4"/>
  <c r="CL21" i="4"/>
  <c r="G20" i="4" l="1"/>
  <c r="I20" i="4" s="1"/>
  <c r="J20" i="4" s="1"/>
  <c r="M20" i="4" s="1"/>
  <c r="O14" i="6"/>
  <c r="AH14" i="6" s="1"/>
  <c r="AI14" i="6" s="1"/>
  <c r="AM14" i="6" s="1"/>
  <c r="E19" i="4"/>
  <c r="E22" i="4"/>
  <c r="E21" i="4"/>
  <c r="O15" i="6" s="1"/>
  <c r="AH15" i="6" s="1"/>
  <c r="AI15" i="6" s="1"/>
  <c r="AM15" i="6" s="1"/>
  <c r="G22" i="4" l="1"/>
  <c r="I22" i="4" s="1"/>
  <c r="J22" i="4" s="1"/>
  <c r="M22" i="4" s="1"/>
  <c r="O16" i="6"/>
  <c r="AH16" i="6" s="1"/>
  <c r="AI16" i="6" s="1"/>
  <c r="AM16" i="6" s="1"/>
  <c r="G19" i="4"/>
  <c r="I19" i="4" s="1"/>
  <c r="J19" i="4" s="1"/>
  <c r="M19" i="4" s="1"/>
  <c r="O13" i="6"/>
  <c r="AH13" i="6" s="1"/>
  <c r="AI13" i="6" s="1"/>
  <c r="AM13" i="6" s="1"/>
  <c r="G21" i="4"/>
  <c r="I21" i="4" s="1"/>
  <c r="J21" i="4" s="1"/>
  <c r="M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4" authorId="0" shapeId="0" xr:uid="{4ED25DCD-FEA5-4304-A2C6-89300E7FC7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<sst xmlns="http://schemas.openxmlformats.org/spreadsheetml/2006/main" count="345" uniqueCount="237">
  <si>
    <t>DOCKET NO.</t>
  </si>
  <si>
    <t>ITEM CODE</t>
  </si>
  <si>
    <t>PROPOSE ERP ITEM NAME</t>
  </si>
  <si>
    <t>Insulation Screening (Metallic)</t>
  </si>
  <si>
    <t>Weight (Insulation Screening (Metallic))</t>
  </si>
  <si>
    <t>COST(Insulation Screening (Metallic))</t>
  </si>
  <si>
    <t>Conductor</t>
  </si>
  <si>
    <t>WEIGHT(Conductor)</t>
  </si>
  <si>
    <t>COST(Conductor)</t>
  </si>
  <si>
    <t>AL ALLOY</t>
  </si>
  <si>
    <t>WEIGHT(Alu Alloy)</t>
  </si>
  <si>
    <t>COST(Alu Alloy)</t>
  </si>
  <si>
    <t>Insulation Screening (Non-Metallic)</t>
  </si>
  <si>
    <t>WEIGHT(Insulation Screening (Non-Metallic))</t>
  </si>
  <si>
    <t>COST(Insulation Screening (Non-Metallic))</t>
  </si>
  <si>
    <t>Insulation</t>
  </si>
  <si>
    <t>WEIGHT(Insulation)</t>
  </si>
  <si>
    <t>COST(Insulation)</t>
  </si>
  <si>
    <t>POLY TAPE</t>
  </si>
  <si>
    <t>WEIGHT (Poly Tape)</t>
  </si>
  <si>
    <t>COST(Poly Tape)</t>
  </si>
  <si>
    <t>Inner Sheath</t>
  </si>
  <si>
    <t>WEIGHT(Inner Sheath)</t>
  </si>
  <si>
    <t>COST(Inner Sheath)</t>
  </si>
  <si>
    <t>Armouring</t>
  </si>
  <si>
    <t>WEIGHT(Armouring)</t>
  </si>
  <si>
    <t>COST(Armouring)</t>
  </si>
  <si>
    <t>Outer Sheath</t>
  </si>
  <si>
    <t>WEIGHT(Outer Sheath)</t>
  </si>
  <si>
    <t>COST(Outer Sheath)</t>
  </si>
  <si>
    <t>FILLER</t>
  </si>
  <si>
    <t>WEIGHT(Filler)</t>
  </si>
  <si>
    <t>COST(Filler)</t>
  </si>
  <si>
    <t>GREASE</t>
  </si>
  <si>
    <t>WEIGHT(Grease)</t>
  </si>
  <si>
    <t>COST(Grease)</t>
  </si>
  <si>
    <t>Water swellable Tape</t>
  </si>
  <si>
    <t>WEIGHT(Water swellable Tape)</t>
  </si>
  <si>
    <t>COST(Water swellable Tape)</t>
  </si>
  <si>
    <t>Semi conducting Water Swellable tape</t>
  </si>
  <si>
    <t>WEIGHT(Semi conducting Water Swellable tape)</t>
  </si>
  <si>
    <t>COST(Semi conducting Water Swellable tape)</t>
  </si>
  <si>
    <t>SEMICON TAPE</t>
  </si>
  <si>
    <t>WEIGHT(SEMICON TAPE)</t>
  </si>
  <si>
    <t>COST(SEMICON TAPE)</t>
  </si>
  <si>
    <t>GLASS FIBER TAPE</t>
  </si>
  <si>
    <t>WEIGHT(GLASS FIBER TAPE)</t>
  </si>
  <si>
    <t>COST(GLASS FIBER TAPE)</t>
  </si>
  <si>
    <t>COPPER WIRE 0.8 MM</t>
  </si>
  <si>
    <t>WEIGHT(COPPER WIRE 0.8 MM)</t>
  </si>
  <si>
    <t>COST(COPPER WIRE 0.8 MM)</t>
  </si>
  <si>
    <t>RUBBERIZED COTTON TAPE</t>
  </si>
  <si>
    <t>WEIGHT(RUBBERIZED COTTON TAPE)</t>
  </si>
  <si>
    <t>COST(RUBBERIZED COTTON TAPE)</t>
  </si>
  <si>
    <t>Water Tight Compound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</si>
  <si>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</si>
  <si>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</si>
  <si>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</si>
  <si>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</si>
  <si>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</si>
  <si>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</si>
  <si>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</si>
  <si>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</si>
  <si>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</si>
  <si>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</si>
  <si>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</si>
  <si>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</si>
  <si>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</si>
  <si>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</si>
  <si>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</si>
  <si>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</si>
  <si>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</si>
  <si>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</si>
  <si>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</si>
  <si>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</si>
  <si>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</si>
  <si>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</si>
  <si>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</si>
  <si>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</si>
  <si>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</si>
  <si>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</si>
  <si>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</si>
  <si>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</si>
  <si>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</si>
  <si>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</si>
  <si>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</si>
  <si>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</si>
  <si>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</si>
  <si>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</si>
  <si>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</si>
  <si>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</si>
  <si>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</si>
  <si>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</si>
  <si>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</si>
  <si>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</si>
  <si>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</si>
  <si>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</si>
  <si>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</si>
  <si>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</si>
  <si>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</si>
  <si>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</si>
  <si>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</si>
  <si>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</si>
  <si>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</si>
  <si>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</si>
  <si>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</si>
  <si>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</si>
  <si>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</si>
  <si>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</si>
  <si>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</si>
  <si>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PE, ST-3</t>
  </si>
  <si>
    <t>XLPE</t>
  </si>
  <si>
    <t>Copper Tape - 0.050 mm</t>
  </si>
  <si>
    <t>Double Steel Tape</t>
  </si>
  <si>
    <t>PE, ST-7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</si>
  <si>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</si>
  <si>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</si>
  <si>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</si>
  <si>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</si>
  <si>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</si>
  <si>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</si>
  <si>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</si>
  <si>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</si>
  <si>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</si>
  <si>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REVERSE AUCTION</t>
  </si>
  <si>
    <t>TENDER SPECIFICATION NO ()</t>
  </si>
  <si>
    <t>TENDER DESCRIPTION  ()</t>
  </si>
  <si>
    <t>Last Date &amp; Time of Submission ()</t>
  </si>
  <si>
    <t>Price ()</t>
  </si>
  <si>
    <t>Validity  ()</t>
  </si>
  <si>
    <t>Delivery Period  ()</t>
  </si>
  <si>
    <t>Payment Terms ()</t>
  </si>
  <si>
    <t>Standard length ()</t>
  </si>
  <si>
    <t>Packing  ()</t>
  </si>
  <si>
    <t>Technical Specification</t>
  </si>
  <si>
    <t>Base Date</t>
  </si>
  <si>
    <t>PROPOSE DRUM TYPE</t>
  </si>
  <si>
    <t>DRUM CODE</t>
  </si>
  <si>
    <t>DRUM SIZE (FxbXtx Ft)</t>
  </si>
  <si>
    <t xml:space="preserve">The prices are Variable as per IEEMA formula with base date as on 01.11.2023. </t>
  </si>
  <si>
    <t xml:space="preserve">                                                                                                      1st lot                                   2nd lot                     3rd lot                        4th lot                        5th lot                  6th lot
1.1 KV Copper Control  Cable 4 Core x 2.5 sq. mm.  10 KM                                   10 KM                       10 KM                         10 KM                         10 KM                   10 KM 
1.1 KV Copper Control  Cable 8 Core x 2.5 sq. mm.                      14 KMS                                                                   13 KMS                                                      13 KMS
1.1 KV Copper Control  Cable 12 Core x 2.5 sq. mm.                    14 KMS                                                                   13 KMS                                                      13 KMS
1.1 KV PVC Insulated Cable 2 Core x 6sq. mm.                               68 KMS                                                                   66 KMS                                                      66 KMS
180days against the item no(i) and 90 days against the item no (ii), (iii) and (iv) from the next date of issuance of order </t>
  </si>
  <si>
    <t>WEST BENGAL STATE ELECTRICITY DISTRIBUTION COMPANY LIMITED</t>
  </si>
  <si>
    <t>P-43/2023-24/PC-III/CuCC_PVC</t>
  </si>
  <si>
    <t>11.12.2023 up to 14.30 Hrs.</t>
  </si>
  <si>
    <t xml:space="preserve">90% payment inclusive of Price Variation bill, along with 100% taxes and duties will be made within 45 (forty five) days from the date of submission of bill against :  
• Original receipted Challan/Invoice signed by an officer in the rank of Superintending Engineer/Asstt.  Manager/Jr. Manager(Stores) attached to the respective stores. And   
• Report for in-house testing, if done after delivery of the items at different site stores signed by the Engineers of Dist. Testing Department. 
• Balance 10% payment will be made within 45 (forty five) days of submission of bills along with SRV.  </t>
  </si>
  <si>
    <t xml:space="preserve">The Cables shall be supplied in Drum lengths of 500 Mtr. </t>
  </si>
  <si>
    <t xml:space="preserve">The Cables shall be wound on a drum ( Ref. IS : 10418-1972 and its amendments) of suitable size and packed . The ends of cable shall be sealed by means of non-hygroscopic sealing material. The Cables shall be packed in non-returnable wooden drums. The wooden drums should be bearing distinguishing number with following information duly stenciled on the outer side of one flange. </t>
  </si>
  <si>
    <t>Not Mention.</t>
  </si>
  <si>
    <t>CONTROL CABLE.</t>
  </si>
  <si>
    <t>RM RATE (Insulation Screening (Metallic))</t>
  </si>
  <si>
    <t>RM RATE(Conductor)</t>
  </si>
  <si>
    <t>RM RATE(Alu Alloy)</t>
  </si>
  <si>
    <t>RM RATE(Insulation Screening (Non-Metallic))</t>
  </si>
  <si>
    <t>RM RATE(Insulation)</t>
  </si>
  <si>
    <t>RM RATE (Poly Tape)</t>
  </si>
  <si>
    <t>RM RATE(Inner Sheath)</t>
  </si>
  <si>
    <t>RM RATE(Armouring)</t>
  </si>
  <si>
    <t>RM RATE(Outer Sheath)</t>
  </si>
  <si>
    <t>RM RATE(Filler)</t>
  </si>
  <si>
    <t>RM RATE(Grease)</t>
  </si>
  <si>
    <t>RM RATE(Water swellable Tape)</t>
  </si>
  <si>
    <t>RM RATE(Semi conducting Water Swellable tape)</t>
  </si>
  <si>
    <t>RM RATE(SEMICON TAPE)</t>
  </si>
  <si>
    <t>RM RATE(GLASS FIBER TAPE)</t>
  </si>
  <si>
    <t>RM RATE(COPPER WIRE 0.8 MM)</t>
  </si>
  <si>
    <t>RM RATE(RUBBERIZED COTTON TAPE)</t>
  </si>
  <si>
    <t>RM RATE(Water Tight Compound)</t>
  </si>
  <si>
    <t xml:space="preserve">PARTY STANDARD LENGTH (MTR) </t>
  </si>
  <si>
    <t>ENQ-11584-22-23</t>
  </si>
  <si>
    <t>FA0200003</t>
  </si>
  <si>
    <t>12 CORE X 2.5 SQ. MM. CU/ARD - WIRE (PVC)</t>
  </si>
  <si>
    <t>WOOD</t>
  </si>
  <si>
    <t>KMS</t>
  </si>
  <si>
    <t>MD0100066</t>
  </si>
  <si>
    <t>DRUM - 40 X 15 X 23 X 2</t>
  </si>
  <si>
    <t>FA0200019</t>
  </si>
  <si>
    <t>8 CORE X 2.5 SQ. MM. CU/ARD - WIRE (PVC)</t>
  </si>
  <si>
    <t>MD0100005</t>
  </si>
  <si>
    <t>DRUM - 36 X 14 X 23 X 2</t>
  </si>
  <si>
    <t>FA0200011</t>
  </si>
  <si>
    <t>4 CORE X 2.5 SQ. MM. CU/ARD - WIRE (PVC)</t>
  </si>
  <si>
    <t>FA1000002</t>
  </si>
  <si>
    <t>2 CORE X 6 SQ. MM. AL/UNARD (PVC)</t>
  </si>
  <si>
    <t>MD0100004</t>
  </si>
  <si>
    <t>DRUM - 28 X 10 X 23 X 2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</si>
  <si>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</si>
  <si>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</si>
  <si>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</si>
  <si>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</si>
  <si>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</si>
  <si>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</si>
  <si>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</si>
  <si>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</si>
  <si>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</si>
  <si>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16 MT</t>
  </si>
  <si>
    <t>CuF</t>
  </si>
  <si>
    <t>Variation Factor For Aluminium Rod</t>
  </si>
  <si>
    <t>CCFCu</t>
  </si>
  <si>
    <t xml:space="preserve"> Variation factor for PVC compound.</t>
  </si>
  <si>
    <t xml:space="preserve">For unarmoued control cables FeF = 0
</t>
  </si>
  <si>
    <t>Item</t>
  </si>
  <si>
    <t>Calculation part</t>
  </si>
  <si>
    <t>Date of Inspection</t>
  </si>
  <si>
    <t>Applicable Date</t>
  </si>
  <si>
    <t>BASE DATE</t>
  </si>
  <si>
    <t>FACTORS</t>
  </si>
  <si>
    <t>Ex-Work
Po</t>
  </si>
  <si>
    <t>PVC of PVC</t>
  </si>
  <si>
    <t>PVC of FE</t>
  </si>
  <si>
    <t>PV/PKM</t>
  </si>
  <si>
    <t>Billing Price/PKM</t>
  </si>
  <si>
    <t>VALUE ADDITION CALCULATION</t>
  </si>
  <si>
    <t>Date</t>
  </si>
  <si>
    <t>Cu/Al</t>
  </si>
  <si>
    <t>PVC</t>
  </si>
  <si>
    <t>Fe</t>
  </si>
  <si>
    <t>Cuo/Alo</t>
  </si>
  <si>
    <t>PVCo</t>
  </si>
  <si>
    <t>Feo</t>
  </si>
  <si>
    <t>CuF/AIF</t>
  </si>
  <si>
    <t>FeF</t>
  </si>
  <si>
    <t>RMC</t>
  </si>
  <si>
    <t xml:space="preserve">Drum </t>
  </si>
  <si>
    <t>RMC+Drum</t>
  </si>
  <si>
    <t>VA</t>
  </si>
  <si>
    <t>Gross VA%</t>
  </si>
  <si>
    <t>Mfg %</t>
  </si>
  <si>
    <t>Int %</t>
  </si>
  <si>
    <t>Ins%</t>
  </si>
  <si>
    <t>Net VA</t>
  </si>
  <si>
    <t>West Bengal State Electricity Distribution Company (WBSEDCL)</t>
  </si>
  <si>
    <t>Provisional</t>
  </si>
  <si>
    <t xml:space="preserve">The price is Variable as per PV Formula of IEEMA with base date 01.11.2023. </t>
  </si>
  <si>
    <t>120 days from the next date of opening of Tender.</t>
  </si>
  <si>
    <t>CONFIRMED FROM SOMBHU SIR OVERPHONE in last docket 10689</t>
  </si>
  <si>
    <t>AVG NOVEMBER 2023</t>
  </si>
  <si>
    <t>PVC of Cu/Alf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</si>
</sst>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0.0000"/>
    <numFmt numFmtId="167" formatCode="&quot;Rs.&quot;#,##0"/>
    <numFmt numFmtId="168" formatCode="0.0"/>
    <numFmt numFmtId="169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Verdana"/>
      <family val="2"/>
    </font>
    <font>
      <b/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1" fillId="0" borderId="0"/>
    <xf numFmtId="0" fontId="12" fillId="0" borderId="0"/>
    <xf numFmtId="0" fontId="12" fillId="0" borderId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1" applyFont="1" applyBorder="1" applyAlignment="1">
      <alignment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1" xfId="2" applyFont="1" applyBorder="1" applyAlignment="1">
      <alignment wrapText="1"/>
    </xf>
    <xf numFmtId="9" fontId="0" fillId="0" borderId="0" xfId="2" applyFont="1"/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wrapText="1"/>
    </xf>
    <xf numFmtId="3" fontId="0" fillId="0" borderId="1" xfId="0" applyNumberForma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1" xfId="2" applyNumberFormat="1" applyFont="1" applyBorder="1" applyAlignment="1">
      <alignment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2" fillId="5" borderId="5" xfId="0" applyFont="1" applyFill="1" applyBorder="1" applyAlignment="1">
      <alignment vertical="top" wrapText="1"/>
    </xf>
    <xf numFmtId="0" fontId="2" fillId="5" borderId="6" xfId="0" applyFont="1" applyFill="1" applyBorder="1" applyAlignment="1">
      <alignment vertical="top" wrapText="1"/>
    </xf>
    <xf numFmtId="0" fontId="9" fillId="0" borderId="0" xfId="0" applyFont="1"/>
    <xf numFmtId="10" fontId="2" fillId="0" borderId="1" xfId="2" applyNumberFormat="1" applyFont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164" fontId="8" fillId="0" borderId="0" xfId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4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43" fontId="2" fillId="0" borderId="1" xfId="7" applyFont="1" applyFill="1" applyBorder="1" applyAlignment="1">
      <alignment horizontal="center" vertical="center"/>
    </xf>
    <xf numFmtId="43" fontId="2" fillId="6" borderId="1" xfId="7" applyFont="1" applyFill="1" applyBorder="1" applyAlignment="1">
      <alignment horizontal="center" vertical="center"/>
    </xf>
    <xf numFmtId="43" fontId="0" fillId="0" borderId="1" xfId="0" applyNumberFormat="1" applyBorder="1" applyAlignment="1">
      <alignment wrapText="1"/>
    </xf>
    <xf numFmtId="0" fontId="15" fillId="0" borderId="0" xfId="4" applyFont="1"/>
    <xf numFmtId="0" fontId="16" fillId="0" borderId="0" xfId="5" applyFont="1"/>
    <xf numFmtId="0" fontId="11" fillId="0" borderId="0" xfId="4"/>
    <xf numFmtId="0" fontId="16" fillId="0" borderId="0" xfId="4" applyFont="1" applyAlignment="1">
      <alignment horizontal="center"/>
    </xf>
    <xf numFmtId="0" fontId="15" fillId="0" borderId="0" xfId="4" applyFont="1" applyAlignment="1">
      <alignment horizontal="center" vertical="center"/>
    </xf>
    <xf numFmtId="0" fontId="15" fillId="0" borderId="0" xfId="4" applyFont="1" applyAlignment="1">
      <alignment vertical="center"/>
    </xf>
    <xf numFmtId="0" fontId="11" fillId="0" borderId="0" xfId="4" applyAlignment="1">
      <alignment horizontal="center"/>
    </xf>
    <xf numFmtId="0" fontId="15" fillId="0" borderId="1" xfId="4" applyFont="1" applyBorder="1" applyAlignment="1">
      <alignment horizontal="left" vertical="center"/>
    </xf>
    <xf numFmtId="0" fontId="15" fillId="0" borderId="1" xfId="4" applyFont="1" applyBorder="1" applyAlignment="1">
      <alignment horizontal="center" vertical="center" wrapText="1"/>
    </xf>
    <xf numFmtId="166" fontId="15" fillId="0" borderId="0" xfId="4" applyNumberFormat="1" applyFont="1" applyAlignment="1">
      <alignment vertical="center"/>
    </xf>
    <xf numFmtId="14" fontId="16" fillId="0" borderId="0" xfId="4" applyNumberFormat="1" applyFont="1" applyAlignment="1">
      <alignment horizontal="center"/>
    </xf>
    <xf numFmtId="0" fontId="18" fillId="0" borderId="0" xfId="5" applyFont="1" applyAlignment="1">
      <alignment vertical="center"/>
    </xf>
    <xf numFmtId="0" fontId="15" fillId="0" borderId="2" xfId="5" applyFont="1" applyBorder="1" applyAlignment="1">
      <alignment horizontal="center" vertical="center" wrapText="1"/>
    </xf>
    <xf numFmtId="0" fontId="15" fillId="0" borderId="27" xfId="5" applyFont="1" applyBorder="1" applyAlignment="1">
      <alignment horizontal="center" vertical="center" wrapText="1"/>
    </xf>
    <xf numFmtId="0" fontId="15" fillId="0" borderId="6" xfId="5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5" applyFont="1" applyBorder="1" applyAlignment="1">
      <alignment horizontal="center" vertical="center" wrapText="1"/>
    </xf>
    <xf numFmtId="0" fontId="18" fillId="0" borderId="36" xfId="5" applyFont="1" applyBorder="1" applyAlignment="1">
      <alignment horizontal="center" vertical="center" wrapText="1"/>
    </xf>
    <xf numFmtId="0" fontId="11" fillId="0" borderId="23" xfId="4" applyBorder="1"/>
    <xf numFmtId="0" fontId="11" fillId="0" borderId="24" xfId="4" applyBorder="1"/>
    <xf numFmtId="0" fontId="16" fillId="0" borderId="25" xfId="5" applyFont="1" applyBorder="1"/>
    <xf numFmtId="0" fontId="16" fillId="0" borderId="0" xfId="5" applyFont="1" applyAlignment="1">
      <alignment horizontal="left" vertical="center" wrapText="1"/>
    </xf>
    <xf numFmtId="14" fontId="16" fillId="0" borderId="37" xfId="5" applyNumberFormat="1" applyFont="1" applyBorder="1" applyAlignment="1">
      <alignment horizontal="center" vertical="center" wrapText="1"/>
    </xf>
    <xf numFmtId="14" fontId="16" fillId="0" borderId="38" xfId="5" applyNumberFormat="1" applyFont="1" applyBorder="1" applyAlignment="1">
      <alignment horizontal="center" vertical="center" wrapText="1"/>
    </xf>
    <xf numFmtId="14" fontId="16" fillId="0" borderId="39" xfId="5" applyNumberFormat="1" applyFont="1" applyBorder="1" applyAlignment="1">
      <alignment horizontal="center" vertical="center" wrapText="1"/>
    </xf>
    <xf numFmtId="14" fontId="16" fillId="0" borderId="40" xfId="5" applyNumberFormat="1" applyFont="1" applyBorder="1" applyAlignment="1">
      <alignment horizontal="center" vertical="center" wrapText="1"/>
    </xf>
    <xf numFmtId="14" fontId="16" fillId="0" borderId="0" xfId="5" applyNumberFormat="1" applyFont="1" applyAlignment="1">
      <alignment horizontal="center" vertical="center" wrapText="1"/>
    </xf>
    <xf numFmtId="14" fontId="16" fillId="0" borderId="41" xfId="5" applyNumberFormat="1" applyFont="1" applyBorder="1" applyAlignment="1">
      <alignment horizontal="center" vertical="center" wrapText="1"/>
    </xf>
    <xf numFmtId="2" fontId="15" fillId="0" borderId="6" xfId="5" applyNumberFormat="1" applyFont="1" applyBorder="1" applyAlignment="1">
      <alignment horizontal="center" vertical="center" wrapText="1"/>
    </xf>
    <xf numFmtId="2" fontId="15" fillId="0" borderId="2" xfId="5" applyNumberFormat="1" applyFont="1" applyBorder="1" applyAlignment="1">
      <alignment horizontal="center" vertical="center" wrapText="1"/>
    </xf>
    <xf numFmtId="2" fontId="15" fillId="0" borderId="27" xfId="5" applyNumberFormat="1" applyFont="1" applyBorder="1" applyAlignment="1">
      <alignment horizontal="center" vertical="center" wrapText="1"/>
    </xf>
    <xf numFmtId="2" fontId="15" fillId="0" borderId="4" xfId="5" applyNumberFormat="1" applyFont="1" applyBorder="1" applyAlignment="1">
      <alignment horizontal="center" vertical="center" wrapText="1"/>
    </xf>
    <xf numFmtId="0" fontId="15" fillId="0" borderId="40" xfId="5" applyFont="1" applyBorder="1" applyAlignment="1">
      <alignment horizontal="center" vertical="center" wrapText="1"/>
    </xf>
    <xf numFmtId="0" fontId="15" fillId="0" borderId="0" xfId="5" applyFont="1" applyAlignment="1">
      <alignment horizontal="center" vertical="center" wrapText="1"/>
    </xf>
    <xf numFmtId="0" fontId="16" fillId="0" borderId="38" xfId="5" applyFont="1" applyBorder="1" applyAlignment="1">
      <alignment horizontal="center" vertical="center" wrapText="1"/>
    </xf>
    <xf numFmtId="0" fontId="16" fillId="0" borderId="24" xfId="5" applyFont="1" applyBorder="1" applyAlignment="1">
      <alignment horizontal="center" vertical="center" wrapText="1"/>
    </xf>
    <xf numFmtId="167" fontId="18" fillId="0" borderId="4" xfId="5" applyNumberFormat="1" applyFont="1" applyBorder="1" applyAlignment="1">
      <alignment horizontal="center" vertical="center" wrapText="1"/>
    </xf>
    <xf numFmtId="167" fontId="18" fillId="0" borderId="1" xfId="5" applyNumberFormat="1" applyFont="1" applyBorder="1" applyAlignment="1">
      <alignment horizontal="center" vertical="center"/>
    </xf>
    <xf numFmtId="1" fontId="18" fillId="0" borderId="1" xfId="5" applyNumberFormat="1" applyFont="1" applyBorder="1"/>
    <xf numFmtId="1" fontId="18" fillId="0" borderId="1" xfId="5" applyNumberFormat="1" applyFont="1" applyBorder="1" applyAlignment="1">
      <alignment horizontal="center"/>
    </xf>
    <xf numFmtId="0" fontId="12" fillId="0" borderId="27" xfId="5" applyBorder="1"/>
    <xf numFmtId="0" fontId="11" fillId="0" borderId="42" xfId="4" applyBorder="1" applyAlignment="1">
      <alignment horizontal="center" wrapText="1"/>
    </xf>
    <xf numFmtId="0" fontId="11" fillId="0" borderId="43" xfId="4" applyBorder="1" applyAlignment="1">
      <alignment wrapText="1"/>
    </xf>
    <xf numFmtId="14" fontId="16" fillId="0" borderId="28" xfId="5" applyNumberFormat="1" applyFont="1" applyBorder="1" applyAlignment="1">
      <alignment horizontal="center" vertical="center" wrapText="1"/>
    </xf>
    <xf numFmtId="2" fontId="21" fillId="0" borderId="1" xfId="6" applyNumberFormat="1" applyFont="1" applyBorder="1" applyAlignment="1">
      <alignment horizontal="center" vertical="center" wrapText="1"/>
    </xf>
    <xf numFmtId="168" fontId="16" fillId="0" borderId="1" xfId="6" applyNumberFormat="1" applyFont="1" applyBorder="1" applyAlignment="1">
      <alignment horizontal="center" vertical="center" wrapText="1"/>
    </xf>
    <xf numFmtId="14" fontId="15" fillId="8" borderId="6" xfId="6" applyNumberFormat="1" applyFont="1" applyFill="1" applyBorder="1" applyAlignment="1">
      <alignment horizontal="center" vertical="center" wrapText="1"/>
    </xf>
    <xf numFmtId="168" fontId="16" fillId="0" borderId="27" xfId="6" applyNumberFormat="1" applyFont="1" applyBorder="1" applyAlignment="1">
      <alignment horizontal="center" vertical="center" wrapText="1"/>
    </xf>
    <xf numFmtId="169" fontId="16" fillId="0" borderId="6" xfId="5" applyNumberFormat="1" applyFont="1" applyBorder="1" applyAlignment="1">
      <alignment horizontal="center" vertical="center" wrapText="1"/>
    </xf>
    <xf numFmtId="169" fontId="16" fillId="0" borderId="1" xfId="5" applyNumberFormat="1" applyFont="1" applyBorder="1" applyAlignment="1">
      <alignment horizontal="center" vertical="center" wrapText="1"/>
    </xf>
    <xf numFmtId="169" fontId="16" fillId="0" borderId="27" xfId="5" applyNumberFormat="1" applyFont="1" applyBorder="1" applyAlignment="1">
      <alignment horizontal="center" vertical="center" wrapText="1"/>
    </xf>
    <xf numFmtId="166" fontId="16" fillId="0" borderId="1" xfId="5" applyNumberFormat="1" applyFont="1" applyBorder="1" applyAlignment="1">
      <alignment vertical="center" wrapText="1"/>
    </xf>
    <xf numFmtId="2" fontId="16" fillId="0" borderId="2" xfId="5" applyNumberFormat="1" applyFont="1" applyBorder="1" applyAlignment="1">
      <alignment horizontal="center" vertical="center" wrapText="1"/>
    </xf>
    <xf numFmtId="2" fontId="16" fillId="9" borderId="43" xfId="5" applyNumberFormat="1" applyFont="1" applyFill="1" applyBorder="1" applyAlignment="1">
      <alignment horizontal="center" vertical="center" wrapText="1"/>
    </xf>
    <xf numFmtId="2" fontId="12" fillId="0" borderId="4" xfId="5" applyNumberFormat="1" applyBorder="1" applyAlignment="1">
      <alignment vertical="center"/>
    </xf>
    <xf numFmtId="2" fontId="12" fillId="0" borderId="1" xfId="5" applyNumberFormat="1" applyBorder="1" applyAlignment="1">
      <alignment vertical="center"/>
    </xf>
    <xf numFmtId="2" fontId="18" fillId="0" borderId="1" xfId="5" applyNumberFormat="1" applyFont="1" applyBorder="1" applyAlignment="1">
      <alignment vertical="center"/>
    </xf>
    <xf numFmtId="2" fontId="12" fillId="0" borderId="27" xfId="5" applyNumberFormat="1" applyBorder="1" applyAlignment="1">
      <alignment vertical="center"/>
    </xf>
    <xf numFmtId="0" fontId="11" fillId="0" borderId="0" xfId="4" applyAlignment="1">
      <alignment wrapText="1"/>
    </xf>
    <xf numFmtId="0" fontId="11" fillId="0" borderId="44" xfId="4" applyBorder="1"/>
    <xf numFmtId="0" fontId="11" fillId="0" borderId="45" xfId="4" applyBorder="1"/>
    <xf numFmtId="0" fontId="11" fillId="0" borderId="46" xfId="4" applyBorder="1"/>
    <xf numFmtId="0" fontId="11" fillId="0" borderId="47" xfId="4" applyBorder="1"/>
    <xf numFmtId="0" fontId="11" fillId="0" borderId="48" xfId="4" applyBorder="1"/>
    <xf numFmtId="0" fontId="11" fillId="0" borderId="49" xfId="4" applyBorder="1"/>
    <xf numFmtId="0" fontId="11" fillId="0" borderId="50" xfId="4" applyBorder="1"/>
    <xf numFmtId="0" fontId="11" fillId="0" borderId="51" xfId="4" applyBorder="1"/>
    <xf numFmtId="0" fontId="11" fillId="0" borderId="1" xfId="4" applyBorder="1" applyAlignment="1">
      <alignment horizontal="left" vertical="center"/>
    </xf>
    <xf numFmtId="14" fontId="3" fillId="8" borderId="4" xfId="5" applyNumberFormat="1" applyFont="1" applyFill="1" applyBorder="1" applyAlignment="1">
      <alignment horizontal="center" vertical="center" wrapText="1"/>
    </xf>
    <xf numFmtId="0" fontId="15" fillId="0" borderId="35" xfId="4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justify" vertical="top" wrapText="1"/>
    </xf>
    <xf numFmtId="0" fontId="10" fillId="0" borderId="3" xfId="0" applyFont="1" applyBorder="1" applyAlignment="1">
      <alignment horizontal="justify" vertical="top" wrapText="1"/>
    </xf>
    <xf numFmtId="0" fontId="10" fillId="0" borderId="4" xfId="0" applyFont="1" applyBorder="1" applyAlignment="1">
      <alignment horizontal="justify" vertical="top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2" fillId="0" borderId="7" xfId="4" applyFont="1" applyBorder="1" applyAlignment="1">
      <alignment horizontal="center" vertical="center" wrapText="1"/>
    </xf>
    <xf numFmtId="0" fontId="22" fillId="0" borderId="8" xfId="4" applyFont="1" applyBorder="1" applyAlignment="1">
      <alignment horizontal="center" vertical="center"/>
    </xf>
    <xf numFmtId="0" fontId="22" fillId="0" borderId="9" xfId="4" applyFont="1" applyBorder="1" applyAlignment="1">
      <alignment horizontal="center" vertical="center"/>
    </xf>
    <xf numFmtId="14" fontId="17" fillId="0" borderId="2" xfId="4" applyNumberFormat="1" applyFont="1" applyBorder="1" applyAlignment="1">
      <alignment horizontal="center" vertical="center"/>
    </xf>
    <xf numFmtId="0" fontId="17" fillId="0" borderId="3" xfId="4" applyFont="1" applyBorder="1" applyAlignment="1">
      <alignment horizontal="center" vertical="center"/>
    </xf>
    <xf numFmtId="0" fontId="17" fillId="0" borderId="4" xfId="4" applyFont="1" applyBorder="1" applyAlignment="1">
      <alignment horizontal="center" vertical="center"/>
    </xf>
    <xf numFmtId="0" fontId="15" fillId="0" borderId="2" xfId="4" applyFont="1" applyBorder="1" applyAlignment="1">
      <alignment horizontal="left" vertical="center" wrapText="1"/>
    </xf>
    <xf numFmtId="0" fontId="15" fillId="0" borderId="4" xfId="4" applyFont="1" applyBorder="1" applyAlignment="1">
      <alignment horizontal="left" vertical="center"/>
    </xf>
    <xf numFmtId="0" fontId="17" fillId="0" borderId="10" xfId="4" applyFont="1" applyBorder="1" applyAlignment="1">
      <alignment horizontal="center" vertical="center"/>
    </xf>
    <xf numFmtId="0" fontId="17" fillId="0" borderId="23" xfId="4" applyFont="1" applyBorder="1" applyAlignment="1">
      <alignment horizontal="center" vertical="center"/>
    </xf>
    <xf numFmtId="0" fontId="17" fillId="0" borderId="31" xfId="4" applyFont="1" applyBorder="1" applyAlignment="1">
      <alignment horizontal="center" vertical="center"/>
    </xf>
    <xf numFmtId="0" fontId="17" fillId="0" borderId="11" xfId="4" applyFont="1" applyBorder="1" applyAlignment="1">
      <alignment horizontal="center" vertical="center" wrapText="1"/>
    </xf>
    <xf numFmtId="0" fontId="17" fillId="0" borderId="24" xfId="4" applyFont="1" applyBorder="1" applyAlignment="1">
      <alignment horizontal="center" vertical="center" wrapText="1"/>
    </xf>
    <xf numFmtId="0" fontId="17" fillId="0" borderId="32" xfId="4" applyFont="1" applyBorder="1" applyAlignment="1">
      <alignment horizontal="center" vertical="center" wrapText="1"/>
    </xf>
    <xf numFmtId="0" fontId="15" fillId="0" borderId="12" xfId="5" applyFont="1" applyBorder="1" applyAlignment="1">
      <alignment horizontal="center" vertical="center" wrapText="1"/>
    </xf>
    <xf numFmtId="0" fontId="15" fillId="0" borderId="25" xfId="5" applyFont="1" applyBorder="1" applyAlignment="1">
      <alignment horizontal="center" vertical="center" wrapText="1"/>
    </xf>
    <xf numFmtId="0" fontId="15" fillId="0" borderId="33" xfId="5" applyFont="1" applyBorder="1" applyAlignment="1">
      <alignment horizontal="center" vertical="center" wrapText="1"/>
    </xf>
    <xf numFmtId="0" fontId="15" fillId="0" borderId="13" xfId="5" applyFont="1" applyBorder="1" applyAlignment="1">
      <alignment horizontal="center" vertical="center" wrapText="1"/>
    </xf>
    <xf numFmtId="0" fontId="15" fillId="0" borderId="14" xfId="5" applyFont="1" applyBorder="1" applyAlignment="1">
      <alignment horizontal="center" vertical="center" wrapText="1"/>
    </xf>
    <xf numFmtId="0" fontId="15" fillId="0" borderId="15" xfId="5" applyFont="1" applyBorder="1" applyAlignment="1">
      <alignment horizontal="center" vertical="center" wrapText="1"/>
    </xf>
    <xf numFmtId="0" fontId="15" fillId="0" borderId="16" xfId="5" applyFont="1" applyBorder="1" applyAlignment="1">
      <alignment horizontal="center" vertical="center" wrapText="1"/>
    </xf>
    <xf numFmtId="0" fontId="15" fillId="0" borderId="17" xfId="5" applyFont="1" applyBorder="1" applyAlignment="1">
      <alignment horizontal="center" vertical="center" wrapText="1"/>
    </xf>
    <xf numFmtId="0" fontId="15" fillId="0" borderId="18" xfId="5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/>
    </xf>
    <xf numFmtId="0" fontId="15" fillId="0" borderId="11" xfId="5" applyFont="1" applyBorder="1" applyAlignment="1">
      <alignment horizontal="center" vertical="center" wrapText="1"/>
    </xf>
    <xf numFmtId="0" fontId="15" fillId="0" borderId="24" xfId="5" applyFont="1" applyBorder="1" applyAlignment="1">
      <alignment horizontal="center" vertical="center" wrapText="1"/>
    </xf>
    <xf numFmtId="0" fontId="15" fillId="0" borderId="32" xfId="5" applyFont="1" applyBorder="1" applyAlignment="1">
      <alignment horizontal="center" vertical="center" wrapText="1"/>
    </xf>
    <xf numFmtId="0" fontId="18" fillId="0" borderId="22" xfId="5" applyFont="1" applyBorder="1" applyAlignment="1">
      <alignment horizontal="center" vertical="center"/>
    </xf>
    <xf numFmtId="0" fontId="18" fillId="0" borderId="12" xfId="5" applyFont="1" applyBorder="1" applyAlignment="1">
      <alignment horizontal="center" vertical="center"/>
    </xf>
    <xf numFmtId="0" fontId="18" fillId="0" borderId="29" xfId="5" applyFont="1" applyBorder="1" applyAlignment="1">
      <alignment horizontal="center" vertical="center"/>
    </xf>
    <xf numFmtId="0" fontId="18" fillId="0" borderId="30" xfId="5" applyFont="1" applyBorder="1" applyAlignment="1">
      <alignment horizontal="center" vertical="center"/>
    </xf>
    <xf numFmtId="0" fontId="15" fillId="0" borderId="19" xfId="5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5" fillId="0" borderId="20" xfId="5" applyFont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 wrapText="1"/>
    </xf>
    <xf numFmtId="0" fontId="15" fillId="0" borderId="21" xfId="5" applyFont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0" fontId="15" fillId="0" borderId="26" xfId="5" applyFont="1" applyBorder="1" applyAlignment="1">
      <alignment horizontal="center" vertical="center" wrapText="1"/>
    </xf>
    <xf numFmtId="0" fontId="15" fillId="0" borderId="31" xfId="5" applyFont="1" applyBorder="1" applyAlignment="1">
      <alignment horizontal="center" vertical="center" wrapText="1"/>
    </xf>
    <xf numFmtId="0" fontId="15" fillId="0" borderId="27" xfId="5" applyFont="1" applyBorder="1" applyAlignment="1">
      <alignment horizontal="center" vertical="center" wrapText="1"/>
    </xf>
    <xf numFmtId="0" fontId="15" fillId="0" borderId="5" xfId="5" applyFont="1" applyBorder="1" applyAlignment="1">
      <alignment horizontal="center" vertical="center" wrapText="1"/>
    </xf>
    <xf numFmtId="0" fontId="15" fillId="0" borderId="6" xfId="5" applyFont="1" applyBorder="1" applyAlignment="1">
      <alignment horizontal="center" vertical="center" wrapText="1"/>
    </xf>
    <xf numFmtId="0" fontId="15" fillId="0" borderId="3" xfId="5" applyFont="1" applyBorder="1" applyAlignment="1">
      <alignment horizontal="center" vertical="center" wrapText="1"/>
    </xf>
    <xf numFmtId="0" fontId="15" fillId="0" borderId="28" xfId="5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</cellXfs>
  <cellStyles count="8">
    <cellStyle name="Comma" xfId="1" builtinId="3"/>
    <cellStyle name="Comma 3" xfId="7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2 2 2" xfId="6" xr:uid="{00000000-0005-0000-0000-000005000000}"/>
    <cellStyle name="Normal 6 2" xfId="4" xr:uid="{00000000-0005-0000-0000-000006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0"/>
  <sheetViews>
    <sheetView topLeftCell="BY1" workbookViewId="0">
      <selection sqref="A1:CY5"/>
    </sheetView>
  </sheetViews>
  <sheetFormatPr defaultRowHeight="15" x14ac:dyDescent="0.25"/>
  <cols>
    <col min="1" max="2" width="16" customWidth="1"/>
    <col min="3" max="3" width="16.140625" customWidth="1"/>
    <col min="4" max="5" width="69.7109375" customWidth="1"/>
    <col min="6" max="17" width="8.85546875" customWidth="1"/>
    <col min="18" max="18" width="37.85546875" bestFit="1" customWidth="1"/>
    <col min="19" max="19" width="8.85546875" customWidth="1"/>
    <col min="20" max="20" width="47" bestFit="1" customWidth="1"/>
    <col min="21" max="78" width="8.85546875" customWidth="1"/>
    <col min="79" max="79" width="9.5703125" customWidth="1"/>
    <col min="80" max="82" width="8.85546875" customWidth="1"/>
    <col min="83" max="83" width="10.5703125" customWidth="1"/>
    <col min="84" max="84" width="8.85546875" customWidth="1"/>
    <col min="85" max="85" width="10.5703125" customWidth="1"/>
    <col min="86" max="86" width="11.5703125" customWidth="1"/>
    <col min="87" max="87" width="8.85546875" customWidth="1"/>
    <col min="88" max="88" width="11.5703125" customWidth="1"/>
    <col min="89" max="90" width="8.85546875" customWidth="1"/>
    <col min="91" max="91" width="11.5703125" style="4" bestFit="1" customWidth="1"/>
    <col min="92" max="92" width="8.85546875" customWidth="1"/>
    <col min="93" max="93" width="11.5703125" customWidth="1"/>
    <col min="94" max="94" width="8.85546875" customWidth="1"/>
    <col min="95" max="96" width="11.5703125" customWidth="1"/>
    <col min="99" max="99" width="11.5703125" bestFit="1" customWidth="1"/>
  </cols>
  <sheetData>
    <row r="1" spans="1:103" s="18" customFormat="1" x14ac:dyDescent="0.25">
      <c r="A1" t="s">
        <v>0</v>
      </c>
      <c r="B1" t="s">
        <v>135</v>
      </c>
      <c r="C1" t="s">
        <v>1</v>
      </c>
      <c r="D1" t="s">
        <v>2</v>
      </c>
      <c r="E1" t="s">
        <v>136</v>
      </c>
      <c r="F1" t="s">
        <v>3</v>
      </c>
      <c r="G1" t="s">
        <v>149</v>
      </c>
      <c r="H1" t="s">
        <v>4</v>
      </c>
      <c r="I1" t="s">
        <v>5</v>
      </c>
      <c r="J1" t="s">
        <v>6</v>
      </c>
      <c r="K1" t="s">
        <v>150</v>
      </c>
      <c r="L1" t="s">
        <v>7</v>
      </c>
      <c r="M1" t="s">
        <v>8</v>
      </c>
      <c r="N1" t="s">
        <v>9</v>
      </c>
      <c r="O1" t="s">
        <v>151</v>
      </c>
      <c r="P1" t="s">
        <v>10</v>
      </c>
      <c r="Q1" t="s">
        <v>11</v>
      </c>
      <c r="R1" t="s">
        <v>12</v>
      </c>
      <c r="S1" t="s">
        <v>152</v>
      </c>
      <c r="T1" t="s">
        <v>13</v>
      </c>
      <c r="U1" t="s">
        <v>14</v>
      </c>
      <c r="V1" t="s">
        <v>15</v>
      </c>
      <c r="W1" t="s">
        <v>153</v>
      </c>
      <c r="X1" t="s">
        <v>16</v>
      </c>
      <c r="Y1" t="s">
        <v>17</v>
      </c>
      <c r="Z1" t="s">
        <v>18</v>
      </c>
      <c r="AA1" t="s">
        <v>154</v>
      </c>
      <c r="AB1" t="s">
        <v>19</v>
      </c>
      <c r="AC1" t="s">
        <v>20</v>
      </c>
      <c r="AD1" t="s">
        <v>21</v>
      </c>
      <c r="AE1" t="s">
        <v>155</v>
      </c>
      <c r="AF1" t="s">
        <v>22</v>
      </c>
      <c r="AG1" t="s">
        <v>23</v>
      </c>
      <c r="AH1" t="s">
        <v>24</v>
      </c>
      <c r="AI1" t="s">
        <v>156</v>
      </c>
      <c r="AJ1" t="s">
        <v>25</v>
      </c>
      <c r="AK1" t="s">
        <v>26</v>
      </c>
      <c r="AL1" t="s">
        <v>27</v>
      </c>
      <c r="AM1" t="s">
        <v>157</v>
      </c>
      <c r="AN1" t="s">
        <v>28</v>
      </c>
      <c r="AO1" t="s">
        <v>29</v>
      </c>
      <c r="AP1" t="s">
        <v>30</v>
      </c>
      <c r="AQ1" t="s">
        <v>158</v>
      </c>
      <c r="AR1" t="s">
        <v>31</v>
      </c>
      <c r="AS1" t="s">
        <v>32</v>
      </c>
      <c r="AT1" t="s">
        <v>33</v>
      </c>
      <c r="AU1" t="s">
        <v>159</v>
      </c>
      <c r="AV1" t="s">
        <v>34</v>
      </c>
      <c r="AW1" t="s">
        <v>35</v>
      </c>
      <c r="AX1" t="s">
        <v>36</v>
      </c>
      <c r="AY1" t="s">
        <v>160</v>
      </c>
      <c r="AZ1" t="s">
        <v>37</v>
      </c>
      <c r="BA1" t="s">
        <v>38</v>
      </c>
      <c r="BB1" t="s">
        <v>39</v>
      </c>
      <c r="BC1" t="s">
        <v>161</v>
      </c>
      <c r="BD1" t="s">
        <v>40</v>
      </c>
      <c r="BE1" t="s">
        <v>41</v>
      </c>
      <c r="BF1" t="s">
        <v>42</v>
      </c>
      <c r="BG1" t="s">
        <v>162</v>
      </c>
      <c r="BH1" t="s">
        <v>43</v>
      </c>
      <c r="BI1" t="s">
        <v>44</v>
      </c>
      <c r="BJ1" t="s">
        <v>45</v>
      </c>
      <c r="BK1" t="s">
        <v>163</v>
      </c>
      <c r="BL1" t="s">
        <v>46</v>
      </c>
      <c r="BM1" t="s">
        <v>47</v>
      </c>
      <c r="BN1" t="s">
        <v>48</v>
      </c>
      <c r="BO1" t="s">
        <v>164</v>
      </c>
      <c r="BP1" t="s">
        <v>49</v>
      </c>
      <c r="BQ1" t="s">
        <v>50</v>
      </c>
      <c r="BR1" t="s">
        <v>51</v>
      </c>
      <c r="BS1" t="s">
        <v>165</v>
      </c>
      <c r="BT1" t="s">
        <v>52</v>
      </c>
      <c r="BU1" t="s">
        <v>53</v>
      </c>
      <c r="BV1" t="s">
        <v>54</v>
      </c>
      <c r="BW1" t="s">
        <v>166</v>
      </c>
      <c r="BX1" t="s">
        <v>55</v>
      </c>
      <c r="BY1" t="s">
        <v>56</v>
      </c>
      <c r="BZ1" t="s">
        <v>57</v>
      </c>
      <c r="CA1" t="s">
        <v>58</v>
      </c>
      <c r="CB1" t="s">
        <v>59</v>
      </c>
      <c r="CC1" t="s">
        <v>60</v>
      </c>
      <c r="CD1" t="s">
        <v>61</v>
      </c>
      <c r="CE1" t="s">
        <v>62</v>
      </c>
      <c r="CF1" t="s">
        <v>63</v>
      </c>
      <c r="CG1" t="s">
        <v>64</v>
      </c>
      <c r="CH1" t="s">
        <v>65</v>
      </c>
      <c r="CI1" t="s">
        <v>66</v>
      </c>
      <c r="CJ1" t="s">
        <v>67</v>
      </c>
      <c r="CK1" t="s">
        <v>68</v>
      </c>
      <c r="CL1" t="s">
        <v>69</v>
      </c>
      <c r="CM1" t="s">
        <v>70</v>
      </c>
      <c r="CN1" t="s">
        <v>71</v>
      </c>
      <c r="CO1" t="s">
        <v>72</v>
      </c>
      <c r="CP1" t="s">
        <v>73</v>
      </c>
      <c r="CQ1" t="s">
        <v>74</v>
      </c>
      <c r="CR1" t="s">
        <v>75</v>
      </c>
      <c r="CS1" t="s">
        <v>76</v>
      </c>
      <c r="CT1" t="s">
        <v>77</v>
      </c>
      <c r="CU1" t="s">
        <v>78</v>
      </c>
      <c r="CV1" t="s">
        <v>137</v>
      </c>
      <c r="CW1" t="s">
        <v>138</v>
      </c>
      <c r="CX1" t="s">
        <v>167</v>
      </c>
      <c r="CY1"/>
    </row>
    <row r="2" spans="1:103" x14ac:dyDescent="0.25">
      <c r="A2" t="s">
        <v>168</v>
      </c>
      <c r="B2" s="53">
        <v>45231</v>
      </c>
      <c r="C2" t="s">
        <v>169</v>
      </c>
      <c r="D2" t="s">
        <v>170</v>
      </c>
      <c r="E2" t="s">
        <v>171</v>
      </c>
      <c r="J2" t="s">
        <v>82</v>
      </c>
      <c r="K2">
        <v>723.5</v>
      </c>
      <c r="L2">
        <v>266.39999999999998</v>
      </c>
      <c r="M2">
        <v>192740.4</v>
      </c>
      <c r="P2">
        <v>0</v>
      </c>
      <c r="T2">
        <v>0</v>
      </c>
      <c r="V2" t="s">
        <v>107</v>
      </c>
      <c r="W2">
        <v>101.8</v>
      </c>
      <c r="X2">
        <v>156</v>
      </c>
      <c r="Y2">
        <v>15880.8</v>
      </c>
      <c r="Z2" t="s">
        <v>18</v>
      </c>
      <c r="AA2">
        <v>123</v>
      </c>
      <c r="AB2">
        <v>6</v>
      </c>
      <c r="AC2">
        <v>738</v>
      </c>
      <c r="AD2" t="s">
        <v>87</v>
      </c>
      <c r="AE2">
        <v>60.8</v>
      </c>
      <c r="AF2">
        <v>40</v>
      </c>
      <c r="AG2">
        <v>2432</v>
      </c>
      <c r="AH2" t="s">
        <v>120</v>
      </c>
      <c r="AI2">
        <v>88.78</v>
      </c>
      <c r="AJ2">
        <v>508</v>
      </c>
      <c r="AK2">
        <v>45100.24</v>
      </c>
      <c r="AL2" t="s">
        <v>100</v>
      </c>
      <c r="AM2">
        <v>92</v>
      </c>
      <c r="AN2">
        <v>170</v>
      </c>
      <c r="AO2">
        <v>15640</v>
      </c>
      <c r="AR2">
        <v>0</v>
      </c>
      <c r="AV2">
        <v>0</v>
      </c>
      <c r="AZ2">
        <v>0</v>
      </c>
      <c r="BD2">
        <v>0</v>
      </c>
      <c r="BH2">
        <v>0</v>
      </c>
      <c r="BL2">
        <v>28</v>
      </c>
      <c r="BP2">
        <v>0</v>
      </c>
      <c r="BT2">
        <v>0</v>
      </c>
      <c r="BX2">
        <v>0</v>
      </c>
      <c r="BZ2">
        <v>5151.4799999999996</v>
      </c>
      <c r="CA2">
        <v>277682.92</v>
      </c>
      <c r="CH2">
        <v>277682.92</v>
      </c>
      <c r="CM2">
        <v>277682.92</v>
      </c>
      <c r="CO2">
        <v>277682.92</v>
      </c>
      <c r="CP2" s="54">
        <v>0.18</v>
      </c>
      <c r="CQ2">
        <v>49982.93</v>
      </c>
      <c r="CR2">
        <v>327665.84999999998</v>
      </c>
      <c r="CS2">
        <v>40</v>
      </c>
      <c r="CT2" t="s">
        <v>172</v>
      </c>
      <c r="CU2" s="55">
        <v>13106634</v>
      </c>
      <c r="CV2" t="s">
        <v>173</v>
      </c>
      <c r="CW2" t="s">
        <v>174</v>
      </c>
    </row>
    <row r="3" spans="1:103" x14ac:dyDescent="0.25">
      <c r="A3" t="s">
        <v>168</v>
      </c>
      <c r="B3" s="53">
        <v>45231</v>
      </c>
      <c r="C3" t="s">
        <v>175</v>
      </c>
      <c r="D3" t="s">
        <v>176</v>
      </c>
      <c r="E3" t="s">
        <v>171</v>
      </c>
      <c r="J3" t="s">
        <v>82</v>
      </c>
      <c r="K3">
        <v>723.5</v>
      </c>
      <c r="L3">
        <v>177.6</v>
      </c>
      <c r="M3">
        <v>128493.6</v>
      </c>
      <c r="P3">
        <v>0</v>
      </c>
      <c r="T3">
        <v>0</v>
      </c>
      <c r="V3" t="s">
        <v>107</v>
      </c>
      <c r="W3">
        <v>101.8</v>
      </c>
      <c r="X3">
        <v>104</v>
      </c>
      <c r="Y3">
        <v>10587.2</v>
      </c>
      <c r="Z3" t="s">
        <v>18</v>
      </c>
      <c r="AA3">
        <v>123</v>
      </c>
      <c r="AB3">
        <v>4</v>
      </c>
      <c r="AC3">
        <v>492</v>
      </c>
      <c r="AD3" t="s">
        <v>87</v>
      </c>
      <c r="AE3">
        <v>60.8</v>
      </c>
      <c r="AF3">
        <v>31</v>
      </c>
      <c r="AG3">
        <v>1884.8</v>
      </c>
      <c r="AH3" t="s">
        <v>120</v>
      </c>
      <c r="AI3">
        <v>88.78</v>
      </c>
      <c r="AJ3">
        <v>365</v>
      </c>
      <c r="AK3">
        <v>32404.7</v>
      </c>
      <c r="AL3" t="s">
        <v>100</v>
      </c>
      <c r="AM3">
        <v>92</v>
      </c>
      <c r="AN3">
        <v>135</v>
      </c>
      <c r="AO3">
        <v>12420</v>
      </c>
      <c r="AR3">
        <v>0</v>
      </c>
      <c r="AV3">
        <v>0</v>
      </c>
      <c r="AZ3">
        <v>0</v>
      </c>
      <c r="BD3">
        <v>0</v>
      </c>
      <c r="BH3">
        <v>0</v>
      </c>
      <c r="BL3">
        <v>0</v>
      </c>
      <c r="BP3">
        <v>0</v>
      </c>
      <c r="BT3">
        <v>0</v>
      </c>
      <c r="BX3">
        <v>0</v>
      </c>
      <c r="BZ3">
        <v>4610.79</v>
      </c>
      <c r="CA3">
        <v>190893.09</v>
      </c>
      <c r="CH3">
        <v>190893.09</v>
      </c>
      <c r="CM3">
        <v>190893.09</v>
      </c>
      <c r="CO3">
        <v>190893.09</v>
      </c>
      <c r="CP3" s="54">
        <v>0.18</v>
      </c>
      <c r="CQ3">
        <v>34360.76</v>
      </c>
      <c r="CR3">
        <v>225253.85</v>
      </c>
      <c r="CS3">
        <v>40</v>
      </c>
      <c r="CT3" t="s">
        <v>172</v>
      </c>
      <c r="CU3" s="55">
        <v>9010154</v>
      </c>
      <c r="CV3" t="s">
        <v>177</v>
      </c>
      <c r="CW3" t="s">
        <v>178</v>
      </c>
    </row>
    <row r="4" spans="1:103" x14ac:dyDescent="0.25">
      <c r="A4" t="s">
        <v>168</v>
      </c>
      <c r="B4" s="53">
        <v>45231</v>
      </c>
      <c r="C4" t="s">
        <v>179</v>
      </c>
      <c r="D4" t="s">
        <v>180</v>
      </c>
      <c r="E4" t="s">
        <v>171</v>
      </c>
      <c r="J4" t="s">
        <v>82</v>
      </c>
      <c r="K4">
        <v>723.5</v>
      </c>
      <c r="L4">
        <v>88.8</v>
      </c>
      <c r="M4">
        <v>64246.8</v>
      </c>
      <c r="P4">
        <v>0</v>
      </c>
      <c r="T4">
        <v>0</v>
      </c>
      <c r="V4" t="s">
        <v>107</v>
      </c>
      <c r="W4">
        <v>101.8</v>
      </c>
      <c r="X4">
        <v>52</v>
      </c>
      <c r="Y4">
        <v>5293.6</v>
      </c>
      <c r="Z4" t="s">
        <v>18</v>
      </c>
      <c r="AA4">
        <v>123</v>
      </c>
      <c r="AB4">
        <v>3</v>
      </c>
      <c r="AC4">
        <v>369</v>
      </c>
      <c r="AD4" t="s">
        <v>87</v>
      </c>
      <c r="AE4">
        <v>60.8</v>
      </c>
      <c r="AF4">
        <v>27</v>
      </c>
      <c r="AG4">
        <v>1641.6</v>
      </c>
      <c r="AH4" t="s">
        <v>120</v>
      </c>
      <c r="AI4">
        <v>88.78</v>
      </c>
      <c r="AJ4">
        <v>289</v>
      </c>
      <c r="AK4">
        <v>25657.42</v>
      </c>
      <c r="AL4" t="s">
        <v>100</v>
      </c>
      <c r="AM4">
        <v>92</v>
      </c>
      <c r="AN4">
        <v>104</v>
      </c>
      <c r="AO4">
        <v>9568</v>
      </c>
      <c r="AR4">
        <v>0</v>
      </c>
      <c r="AV4">
        <v>0</v>
      </c>
      <c r="AZ4">
        <v>0</v>
      </c>
      <c r="BD4">
        <v>0</v>
      </c>
      <c r="BH4">
        <v>0</v>
      </c>
      <c r="BL4">
        <v>19</v>
      </c>
      <c r="BP4">
        <v>0</v>
      </c>
      <c r="BT4">
        <v>0</v>
      </c>
      <c r="BX4">
        <v>0</v>
      </c>
      <c r="BZ4">
        <v>4610.79</v>
      </c>
      <c r="CA4">
        <v>111387.21</v>
      </c>
      <c r="CH4">
        <v>111387.21</v>
      </c>
      <c r="CM4">
        <v>111387.21</v>
      </c>
      <c r="CO4">
        <v>111387.21</v>
      </c>
      <c r="CP4" s="54">
        <v>0.18</v>
      </c>
      <c r="CQ4">
        <v>20049.7</v>
      </c>
      <c r="CR4">
        <v>131436.91</v>
      </c>
      <c r="CS4">
        <v>60</v>
      </c>
      <c r="CT4" t="s">
        <v>172</v>
      </c>
      <c r="CU4" s="55">
        <v>7886214</v>
      </c>
      <c r="CV4" t="s">
        <v>177</v>
      </c>
      <c r="CW4" t="s">
        <v>178</v>
      </c>
    </row>
    <row r="5" spans="1:103" x14ac:dyDescent="0.25">
      <c r="A5" t="s">
        <v>168</v>
      </c>
      <c r="B5" s="53">
        <v>45231</v>
      </c>
      <c r="C5" t="s">
        <v>181</v>
      </c>
      <c r="D5" t="s">
        <v>182</v>
      </c>
      <c r="E5" t="s">
        <v>171</v>
      </c>
      <c r="J5" t="s">
        <v>80</v>
      </c>
      <c r="K5">
        <v>220</v>
      </c>
      <c r="L5">
        <v>32.4</v>
      </c>
      <c r="M5">
        <v>7128</v>
      </c>
      <c r="P5">
        <v>0</v>
      </c>
      <c r="T5">
        <v>0</v>
      </c>
      <c r="V5" t="s">
        <v>103</v>
      </c>
      <c r="W5">
        <v>71.8</v>
      </c>
      <c r="X5">
        <v>40</v>
      </c>
      <c r="Y5">
        <v>2872</v>
      </c>
      <c r="AB5">
        <v>0</v>
      </c>
      <c r="AD5" t="s">
        <v>105</v>
      </c>
      <c r="AE5">
        <v>58.8</v>
      </c>
      <c r="AF5">
        <v>68</v>
      </c>
      <c r="AG5">
        <v>3998.4</v>
      </c>
      <c r="AJ5">
        <v>0</v>
      </c>
      <c r="AL5" t="s">
        <v>105</v>
      </c>
      <c r="AM5">
        <v>58.8</v>
      </c>
      <c r="AN5">
        <v>109</v>
      </c>
      <c r="AO5">
        <v>6409.2</v>
      </c>
      <c r="AR5">
        <v>0</v>
      </c>
      <c r="AV5">
        <v>0</v>
      </c>
      <c r="AZ5">
        <v>0</v>
      </c>
      <c r="BD5">
        <v>0</v>
      </c>
      <c r="BH5">
        <v>0</v>
      </c>
      <c r="BL5">
        <v>0</v>
      </c>
      <c r="BP5">
        <v>0</v>
      </c>
      <c r="BT5">
        <v>0</v>
      </c>
      <c r="BX5">
        <v>0</v>
      </c>
      <c r="BZ5">
        <v>3751.68</v>
      </c>
      <c r="CA5">
        <v>24159.279999999999</v>
      </c>
      <c r="CH5">
        <v>24159.279999999999</v>
      </c>
      <c r="CM5">
        <v>24159.279999999999</v>
      </c>
      <c r="CO5">
        <v>24159.279999999999</v>
      </c>
      <c r="CP5" s="54">
        <v>0.18</v>
      </c>
      <c r="CQ5">
        <v>4348.67</v>
      </c>
      <c r="CR5">
        <v>28507.95</v>
      </c>
      <c r="CS5">
        <v>200</v>
      </c>
      <c r="CT5" t="s">
        <v>172</v>
      </c>
      <c r="CU5" s="55">
        <v>5701590</v>
      </c>
      <c r="CV5" t="s">
        <v>183</v>
      </c>
      <c r="CW5" t="s">
        <v>184</v>
      </c>
    </row>
    <row r="6" spans="1:103" x14ac:dyDescent="0.25">
      <c r="A6" s="2"/>
      <c r="B6" s="2"/>
      <c r="C6" s="2"/>
      <c r="D6" s="2"/>
      <c r="E6" s="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4"/>
      <c r="AI6" s="10"/>
      <c r="AJ6" s="10"/>
      <c r="AK6" s="10"/>
      <c r="AL6" s="24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1"/>
      <c r="CC6" s="10"/>
      <c r="CD6" s="11"/>
      <c r="CE6" s="10"/>
      <c r="CF6" s="11"/>
      <c r="CG6" s="10"/>
      <c r="CH6" s="10"/>
      <c r="CI6" s="11"/>
      <c r="CJ6" s="10"/>
      <c r="CK6" s="11"/>
      <c r="CL6" s="10"/>
      <c r="CM6" s="10"/>
      <c r="CN6" s="10"/>
      <c r="CO6" s="10"/>
      <c r="CP6" s="11"/>
      <c r="CQ6" s="10"/>
      <c r="CR6" s="10"/>
      <c r="CS6" s="10"/>
      <c r="CT6" s="10"/>
      <c r="CU6" s="12"/>
    </row>
    <row r="7" spans="1:103" x14ac:dyDescent="0.25">
      <c r="A7" s="2"/>
      <c r="B7" s="2"/>
      <c r="C7" s="2"/>
      <c r="D7" s="2"/>
      <c r="E7" s="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4"/>
      <c r="AI7" s="10"/>
      <c r="AJ7" s="10"/>
      <c r="AK7" s="10"/>
      <c r="AL7" s="24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1"/>
      <c r="CC7" s="10"/>
      <c r="CD7" s="11"/>
      <c r="CE7" s="10"/>
      <c r="CF7" s="11"/>
      <c r="CG7" s="10"/>
      <c r="CH7" s="10"/>
      <c r="CI7" s="11"/>
      <c r="CJ7" s="10"/>
      <c r="CK7" s="11"/>
      <c r="CL7" s="10"/>
      <c r="CM7" s="10"/>
      <c r="CN7" s="10"/>
      <c r="CO7" s="10"/>
      <c r="CP7" s="11"/>
      <c r="CQ7" s="10"/>
      <c r="CR7" s="10"/>
      <c r="CS7" s="10"/>
      <c r="CT7" s="10"/>
      <c r="CU7" s="12"/>
    </row>
    <row r="8" spans="1:103" x14ac:dyDescent="0.25">
      <c r="A8" s="2"/>
      <c r="B8" s="2"/>
      <c r="C8" s="2"/>
      <c r="D8" s="2"/>
      <c r="E8" s="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4"/>
      <c r="AI8" s="10"/>
      <c r="AJ8" s="10"/>
      <c r="AK8" s="10"/>
      <c r="AL8" s="24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1"/>
      <c r="CC8" s="10"/>
      <c r="CD8" s="11"/>
      <c r="CE8" s="10"/>
      <c r="CF8" s="11"/>
      <c r="CG8" s="10"/>
      <c r="CH8" s="10"/>
      <c r="CI8" s="11"/>
      <c r="CJ8" s="10"/>
      <c r="CK8" s="11"/>
      <c r="CL8" s="10"/>
      <c r="CM8" s="10"/>
      <c r="CN8" s="10"/>
      <c r="CO8" s="10"/>
      <c r="CP8" s="11"/>
      <c r="CQ8" s="10"/>
      <c r="CR8" s="10"/>
      <c r="CS8" s="10"/>
      <c r="CT8" s="10"/>
      <c r="CU8" s="12"/>
    </row>
    <row r="9" spans="1:103" x14ac:dyDescent="0.25">
      <c r="A9" s="2"/>
      <c r="B9" s="2"/>
      <c r="C9" s="2"/>
      <c r="D9" s="2"/>
      <c r="E9" s="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4"/>
      <c r="AI9" s="10"/>
      <c r="AJ9" s="10"/>
      <c r="AK9" s="10"/>
      <c r="AL9" s="24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1"/>
      <c r="CC9" s="10"/>
      <c r="CD9" s="11"/>
      <c r="CE9" s="10"/>
      <c r="CF9" s="11"/>
      <c r="CG9" s="10"/>
      <c r="CH9" s="10"/>
      <c r="CI9" s="11"/>
      <c r="CJ9" s="10"/>
      <c r="CK9" s="11"/>
      <c r="CL9" s="10"/>
      <c r="CM9" s="10"/>
      <c r="CN9" s="10"/>
      <c r="CO9" s="10"/>
      <c r="CP9" s="11"/>
      <c r="CQ9" s="10"/>
      <c r="CR9" s="10"/>
      <c r="CS9" s="10"/>
      <c r="CT9" s="10"/>
      <c r="CU9" s="12"/>
    </row>
    <row r="10" spans="1:103" x14ac:dyDescent="0.25">
      <c r="A10" s="2"/>
      <c r="B10" s="2"/>
      <c r="C10" s="2"/>
      <c r="D10" s="2"/>
      <c r="E10" s="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4"/>
      <c r="AI10" s="10"/>
      <c r="AJ10" s="10"/>
      <c r="AK10" s="10"/>
      <c r="AL10" s="24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1"/>
      <c r="CC10" s="10"/>
      <c r="CD10" s="11"/>
      <c r="CE10" s="10"/>
      <c r="CF10" s="11"/>
      <c r="CG10" s="10"/>
      <c r="CH10" s="10"/>
      <c r="CI10" s="11"/>
      <c r="CJ10" s="10"/>
      <c r="CK10" s="11"/>
      <c r="CL10" s="10"/>
      <c r="CM10" s="10"/>
      <c r="CN10" s="10"/>
      <c r="CO10" s="10"/>
      <c r="CP10" s="11"/>
      <c r="CQ10" s="10"/>
      <c r="CR10" s="10"/>
      <c r="CS10" s="10"/>
      <c r="CT10" s="10"/>
      <c r="CU10" s="12"/>
    </row>
    <row r="11" spans="1:10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"/>
      <c r="AQ11" s="10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6"/>
      <c r="CC11" s="1"/>
      <c r="CD11" s="16"/>
      <c r="CE11" s="1"/>
      <c r="CF11" s="16"/>
      <c r="CG11" s="1"/>
      <c r="CH11" s="1"/>
      <c r="CI11" s="16"/>
      <c r="CJ11" s="1"/>
      <c r="CK11" s="16"/>
      <c r="CL11" s="1"/>
      <c r="CM11" s="3"/>
      <c r="CN11" s="1"/>
      <c r="CO11" s="1"/>
      <c r="CP11" s="16"/>
      <c r="CQ11" s="1"/>
      <c r="CR11" s="1"/>
      <c r="CS11" s="1"/>
      <c r="CT11" s="1"/>
      <c r="CU11" s="17"/>
    </row>
    <row r="12" spans="1:10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0"/>
      <c r="AE12" s="10"/>
      <c r="AF12" s="10"/>
      <c r="AG12" s="10"/>
      <c r="AH12" s="1"/>
      <c r="AI12" s="1"/>
      <c r="AJ12" s="1"/>
      <c r="AK12" s="1"/>
      <c r="AL12" s="1"/>
      <c r="AM12" s="1"/>
      <c r="AN12" s="1"/>
      <c r="AO12" s="1"/>
      <c r="AP12" s="10"/>
      <c r="AQ12" s="10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6"/>
      <c r="CC12" s="1"/>
      <c r="CD12" s="16"/>
      <c r="CE12" s="1"/>
      <c r="CF12" s="16"/>
      <c r="CG12" s="1"/>
      <c r="CH12" s="1"/>
      <c r="CI12" s="16"/>
      <c r="CJ12" s="1"/>
      <c r="CK12" s="16"/>
      <c r="CL12" s="1"/>
      <c r="CM12" s="3"/>
      <c r="CN12" s="1"/>
      <c r="CO12" s="1"/>
      <c r="CP12" s="16"/>
      <c r="CQ12" s="1"/>
      <c r="CR12" s="1"/>
      <c r="CS12" s="1"/>
      <c r="CT12" s="1"/>
      <c r="CU12" s="17"/>
    </row>
    <row r="13" spans="1:10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0"/>
      <c r="AE13" s="10"/>
      <c r="AF13" s="10"/>
      <c r="AG13" s="10"/>
      <c r="AH13" s="1"/>
      <c r="AI13" s="1"/>
      <c r="AJ13" s="1"/>
      <c r="AK13" s="1"/>
      <c r="AL13" s="1"/>
      <c r="AM13" s="1"/>
      <c r="AN13" s="1"/>
      <c r="AO13" s="1"/>
      <c r="AP13" s="10"/>
      <c r="AQ13" s="10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6"/>
      <c r="CC13" s="1"/>
      <c r="CD13" s="16"/>
      <c r="CE13" s="1"/>
      <c r="CF13" s="16"/>
      <c r="CG13" s="1"/>
      <c r="CH13" s="1"/>
      <c r="CI13" s="16"/>
      <c r="CJ13" s="1"/>
      <c r="CK13" s="16"/>
      <c r="CL13" s="1"/>
      <c r="CM13" s="3"/>
      <c r="CN13" s="1"/>
      <c r="CO13" s="1"/>
      <c r="CP13" s="16"/>
      <c r="CQ13" s="1"/>
      <c r="CR13" s="1"/>
      <c r="CS13" s="1"/>
      <c r="CT13" s="1"/>
      <c r="CU13" s="17"/>
    </row>
    <row r="14" spans="1:10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4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"/>
      <c r="AQ14" s="10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6"/>
      <c r="CC14" s="1"/>
      <c r="CD14" s="16"/>
      <c r="CE14" s="1"/>
      <c r="CF14" s="16"/>
      <c r="CG14" s="1"/>
      <c r="CH14" s="1"/>
      <c r="CI14" s="16"/>
      <c r="CJ14" s="1"/>
      <c r="CK14" s="16"/>
      <c r="CL14" s="1"/>
      <c r="CM14" s="3"/>
      <c r="CN14" s="1"/>
      <c r="CO14" s="1"/>
      <c r="CP14" s="16"/>
      <c r="CQ14" s="1"/>
      <c r="CR14" s="1"/>
      <c r="CS14" s="1"/>
      <c r="CT14" s="1"/>
      <c r="CU14" s="17"/>
    </row>
    <row r="15" spans="1:10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"/>
      <c r="AQ15" s="10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6"/>
      <c r="CC15" s="1"/>
      <c r="CD15" s="16"/>
      <c r="CE15" s="1"/>
      <c r="CF15" s="16"/>
      <c r="CG15" s="1"/>
      <c r="CH15" s="1"/>
      <c r="CI15" s="16"/>
      <c r="CJ15" s="1"/>
      <c r="CK15" s="16"/>
      <c r="CL15" s="1"/>
      <c r="CM15" s="3"/>
      <c r="CN15" s="1"/>
      <c r="CO15" s="1"/>
      <c r="CP15" s="16"/>
      <c r="CQ15" s="1"/>
      <c r="CR15" s="1"/>
      <c r="CS15" s="1"/>
      <c r="CT15" s="1"/>
      <c r="CU15" s="17"/>
    </row>
    <row r="16" spans="1:10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0"/>
      <c r="AQ16" s="10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6"/>
      <c r="CC16" s="1"/>
      <c r="CD16" s="16"/>
      <c r="CE16" s="1"/>
      <c r="CF16" s="16"/>
      <c r="CG16" s="1"/>
      <c r="CH16" s="1"/>
      <c r="CI16" s="16"/>
      <c r="CJ16" s="1"/>
      <c r="CK16" s="16"/>
      <c r="CL16" s="1"/>
      <c r="CM16" s="3"/>
      <c r="CN16" s="1"/>
      <c r="CO16" s="1"/>
      <c r="CP16" s="16"/>
      <c r="CQ16" s="1"/>
      <c r="CR16" s="1"/>
      <c r="CS16" s="1"/>
      <c r="CT16" s="1"/>
      <c r="CU16" s="17"/>
    </row>
    <row r="17" spans="1:9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"/>
      <c r="AQ17" s="10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6"/>
      <c r="CC17" s="1"/>
      <c r="CD17" s="16"/>
      <c r="CE17" s="1"/>
      <c r="CF17" s="16"/>
      <c r="CG17" s="1"/>
      <c r="CH17" s="1"/>
      <c r="CI17" s="16"/>
      <c r="CJ17" s="1"/>
      <c r="CK17" s="16"/>
      <c r="CL17" s="1"/>
      <c r="CM17" s="3"/>
      <c r="CN17" s="1"/>
      <c r="CO17" s="1"/>
      <c r="CP17" s="16"/>
      <c r="CQ17" s="1"/>
      <c r="CR17" s="1"/>
      <c r="CS17" s="1"/>
      <c r="CT17" s="1"/>
      <c r="CU17" s="17"/>
    </row>
    <row r="18" spans="1:9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"/>
      <c r="AQ18" s="10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6"/>
      <c r="CC18" s="1"/>
      <c r="CD18" s="16"/>
      <c r="CE18" s="1"/>
      <c r="CF18" s="16"/>
      <c r="CG18" s="1"/>
      <c r="CH18" s="1"/>
      <c r="CI18" s="16"/>
      <c r="CJ18" s="1"/>
      <c r="CK18" s="16"/>
      <c r="CL18" s="1"/>
      <c r="CM18" s="3"/>
      <c r="CN18" s="1"/>
      <c r="CO18" s="1"/>
      <c r="CP18" s="16"/>
      <c r="CQ18" s="1"/>
      <c r="CR18" s="1"/>
      <c r="CS18" s="1"/>
      <c r="CT18" s="1"/>
      <c r="CU18" s="17"/>
    </row>
    <row r="19" spans="1:9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6"/>
      <c r="CE19" s="1"/>
      <c r="CF19" s="16"/>
      <c r="CG19" s="1"/>
      <c r="CH19" s="1"/>
      <c r="CI19" s="16"/>
      <c r="CJ19" s="1"/>
      <c r="CK19" s="16"/>
      <c r="CL19" s="1"/>
      <c r="CM19" s="3"/>
      <c r="CN19" s="1"/>
      <c r="CO19" s="1"/>
      <c r="CP19" s="16"/>
      <c r="CQ19" s="1"/>
      <c r="CR19" s="1"/>
      <c r="CS19" s="1"/>
      <c r="CT19" s="1"/>
      <c r="CU19" s="17"/>
    </row>
    <row r="20" spans="1:9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6"/>
      <c r="CE20" s="1"/>
      <c r="CF20" s="16"/>
      <c r="CG20" s="1"/>
      <c r="CH20" s="1"/>
      <c r="CI20" s="16"/>
      <c r="CJ20" s="1"/>
      <c r="CK20" s="16"/>
      <c r="CL20" s="1"/>
      <c r="CM20" s="3"/>
      <c r="CN20" s="1"/>
      <c r="CO20" s="1"/>
      <c r="CP20" s="16"/>
      <c r="CQ20" s="1"/>
      <c r="CR20" s="1"/>
      <c r="CS20" s="1"/>
      <c r="CT20" s="1"/>
      <c r="CU20" s="17"/>
    </row>
  </sheetData>
  <autoFilter ref="A1:CU1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29"/>
  <sheetViews>
    <sheetView showZeros="0" tabSelected="1" topLeftCell="A18" workbookViewId="0">
      <selection activeCell="AI26" sqref="AI26"/>
    </sheetView>
  </sheetViews>
  <sheetFormatPr defaultRowHeight="15" x14ac:dyDescent="0.25"/>
  <cols>
    <col min="1" max="1" width="15.140625" bestFit="1" customWidth="1"/>
    <col min="2" max="2" width="10.42578125" bestFit="1" customWidth="1"/>
    <col min="3" max="3" width="10.28515625" bestFit="1" customWidth="1"/>
    <col min="4" max="4" width="29.5703125" customWidth="1"/>
    <col min="5" max="5" width="13.85546875" style="4" bestFit="1" customWidth="1"/>
    <col min="6" max="6" width="9.140625" customWidth="1"/>
    <col min="7" max="7" width="13.85546875" bestFit="1" customWidth="1"/>
    <col min="8" max="8" width="10.5703125" style="8" bestFit="1" customWidth="1"/>
    <col min="9" max="9" width="12.28515625" bestFit="1" customWidth="1"/>
    <col min="10" max="10" width="13.85546875" bestFit="1" customWidth="1"/>
    <col min="13" max="13" width="14.28515625" bestFit="1" customWidth="1"/>
    <col min="14" max="14" width="7.85546875" style="30" customWidth="1"/>
    <col min="15" max="15" width="7.85546875" style="30" hidden="1" customWidth="1"/>
    <col min="16" max="16" width="7.85546875" style="30" customWidth="1"/>
    <col min="17" max="33" width="7.85546875" style="30" hidden="1" customWidth="1"/>
    <col min="34" max="35" width="7.85546875" style="30" customWidth="1"/>
    <col min="36" max="36" width="7.85546875" style="30" hidden="1" customWidth="1"/>
    <col min="37" max="37" width="7.85546875" style="30" customWidth="1"/>
    <col min="38" max="38" width="7.85546875" style="30" hidden="1" customWidth="1"/>
    <col min="39" max="39" width="7.85546875" style="30" customWidth="1"/>
    <col min="40" max="40" width="7.85546875" style="30" hidden="1" customWidth="1"/>
    <col min="41" max="41" width="7.85546875" style="30" customWidth="1"/>
    <col min="42" max="52" width="7.85546875" style="30" hidden="1" customWidth="1"/>
    <col min="53" max="53" width="7.85546875" style="30" customWidth="1"/>
    <col min="54" max="57" width="7.85546875" style="30" hidden="1" customWidth="1"/>
    <col min="58" max="58" width="7.85546875" style="30" customWidth="1"/>
    <col min="59" max="60" width="7.85546875" style="30" hidden="1" customWidth="1"/>
    <col min="61" max="61" width="7.85546875" style="30" customWidth="1"/>
    <col min="62" max="73" width="7.85546875" style="30" hidden="1" customWidth="1"/>
    <col min="74" max="74" width="7.85546875" style="30" customWidth="1"/>
    <col min="75" max="75" width="10.5703125" style="30" customWidth="1"/>
    <col min="76" max="76" width="16.42578125" style="30" customWidth="1"/>
    <col min="77" max="77" width="11" style="30" bestFit="1" customWidth="1"/>
    <col min="78" max="78" width="9.85546875" style="4" bestFit="1" customWidth="1"/>
    <col min="79" max="79" width="13.85546875" style="4" bestFit="1" customWidth="1"/>
    <col min="80" max="80" width="9.140625" style="28" hidden="1" customWidth="1"/>
    <col min="81" max="81" width="9.140625" style="4" hidden="1" customWidth="1"/>
    <col min="82" max="82" width="6.140625" style="14" bestFit="1" customWidth="1"/>
    <col min="83" max="83" width="10.5703125" style="4" bestFit="1" customWidth="1"/>
    <col min="84" max="84" width="9.140625" style="8" customWidth="1"/>
    <col min="85" max="85" width="6.85546875" style="4" bestFit="1" customWidth="1"/>
    <col min="86" max="86" width="12.85546875" style="4" bestFit="1" customWidth="1"/>
    <col min="87" max="87" width="6.140625" style="8" bestFit="1" customWidth="1"/>
    <col min="88" max="88" width="10" bestFit="1" customWidth="1"/>
    <col min="89" max="89" width="6.140625" style="8" bestFit="1" customWidth="1"/>
    <col min="90" max="90" width="6.140625" bestFit="1" customWidth="1"/>
  </cols>
  <sheetData>
    <row r="1" spans="1:89" s="44" customFormat="1" ht="15.75" thickBot="1" x14ac:dyDescent="0.3"/>
    <row r="2" spans="1:89" s="44" customFormat="1" ht="23.25" thickBot="1" x14ac:dyDescent="0.5">
      <c r="A2" s="146" t="s">
        <v>141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8"/>
      <c r="S2" s="47"/>
      <c r="T2" s="47"/>
    </row>
    <row r="3" spans="1:89" s="44" customFormat="1" ht="15.75" thickBo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89" s="44" customFormat="1" ht="51.75" customHeight="1" thickBot="1" x14ac:dyDescent="0.3">
      <c r="A4" s="45" t="s">
        <v>125</v>
      </c>
      <c r="B4" s="138" t="s">
        <v>142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/>
    </row>
    <row r="5" spans="1:89" s="44" customFormat="1" ht="34.5" customHeight="1" x14ac:dyDescent="0.25">
      <c r="A5" s="45" t="s">
        <v>126</v>
      </c>
      <c r="B5" s="138" t="s">
        <v>148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/>
    </row>
    <row r="6" spans="1:89" s="44" customFormat="1" ht="45" x14ac:dyDescent="0.25">
      <c r="A6" s="46" t="s">
        <v>127</v>
      </c>
      <c r="B6" s="139" t="s">
        <v>143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/>
    </row>
    <row r="7" spans="1:89" s="44" customFormat="1" ht="30" x14ac:dyDescent="0.25">
      <c r="A7" s="46" t="s">
        <v>124</v>
      </c>
      <c r="B7" s="139" t="s">
        <v>147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/>
    </row>
    <row r="8" spans="1:89" s="44" customFormat="1" ht="28.5" customHeight="1" x14ac:dyDescent="0.25">
      <c r="A8" s="46" t="s">
        <v>128</v>
      </c>
      <c r="B8" s="139" t="s">
        <v>139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/>
    </row>
    <row r="9" spans="1:89" s="44" customFormat="1" ht="27.75" customHeight="1" x14ac:dyDescent="0.25">
      <c r="A9" s="46" t="s">
        <v>129</v>
      </c>
      <c r="B9" s="143" t="s">
        <v>233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5"/>
    </row>
    <row r="10" spans="1:89" s="44" customFormat="1" ht="95.25" customHeight="1" x14ac:dyDescent="0.25">
      <c r="A10" s="46" t="s">
        <v>130</v>
      </c>
      <c r="B10" s="139" t="s">
        <v>140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/>
    </row>
    <row r="11" spans="1:89" s="44" customFormat="1" ht="68.25" customHeight="1" x14ac:dyDescent="0.25">
      <c r="A11" s="46" t="s">
        <v>131</v>
      </c>
      <c r="B11" s="134" t="s">
        <v>144</v>
      </c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6"/>
      <c r="S11"/>
    </row>
    <row r="12" spans="1:89" s="44" customFormat="1" ht="30" x14ac:dyDescent="0.25">
      <c r="A12" s="49" t="s">
        <v>132</v>
      </c>
      <c r="B12" s="137" t="s">
        <v>145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</row>
    <row r="13" spans="1:89" s="44" customFormat="1" ht="35.25" customHeight="1" x14ac:dyDescent="0.25">
      <c r="A13" s="49" t="s">
        <v>133</v>
      </c>
      <c r="B13" s="137" t="s">
        <v>146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</row>
    <row r="14" spans="1:89" s="44" customFormat="1" ht="30" x14ac:dyDescent="0.25">
      <c r="A14" s="133" t="s">
        <v>134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</row>
    <row r="15" spans="1:89" ht="15.75" thickBot="1" x14ac:dyDescent="0.3"/>
    <row r="16" spans="1:89" s="37" customFormat="1" ht="28.9" customHeight="1" thickBot="1" x14ac:dyDescent="0.3">
      <c r="D16" s="193" t="s">
        <v>235</v>
      </c>
      <c r="E16" s="42"/>
      <c r="H16" s="43"/>
      <c r="N16" s="142" t="str">
        <f>Sheet1!J1</f>
        <v>Conductor</v>
      </c>
      <c r="O16" s="142"/>
      <c r="P16" s="142"/>
      <c r="Q16" s="142"/>
      <c r="R16" s="142"/>
      <c r="S16" s="142" t="s">
        <v>9</v>
      </c>
      <c r="T16" s="142"/>
      <c r="U16" s="142" t="s">
        <v>3</v>
      </c>
      <c r="V16" s="142"/>
      <c r="W16" s="142"/>
      <c r="X16" s="142"/>
      <c r="Y16" s="142"/>
      <c r="Z16" s="142"/>
      <c r="AA16" s="142"/>
      <c r="AB16" s="142"/>
      <c r="AC16" s="142" t="s">
        <v>12</v>
      </c>
      <c r="AD16" s="142"/>
      <c r="AE16" s="142" t="s">
        <v>15</v>
      </c>
      <c r="AF16" s="142"/>
      <c r="AG16" s="142"/>
      <c r="AH16" s="142"/>
      <c r="AI16" s="142"/>
      <c r="AJ16" s="142"/>
      <c r="AK16" s="10" t="s">
        <v>18</v>
      </c>
      <c r="AL16" s="140" t="s">
        <v>21</v>
      </c>
      <c r="AM16" s="141"/>
      <c r="AN16" s="141"/>
      <c r="AO16" s="141"/>
      <c r="AP16" s="141"/>
      <c r="AQ16" s="141"/>
      <c r="AR16" s="141"/>
      <c r="AS16" s="142" t="s">
        <v>24</v>
      </c>
      <c r="AT16" s="142"/>
      <c r="AU16" s="142"/>
      <c r="AV16" s="142"/>
      <c r="AW16" s="142"/>
      <c r="AX16" s="142"/>
      <c r="AY16" s="142"/>
      <c r="AZ16" s="142"/>
      <c r="BA16" s="142"/>
      <c r="BB16" s="142"/>
      <c r="BC16" s="142" t="s">
        <v>27</v>
      </c>
      <c r="BD16" s="142"/>
      <c r="BE16" s="142"/>
      <c r="BF16" s="142"/>
      <c r="BG16" s="142"/>
      <c r="BH16" s="142"/>
      <c r="BI16" s="142"/>
      <c r="BJ16" s="142"/>
      <c r="BK16" s="142"/>
      <c r="BL16" s="142"/>
      <c r="BM16" s="38" t="s">
        <v>30</v>
      </c>
      <c r="BN16" s="10" t="s">
        <v>33</v>
      </c>
      <c r="BO16" s="10" t="s">
        <v>36</v>
      </c>
      <c r="BP16" s="10" t="s">
        <v>39</v>
      </c>
      <c r="BQ16" s="10" t="s">
        <v>42</v>
      </c>
      <c r="BR16" s="10" t="s">
        <v>45</v>
      </c>
      <c r="BS16" s="10" t="s">
        <v>48</v>
      </c>
      <c r="BT16" s="10" t="s">
        <v>51</v>
      </c>
      <c r="BU16" s="10" t="s">
        <v>54</v>
      </c>
      <c r="BV16" s="10"/>
      <c r="BW16" s="10"/>
      <c r="BX16" s="10"/>
      <c r="BY16" s="10"/>
      <c r="BZ16" s="39" t="s">
        <v>57</v>
      </c>
      <c r="CA16" s="39" t="s">
        <v>58</v>
      </c>
      <c r="CB16" s="40" t="s">
        <v>79</v>
      </c>
      <c r="CC16" s="39" t="s">
        <v>123</v>
      </c>
      <c r="CD16" s="41"/>
      <c r="CE16" s="42"/>
      <c r="CF16" s="43"/>
      <c r="CG16" s="42"/>
      <c r="CH16" s="42"/>
      <c r="CI16" s="43"/>
      <c r="CK16" s="43"/>
    </row>
    <row r="17" spans="1:90" s="19" customFormat="1" ht="89.25" x14ac:dyDescent="0.25">
      <c r="A17" s="22" t="s">
        <v>0</v>
      </c>
      <c r="B17" s="22" t="str">
        <f>Sheet1!B1</f>
        <v>Base Date</v>
      </c>
      <c r="C17" s="22" t="s">
        <v>1</v>
      </c>
      <c r="D17" s="22" t="s">
        <v>2</v>
      </c>
      <c r="E17" s="5" t="s">
        <v>70</v>
      </c>
      <c r="F17" s="15" t="s">
        <v>71</v>
      </c>
      <c r="G17" s="15" t="s">
        <v>72</v>
      </c>
      <c r="H17" s="6" t="s">
        <v>73</v>
      </c>
      <c r="I17" s="15" t="s">
        <v>74</v>
      </c>
      <c r="J17" s="15" t="s">
        <v>75</v>
      </c>
      <c r="K17" s="15" t="s">
        <v>76</v>
      </c>
      <c r="L17" s="15" t="s">
        <v>77</v>
      </c>
      <c r="M17" s="15" t="s">
        <v>78</v>
      </c>
      <c r="N17" s="23" t="s">
        <v>80</v>
      </c>
      <c r="O17" s="23" t="s">
        <v>85</v>
      </c>
      <c r="P17" s="23" t="s">
        <v>82</v>
      </c>
      <c r="Q17" s="23" t="s">
        <v>83</v>
      </c>
      <c r="R17" s="23" t="s">
        <v>84</v>
      </c>
      <c r="S17" s="23" t="s">
        <v>80</v>
      </c>
      <c r="T17" s="23" t="s">
        <v>85</v>
      </c>
      <c r="U17" s="24" t="s">
        <v>92</v>
      </c>
      <c r="V17" s="24" t="s">
        <v>96</v>
      </c>
      <c r="W17" s="24" t="s">
        <v>99</v>
      </c>
      <c r="X17" s="24" t="s">
        <v>104</v>
      </c>
      <c r="Y17" s="24" t="s">
        <v>108</v>
      </c>
      <c r="Z17" s="24" t="s">
        <v>112</v>
      </c>
      <c r="AA17" s="24" t="s">
        <v>115</v>
      </c>
      <c r="AB17" s="24" t="s">
        <v>117</v>
      </c>
      <c r="AC17" s="24" t="s">
        <v>91</v>
      </c>
      <c r="AD17" s="24" t="s">
        <v>95</v>
      </c>
      <c r="AE17" s="24" t="s">
        <v>90</v>
      </c>
      <c r="AF17" s="24" t="s">
        <v>86</v>
      </c>
      <c r="AG17" s="24" t="s">
        <v>98</v>
      </c>
      <c r="AH17" s="24" t="s">
        <v>103</v>
      </c>
      <c r="AI17" s="24" t="s">
        <v>107</v>
      </c>
      <c r="AJ17" s="24" t="s">
        <v>111</v>
      </c>
      <c r="AK17" s="20" t="s">
        <v>18</v>
      </c>
      <c r="AL17" s="24" t="s">
        <v>93</v>
      </c>
      <c r="AM17" s="24" t="s">
        <v>97</v>
      </c>
      <c r="AN17" s="24" t="s">
        <v>100</v>
      </c>
      <c r="AO17" s="24" t="s">
        <v>105</v>
      </c>
      <c r="AP17" s="24" t="s">
        <v>109</v>
      </c>
      <c r="AQ17" s="24" t="s">
        <v>87</v>
      </c>
      <c r="AR17" s="24" t="s">
        <v>116</v>
      </c>
      <c r="AS17" s="24" t="s">
        <v>94</v>
      </c>
      <c r="AT17" s="24" t="s">
        <v>81</v>
      </c>
      <c r="AU17" s="24" t="s">
        <v>101</v>
      </c>
      <c r="AV17" s="24" t="s">
        <v>106</v>
      </c>
      <c r="AW17" s="24" t="s">
        <v>113</v>
      </c>
      <c r="AX17" s="24" t="s">
        <v>88</v>
      </c>
      <c r="AY17" s="24" t="s">
        <v>118</v>
      </c>
      <c r="AZ17" s="24" t="s">
        <v>119</v>
      </c>
      <c r="BA17" s="24" t="s">
        <v>120</v>
      </c>
      <c r="BB17" s="24" t="s">
        <v>122</v>
      </c>
      <c r="BC17" s="24" t="s">
        <v>93</v>
      </c>
      <c r="BD17" s="24" t="s">
        <v>97</v>
      </c>
      <c r="BE17" s="24" t="s">
        <v>102</v>
      </c>
      <c r="BF17" s="24" t="s">
        <v>100</v>
      </c>
      <c r="BG17" s="24" t="s">
        <v>110</v>
      </c>
      <c r="BH17" s="24" t="s">
        <v>114</v>
      </c>
      <c r="BI17" s="24" t="s">
        <v>105</v>
      </c>
      <c r="BJ17" s="24" t="s">
        <v>87</v>
      </c>
      <c r="BK17" s="24" t="s">
        <v>116</v>
      </c>
      <c r="BL17" s="24" t="s">
        <v>121</v>
      </c>
      <c r="BM17" s="20" t="s">
        <v>30</v>
      </c>
      <c r="BN17" s="20" t="s">
        <v>89</v>
      </c>
      <c r="BO17" s="21" t="s">
        <v>36</v>
      </c>
      <c r="BP17" s="25" t="s">
        <v>39</v>
      </c>
      <c r="BQ17" s="21" t="s">
        <v>42</v>
      </c>
      <c r="BR17" s="21" t="s">
        <v>45</v>
      </c>
      <c r="BS17" s="21" t="s">
        <v>48</v>
      </c>
      <c r="BT17" s="25" t="s">
        <v>51</v>
      </c>
      <c r="BU17" s="21" t="s">
        <v>54</v>
      </c>
      <c r="BV17" s="21" t="str">
        <f>Sheet1!E1</f>
        <v>PROPOSE DRUM TYPE</v>
      </c>
      <c r="BW17" s="52" t="str">
        <f>Sheet1!CV1</f>
        <v>DRUM CODE</v>
      </c>
      <c r="BX17" s="52" t="str">
        <f>Sheet1!CW1</f>
        <v>DRUM SIZE (FxbXtx Ft)</v>
      </c>
      <c r="BY17" s="52" t="str">
        <f>Sheet1!CX1</f>
        <v xml:space="preserve">PARTY STANDARD LENGTH (MTR) </v>
      </c>
      <c r="BZ17" s="29"/>
      <c r="CA17" s="29"/>
      <c r="CB17" s="26"/>
      <c r="CC17" s="29"/>
      <c r="CD17" s="13" t="s">
        <v>61</v>
      </c>
      <c r="CE17" s="5" t="s">
        <v>62</v>
      </c>
      <c r="CF17" s="6" t="s">
        <v>63</v>
      </c>
      <c r="CG17" s="5" t="s">
        <v>64</v>
      </c>
      <c r="CH17" s="5" t="s">
        <v>65</v>
      </c>
      <c r="CI17" s="6" t="s">
        <v>66</v>
      </c>
      <c r="CJ17" s="15" t="s">
        <v>67</v>
      </c>
      <c r="CK17" s="6" t="s">
        <v>68</v>
      </c>
      <c r="CL17" s="15" t="s">
        <v>69</v>
      </c>
    </row>
    <row r="18" spans="1:90" s="29" customFormat="1" x14ac:dyDescent="0.25">
      <c r="A18" s="31"/>
      <c r="B18" s="31"/>
      <c r="C18" s="31"/>
      <c r="D18" s="31"/>
      <c r="E18" s="5"/>
      <c r="F18" s="5"/>
      <c r="G18" s="5"/>
      <c r="H18" s="5"/>
      <c r="I18" s="5"/>
      <c r="J18" s="5"/>
      <c r="K18" s="5"/>
      <c r="L18" s="5"/>
      <c r="M18" s="5"/>
      <c r="N18" s="32">
        <v>215</v>
      </c>
      <c r="O18" s="32"/>
      <c r="P18" s="32">
        <v>735</v>
      </c>
      <c r="Q18" s="32"/>
      <c r="R18" s="32"/>
      <c r="S18" s="32"/>
      <c r="T18" s="32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>
        <v>71</v>
      </c>
      <c r="AI18" s="33">
        <v>101</v>
      </c>
      <c r="AJ18" s="33"/>
      <c r="AK18" s="34">
        <v>123</v>
      </c>
      <c r="AL18" s="33"/>
      <c r="AM18" s="33">
        <v>93</v>
      </c>
      <c r="AN18" s="33"/>
      <c r="AO18" s="33">
        <v>58</v>
      </c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>
        <v>88</v>
      </c>
      <c r="BB18" s="33"/>
      <c r="BC18" s="33"/>
      <c r="BD18" s="33"/>
      <c r="BE18" s="33"/>
      <c r="BF18" s="33">
        <v>92</v>
      </c>
      <c r="BG18" s="33"/>
      <c r="BH18" s="33"/>
      <c r="BI18" s="33">
        <v>58</v>
      </c>
      <c r="BJ18" s="33">
        <f>+IFERROR(VLOOKUP($BJ$17,Sheet1!AL2:AO840,2,0),0)</f>
        <v>0</v>
      </c>
      <c r="BK18" s="33">
        <f>+IFERROR(VLOOKUP($BK$17,Sheet1!AL2:AO840,2,0),0)</f>
        <v>0</v>
      </c>
      <c r="BL18" s="33">
        <f>+IFERROR(VLOOKUP($BL$17,Sheet1!AL2:AO840,2,0),0)</f>
        <v>0</v>
      </c>
      <c r="BM18" s="34">
        <f>+IFERROR(VLOOKUP($BM$17,Sheet1!AP2:AS840,2,0),0)</f>
        <v>0</v>
      </c>
      <c r="BN18" s="34">
        <f>+IFERROR(VLOOKUP($BN$17,Sheet1!AT2:AW840,2,0),0)</f>
        <v>0</v>
      </c>
      <c r="BO18" s="35">
        <f>+IFERROR(VLOOKUP($BO$17,Sheet1!AX2:BA840,2,0),0)</f>
        <v>0</v>
      </c>
      <c r="BP18" s="36">
        <f>+IFERROR(VLOOKUP($BP$17,Sheet1!BB2:BE840,2,0),0)</f>
        <v>0</v>
      </c>
      <c r="BQ18" s="35">
        <f>+IFERROR(VLOOKUP($BQ$17,Sheet1!BF2:BI840,2,0),0)</f>
        <v>0</v>
      </c>
      <c r="BR18" s="35">
        <f>+IFERROR(VLOOKUP($BR$17,Sheet1!BJ2:BM840,2,0),0)</f>
        <v>0</v>
      </c>
      <c r="BS18" s="35">
        <f>+IFERROR(VLOOKUP($BS$17,Sheet1!BN2:BQ840,2,0),0)</f>
        <v>0</v>
      </c>
      <c r="BT18" s="36">
        <f>+IFERROR(VLOOKUP($BT$17,Sheet1!BR2:BU840,2,0),0)</f>
        <v>0</v>
      </c>
      <c r="BU18" s="35">
        <f>+IFERROR(VLOOKUP($BU$17,Sheet1!BV2:BY840,2,0),0)</f>
        <v>0</v>
      </c>
      <c r="BV18" s="51"/>
      <c r="BW18" s="51"/>
      <c r="BX18" s="51"/>
      <c r="BY18" s="51"/>
      <c r="CD18" s="5"/>
      <c r="CE18" s="5"/>
      <c r="CF18" s="5"/>
      <c r="CG18" s="5"/>
      <c r="CH18" s="5"/>
      <c r="CI18" s="5"/>
      <c r="CJ18" s="5"/>
      <c r="CK18" s="5"/>
      <c r="CL18" s="5"/>
    </row>
    <row r="19" spans="1:90" ht="29.25" customHeight="1" x14ac:dyDescent="0.25">
      <c r="A19" s="1" t="str">
        <f>Sheet1!A4</f>
        <v>ENQ-11584-22-23</v>
      </c>
      <c r="B19" s="50">
        <f>Sheet1!B4</f>
        <v>45231</v>
      </c>
      <c r="C19" s="1" t="str">
        <f>Sheet1!C4</f>
        <v>FA0200011</v>
      </c>
      <c r="D19" s="1" t="str">
        <f>Sheet1!D4</f>
        <v>4 CORE X 2.5 SQ. MM. CU/ARD - WIRE (PVC)</v>
      </c>
      <c r="E19" s="3">
        <f>CH19+CJ19+CL19</f>
        <v>124549.19165899999</v>
      </c>
      <c r="F19" s="61">
        <f>ROUNDUP(M25,0)</f>
        <v>1200</v>
      </c>
      <c r="G19" s="9">
        <f>E19+F19</f>
        <v>125749.19165899999</v>
      </c>
      <c r="H19" s="7">
        <f>Sheet1!CP4</f>
        <v>0.18</v>
      </c>
      <c r="I19" s="9">
        <f>G19*H19</f>
        <v>22634.854498619996</v>
      </c>
      <c r="J19" s="9">
        <f>G19+I19</f>
        <v>148384.04615761997</v>
      </c>
      <c r="K19" s="1">
        <f>Sheet1!CS4</f>
        <v>60</v>
      </c>
      <c r="L19" s="1" t="str">
        <f>Sheet1!CT4</f>
        <v>KMS</v>
      </c>
      <c r="M19" s="3">
        <f>J19*K19</f>
        <v>8903042.7694571987</v>
      </c>
      <c r="N19" s="2">
        <f>+IFERROR(VLOOKUP($N$17,Sheet1!J4:L4,3,0),0)</f>
        <v>0</v>
      </c>
      <c r="O19" s="2">
        <f>+IFERROR(VLOOKUP($O$17,Sheet1!J4:L4,3,0),0)</f>
        <v>0</v>
      </c>
      <c r="P19" s="2">
        <f>+IFERROR(VLOOKUP($P$17,Sheet1!J4:M4,3,0),0)</f>
        <v>88.8</v>
      </c>
      <c r="Q19" s="2">
        <f>+IFERROR(VLOOKUP($Q$17,Sheet1!J4:M4,3,0),0)</f>
        <v>0</v>
      </c>
      <c r="R19" s="2">
        <f>+IFERROR(VLOOKUP($R$17,Sheet1!J4:M4,3,0),0)</f>
        <v>0</v>
      </c>
      <c r="S19" s="2">
        <f>+IFERROR(VLOOKUP($S$17,Sheet1!N4:Q4,3,0),0)</f>
        <v>0</v>
      </c>
      <c r="T19" s="2">
        <f>+IFERROR(VLOOKUP($T$17,Sheet1!N4:Q4,3,0),0)</f>
        <v>0</v>
      </c>
      <c r="U19" s="2">
        <f>+IFERROR(VLOOKUP($U$17,Sheet1!F4:I4,3,0),0)</f>
        <v>0</v>
      </c>
      <c r="V19" s="2">
        <f>+IFERROR(VLOOKUP($V$17,Sheet1!F4:I4,3,0),0)</f>
        <v>0</v>
      </c>
      <c r="W19" s="2">
        <f>+IFERROR(VLOOKUP($W$17,Sheet1!F4:I4,3,0),0)</f>
        <v>0</v>
      </c>
      <c r="X19" s="2">
        <f>+IFERROR(VLOOKUP($X$17,Sheet1!F4:I4,3,0),0)</f>
        <v>0</v>
      </c>
      <c r="Y19" s="2">
        <f>+IFERROR(VLOOKUP($Y$17,Sheet1!F4:I4,3,0),0)</f>
        <v>0</v>
      </c>
      <c r="Z19" s="2">
        <f>+IFERROR(VLOOKUP($Z$17,Sheet1!F4:I4,3,0),0)</f>
        <v>0</v>
      </c>
      <c r="AA19" s="2">
        <f>+IFERROR(VLOOKUP($AA$17,Sheet1!F4:I4,3,0),0)</f>
        <v>0</v>
      </c>
      <c r="AB19" s="2">
        <f>+IFERROR(VLOOKUP($AB$17,Sheet1!F4:I4,3,0),0)</f>
        <v>0</v>
      </c>
      <c r="AC19" s="2">
        <f>+IFERROR(VLOOKUP($AC$17,Sheet1!R4:U4,3,0),0)</f>
        <v>0</v>
      </c>
      <c r="AD19" s="15">
        <f>+IFERROR(VLOOKUP($AD$17,Sheet1!R4:U4,2,0),0)</f>
        <v>0</v>
      </c>
      <c r="AE19" s="2">
        <f>+IFERROR(VLOOKUP($AE$17,Sheet1!V4:Y4,3,0),0)</f>
        <v>0</v>
      </c>
      <c r="AF19" s="15">
        <f>+IFERROR(VLOOKUP($AF$17,Sheet1!V4:Y4,3,0),0)</f>
        <v>0</v>
      </c>
      <c r="AG19" s="15">
        <f>+IFERROR(VLOOKUP($AG$17,Sheet1!V4:Y4,3,0),0)</f>
        <v>0</v>
      </c>
      <c r="AH19" s="15">
        <f>+IFERROR(VLOOKUP($AH$17,Sheet1!V4:Y4,3,0),0)</f>
        <v>0</v>
      </c>
      <c r="AI19" s="15">
        <f>+IFERROR(VLOOKUP($AI$17,Sheet1!V4:Y4,3,0),0)</f>
        <v>52</v>
      </c>
      <c r="AJ19" s="15">
        <f>+IFERROR(VLOOKUP($AJ$17,Sheet1!V4:Y4,3,0),0)</f>
        <v>0</v>
      </c>
      <c r="AK19" s="15">
        <f>+IFERROR(VLOOKUP($AK$17,Sheet1!Z4:AB4,3,0),0)</f>
        <v>3</v>
      </c>
      <c r="AL19" s="15">
        <f>+IFERROR(VLOOKUP($AL$17,Sheet1!AD4:AG4,3,0),0)</f>
        <v>0</v>
      </c>
      <c r="AM19" s="15">
        <v>27</v>
      </c>
      <c r="AN19" s="15">
        <f>+IFERROR(VLOOKUP($AN$17,Sheet1!AD4:AG4,3,0),0)</f>
        <v>0</v>
      </c>
      <c r="AO19" s="15">
        <f>+IFERROR(VLOOKUP($AO$17,Sheet1!AD4:AG4,3,0),0)</f>
        <v>0</v>
      </c>
      <c r="AP19" s="15">
        <f>+IFERROR(VLOOKUP($AP$17,Sheet1!AD4:AG4,3,0),0)</f>
        <v>0</v>
      </c>
      <c r="AQ19" s="15">
        <v>0</v>
      </c>
      <c r="AR19" s="15">
        <f>+IFERROR(VLOOKUP($AR$17,Sheet1!AD4:AG4,3,0),0)</f>
        <v>0</v>
      </c>
      <c r="AS19" s="15">
        <f>+IFERROR(VLOOKUP($AS$17,Sheet1!AH4:AK4,3,0),0)</f>
        <v>0</v>
      </c>
      <c r="AT19" s="15">
        <f>+IFERROR(VLOOKUP($AT$17,Sheet1!AH4:AK4,3,0),0)</f>
        <v>0</v>
      </c>
      <c r="AU19" s="15">
        <f>+IFERROR(VLOOKUP($AU$17,Sheet1!AH4:AK4,3,0),0)</f>
        <v>0</v>
      </c>
      <c r="AV19" s="15">
        <f>+IFERROR(VLOOKUP($AV$17,Sheet1!AH4:AK4,3,0),0)</f>
        <v>0</v>
      </c>
      <c r="AW19" s="15">
        <f>+IFERROR(VLOOKUP($AW$17,Sheet1!AH4:AK4,3,0),0)</f>
        <v>0</v>
      </c>
      <c r="AX19" s="15">
        <f>+IFERROR(VLOOKUP($AX$17,Sheet1!AH4:AK4,3,0),0)</f>
        <v>0</v>
      </c>
      <c r="AY19" s="15">
        <f>+IFERROR(VLOOKUP($AY$17,Sheet1!AH4:AK4,3,0),0)</f>
        <v>0</v>
      </c>
      <c r="AZ19" s="15">
        <f>+IFERROR(VLOOKUP($AZ$17,Sheet1!AH4:AK4,3,0),0)</f>
        <v>0</v>
      </c>
      <c r="BA19" s="15">
        <f>+IFERROR(VLOOKUP($BA$17,Sheet1!AH4:AK4,3,0),0)</f>
        <v>289</v>
      </c>
      <c r="BB19" s="15">
        <f>+IFERROR(VLOOKUP($BB$17,Sheet1!AH4:AK4,3,0),0)</f>
        <v>0</v>
      </c>
      <c r="BC19" s="15">
        <f>+IFERROR(VLOOKUP($BC$17,Sheet1!AL4:AO4,3,0),0)</f>
        <v>0</v>
      </c>
      <c r="BD19" s="15">
        <f>+IFERROR(VLOOKUP($BD$17,Sheet1!AL4:AO4,3,0),0)</f>
        <v>0</v>
      </c>
      <c r="BE19" s="15">
        <f>+IFERROR(VLOOKUP($BE$17,Sheet1!AL4:AO4,3,0),0)</f>
        <v>0</v>
      </c>
      <c r="BF19" s="15">
        <f>+IFERROR(VLOOKUP($BF$17,Sheet1!AL4:AO4,3,0),0)</f>
        <v>104</v>
      </c>
      <c r="BG19" s="15">
        <f>+IFERROR(VLOOKUP($BG$17,Sheet1!AL4:AO4,3,0),0)</f>
        <v>0</v>
      </c>
      <c r="BH19" s="15">
        <f>+IFERROR(VLOOKUP($BH$17,Sheet1!AL4:AO4,3,0),0)</f>
        <v>0</v>
      </c>
      <c r="BI19" s="15">
        <f>+IFERROR(VLOOKUP($BI$17,Sheet1!AL4:AO4,3,0),0)</f>
        <v>0</v>
      </c>
      <c r="BJ19" s="15">
        <f>+IFERROR(VLOOKUP($BJ$17,Sheet1!AL4:AO4,3,0),0)</f>
        <v>0</v>
      </c>
      <c r="BK19" s="15">
        <f>+IFERROR(VLOOKUP($BK$17,Sheet1!AL4:AO4,3,0),0)</f>
        <v>0</v>
      </c>
      <c r="BL19" s="15">
        <f>+IFERROR(VLOOKUP($BL$17,Sheet1!AL4:AO4,3,0),0)</f>
        <v>0</v>
      </c>
      <c r="BM19" s="15">
        <f>+IFERROR(VLOOKUP($BM$17,Sheet1!AP4:AS4,3,0),0)</f>
        <v>0</v>
      </c>
      <c r="BN19" s="15">
        <f>+IFERROR(VLOOKUP($BN$17,Sheet1!AT4:AW4,3,0),0)</f>
        <v>0</v>
      </c>
      <c r="BO19" s="15">
        <f>+IFERROR(VLOOKUP($BO$17,Sheet1!AX4:BA4,3,0),0)</f>
        <v>0</v>
      </c>
      <c r="BP19" s="15">
        <f>+IFERROR(VLOOKUP($BP$17,Sheet1!BB4:BE4,3,0),0)</f>
        <v>0</v>
      </c>
      <c r="BQ19" s="15">
        <f>+IFERROR(VLOOKUP($BQ$17,Sheet1!BF4:BI4,3,0),0)</f>
        <v>0</v>
      </c>
      <c r="BR19" s="15">
        <f>+IFERROR(VLOOKUP($BR$17,Sheet1!BJ4:BM4,3,0),0)</f>
        <v>0</v>
      </c>
      <c r="BS19" s="15">
        <f>+IFERROR(VLOOKUP($BS$17,Sheet1!BN4:BQ4,3,0),0)</f>
        <v>0</v>
      </c>
      <c r="BT19" s="15">
        <f>+IFERROR(VLOOKUP($BT$17,Sheet1!BR4:BU4,3,0),0)</f>
        <v>0</v>
      </c>
      <c r="BU19" s="15">
        <f>+IFERROR(VLOOKUP($BU$17,Sheet1!BV4:BY4,3,0),0)</f>
        <v>0</v>
      </c>
      <c r="BV19" s="15" t="str">
        <f>Sheet1!E4</f>
        <v>WOOD</v>
      </c>
      <c r="BW19" s="15" t="str">
        <f>Sheet1!CV4</f>
        <v>MD0100005</v>
      </c>
      <c r="BX19" s="15" t="str">
        <f>Sheet1!CW4</f>
        <v>DRUM - 36 X 14 X 23 X 2</v>
      </c>
      <c r="BY19" s="15">
        <v>500</v>
      </c>
      <c r="BZ19" s="3">
        <f>Sheet1!BZ4</f>
        <v>4610.79</v>
      </c>
      <c r="CA19" s="3">
        <f>SUMPRODUCT($N$18:$BU$18,N19:BU19)+BZ19</f>
        <v>113010.79</v>
      </c>
      <c r="CB19" s="27">
        <f>Sheet1!CB4</f>
        <v>0</v>
      </c>
      <c r="CC19" s="3">
        <f>CA19*CB19</f>
        <v>0</v>
      </c>
      <c r="CD19" s="48">
        <v>7.0000000000000007E-2</v>
      </c>
      <c r="CE19" s="3">
        <f>CA19*CD19</f>
        <v>7910.7553000000007</v>
      </c>
      <c r="CF19" s="48">
        <v>0</v>
      </c>
      <c r="CG19" s="3">
        <f>CA19*CF19</f>
        <v>0</v>
      </c>
      <c r="CH19" s="3">
        <f>CA19+CC19+CE19+CG19</f>
        <v>120921.5453</v>
      </c>
      <c r="CI19" s="48">
        <v>0.02</v>
      </c>
      <c r="CJ19" s="1">
        <f>CH19*CI19</f>
        <v>2418.430906</v>
      </c>
      <c r="CK19" s="48">
        <v>0.01</v>
      </c>
      <c r="CL19" s="1">
        <f>CH19*CK19</f>
        <v>1209.215453</v>
      </c>
    </row>
    <row r="20" spans="1:90" ht="29.25" customHeight="1" x14ac:dyDescent="0.25">
      <c r="A20" s="1" t="str">
        <f>Sheet1!A3</f>
        <v>ENQ-11584-22-23</v>
      </c>
      <c r="B20" s="50">
        <f>Sheet1!B3</f>
        <v>45231</v>
      </c>
      <c r="C20" s="1" t="str">
        <f>Sheet1!C3</f>
        <v>FA0200019</v>
      </c>
      <c r="D20" s="1" t="str">
        <f>Sheet1!D3</f>
        <v>8 CORE X 2.5 SQ. MM. CU/ARD - WIRE (PVC)</v>
      </c>
      <c r="E20" s="3">
        <f>CH20+CJ20+CL20</f>
        <v>217666.72275900003</v>
      </c>
      <c r="F20" s="61">
        <f t="shared" ref="F20:F22" si="0">ROUNDUP(M26,0)</f>
        <v>1350</v>
      </c>
      <c r="G20" s="9">
        <f>E20+F20</f>
        <v>219016.72275900003</v>
      </c>
      <c r="H20" s="7">
        <f>Sheet1!CP3</f>
        <v>0.18</v>
      </c>
      <c r="I20" s="9">
        <f>G20*H20</f>
        <v>39423.010096620004</v>
      </c>
      <c r="J20" s="9">
        <f>G20+I20</f>
        <v>258439.73285562004</v>
      </c>
      <c r="K20" s="1">
        <f>Sheet1!CS3</f>
        <v>40</v>
      </c>
      <c r="L20" s="1" t="str">
        <f>Sheet1!CT3</f>
        <v>KMS</v>
      </c>
      <c r="M20" s="3">
        <f>J20*K20</f>
        <v>10337589.314224802</v>
      </c>
      <c r="N20" s="2">
        <f>+IFERROR(VLOOKUP($N$17,Sheet1!J3:L3,3,0),0)</f>
        <v>0</v>
      </c>
      <c r="O20" s="2">
        <f>+IFERROR(VLOOKUP($O$17,Sheet1!J3:L3,3,0),0)</f>
        <v>0</v>
      </c>
      <c r="P20" s="2">
        <v>178</v>
      </c>
      <c r="Q20" s="2">
        <f>+IFERROR(VLOOKUP($Q$17,Sheet1!J3:M3,3,0),0)</f>
        <v>0</v>
      </c>
      <c r="R20" s="2">
        <f>+IFERROR(VLOOKUP($R$17,Sheet1!J3:M3,3,0),0)</f>
        <v>0</v>
      </c>
      <c r="S20" s="2">
        <f>+IFERROR(VLOOKUP($S$17,Sheet1!N3:Q3,3,0),0)</f>
        <v>0</v>
      </c>
      <c r="T20" s="2">
        <f>+IFERROR(VLOOKUP($T$17,Sheet1!N3:Q3,3,0),0)</f>
        <v>0</v>
      </c>
      <c r="U20" s="2">
        <f>+IFERROR(VLOOKUP($U$17,Sheet1!F3:I3,3,0),0)</f>
        <v>0</v>
      </c>
      <c r="V20" s="2">
        <f>+IFERROR(VLOOKUP($V$17,Sheet1!F3:I3,3,0),0)</f>
        <v>0</v>
      </c>
      <c r="W20" s="2">
        <f>+IFERROR(VLOOKUP($W$17,Sheet1!F3:I3,3,0),0)</f>
        <v>0</v>
      </c>
      <c r="X20" s="2">
        <f>+IFERROR(VLOOKUP($X$17,Sheet1!F3:I3,3,0),0)</f>
        <v>0</v>
      </c>
      <c r="Y20" s="2">
        <f>+IFERROR(VLOOKUP($Y$17,Sheet1!F3:I3,3,0),0)</f>
        <v>0</v>
      </c>
      <c r="Z20" s="2">
        <f>+IFERROR(VLOOKUP($Z$17,Sheet1!F3:I3,3,0),0)</f>
        <v>0</v>
      </c>
      <c r="AA20" s="2">
        <f>+IFERROR(VLOOKUP($AA$17,Sheet1!F3:I3,3,0),0)</f>
        <v>0</v>
      </c>
      <c r="AB20" s="2">
        <f>+IFERROR(VLOOKUP($AB$17,Sheet1!F3:I3,3,0),0)</f>
        <v>0</v>
      </c>
      <c r="AC20" s="2">
        <f>+IFERROR(VLOOKUP($AC$17,Sheet1!R3:U3,3,0),0)</f>
        <v>0</v>
      </c>
      <c r="AD20" s="15">
        <f>+IFERROR(VLOOKUP($AD$17,Sheet1!R3:U3,2,0),0)</f>
        <v>0</v>
      </c>
      <c r="AE20" s="2">
        <f>+IFERROR(VLOOKUP($AE$17,Sheet1!V3:Y3,3,0),0)</f>
        <v>0</v>
      </c>
      <c r="AF20" s="15">
        <f>+IFERROR(VLOOKUP($AF$17,Sheet1!V3:Y3,3,0),0)</f>
        <v>0</v>
      </c>
      <c r="AG20" s="15">
        <f>+IFERROR(VLOOKUP($AG$17,Sheet1!V3:Y3,3,0),0)</f>
        <v>0</v>
      </c>
      <c r="AH20" s="15">
        <f>+IFERROR(VLOOKUP($AH$17,Sheet1!V3:Y3,3,0),0)</f>
        <v>0</v>
      </c>
      <c r="AI20" s="15">
        <v>120</v>
      </c>
      <c r="AJ20" s="15">
        <f>+IFERROR(VLOOKUP($AJ$17,Sheet1!V3:Y3,3,0),0)</f>
        <v>0</v>
      </c>
      <c r="AK20" s="15">
        <v>5</v>
      </c>
      <c r="AL20" s="15">
        <f>+IFERROR(VLOOKUP($AL$17,Sheet1!AD3:AG3,3,0),0)</f>
        <v>0</v>
      </c>
      <c r="AM20" s="15">
        <v>34</v>
      </c>
      <c r="AN20" s="15">
        <f>+IFERROR(VLOOKUP($AN$17,Sheet1!AD3:AG3,3,0),0)</f>
        <v>0</v>
      </c>
      <c r="AO20" s="15">
        <f>+IFERROR(VLOOKUP($AO$17,Sheet1!AD3:AG3,3,0),0)</f>
        <v>0</v>
      </c>
      <c r="AP20" s="15">
        <f>+IFERROR(VLOOKUP($AP$17,Sheet1!AD3:AG3,3,0),0)</f>
        <v>0</v>
      </c>
      <c r="AQ20" s="15">
        <v>0</v>
      </c>
      <c r="AR20" s="15">
        <f>+IFERROR(VLOOKUP($AR$17,Sheet1!AD3:AG3,3,0),0)</f>
        <v>0</v>
      </c>
      <c r="AS20" s="15">
        <f>+IFERROR(VLOOKUP($AS$17,Sheet1!AH3:AK3,3,0),0)</f>
        <v>0</v>
      </c>
      <c r="AT20" s="15">
        <f>+IFERROR(VLOOKUP($AT$17,Sheet1!AH3:AK3,3,0),0)</f>
        <v>0</v>
      </c>
      <c r="AU20" s="15">
        <f>+IFERROR(VLOOKUP($AU$17,Sheet1!AH3:AK3,3,0),0)</f>
        <v>0</v>
      </c>
      <c r="AV20" s="15">
        <f>+IFERROR(VLOOKUP($AV$17,Sheet1!AH3:AK3,3,0),0)</f>
        <v>0</v>
      </c>
      <c r="AW20" s="15">
        <f>+IFERROR(VLOOKUP($AW$17,Sheet1!AH3:AK3,3,0),0)</f>
        <v>0</v>
      </c>
      <c r="AX20" s="15">
        <f>+IFERROR(VLOOKUP($AX$17,Sheet1!AH3:AK3,3,0),0)</f>
        <v>0</v>
      </c>
      <c r="AY20" s="15">
        <f>+IFERROR(VLOOKUP($AY$17,Sheet1!AH3:AK3,3,0),0)</f>
        <v>0</v>
      </c>
      <c r="AZ20" s="15">
        <f>+IFERROR(VLOOKUP($AZ$17,Sheet1!AH3:AK3,3,0),0)</f>
        <v>0</v>
      </c>
      <c r="BA20" s="15">
        <v>373</v>
      </c>
      <c r="BB20" s="15">
        <f>+IFERROR(VLOOKUP($BB$17,Sheet1!AH3:AK3,3,0),0)</f>
        <v>0</v>
      </c>
      <c r="BC20" s="15">
        <f>+IFERROR(VLOOKUP($BC$17,Sheet1!AL3:AO3,3,0),0)</f>
        <v>0</v>
      </c>
      <c r="BD20" s="15">
        <f>+IFERROR(VLOOKUP($BD$17,Sheet1!AL3:AO3,3,0),0)</f>
        <v>0</v>
      </c>
      <c r="BE20" s="15">
        <f>+IFERROR(VLOOKUP($BE$17,Sheet1!AL3:AO3,3,0),0)</f>
        <v>0</v>
      </c>
      <c r="BF20" s="15">
        <v>145</v>
      </c>
      <c r="BG20" s="15">
        <f>+IFERROR(VLOOKUP($BG$17,Sheet1!AL3:AO3,3,0),0)</f>
        <v>0</v>
      </c>
      <c r="BH20" s="15">
        <f>+IFERROR(VLOOKUP($BH$17,Sheet1!AL3:AO3,3,0),0)</f>
        <v>0</v>
      </c>
      <c r="BI20" s="15">
        <f>+IFERROR(VLOOKUP($BI$17,Sheet1!AL3:AO3,3,0),0)</f>
        <v>0</v>
      </c>
      <c r="BJ20" s="15">
        <f>+IFERROR(VLOOKUP($BJ$17,Sheet1!AL3:AO3,3,0),0)</f>
        <v>0</v>
      </c>
      <c r="BK20" s="15">
        <f>+IFERROR(VLOOKUP($BK$17,Sheet1!AL3:AO3,3,0),0)</f>
        <v>0</v>
      </c>
      <c r="BL20" s="15">
        <f>+IFERROR(VLOOKUP($BL$17,Sheet1!AL3:AO3,3,0),0)</f>
        <v>0</v>
      </c>
      <c r="BM20" s="15">
        <f>+IFERROR(VLOOKUP($BM$17,Sheet1!AP3:AS3,3,0),0)</f>
        <v>0</v>
      </c>
      <c r="BN20" s="15">
        <f>+IFERROR(VLOOKUP($BN$17,Sheet1!AT3:AW3,3,0),0)</f>
        <v>0</v>
      </c>
      <c r="BO20" s="15">
        <f>+IFERROR(VLOOKUP($BO$17,Sheet1!AX3:BA3,3,0),0)</f>
        <v>0</v>
      </c>
      <c r="BP20" s="15">
        <f>+IFERROR(VLOOKUP($BP$17,Sheet1!BB3:BE3,3,0),0)</f>
        <v>0</v>
      </c>
      <c r="BQ20" s="15">
        <f>+IFERROR(VLOOKUP($BQ$17,Sheet1!BF3:BI3,3,0),0)</f>
        <v>0</v>
      </c>
      <c r="BR20" s="15">
        <f>+IFERROR(VLOOKUP($BR$17,Sheet1!BJ3:BM3,3,0),0)</f>
        <v>0</v>
      </c>
      <c r="BS20" s="15">
        <f>+IFERROR(VLOOKUP($BS$17,Sheet1!BN3:BQ3,3,0),0)</f>
        <v>0</v>
      </c>
      <c r="BT20" s="15">
        <f>+IFERROR(VLOOKUP($BT$17,Sheet1!BR3:BU3,3,0),0)</f>
        <v>0</v>
      </c>
      <c r="BU20" s="15">
        <f>+IFERROR(VLOOKUP($BU$17,Sheet1!BV3:BY3,3,0),0)</f>
        <v>0</v>
      </c>
      <c r="BV20" s="15" t="str">
        <f>Sheet1!E3</f>
        <v>WOOD</v>
      </c>
      <c r="BW20" s="15" t="str">
        <f>Sheet1!CV3</f>
        <v>MD0100005</v>
      </c>
      <c r="BX20" s="15" t="str">
        <f>Sheet1!CW3</f>
        <v>DRUM - 36 X 14 X 23 X 2</v>
      </c>
      <c r="BY20" s="15">
        <v>500</v>
      </c>
      <c r="BZ20" s="3">
        <f>Sheet1!BZ3</f>
        <v>4610.79</v>
      </c>
      <c r="CA20" s="3">
        <f>SUMPRODUCT($N$18:$BU$18,N20:BU20)+BZ20</f>
        <v>197501.79</v>
      </c>
      <c r="CB20" s="27">
        <f>Sheet1!CB3</f>
        <v>0</v>
      </c>
      <c r="CC20" s="3">
        <f>CA20*CB20</f>
        <v>0</v>
      </c>
      <c r="CD20" s="48">
        <v>7.0000000000000007E-2</v>
      </c>
      <c r="CE20" s="3">
        <f>CA20*CD20</f>
        <v>13825.125300000002</v>
      </c>
      <c r="CF20" s="48">
        <v>0</v>
      </c>
      <c r="CG20" s="3">
        <f>CA20*CF20</f>
        <v>0</v>
      </c>
      <c r="CH20" s="3">
        <f>CA20+CC20+CE20+CG20</f>
        <v>211326.91530000002</v>
      </c>
      <c r="CI20" s="48">
        <v>0.02</v>
      </c>
      <c r="CJ20" s="1">
        <f>CH20*CI20</f>
        <v>4226.5383060000004</v>
      </c>
      <c r="CK20" s="48">
        <v>0.01</v>
      </c>
      <c r="CL20" s="1">
        <f>CH20*CK20</f>
        <v>2113.2691530000002</v>
      </c>
    </row>
    <row r="21" spans="1:90" ht="29.25" customHeight="1" x14ac:dyDescent="0.25">
      <c r="A21" s="1" t="str">
        <f>Sheet1!A2</f>
        <v>ENQ-11584-22-23</v>
      </c>
      <c r="B21" s="50">
        <f>Sheet1!B2</f>
        <v>45231</v>
      </c>
      <c r="C21" s="1" t="str">
        <f>Sheet1!C2</f>
        <v>FA0200003</v>
      </c>
      <c r="D21" s="1" t="str">
        <f>Sheet1!D2</f>
        <v>12 CORE X 2.5 SQ. MM. CU/ARD - WIRE (PVC)</v>
      </c>
      <c r="E21" s="3">
        <f>CH21+CJ21+CL21</f>
        <v>310256.00630800001</v>
      </c>
      <c r="F21" s="61">
        <f t="shared" si="0"/>
        <v>1350</v>
      </c>
      <c r="G21" s="9">
        <f>E21+F21</f>
        <v>311606.00630800001</v>
      </c>
      <c r="H21" s="7">
        <f>Sheet1!CP2</f>
        <v>0.18</v>
      </c>
      <c r="I21" s="9">
        <f>G21*H21</f>
        <v>56089.081135439999</v>
      </c>
      <c r="J21" s="9">
        <f>G21+I21</f>
        <v>367695.08744343999</v>
      </c>
      <c r="K21" s="1">
        <f>Sheet1!CS2</f>
        <v>40</v>
      </c>
      <c r="L21" s="1" t="str">
        <f>Sheet1!CT2</f>
        <v>KMS</v>
      </c>
      <c r="M21" s="3">
        <f>J21*K21</f>
        <v>14707803.4977376</v>
      </c>
      <c r="N21" s="2">
        <f>+IFERROR(VLOOKUP($N$17,Sheet1!J2:L2,3,0),0)</f>
        <v>0</v>
      </c>
      <c r="O21" s="2">
        <f>+IFERROR(VLOOKUP($O$17,Sheet1!J2:L2,3,0),0)</f>
        <v>0</v>
      </c>
      <c r="P21" s="2">
        <f>+IFERROR(VLOOKUP($P$17,Sheet1!J2:M2,3,0),0)</f>
        <v>266.39999999999998</v>
      </c>
      <c r="Q21" s="2">
        <f>+IFERROR(VLOOKUP($Q$17,Sheet1!J2:M2,3,0),0)</f>
        <v>0</v>
      </c>
      <c r="R21" s="2">
        <f>+IFERROR(VLOOKUP($R$17,Sheet1!J2:M2,3,0),0)</f>
        <v>0</v>
      </c>
      <c r="S21" s="2">
        <f>+IFERROR(VLOOKUP($S$17,Sheet1!N2:Q2,3,0),0)</f>
        <v>0</v>
      </c>
      <c r="T21" s="2">
        <f>+IFERROR(VLOOKUP($T$17,Sheet1!N2:Q2,3,0),0)</f>
        <v>0</v>
      </c>
      <c r="U21" s="2">
        <f>+IFERROR(VLOOKUP($U$17,Sheet1!F2:I2,3,0),0)</f>
        <v>0</v>
      </c>
      <c r="V21" s="2">
        <f>+IFERROR(VLOOKUP($V$17,Sheet1!F2:I2,3,0),0)</f>
        <v>0</v>
      </c>
      <c r="W21" s="2">
        <f>+IFERROR(VLOOKUP($W$17,Sheet1!F2:I2,3,0),0)</f>
        <v>0</v>
      </c>
      <c r="X21" s="2">
        <f>+IFERROR(VLOOKUP($X$17,Sheet1!F2:I2,3,0),0)</f>
        <v>0</v>
      </c>
      <c r="Y21" s="2">
        <f>+IFERROR(VLOOKUP($Y$17,Sheet1!F2:I2,3,0),0)</f>
        <v>0</v>
      </c>
      <c r="Z21" s="2">
        <f>+IFERROR(VLOOKUP($Z$17,Sheet1!F2:I2,3,0),0)</f>
        <v>0</v>
      </c>
      <c r="AA21" s="2">
        <f>+IFERROR(VLOOKUP($AA$17,Sheet1!F2:I2,3,0),0)</f>
        <v>0</v>
      </c>
      <c r="AB21" s="2">
        <f>+IFERROR(VLOOKUP($AB$17,Sheet1!F2:I2,3,0),0)</f>
        <v>0</v>
      </c>
      <c r="AC21" s="2">
        <f>+IFERROR(VLOOKUP($AC$17,Sheet1!R2:U2,3,0),0)</f>
        <v>0</v>
      </c>
      <c r="AD21" s="15">
        <f>+IFERROR(VLOOKUP($AD$17,Sheet1!R2:U2,2,0),0)</f>
        <v>0</v>
      </c>
      <c r="AE21" s="2">
        <f>+IFERROR(VLOOKUP($AE$17,Sheet1!V2:Y2,3,0),0)</f>
        <v>0</v>
      </c>
      <c r="AF21" s="15">
        <f>+IFERROR(VLOOKUP($AF$17,Sheet1!V2:Y2,3,0),0)</f>
        <v>0</v>
      </c>
      <c r="AG21" s="15">
        <f>+IFERROR(VLOOKUP($AG$17,Sheet1!V2:Y2,3,0),0)</f>
        <v>0</v>
      </c>
      <c r="AH21" s="15">
        <f>+IFERROR(VLOOKUP($AH$17,Sheet1!V2:Y2,3,0),0)</f>
        <v>0</v>
      </c>
      <c r="AI21" s="15">
        <f>+IFERROR(VLOOKUP($AI$17,Sheet1!V2:Y2,3,0),0)</f>
        <v>156</v>
      </c>
      <c r="AJ21" s="15">
        <f>+IFERROR(VLOOKUP($AJ$17,Sheet1!V2:Y2,3,0),0)</f>
        <v>0</v>
      </c>
      <c r="AK21" s="15">
        <f>+IFERROR(VLOOKUP($AK$17,Sheet1!Z2:AB2,3,0),0)</f>
        <v>6</v>
      </c>
      <c r="AL21" s="15">
        <f>+IFERROR(VLOOKUP($AL$17,Sheet1!AD2:AG2,3,0),0)</f>
        <v>0</v>
      </c>
      <c r="AM21" s="15">
        <v>40</v>
      </c>
      <c r="AN21" s="15">
        <f>+IFERROR(VLOOKUP($AN$17,Sheet1!AD2:AG2,3,0),0)</f>
        <v>0</v>
      </c>
      <c r="AO21" s="15">
        <f>+IFERROR(VLOOKUP($AO$17,Sheet1!AD2:AG2,3,0),0)</f>
        <v>0</v>
      </c>
      <c r="AP21" s="15">
        <f>+IFERROR(VLOOKUP($AP$17,Sheet1!AD2:AG2,3,0),0)</f>
        <v>0</v>
      </c>
      <c r="AQ21" s="15">
        <v>0</v>
      </c>
      <c r="AR21" s="15">
        <f>+IFERROR(VLOOKUP($AR$17,Sheet1!AD2:AG2,3,0),0)</f>
        <v>0</v>
      </c>
      <c r="AS21" s="15">
        <f>+IFERROR(VLOOKUP($AS$17,Sheet1!AH2:AK2,3,0),0)</f>
        <v>0</v>
      </c>
      <c r="AT21" s="15">
        <f>+IFERROR(VLOOKUP($AT$17,Sheet1!AH2:AK2,3,0),0)</f>
        <v>0</v>
      </c>
      <c r="AU21" s="15">
        <f>+IFERROR(VLOOKUP($AU$17,Sheet1!AH2:AK2,3,0),0)</f>
        <v>0</v>
      </c>
      <c r="AV21" s="15">
        <f>+IFERROR(VLOOKUP($AV$17,Sheet1!AH2:AK2,3,0),0)</f>
        <v>0</v>
      </c>
      <c r="AW21" s="15">
        <f>+IFERROR(VLOOKUP($AW$17,Sheet1!AH2:AK2,3,0),0)</f>
        <v>0</v>
      </c>
      <c r="AX21" s="15">
        <f>+IFERROR(VLOOKUP($AX$17,Sheet1!AH2:AK2,3,0),0)</f>
        <v>0</v>
      </c>
      <c r="AY21" s="15">
        <f>+IFERROR(VLOOKUP($AY$17,Sheet1!AH2:AK2,3,0),0)</f>
        <v>0</v>
      </c>
      <c r="AZ21" s="15">
        <f>+IFERROR(VLOOKUP($AZ$17,Sheet1!AH2:AK2,3,0),0)</f>
        <v>0</v>
      </c>
      <c r="BA21" s="15">
        <f>+IFERROR(VLOOKUP($BA$17,Sheet1!AH2:AK2,3,0),0)</f>
        <v>508</v>
      </c>
      <c r="BB21" s="15">
        <f>+IFERROR(VLOOKUP($BB$17,Sheet1!AH2:AK2,3,0),0)</f>
        <v>0</v>
      </c>
      <c r="BC21" s="15">
        <f>+IFERROR(VLOOKUP($BC$17,Sheet1!AL2:AO2,3,0),0)</f>
        <v>0</v>
      </c>
      <c r="BD21" s="15">
        <f>+IFERROR(VLOOKUP($BD$17,Sheet1!AL2:AO2,3,0),0)</f>
        <v>0</v>
      </c>
      <c r="BE21" s="15">
        <f>+IFERROR(VLOOKUP($BE$17,Sheet1!AL2:AO2,3,0),0)</f>
        <v>0</v>
      </c>
      <c r="BF21" s="15">
        <f>+IFERROR(VLOOKUP($BF$17,Sheet1!AL2:AO2,3,0),0)</f>
        <v>170</v>
      </c>
      <c r="BG21" s="15">
        <f>+IFERROR(VLOOKUP($BG$17,Sheet1!AL2:AO2,3,0),0)</f>
        <v>0</v>
      </c>
      <c r="BH21" s="15">
        <f>+IFERROR(VLOOKUP($BH$17,Sheet1!AL2:AO2,3,0),0)</f>
        <v>0</v>
      </c>
      <c r="BI21" s="15">
        <f>+IFERROR(VLOOKUP($BI$17,Sheet1!AL2:AO2,3,0),0)</f>
        <v>0</v>
      </c>
      <c r="BJ21" s="15">
        <f>+IFERROR(VLOOKUP($BJ$17,Sheet1!AL2:AO2,3,0),0)</f>
        <v>0</v>
      </c>
      <c r="BK21" s="15">
        <f>+IFERROR(VLOOKUP($BK$17,Sheet1!AL2:AO2,3,0),0)</f>
        <v>0</v>
      </c>
      <c r="BL21" s="15">
        <f>+IFERROR(VLOOKUP($BL$17,Sheet1!AL2:AO2,3,0),0)</f>
        <v>0</v>
      </c>
      <c r="BM21" s="15">
        <f>+IFERROR(VLOOKUP($BM$17,Sheet1!AP2:AS2,3,0),0)</f>
        <v>0</v>
      </c>
      <c r="BN21" s="15">
        <f>+IFERROR(VLOOKUP($BN$17,Sheet1!AT2:AW2,3,0),0)</f>
        <v>0</v>
      </c>
      <c r="BO21" s="15">
        <f>+IFERROR(VLOOKUP($BO$17,Sheet1!AX2:BA2,3,0),0)</f>
        <v>0</v>
      </c>
      <c r="BP21" s="15">
        <f>+IFERROR(VLOOKUP($BP$17,Sheet1!BB2:BE2,3,0),0)</f>
        <v>0</v>
      </c>
      <c r="BQ21" s="15">
        <f>+IFERROR(VLOOKUP($BQ$17,Sheet1!BF2:BI2,3,0),0)</f>
        <v>0</v>
      </c>
      <c r="BR21" s="15">
        <f>+IFERROR(VLOOKUP($BR$17,Sheet1!BJ2:BM2,3,0),0)</f>
        <v>0</v>
      </c>
      <c r="BS21" s="15">
        <f>+IFERROR(VLOOKUP($BS$17,Sheet1!BN2:BQ2,3,0),0)</f>
        <v>0</v>
      </c>
      <c r="BT21" s="15">
        <f>+IFERROR(VLOOKUP($BT$17,Sheet1!BR2:BU2,3,0),0)</f>
        <v>0</v>
      </c>
      <c r="BU21" s="15">
        <f>+IFERROR(VLOOKUP($BU$17,Sheet1!BV2:BY2,3,0),0)</f>
        <v>0</v>
      </c>
      <c r="BV21" s="15" t="str">
        <f>Sheet1!E2</f>
        <v>WOOD</v>
      </c>
      <c r="BW21" s="15" t="str">
        <f>Sheet1!CV2</f>
        <v>MD0100066</v>
      </c>
      <c r="BX21" s="15" t="str">
        <f>Sheet1!CW2</f>
        <v>DRUM - 40 X 15 X 23 X 2</v>
      </c>
      <c r="BY21" s="15">
        <v>500</v>
      </c>
      <c r="BZ21" s="3">
        <f>Sheet1!BZ2</f>
        <v>5151.4799999999996</v>
      </c>
      <c r="CA21" s="3">
        <f>SUMPRODUCT($N$18:$BU$18,N21:BU21)+BZ21</f>
        <v>281513.48</v>
      </c>
      <c r="CB21" s="27">
        <f>Sheet1!CB2</f>
        <v>0</v>
      </c>
      <c r="CC21" s="3">
        <f>CA21*CB21</f>
        <v>0</v>
      </c>
      <c r="CD21" s="48">
        <v>7.0000000000000007E-2</v>
      </c>
      <c r="CE21" s="3">
        <f>CA21*CD21</f>
        <v>19705.943600000002</v>
      </c>
      <c r="CF21" s="48">
        <v>0</v>
      </c>
      <c r="CG21" s="3">
        <f>CA21*CF21</f>
        <v>0</v>
      </c>
      <c r="CH21" s="3">
        <f>CA21+CC21+CE21+CG21</f>
        <v>301219.42359999998</v>
      </c>
      <c r="CI21" s="48">
        <v>0.02</v>
      </c>
      <c r="CJ21" s="1">
        <f>CH21*CI21</f>
        <v>6024.3884719999996</v>
      </c>
      <c r="CK21" s="48">
        <v>0.01</v>
      </c>
      <c r="CL21" s="1">
        <f>CH21*CK21</f>
        <v>3012.1942359999998</v>
      </c>
    </row>
    <row r="22" spans="1:90" ht="29.25" customHeight="1" x14ac:dyDescent="0.25">
      <c r="A22" s="1" t="str">
        <f>Sheet1!A5</f>
        <v>ENQ-11584-22-23</v>
      </c>
      <c r="B22" s="50">
        <f>Sheet1!B5</f>
        <v>45231</v>
      </c>
      <c r="C22" s="1" t="str">
        <f>Sheet1!C5</f>
        <v>FA1000002</v>
      </c>
      <c r="D22" s="1" t="str">
        <f>Sheet1!D5</f>
        <v>2 CORE X 6 SQ. MM. AL/UNARD (PVC)</v>
      </c>
      <c r="E22" s="3">
        <f>CH22+CJ22+CL22</f>
        <v>26256.077728</v>
      </c>
      <c r="F22" s="61">
        <f t="shared" si="0"/>
        <v>450</v>
      </c>
      <c r="G22" s="9">
        <f>E22+F22</f>
        <v>26706.077728</v>
      </c>
      <c r="H22" s="7">
        <f>Sheet1!CP5</f>
        <v>0.18</v>
      </c>
      <c r="I22" s="9">
        <f>G22*H22</f>
        <v>4807.0939910400002</v>
      </c>
      <c r="J22" s="9">
        <f>G22+I22</f>
        <v>31513.171719040001</v>
      </c>
      <c r="K22" s="1">
        <f>Sheet1!CS5</f>
        <v>200</v>
      </c>
      <c r="L22" s="1" t="str">
        <f>Sheet1!CT5</f>
        <v>KMS</v>
      </c>
      <c r="M22" s="3">
        <f>J22*K22</f>
        <v>6302634.343808</v>
      </c>
      <c r="N22" s="2">
        <f>+IFERROR(VLOOKUP($N$17,Sheet1!J5:L5,3,0),0)</f>
        <v>32.4</v>
      </c>
      <c r="O22" s="2">
        <f>+IFERROR(VLOOKUP($O$17,Sheet1!J5:L5,3,0),0)</f>
        <v>0</v>
      </c>
      <c r="P22" s="2">
        <f>+IFERROR(VLOOKUP($P$17,Sheet1!J5:M5,3,0),0)</f>
        <v>0</v>
      </c>
      <c r="Q22" s="2">
        <f>+IFERROR(VLOOKUP($Q$17,Sheet1!J5:M5,3,0),0)</f>
        <v>0</v>
      </c>
      <c r="R22" s="2">
        <f>+IFERROR(VLOOKUP($R$17,Sheet1!J5:M5,3,0),0)</f>
        <v>0</v>
      </c>
      <c r="S22" s="2">
        <f>+IFERROR(VLOOKUP($S$17,Sheet1!N5:Q5,3,0),0)</f>
        <v>0</v>
      </c>
      <c r="T22" s="2">
        <f>+IFERROR(VLOOKUP($T$17,Sheet1!N5:Q5,3,0),0)</f>
        <v>0</v>
      </c>
      <c r="U22" s="2">
        <f>+IFERROR(VLOOKUP($U$17,Sheet1!F5:I5,3,0),0)</f>
        <v>0</v>
      </c>
      <c r="V22" s="2">
        <f>+IFERROR(VLOOKUP($V$17,Sheet1!F5:I5,3,0),0)</f>
        <v>0</v>
      </c>
      <c r="W22" s="2">
        <f>+IFERROR(VLOOKUP($W$17,Sheet1!F5:I5,3,0),0)</f>
        <v>0</v>
      </c>
      <c r="X22" s="2">
        <f>+IFERROR(VLOOKUP($X$17,Sheet1!F5:I5,3,0),0)</f>
        <v>0</v>
      </c>
      <c r="Y22" s="2">
        <f>+IFERROR(VLOOKUP($Y$17,Sheet1!F5:I5,3,0),0)</f>
        <v>0</v>
      </c>
      <c r="Z22" s="2">
        <f>+IFERROR(VLOOKUP($Z$17,Sheet1!F5:I5,3,0),0)</f>
        <v>0</v>
      </c>
      <c r="AA22" s="2">
        <f>+IFERROR(VLOOKUP($AA$17,Sheet1!F5:I5,3,0),0)</f>
        <v>0</v>
      </c>
      <c r="AB22" s="2">
        <f>+IFERROR(VLOOKUP($AB$17,Sheet1!F5:I5,3,0),0)</f>
        <v>0</v>
      </c>
      <c r="AC22" s="2">
        <f>+IFERROR(VLOOKUP($AC$17,Sheet1!R5:U5,3,0),0)</f>
        <v>0</v>
      </c>
      <c r="AD22" s="15">
        <f>+IFERROR(VLOOKUP($AD$17,Sheet1!R5:U5,2,0),0)</f>
        <v>0</v>
      </c>
      <c r="AE22" s="2">
        <f>+IFERROR(VLOOKUP($AE$17,Sheet1!V5:Y5,3,0),0)</f>
        <v>0</v>
      </c>
      <c r="AF22" s="15">
        <f>+IFERROR(VLOOKUP($AF$17,Sheet1!V5:Y5,3,0),0)</f>
        <v>0</v>
      </c>
      <c r="AG22" s="15">
        <f>+IFERROR(VLOOKUP($AG$17,Sheet1!V5:Y5,3,0),0)</f>
        <v>0</v>
      </c>
      <c r="AH22" s="15">
        <f>+IFERROR(VLOOKUP($AH$17,Sheet1!V5:Y5,3,0),0)</f>
        <v>40</v>
      </c>
      <c r="AI22" s="15">
        <f>+IFERROR(VLOOKUP($AI$17,Sheet1!V5:Y5,3,0),0)</f>
        <v>0</v>
      </c>
      <c r="AJ22" s="15">
        <f>+IFERROR(VLOOKUP($AJ$17,Sheet1!V5:Y5,3,0),0)</f>
        <v>0</v>
      </c>
      <c r="AK22" s="15">
        <f>+IFERROR(VLOOKUP($AK$17,Sheet1!Z5:AB5,3,0),0)</f>
        <v>0</v>
      </c>
      <c r="AL22" s="15">
        <f>+IFERROR(VLOOKUP($AL$17,Sheet1!AD5:AG5,3,0),0)</f>
        <v>0</v>
      </c>
      <c r="AM22" s="15">
        <f>+IFERROR(VLOOKUP($AM$17,Sheet1!AD5:AG5,3,0),0)</f>
        <v>0</v>
      </c>
      <c r="AN22" s="15">
        <f>+IFERROR(VLOOKUP($AN$17,Sheet1!AD5:AG5,3,0),0)</f>
        <v>0</v>
      </c>
      <c r="AO22" s="15">
        <f>+IFERROR(VLOOKUP($AO$17,Sheet1!AD5:AG5,3,0),0)</f>
        <v>68</v>
      </c>
      <c r="AP22" s="15">
        <f>+IFERROR(VLOOKUP($AP$17,Sheet1!AD5:AG5,3,0),0)</f>
        <v>0</v>
      </c>
      <c r="AQ22" s="15">
        <f>+IFERROR(VLOOKUP($AQ$17,Sheet1!AD5:AG5,3,0),0)</f>
        <v>0</v>
      </c>
      <c r="AR22" s="15">
        <f>+IFERROR(VLOOKUP($AR$17,Sheet1!AD5:AG5,3,0),0)</f>
        <v>0</v>
      </c>
      <c r="AS22" s="15">
        <f>+IFERROR(VLOOKUP($AS$17,Sheet1!AH5:AK5,3,0),0)</f>
        <v>0</v>
      </c>
      <c r="AT22" s="15">
        <f>+IFERROR(VLOOKUP($AT$17,Sheet1!AH5:AK5,3,0),0)</f>
        <v>0</v>
      </c>
      <c r="AU22" s="15">
        <f>+IFERROR(VLOOKUP($AU$17,Sheet1!AH5:AK5,3,0),0)</f>
        <v>0</v>
      </c>
      <c r="AV22" s="15">
        <f>+IFERROR(VLOOKUP($AV$17,Sheet1!AH5:AK5,3,0),0)</f>
        <v>0</v>
      </c>
      <c r="AW22" s="15">
        <f>+IFERROR(VLOOKUP($AW$17,Sheet1!AH5:AK5,3,0),0)</f>
        <v>0</v>
      </c>
      <c r="AX22" s="15">
        <f>+IFERROR(VLOOKUP($AX$17,Sheet1!AH5:AK5,3,0),0)</f>
        <v>0</v>
      </c>
      <c r="AY22" s="15">
        <f>+IFERROR(VLOOKUP($AY$17,Sheet1!AH5:AK5,3,0),0)</f>
        <v>0</v>
      </c>
      <c r="AZ22" s="15">
        <f>+IFERROR(VLOOKUP($AZ$17,Sheet1!AH5:AK5,3,0),0)</f>
        <v>0</v>
      </c>
      <c r="BA22" s="15">
        <f>+IFERROR(VLOOKUP($BA$17,Sheet1!AH5:AK5,3,0),0)</f>
        <v>0</v>
      </c>
      <c r="BB22" s="15">
        <f>+IFERROR(VLOOKUP($BB$17,Sheet1!AH5:AK5,3,0),0)</f>
        <v>0</v>
      </c>
      <c r="BC22" s="15">
        <f>+IFERROR(VLOOKUP($BC$17,Sheet1!AL5:AO5,3,0),0)</f>
        <v>0</v>
      </c>
      <c r="BD22" s="15">
        <f>+IFERROR(VLOOKUP($BD$17,Sheet1!AL5:AO5,3,0),0)</f>
        <v>0</v>
      </c>
      <c r="BE22" s="15">
        <f>+IFERROR(VLOOKUP($BE$17,Sheet1!AL5:AO5,3,0),0)</f>
        <v>0</v>
      </c>
      <c r="BF22" s="15">
        <f>+IFERROR(VLOOKUP($BF$17,Sheet1!AL5:AO5,3,0),0)</f>
        <v>0</v>
      </c>
      <c r="BG22" s="15">
        <f>+IFERROR(VLOOKUP($BG$17,Sheet1!AL5:AO5,3,0),0)</f>
        <v>0</v>
      </c>
      <c r="BH22" s="15">
        <f>+IFERROR(VLOOKUP($BH$17,Sheet1!AL5:AO5,3,0),0)</f>
        <v>0</v>
      </c>
      <c r="BI22" s="15">
        <f>+IFERROR(VLOOKUP($BI$17,Sheet1!AL5:AO5,3,0),0)</f>
        <v>109</v>
      </c>
      <c r="BJ22" s="15">
        <f>+IFERROR(VLOOKUP($BJ$17,Sheet1!AL5:AO5,3,0),0)</f>
        <v>0</v>
      </c>
      <c r="BK22" s="15">
        <f>+IFERROR(VLOOKUP($BK$17,Sheet1!AL5:AO5,3,0),0)</f>
        <v>0</v>
      </c>
      <c r="BL22" s="15">
        <f>+IFERROR(VLOOKUP($BL$17,Sheet1!AL5:AO5,3,0),0)</f>
        <v>0</v>
      </c>
      <c r="BM22" s="15">
        <f>+IFERROR(VLOOKUP($BM$17,Sheet1!AP5:AS5,3,0),0)</f>
        <v>0</v>
      </c>
      <c r="BN22" s="15">
        <f>+IFERROR(VLOOKUP($BN$17,Sheet1!AT5:AW5,3,0),0)</f>
        <v>0</v>
      </c>
      <c r="BO22" s="15">
        <f>+IFERROR(VLOOKUP($BO$17,Sheet1!AX5:BA5,3,0),0)</f>
        <v>0</v>
      </c>
      <c r="BP22" s="15">
        <f>+IFERROR(VLOOKUP($BP$17,Sheet1!BB5:BE5,3,0),0)</f>
        <v>0</v>
      </c>
      <c r="BQ22" s="15">
        <f>+IFERROR(VLOOKUP($BQ$17,Sheet1!BF5:BI5,3,0),0)</f>
        <v>0</v>
      </c>
      <c r="BR22" s="15">
        <f>+IFERROR(VLOOKUP($BR$17,Sheet1!BJ5:BM5,3,0),0)</f>
        <v>0</v>
      </c>
      <c r="BS22" s="15">
        <f>+IFERROR(VLOOKUP($BS$17,Sheet1!BN5:BQ5,3,0),0)</f>
        <v>0</v>
      </c>
      <c r="BT22" s="15">
        <f>+IFERROR(VLOOKUP($BT$17,Sheet1!BR5:BU5,3,0),0)</f>
        <v>0</v>
      </c>
      <c r="BU22" s="15">
        <f>+IFERROR(VLOOKUP($BU$17,Sheet1!BV5:BY5,3,0),0)</f>
        <v>0</v>
      </c>
      <c r="BV22" s="15" t="str">
        <f>Sheet1!E5</f>
        <v>WOOD</v>
      </c>
      <c r="BW22" s="15" t="str">
        <f>Sheet1!CV5</f>
        <v>MD0100004</v>
      </c>
      <c r="BX22" s="15" t="str">
        <f>Sheet1!CW5</f>
        <v>DRUM - 28 X 10 X 23 X 2</v>
      </c>
      <c r="BY22" s="15">
        <v>500</v>
      </c>
      <c r="BZ22" s="3">
        <f>Sheet1!BZ5</f>
        <v>3751.68</v>
      </c>
      <c r="CA22" s="3">
        <f>SUMPRODUCT($N$18:$BU$18,N22:BU22)+BZ22</f>
        <v>23823.68</v>
      </c>
      <c r="CB22" s="27">
        <f>Sheet1!CB5</f>
        <v>0</v>
      </c>
      <c r="CC22" s="3">
        <f>CA22*CB22</f>
        <v>0</v>
      </c>
      <c r="CD22" s="48">
        <v>7.0000000000000007E-2</v>
      </c>
      <c r="CE22" s="3">
        <f>CA22*CD22</f>
        <v>1667.6576000000002</v>
      </c>
      <c r="CF22" s="48">
        <v>0</v>
      </c>
      <c r="CG22" s="3">
        <f>CA22*CF22</f>
        <v>0</v>
      </c>
      <c r="CH22" s="3">
        <f>CA22+CC22+CE22+CG22</f>
        <v>25491.337599999999</v>
      </c>
      <c r="CI22" s="48">
        <v>0.02</v>
      </c>
      <c r="CJ22" s="1">
        <f>CH22*CI22</f>
        <v>509.826752</v>
      </c>
      <c r="CK22" s="48">
        <v>0.01</v>
      </c>
      <c r="CL22" s="1">
        <f>CH22*CK22</f>
        <v>254.913376</v>
      </c>
    </row>
    <row r="24" spans="1:90" ht="30" x14ac:dyDescent="0.25">
      <c r="E24" s="2" t="s">
        <v>185</v>
      </c>
      <c r="F24" s="2" t="s">
        <v>186</v>
      </c>
      <c r="G24" s="56" t="s">
        <v>187</v>
      </c>
      <c r="H24" s="2" t="s">
        <v>188</v>
      </c>
      <c r="I24" s="2" t="s">
        <v>189</v>
      </c>
      <c r="J24" s="2" t="s">
        <v>190</v>
      </c>
      <c r="K24" s="2" t="s">
        <v>191</v>
      </c>
      <c r="L24" s="2" t="s">
        <v>192</v>
      </c>
      <c r="M24" s="57" t="s">
        <v>193</v>
      </c>
    </row>
    <row r="25" spans="1:90" ht="30" x14ac:dyDescent="0.25">
      <c r="D25" s="30" t="str">
        <f>D19</f>
        <v>4 CORE X 2.5 SQ. MM. CU/ARD - WIRE (PVC)</v>
      </c>
      <c r="E25" s="56">
        <f>K19</f>
        <v>60</v>
      </c>
      <c r="F25" s="58">
        <v>0.5</v>
      </c>
      <c r="G25" s="56" t="s">
        <v>194</v>
      </c>
      <c r="H25" s="59">
        <v>18000</v>
      </c>
      <c r="I25" s="58">
        <v>36</v>
      </c>
      <c r="J25" s="56">
        <f>F25*I25</f>
        <v>18</v>
      </c>
      <c r="K25" s="56">
        <f>ROUNDUP((E25/J25),0)</f>
        <v>4</v>
      </c>
      <c r="L25" s="56">
        <f>M25*E25</f>
        <v>72000</v>
      </c>
      <c r="M25" s="60">
        <f>(H25*K25)/E25</f>
        <v>1200</v>
      </c>
    </row>
    <row r="26" spans="1:90" ht="30" x14ac:dyDescent="0.25">
      <c r="D26" s="30" t="str">
        <f t="shared" ref="D26:D28" si="1">D20</f>
        <v>8 CORE X 2.5 SQ. MM. CU/ARD - WIRE (PVC)</v>
      </c>
      <c r="E26" s="56">
        <f t="shared" ref="E26:E28" si="2">K20</f>
        <v>40</v>
      </c>
      <c r="F26" s="58">
        <v>0.5</v>
      </c>
      <c r="G26" s="56" t="s">
        <v>194</v>
      </c>
      <c r="H26" s="59">
        <v>18000</v>
      </c>
      <c r="I26" s="58">
        <v>27</v>
      </c>
      <c r="J26" s="56">
        <f t="shared" ref="J26:J28" si="3">F26*I26</f>
        <v>13.5</v>
      </c>
      <c r="K26" s="56">
        <f t="shared" ref="K26:K28" si="4">ROUNDUP((E26/J26),0)</f>
        <v>3</v>
      </c>
      <c r="L26" s="56">
        <f t="shared" ref="L26:L28" si="5">M26*E26</f>
        <v>54000</v>
      </c>
      <c r="M26" s="60">
        <f t="shared" ref="M26:M28" si="6">(H26*K26)/E26</f>
        <v>1350</v>
      </c>
    </row>
    <row r="27" spans="1:90" ht="30" x14ac:dyDescent="0.25">
      <c r="D27" s="30" t="str">
        <f t="shared" si="1"/>
        <v>12 CORE X 2.5 SQ. MM. CU/ARD - WIRE (PVC)</v>
      </c>
      <c r="E27" s="56">
        <f t="shared" si="2"/>
        <v>40</v>
      </c>
      <c r="F27" s="58">
        <v>0.5</v>
      </c>
      <c r="G27" s="56" t="s">
        <v>194</v>
      </c>
      <c r="H27" s="59">
        <v>18000</v>
      </c>
      <c r="I27" s="58">
        <v>27</v>
      </c>
      <c r="J27" s="56">
        <f t="shared" si="3"/>
        <v>13.5</v>
      </c>
      <c r="K27" s="56">
        <f t="shared" si="4"/>
        <v>3</v>
      </c>
      <c r="L27" s="56">
        <f t="shared" si="5"/>
        <v>54000</v>
      </c>
      <c r="M27" s="60">
        <f t="shared" si="6"/>
        <v>1350</v>
      </c>
    </row>
    <row r="28" spans="1:90" ht="30" x14ac:dyDescent="0.25">
      <c r="D28" s="30" t="str">
        <f t="shared" si="1"/>
        <v>2 CORE X 6 SQ. MM. AL/UNARD (PVC)</v>
      </c>
      <c r="E28" s="56">
        <f t="shared" si="2"/>
        <v>200</v>
      </c>
      <c r="F28" s="58">
        <v>0.5</v>
      </c>
      <c r="G28" s="56" t="s">
        <v>194</v>
      </c>
      <c r="H28" s="59">
        <v>18000</v>
      </c>
      <c r="I28" s="58">
        <v>80</v>
      </c>
      <c r="J28" s="56">
        <f t="shared" si="3"/>
        <v>40</v>
      </c>
      <c r="K28" s="56">
        <f t="shared" si="4"/>
        <v>5</v>
      </c>
      <c r="L28" s="56">
        <f t="shared" si="5"/>
        <v>90000</v>
      </c>
      <c r="M28" s="60">
        <f t="shared" si="6"/>
        <v>450</v>
      </c>
    </row>
    <row r="29" spans="1:90" x14ac:dyDescent="0.25">
      <c r="I29" t="s">
        <v>234</v>
      </c>
    </row>
  </sheetData>
  <mergeCells count="20">
    <mergeCell ref="A2:R2"/>
    <mergeCell ref="AL16:AR16"/>
    <mergeCell ref="AS16:BB16"/>
    <mergeCell ref="BC16:BL16"/>
    <mergeCell ref="N16:R16"/>
    <mergeCell ref="S16:T16"/>
    <mergeCell ref="U16:AB16"/>
    <mergeCell ref="AC16:AD16"/>
    <mergeCell ref="AE16:AJ16"/>
    <mergeCell ref="B11:R11"/>
    <mergeCell ref="B12:R12"/>
    <mergeCell ref="B13:R13"/>
    <mergeCell ref="B14:R14"/>
    <mergeCell ref="B4:R4"/>
    <mergeCell ref="B5:R5"/>
    <mergeCell ref="B6:R6"/>
    <mergeCell ref="B7:R7"/>
    <mergeCell ref="B8:R8"/>
    <mergeCell ref="B9:R9"/>
    <mergeCell ref="B10:R10"/>
  </mergeCells>
  <dataValidations count="1">
    <dataValidation type="list" allowBlank="1" showInputMessage="1" showErrorMessage="1" sqref="G25:G28" xr:uid="{0EF15298-5A4C-4843-A0AF-FD7164A4DB84}">
      <formula1>$Q$4:$Q$6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07D9-6878-4EA9-A005-22266F3F7CE4}">
  <sheetPr>
    <tabColor rgb="FFFF0000"/>
  </sheetPr>
  <dimension ref="A1:AV17"/>
  <sheetViews>
    <sheetView showZeros="0" topLeftCell="A7" zoomScaleNormal="100" workbookViewId="0">
      <selection activeCell="AL17" sqref="AL17"/>
    </sheetView>
  </sheetViews>
  <sheetFormatPr defaultRowHeight="12.75" x14ac:dyDescent="0.2"/>
  <cols>
    <col min="1" max="1" width="41" style="64" customWidth="1"/>
    <col min="2" max="2" width="13.140625" style="64" customWidth="1"/>
    <col min="3" max="3" width="15.28515625" style="64" bestFit="1" customWidth="1"/>
    <col min="4" max="4" width="10.7109375" style="64" bestFit="1" customWidth="1"/>
    <col min="5" max="5" width="9.42578125" style="64" bestFit="1" customWidth="1"/>
    <col min="6" max="6" width="9.42578125" style="64" customWidth="1"/>
    <col min="7" max="7" width="9.42578125" style="64" bestFit="1" customWidth="1"/>
    <col min="8" max="8" width="10.42578125" style="64" bestFit="1" customWidth="1"/>
    <col min="9" max="9" width="9.42578125" style="64" bestFit="1" customWidth="1"/>
    <col min="10" max="10" width="10.140625" style="64" bestFit="1" customWidth="1"/>
    <col min="11" max="11" width="9.140625" style="64"/>
    <col min="12" max="13" width="8.42578125" style="64" bestFit="1" customWidth="1"/>
    <col min="14" max="14" width="7.42578125" style="64" customWidth="1"/>
    <col min="15" max="15" width="10.42578125" style="64" bestFit="1" customWidth="1"/>
    <col min="16" max="18" width="12" style="64" bestFit="1" customWidth="1"/>
    <col min="19" max="19" width="10.42578125" style="64" bestFit="1" customWidth="1"/>
    <col min="20" max="20" width="14.42578125" style="64" bestFit="1" customWidth="1"/>
    <col min="21" max="21" width="9.7109375" style="64" bestFit="1" customWidth="1"/>
    <col min="22" max="22" width="7.5703125" style="64" bestFit="1" customWidth="1"/>
    <col min="23" max="23" width="7.28515625" style="64" bestFit="1" customWidth="1"/>
    <col min="24" max="24" width="9.140625" style="64" bestFit="1" customWidth="1"/>
    <col min="25" max="26" width="8.85546875" style="64" customWidth="1"/>
    <col min="27" max="27" width="9.85546875" style="64" bestFit="1" customWidth="1"/>
    <col min="28" max="28" width="11.7109375" style="64" bestFit="1" customWidth="1"/>
    <col min="29" max="30" width="9.85546875" style="64" bestFit="1" customWidth="1"/>
    <col min="31" max="31" width="10.42578125" style="64" bestFit="1" customWidth="1"/>
    <col min="32" max="32" width="9.5703125" style="64" bestFit="1" customWidth="1"/>
    <col min="33" max="33" width="10.5703125" style="64" bestFit="1" customWidth="1"/>
    <col min="34" max="34" width="8.5703125" style="64" bestFit="1" customWidth="1"/>
    <col min="35" max="35" width="7.85546875" style="64" customWidth="1"/>
    <col min="36" max="36" width="6.28515625" style="64" bestFit="1" customWidth="1"/>
    <col min="37" max="37" width="5.28515625" style="64" bestFit="1" customWidth="1"/>
    <col min="38" max="38" width="5" style="64" bestFit="1" customWidth="1"/>
    <col min="39" max="39" width="9.140625" style="64"/>
    <col min="40" max="40" width="10.5703125" style="64" bestFit="1" customWidth="1"/>
    <col min="41" max="41" width="9.140625" style="64"/>
    <col min="42" max="42" width="10.5703125" style="64" bestFit="1" customWidth="1"/>
    <col min="43" max="43" width="11.140625" style="64" bestFit="1" customWidth="1"/>
    <col min="44" max="254" width="9.140625" style="64"/>
    <col min="255" max="255" width="41" style="64" customWidth="1"/>
    <col min="256" max="256" width="13.140625" style="64" customWidth="1"/>
    <col min="257" max="257" width="10.140625" style="64" customWidth="1"/>
    <col min="258" max="258" width="10.42578125" style="64" bestFit="1" customWidth="1"/>
    <col min="259" max="260" width="9.42578125" style="64" bestFit="1" customWidth="1"/>
    <col min="261" max="261" width="10.140625" style="64" bestFit="1" customWidth="1"/>
    <col min="262" max="263" width="9.140625" style="64"/>
    <col min="264" max="264" width="7.28515625" style="64" customWidth="1"/>
    <col min="265" max="265" width="7.42578125" style="64" customWidth="1"/>
    <col min="266" max="266" width="9.42578125" style="64" bestFit="1" customWidth="1"/>
    <col min="267" max="267" width="12" style="64" bestFit="1" customWidth="1"/>
    <col min="268" max="269" width="10" style="64" bestFit="1" customWidth="1"/>
    <col min="270" max="270" width="14.42578125" style="64" bestFit="1" customWidth="1"/>
    <col min="271" max="281" width="0" style="64" hidden="1" customWidth="1"/>
    <col min="282" max="510" width="9.140625" style="64"/>
    <col min="511" max="511" width="41" style="64" customWidth="1"/>
    <col min="512" max="512" width="13.140625" style="64" customWidth="1"/>
    <col min="513" max="513" width="10.140625" style="64" customWidth="1"/>
    <col min="514" max="514" width="10.42578125" style="64" bestFit="1" customWidth="1"/>
    <col min="515" max="516" width="9.42578125" style="64" bestFit="1" customWidth="1"/>
    <col min="517" max="517" width="10.140625" style="64" bestFit="1" customWidth="1"/>
    <col min="518" max="519" width="9.140625" style="64"/>
    <col min="520" max="520" width="7.28515625" style="64" customWidth="1"/>
    <col min="521" max="521" width="7.42578125" style="64" customWidth="1"/>
    <col min="522" max="522" width="9.42578125" style="64" bestFit="1" customWidth="1"/>
    <col min="523" max="523" width="12" style="64" bestFit="1" customWidth="1"/>
    <col min="524" max="525" width="10" style="64" bestFit="1" customWidth="1"/>
    <col min="526" max="526" width="14.42578125" style="64" bestFit="1" customWidth="1"/>
    <col min="527" max="537" width="0" style="64" hidden="1" customWidth="1"/>
    <col min="538" max="766" width="9.140625" style="64"/>
    <col min="767" max="767" width="41" style="64" customWidth="1"/>
    <col min="768" max="768" width="13.140625" style="64" customWidth="1"/>
    <col min="769" max="769" width="10.140625" style="64" customWidth="1"/>
    <col min="770" max="770" width="10.42578125" style="64" bestFit="1" customWidth="1"/>
    <col min="771" max="772" width="9.42578125" style="64" bestFit="1" customWidth="1"/>
    <col min="773" max="773" width="10.140625" style="64" bestFit="1" customWidth="1"/>
    <col min="774" max="775" width="9.140625" style="64"/>
    <col min="776" max="776" width="7.28515625" style="64" customWidth="1"/>
    <col min="777" max="777" width="7.42578125" style="64" customWidth="1"/>
    <col min="778" max="778" width="9.42578125" style="64" bestFit="1" customWidth="1"/>
    <col min="779" max="779" width="12" style="64" bestFit="1" customWidth="1"/>
    <col min="780" max="781" width="10" style="64" bestFit="1" customWidth="1"/>
    <col min="782" max="782" width="14.42578125" style="64" bestFit="1" customWidth="1"/>
    <col min="783" max="793" width="0" style="64" hidden="1" customWidth="1"/>
    <col min="794" max="1022" width="9.140625" style="64"/>
    <col min="1023" max="1023" width="41" style="64" customWidth="1"/>
    <col min="1024" max="1024" width="13.140625" style="64" customWidth="1"/>
    <col min="1025" max="1025" width="10.140625" style="64" customWidth="1"/>
    <col min="1026" max="1026" width="10.42578125" style="64" bestFit="1" customWidth="1"/>
    <col min="1027" max="1028" width="9.42578125" style="64" bestFit="1" customWidth="1"/>
    <col min="1029" max="1029" width="10.140625" style="64" bestFit="1" customWidth="1"/>
    <col min="1030" max="1031" width="9.140625" style="64"/>
    <col min="1032" max="1032" width="7.28515625" style="64" customWidth="1"/>
    <col min="1033" max="1033" width="7.42578125" style="64" customWidth="1"/>
    <col min="1034" max="1034" width="9.42578125" style="64" bestFit="1" customWidth="1"/>
    <col min="1035" max="1035" width="12" style="64" bestFit="1" customWidth="1"/>
    <col min="1036" max="1037" width="10" style="64" bestFit="1" customWidth="1"/>
    <col min="1038" max="1038" width="14.42578125" style="64" bestFit="1" customWidth="1"/>
    <col min="1039" max="1049" width="0" style="64" hidden="1" customWidth="1"/>
    <col min="1050" max="1278" width="9.140625" style="64"/>
    <col min="1279" max="1279" width="41" style="64" customWidth="1"/>
    <col min="1280" max="1280" width="13.140625" style="64" customWidth="1"/>
    <col min="1281" max="1281" width="10.140625" style="64" customWidth="1"/>
    <col min="1282" max="1282" width="10.42578125" style="64" bestFit="1" customWidth="1"/>
    <col min="1283" max="1284" width="9.42578125" style="64" bestFit="1" customWidth="1"/>
    <col min="1285" max="1285" width="10.140625" style="64" bestFit="1" customWidth="1"/>
    <col min="1286" max="1287" width="9.140625" style="64"/>
    <col min="1288" max="1288" width="7.28515625" style="64" customWidth="1"/>
    <col min="1289" max="1289" width="7.42578125" style="64" customWidth="1"/>
    <col min="1290" max="1290" width="9.42578125" style="64" bestFit="1" customWidth="1"/>
    <col min="1291" max="1291" width="12" style="64" bestFit="1" customWidth="1"/>
    <col min="1292" max="1293" width="10" style="64" bestFit="1" customWidth="1"/>
    <col min="1294" max="1294" width="14.42578125" style="64" bestFit="1" customWidth="1"/>
    <col min="1295" max="1305" width="0" style="64" hidden="1" customWidth="1"/>
    <col min="1306" max="1534" width="9.140625" style="64"/>
    <col min="1535" max="1535" width="41" style="64" customWidth="1"/>
    <col min="1536" max="1536" width="13.140625" style="64" customWidth="1"/>
    <col min="1537" max="1537" width="10.140625" style="64" customWidth="1"/>
    <col min="1538" max="1538" width="10.42578125" style="64" bestFit="1" customWidth="1"/>
    <col min="1539" max="1540" width="9.42578125" style="64" bestFit="1" customWidth="1"/>
    <col min="1541" max="1541" width="10.140625" style="64" bestFit="1" customWidth="1"/>
    <col min="1542" max="1543" width="9.140625" style="64"/>
    <col min="1544" max="1544" width="7.28515625" style="64" customWidth="1"/>
    <col min="1545" max="1545" width="7.42578125" style="64" customWidth="1"/>
    <col min="1546" max="1546" width="9.42578125" style="64" bestFit="1" customWidth="1"/>
    <col min="1547" max="1547" width="12" style="64" bestFit="1" customWidth="1"/>
    <col min="1548" max="1549" width="10" style="64" bestFit="1" customWidth="1"/>
    <col min="1550" max="1550" width="14.42578125" style="64" bestFit="1" customWidth="1"/>
    <col min="1551" max="1561" width="0" style="64" hidden="1" customWidth="1"/>
    <col min="1562" max="1790" width="9.140625" style="64"/>
    <col min="1791" max="1791" width="41" style="64" customWidth="1"/>
    <col min="1792" max="1792" width="13.140625" style="64" customWidth="1"/>
    <col min="1793" max="1793" width="10.140625" style="64" customWidth="1"/>
    <col min="1794" max="1794" width="10.42578125" style="64" bestFit="1" customWidth="1"/>
    <col min="1795" max="1796" width="9.42578125" style="64" bestFit="1" customWidth="1"/>
    <col min="1797" max="1797" width="10.140625" style="64" bestFit="1" customWidth="1"/>
    <col min="1798" max="1799" width="9.140625" style="64"/>
    <col min="1800" max="1800" width="7.28515625" style="64" customWidth="1"/>
    <col min="1801" max="1801" width="7.42578125" style="64" customWidth="1"/>
    <col min="1802" max="1802" width="9.42578125" style="64" bestFit="1" customWidth="1"/>
    <col min="1803" max="1803" width="12" style="64" bestFit="1" customWidth="1"/>
    <col min="1804" max="1805" width="10" style="64" bestFit="1" customWidth="1"/>
    <col min="1806" max="1806" width="14.42578125" style="64" bestFit="1" customWidth="1"/>
    <col min="1807" max="1817" width="0" style="64" hidden="1" customWidth="1"/>
    <col min="1818" max="2046" width="9.140625" style="64"/>
    <col min="2047" max="2047" width="41" style="64" customWidth="1"/>
    <col min="2048" max="2048" width="13.140625" style="64" customWidth="1"/>
    <col min="2049" max="2049" width="10.140625" style="64" customWidth="1"/>
    <col min="2050" max="2050" width="10.42578125" style="64" bestFit="1" customWidth="1"/>
    <col min="2051" max="2052" width="9.42578125" style="64" bestFit="1" customWidth="1"/>
    <col min="2053" max="2053" width="10.140625" style="64" bestFit="1" customWidth="1"/>
    <col min="2054" max="2055" width="9.140625" style="64"/>
    <col min="2056" max="2056" width="7.28515625" style="64" customWidth="1"/>
    <col min="2057" max="2057" width="7.42578125" style="64" customWidth="1"/>
    <col min="2058" max="2058" width="9.42578125" style="64" bestFit="1" customWidth="1"/>
    <col min="2059" max="2059" width="12" style="64" bestFit="1" customWidth="1"/>
    <col min="2060" max="2061" width="10" style="64" bestFit="1" customWidth="1"/>
    <col min="2062" max="2062" width="14.42578125" style="64" bestFit="1" customWidth="1"/>
    <col min="2063" max="2073" width="0" style="64" hidden="1" customWidth="1"/>
    <col min="2074" max="2302" width="9.140625" style="64"/>
    <col min="2303" max="2303" width="41" style="64" customWidth="1"/>
    <col min="2304" max="2304" width="13.140625" style="64" customWidth="1"/>
    <col min="2305" max="2305" width="10.140625" style="64" customWidth="1"/>
    <col min="2306" max="2306" width="10.42578125" style="64" bestFit="1" customWidth="1"/>
    <col min="2307" max="2308" width="9.42578125" style="64" bestFit="1" customWidth="1"/>
    <col min="2309" max="2309" width="10.140625" style="64" bestFit="1" customWidth="1"/>
    <col min="2310" max="2311" width="9.140625" style="64"/>
    <col min="2312" max="2312" width="7.28515625" style="64" customWidth="1"/>
    <col min="2313" max="2313" width="7.42578125" style="64" customWidth="1"/>
    <col min="2314" max="2314" width="9.42578125" style="64" bestFit="1" customWidth="1"/>
    <col min="2315" max="2315" width="12" style="64" bestFit="1" customWidth="1"/>
    <col min="2316" max="2317" width="10" style="64" bestFit="1" customWidth="1"/>
    <col min="2318" max="2318" width="14.42578125" style="64" bestFit="1" customWidth="1"/>
    <col min="2319" max="2329" width="0" style="64" hidden="1" customWidth="1"/>
    <col min="2330" max="2558" width="9.140625" style="64"/>
    <col min="2559" max="2559" width="41" style="64" customWidth="1"/>
    <col min="2560" max="2560" width="13.140625" style="64" customWidth="1"/>
    <col min="2561" max="2561" width="10.140625" style="64" customWidth="1"/>
    <col min="2562" max="2562" width="10.42578125" style="64" bestFit="1" customWidth="1"/>
    <col min="2563" max="2564" width="9.42578125" style="64" bestFit="1" customWidth="1"/>
    <col min="2565" max="2565" width="10.140625" style="64" bestFit="1" customWidth="1"/>
    <col min="2566" max="2567" width="9.140625" style="64"/>
    <col min="2568" max="2568" width="7.28515625" style="64" customWidth="1"/>
    <col min="2569" max="2569" width="7.42578125" style="64" customWidth="1"/>
    <col min="2570" max="2570" width="9.42578125" style="64" bestFit="1" customWidth="1"/>
    <col min="2571" max="2571" width="12" style="64" bestFit="1" customWidth="1"/>
    <col min="2572" max="2573" width="10" style="64" bestFit="1" customWidth="1"/>
    <col min="2574" max="2574" width="14.42578125" style="64" bestFit="1" customWidth="1"/>
    <col min="2575" max="2585" width="0" style="64" hidden="1" customWidth="1"/>
    <col min="2586" max="2814" width="9.140625" style="64"/>
    <col min="2815" max="2815" width="41" style="64" customWidth="1"/>
    <col min="2816" max="2816" width="13.140625" style="64" customWidth="1"/>
    <col min="2817" max="2817" width="10.140625" style="64" customWidth="1"/>
    <col min="2818" max="2818" width="10.42578125" style="64" bestFit="1" customWidth="1"/>
    <col min="2819" max="2820" width="9.42578125" style="64" bestFit="1" customWidth="1"/>
    <col min="2821" max="2821" width="10.140625" style="64" bestFit="1" customWidth="1"/>
    <col min="2822" max="2823" width="9.140625" style="64"/>
    <col min="2824" max="2824" width="7.28515625" style="64" customWidth="1"/>
    <col min="2825" max="2825" width="7.42578125" style="64" customWidth="1"/>
    <col min="2826" max="2826" width="9.42578125" style="64" bestFit="1" customWidth="1"/>
    <col min="2827" max="2827" width="12" style="64" bestFit="1" customWidth="1"/>
    <col min="2828" max="2829" width="10" style="64" bestFit="1" customWidth="1"/>
    <col min="2830" max="2830" width="14.42578125" style="64" bestFit="1" customWidth="1"/>
    <col min="2831" max="2841" width="0" style="64" hidden="1" customWidth="1"/>
    <col min="2842" max="3070" width="9.140625" style="64"/>
    <col min="3071" max="3071" width="41" style="64" customWidth="1"/>
    <col min="3072" max="3072" width="13.140625" style="64" customWidth="1"/>
    <col min="3073" max="3073" width="10.140625" style="64" customWidth="1"/>
    <col min="3074" max="3074" width="10.42578125" style="64" bestFit="1" customWidth="1"/>
    <col min="3075" max="3076" width="9.42578125" style="64" bestFit="1" customWidth="1"/>
    <col min="3077" max="3077" width="10.140625" style="64" bestFit="1" customWidth="1"/>
    <col min="3078" max="3079" width="9.140625" style="64"/>
    <col min="3080" max="3080" width="7.28515625" style="64" customWidth="1"/>
    <col min="3081" max="3081" width="7.42578125" style="64" customWidth="1"/>
    <col min="3082" max="3082" width="9.42578125" style="64" bestFit="1" customWidth="1"/>
    <col min="3083" max="3083" width="12" style="64" bestFit="1" customWidth="1"/>
    <col min="3084" max="3085" width="10" style="64" bestFit="1" customWidth="1"/>
    <col min="3086" max="3086" width="14.42578125" style="64" bestFit="1" customWidth="1"/>
    <col min="3087" max="3097" width="0" style="64" hidden="1" customWidth="1"/>
    <col min="3098" max="3326" width="9.140625" style="64"/>
    <col min="3327" max="3327" width="41" style="64" customWidth="1"/>
    <col min="3328" max="3328" width="13.140625" style="64" customWidth="1"/>
    <col min="3329" max="3329" width="10.140625" style="64" customWidth="1"/>
    <col min="3330" max="3330" width="10.42578125" style="64" bestFit="1" customWidth="1"/>
    <col min="3331" max="3332" width="9.42578125" style="64" bestFit="1" customWidth="1"/>
    <col min="3333" max="3333" width="10.140625" style="64" bestFit="1" customWidth="1"/>
    <col min="3334" max="3335" width="9.140625" style="64"/>
    <col min="3336" max="3336" width="7.28515625" style="64" customWidth="1"/>
    <col min="3337" max="3337" width="7.42578125" style="64" customWidth="1"/>
    <col min="3338" max="3338" width="9.42578125" style="64" bestFit="1" customWidth="1"/>
    <col min="3339" max="3339" width="12" style="64" bestFit="1" customWidth="1"/>
    <col min="3340" max="3341" width="10" style="64" bestFit="1" customWidth="1"/>
    <col min="3342" max="3342" width="14.42578125" style="64" bestFit="1" customWidth="1"/>
    <col min="3343" max="3353" width="0" style="64" hidden="1" customWidth="1"/>
    <col min="3354" max="3582" width="9.140625" style="64"/>
    <col min="3583" max="3583" width="41" style="64" customWidth="1"/>
    <col min="3584" max="3584" width="13.140625" style="64" customWidth="1"/>
    <col min="3585" max="3585" width="10.140625" style="64" customWidth="1"/>
    <col min="3586" max="3586" width="10.42578125" style="64" bestFit="1" customWidth="1"/>
    <col min="3587" max="3588" width="9.42578125" style="64" bestFit="1" customWidth="1"/>
    <col min="3589" max="3589" width="10.140625" style="64" bestFit="1" customWidth="1"/>
    <col min="3590" max="3591" width="9.140625" style="64"/>
    <col min="3592" max="3592" width="7.28515625" style="64" customWidth="1"/>
    <col min="3593" max="3593" width="7.42578125" style="64" customWidth="1"/>
    <col min="3594" max="3594" width="9.42578125" style="64" bestFit="1" customWidth="1"/>
    <col min="3595" max="3595" width="12" style="64" bestFit="1" customWidth="1"/>
    <col min="3596" max="3597" width="10" style="64" bestFit="1" customWidth="1"/>
    <col min="3598" max="3598" width="14.42578125" style="64" bestFit="1" customWidth="1"/>
    <col min="3599" max="3609" width="0" style="64" hidden="1" customWidth="1"/>
    <col min="3610" max="3838" width="9.140625" style="64"/>
    <col min="3839" max="3839" width="41" style="64" customWidth="1"/>
    <col min="3840" max="3840" width="13.140625" style="64" customWidth="1"/>
    <col min="3841" max="3841" width="10.140625" style="64" customWidth="1"/>
    <col min="3842" max="3842" width="10.42578125" style="64" bestFit="1" customWidth="1"/>
    <col min="3843" max="3844" width="9.42578125" style="64" bestFit="1" customWidth="1"/>
    <col min="3845" max="3845" width="10.140625" style="64" bestFit="1" customWidth="1"/>
    <col min="3846" max="3847" width="9.140625" style="64"/>
    <col min="3848" max="3848" width="7.28515625" style="64" customWidth="1"/>
    <col min="3849" max="3849" width="7.42578125" style="64" customWidth="1"/>
    <col min="3850" max="3850" width="9.42578125" style="64" bestFit="1" customWidth="1"/>
    <col min="3851" max="3851" width="12" style="64" bestFit="1" customWidth="1"/>
    <col min="3852" max="3853" width="10" style="64" bestFit="1" customWidth="1"/>
    <col min="3854" max="3854" width="14.42578125" style="64" bestFit="1" customWidth="1"/>
    <col min="3855" max="3865" width="0" style="64" hidden="1" customWidth="1"/>
    <col min="3866" max="4094" width="9.140625" style="64"/>
    <col min="4095" max="4095" width="41" style="64" customWidth="1"/>
    <col min="4096" max="4096" width="13.140625" style="64" customWidth="1"/>
    <col min="4097" max="4097" width="10.140625" style="64" customWidth="1"/>
    <col min="4098" max="4098" width="10.42578125" style="64" bestFit="1" customWidth="1"/>
    <col min="4099" max="4100" width="9.42578125" style="64" bestFit="1" customWidth="1"/>
    <col min="4101" max="4101" width="10.140625" style="64" bestFit="1" customWidth="1"/>
    <col min="4102" max="4103" width="9.140625" style="64"/>
    <col min="4104" max="4104" width="7.28515625" style="64" customWidth="1"/>
    <col min="4105" max="4105" width="7.42578125" style="64" customWidth="1"/>
    <col min="4106" max="4106" width="9.42578125" style="64" bestFit="1" customWidth="1"/>
    <col min="4107" max="4107" width="12" style="64" bestFit="1" customWidth="1"/>
    <col min="4108" max="4109" width="10" style="64" bestFit="1" customWidth="1"/>
    <col min="4110" max="4110" width="14.42578125" style="64" bestFit="1" customWidth="1"/>
    <col min="4111" max="4121" width="0" style="64" hidden="1" customWidth="1"/>
    <col min="4122" max="4350" width="9.140625" style="64"/>
    <col min="4351" max="4351" width="41" style="64" customWidth="1"/>
    <col min="4352" max="4352" width="13.140625" style="64" customWidth="1"/>
    <col min="4353" max="4353" width="10.140625" style="64" customWidth="1"/>
    <col min="4354" max="4354" width="10.42578125" style="64" bestFit="1" customWidth="1"/>
    <col min="4355" max="4356" width="9.42578125" style="64" bestFit="1" customWidth="1"/>
    <col min="4357" max="4357" width="10.140625" style="64" bestFit="1" customWidth="1"/>
    <col min="4358" max="4359" width="9.140625" style="64"/>
    <col min="4360" max="4360" width="7.28515625" style="64" customWidth="1"/>
    <col min="4361" max="4361" width="7.42578125" style="64" customWidth="1"/>
    <col min="4362" max="4362" width="9.42578125" style="64" bestFit="1" customWidth="1"/>
    <col min="4363" max="4363" width="12" style="64" bestFit="1" customWidth="1"/>
    <col min="4364" max="4365" width="10" style="64" bestFit="1" customWidth="1"/>
    <col min="4366" max="4366" width="14.42578125" style="64" bestFit="1" customWidth="1"/>
    <col min="4367" max="4377" width="0" style="64" hidden="1" customWidth="1"/>
    <col min="4378" max="4606" width="9.140625" style="64"/>
    <col min="4607" max="4607" width="41" style="64" customWidth="1"/>
    <col min="4608" max="4608" width="13.140625" style="64" customWidth="1"/>
    <col min="4609" max="4609" width="10.140625" style="64" customWidth="1"/>
    <col min="4610" max="4610" width="10.42578125" style="64" bestFit="1" customWidth="1"/>
    <col min="4611" max="4612" width="9.42578125" style="64" bestFit="1" customWidth="1"/>
    <col min="4613" max="4613" width="10.140625" style="64" bestFit="1" customWidth="1"/>
    <col min="4614" max="4615" width="9.140625" style="64"/>
    <col min="4616" max="4616" width="7.28515625" style="64" customWidth="1"/>
    <col min="4617" max="4617" width="7.42578125" style="64" customWidth="1"/>
    <col min="4618" max="4618" width="9.42578125" style="64" bestFit="1" customWidth="1"/>
    <col min="4619" max="4619" width="12" style="64" bestFit="1" customWidth="1"/>
    <col min="4620" max="4621" width="10" style="64" bestFit="1" customWidth="1"/>
    <col min="4622" max="4622" width="14.42578125" style="64" bestFit="1" customWidth="1"/>
    <col min="4623" max="4633" width="0" style="64" hidden="1" customWidth="1"/>
    <col min="4634" max="4862" width="9.140625" style="64"/>
    <col min="4863" max="4863" width="41" style="64" customWidth="1"/>
    <col min="4864" max="4864" width="13.140625" style="64" customWidth="1"/>
    <col min="4865" max="4865" width="10.140625" style="64" customWidth="1"/>
    <col min="4866" max="4866" width="10.42578125" style="64" bestFit="1" customWidth="1"/>
    <col min="4867" max="4868" width="9.42578125" style="64" bestFit="1" customWidth="1"/>
    <col min="4869" max="4869" width="10.140625" style="64" bestFit="1" customWidth="1"/>
    <col min="4870" max="4871" width="9.140625" style="64"/>
    <col min="4872" max="4872" width="7.28515625" style="64" customWidth="1"/>
    <col min="4873" max="4873" width="7.42578125" style="64" customWidth="1"/>
    <col min="4874" max="4874" width="9.42578125" style="64" bestFit="1" customWidth="1"/>
    <col min="4875" max="4875" width="12" style="64" bestFit="1" customWidth="1"/>
    <col min="4876" max="4877" width="10" style="64" bestFit="1" customWidth="1"/>
    <col min="4878" max="4878" width="14.42578125" style="64" bestFit="1" customWidth="1"/>
    <col min="4879" max="4889" width="0" style="64" hidden="1" customWidth="1"/>
    <col min="4890" max="5118" width="9.140625" style="64"/>
    <col min="5119" max="5119" width="41" style="64" customWidth="1"/>
    <col min="5120" max="5120" width="13.140625" style="64" customWidth="1"/>
    <col min="5121" max="5121" width="10.140625" style="64" customWidth="1"/>
    <col min="5122" max="5122" width="10.42578125" style="64" bestFit="1" customWidth="1"/>
    <col min="5123" max="5124" width="9.42578125" style="64" bestFit="1" customWidth="1"/>
    <col min="5125" max="5125" width="10.140625" style="64" bestFit="1" customWidth="1"/>
    <col min="5126" max="5127" width="9.140625" style="64"/>
    <col min="5128" max="5128" width="7.28515625" style="64" customWidth="1"/>
    <col min="5129" max="5129" width="7.42578125" style="64" customWidth="1"/>
    <col min="5130" max="5130" width="9.42578125" style="64" bestFit="1" customWidth="1"/>
    <col min="5131" max="5131" width="12" style="64" bestFit="1" customWidth="1"/>
    <col min="5132" max="5133" width="10" style="64" bestFit="1" customWidth="1"/>
    <col min="5134" max="5134" width="14.42578125" style="64" bestFit="1" customWidth="1"/>
    <col min="5135" max="5145" width="0" style="64" hidden="1" customWidth="1"/>
    <col min="5146" max="5374" width="9.140625" style="64"/>
    <col min="5375" max="5375" width="41" style="64" customWidth="1"/>
    <col min="5376" max="5376" width="13.140625" style="64" customWidth="1"/>
    <col min="5377" max="5377" width="10.140625" style="64" customWidth="1"/>
    <col min="5378" max="5378" width="10.42578125" style="64" bestFit="1" customWidth="1"/>
    <col min="5379" max="5380" width="9.42578125" style="64" bestFit="1" customWidth="1"/>
    <col min="5381" max="5381" width="10.140625" style="64" bestFit="1" customWidth="1"/>
    <col min="5382" max="5383" width="9.140625" style="64"/>
    <col min="5384" max="5384" width="7.28515625" style="64" customWidth="1"/>
    <col min="5385" max="5385" width="7.42578125" style="64" customWidth="1"/>
    <col min="5386" max="5386" width="9.42578125" style="64" bestFit="1" customWidth="1"/>
    <col min="5387" max="5387" width="12" style="64" bestFit="1" customWidth="1"/>
    <col min="5388" max="5389" width="10" style="64" bestFit="1" customWidth="1"/>
    <col min="5390" max="5390" width="14.42578125" style="64" bestFit="1" customWidth="1"/>
    <col min="5391" max="5401" width="0" style="64" hidden="1" customWidth="1"/>
    <col min="5402" max="5630" width="9.140625" style="64"/>
    <col min="5631" max="5631" width="41" style="64" customWidth="1"/>
    <col min="5632" max="5632" width="13.140625" style="64" customWidth="1"/>
    <col min="5633" max="5633" width="10.140625" style="64" customWidth="1"/>
    <col min="5634" max="5634" width="10.42578125" style="64" bestFit="1" customWidth="1"/>
    <col min="5635" max="5636" width="9.42578125" style="64" bestFit="1" customWidth="1"/>
    <col min="5637" max="5637" width="10.140625" style="64" bestFit="1" customWidth="1"/>
    <col min="5638" max="5639" width="9.140625" style="64"/>
    <col min="5640" max="5640" width="7.28515625" style="64" customWidth="1"/>
    <col min="5641" max="5641" width="7.42578125" style="64" customWidth="1"/>
    <col min="5642" max="5642" width="9.42578125" style="64" bestFit="1" customWidth="1"/>
    <col min="5643" max="5643" width="12" style="64" bestFit="1" customWidth="1"/>
    <col min="5644" max="5645" width="10" style="64" bestFit="1" customWidth="1"/>
    <col min="5646" max="5646" width="14.42578125" style="64" bestFit="1" customWidth="1"/>
    <col min="5647" max="5657" width="0" style="64" hidden="1" customWidth="1"/>
    <col min="5658" max="5886" width="9.140625" style="64"/>
    <col min="5887" max="5887" width="41" style="64" customWidth="1"/>
    <col min="5888" max="5888" width="13.140625" style="64" customWidth="1"/>
    <col min="5889" max="5889" width="10.140625" style="64" customWidth="1"/>
    <col min="5890" max="5890" width="10.42578125" style="64" bestFit="1" customWidth="1"/>
    <col min="5891" max="5892" width="9.42578125" style="64" bestFit="1" customWidth="1"/>
    <col min="5893" max="5893" width="10.140625" style="64" bestFit="1" customWidth="1"/>
    <col min="5894" max="5895" width="9.140625" style="64"/>
    <col min="5896" max="5896" width="7.28515625" style="64" customWidth="1"/>
    <col min="5897" max="5897" width="7.42578125" style="64" customWidth="1"/>
    <col min="5898" max="5898" width="9.42578125" style="64" bestFit="1" customWidth="1"/>
    <col min="5899" max="5899" width="12" style="64" bestFit="1" customWidth="1"/>
    <col min="5900" max="5901" width="10" style="64" bestFit="1" customWidth="1"/>
    <col min="5902" max="5902" width="14.42578125" style="64" bestFit="1" customWidth="1"/>
    <col min="5903" max="5913" width="0" style="64" hidden="1" customWidth="1"/>
    <col min="5914" max="6142" width="9.140625" style="64"/>
    <col min="6143" max="6143" width="41" style="64" customWidth="1"/>
    <col min="6144" max="6144" width="13.140625" style="64" customWidth="1"/>
    <col min="6145" max="6145" width="10.140625" style="64" customWidth="1"/>
    <col min="6146" max="6146" width="10.42578125" style="64" bestFit="1" customWidth="1"/>
    <col min="6147" max="6148" width="9.42578125" style="64" bestFit="1" customWidth="1"/>
    <col min="6149" max="6149" width="10.140625" style="64" bestFit="1" customWidth="1"/>
    <col min="6150" max="6151" width="9.140625" style="64"/>
    <col min="6152" max="6152" width="7.28515625" style="64" customWidth="1"/>
    <col min="6153" max="6153" width="7.42578125" style="64" customWidth="1"/>
    <col min="6154" max="6154" width="9.42578125" style="64" bestFit="1" customWidth="1"/>
    <col min="6155" max="6155" width="12" style="64" bestFit="1" customWidth="1"/>
    <col min="6156" max="6157" width="10" style="64" bestFit="1" customWidth="1"/>
    <col min="6158" max="6158" width="14.42578125" style="64" bestFit="1" customWidth="1"/>
    <col min="6159" max="6169" width="0" style="64" hidden="1" customWidth="1"/>
    <col min="6170" max="6398" width="9.140625" style="64"/>
    <col min="6399" max="6399" width="41" style="64" customWidth="1"/>
    <col min="6400" max="6400" width="13.140625" style="64" customWidth="1"/>
    <col min="6401" max="6401" width="10.140625" style="64" customWidth="1"/>
    <col min="6402" max="6402" width="10.42578125" style="64" bestFit="1" customWidth="1"/>
    <col min="6403" max="6404" width="9.42578125" style="64" bestFit="1" customWidth="1"/>
    <col min="6405" max="6405" width="10.140625" style="64" bestFit="1" customWidth="1"/>
    <col min="6406" max="6407" width="9.140625" style="64"/>
    <col min="6408" max="6408" width="7.28515625" style="64" customWidth="1"/>
    <col min="6409" max="6409" width="7.42578125" style="64" customWidth="1"/>
    <col min="6410" max="6410" width="9.42578125" style="64" bestFit="1" customWidth="1"/>
    <col min="6411" max="6411" width="12" style="64" bestFit="1" customWidth="1"/>
    <col min="6412" max="6413" width="10" style="64" bestFit="1" customWidth="1"/>
    <col min="6414" max="6414" width="14.42578125" style="64" bestFit="1" customWidth="1"/>
    <col min="6415" max="6425" width="0" style="64" hidden="1" customWidth="1"/>
    <col min="6426" max="6654" width="9.140625" style="64"/>
    <col min="6655" max="6655" width="41" style="64" customWidth="1"/>
    <col min="6656" max="6656" width="13.140625" style="64" customWidth="1"/>
    <col min="6657" max="6657" width="10.140625" style="64" customWidth="1"/>
    <col min="6658" max="6658" width="10.42578125" style="64" bestFit="1" customWidth="1"/>
    <col min="6659" max="6660" width="9.42578125" style="64" bestFit="1" customWidth="1"/>
    <col min="6661" max="6661" width="10.140625" style="64" bestFit="1" customWidth="1"/>
    <col min="6662" max="6663" width="9.140625" style="64"/>
    <col min="6664" max="6664" width="7.28515625" style="64" customWidth="1"/>
    <col min="6665" max="6665" width="7.42578125" style="64" customWidth="1"/>
    <col min="6666" max="6666" width="9.42578125" style="64" bestFit="1" customWidth="1"/>
    <col min="6667" max="6667" width="12" style="64" bestFit="1" customWidth="1"/>
    <col min="6668" max="6669" width="10" style="64" bestFit="1" customWidth="1"/>
    <col min="6670" max="6670" width="14.42578125" style="64" bestFit="1" customWidth="1"/>
    <col min="6671" max="6681" width="0" style="64" hidden="1" customWidth="1"/>
    <col min="6682" max="6910" width="9.140625" style="64"/>
    <col min="6911" max="6911" width="41" style="64" customWidth="1"/>
    <col min="6912" max="6912" width="13.140625" style="64" customWidth="1"/>
    <col min="6913" max="6913" width="10.140625" style="64" customWidth="1"/>
    <col min="6914" max="6914" width="10.42578125" style="64" bestFit="1" customWidth="1"/>
    <col min="6915" max="6916" width="9.42578125" style="64" bestFit="1" customWidth="1"/>
    <col min="6917" max="6917" width="10.140625" style="64" bestFit="1" customWidth="1"/>
    <col min="6918" max="6919" width="9.140625" style="64"/>
    <col min="6920" max="6920" width="7.28515625" style="64" customWidth="1"/>
    <col min="6921" max="6921" width="7.42578125" style="64" customWidth="1"/>
    <col min="6922" max="6922" width="9.42578125" style="64" bestFit="1" customWidth="1"/>
    <col min="6923" max="6923" width="12" style="64" bestFit="1" customWidth="1"/>
    <col min="6924" max="6925" width="10" style="64" bestFit="1" customWidth="1"/>
    <col min="6926" max="6926" width="14.42578125" style="64" bestFit="1" customWidth="1"/>
    <col min="6927" max="6937" width="0" style="64" hidden="1" customWidth="1"/>
    <col min="6938" max="7166" width="9.140625" style="64"/>
    <col min="7167" max="7167" width="41" style="64" customWidth="1"/>
    <col min="7168" max="7168" width="13.140625" style="64" customWidth="1"/>
    <col min="7169" max="7169" width="10.140625" style="64" customWidth="1"/>
    <col min="7170" max="7170" width="10.42578125" style="64" bestFit="1" customWidth="1"/>
    <col min="7171" max="7172" width="9.42578125" style="64" bestFit="1" customWidth="1"/>
    <col min="7173" max="7173" width="10.140625" style="64" bestFit="1" customWidth="1"/>
    <col min="7174" max="7175" width="9.140625" style="64"/>
    <col min="7176" max="7176" width="7.28515625" style="64" customWidth="1"/>
    <col min="7177" max="7177" width="7.42578125" style="64" customWidth="1"/>
    <col min="7178" max="7178" width="9.42578125" style="64" bestFit="1" customWidth="1"/>
    <col min="7179" max="7179" width="12" style="64" bestFit="1" customWidth="1"/>
    <col min="7180" max="7181" width="10" style="64" bestFit="1" customWidth="1"/>
    <col min="7182" max="7182" width="14.42578125" style="64" bestFit="1" customWidth="1"/>
    <col min="7183" max="7193" width="0" style="64" hidden="1" customWidth="1"/>
    <col min="7194" max="7422" width="9.140625" style="64"/>
    <col min="7423" max="7423" width="41" style="64" customWidth="1"/>
    <col min="7424" max="7424" width="13.140625" style="64" customWidth="1"/>
    <col min="7425" max="7425" width="10.140625" style="64" customWidth="1"/>
    <col min="7426" max="7426" width="10.42578125" style="64" bestFit="1" customWidth="1"/>
    <col min="7427" max="7428" width="9.42578125" style="64" bestFit="1" customWidth="1"/>
    <col min="7429" max="7429" width="10.140625" style="64" bestFit="1" customWidth="1"/>
    <col min="7430" max="7431" width="9.140625" style="64"/>
    <col min="7432" max="7432" width="7.28515625" style="64" customWidth="1"/>
    <col min="7433" max="7433" width="7.42578125" style="64" customWidth="1"/>
    <col min="7434" max="7434" width="9.42578125" style="64" bestFit="1" customWidth="1"/>
    <col min="7435" max="7435" width="12" style="64" bestFit="1" customWidth="1"/>
    <col min="7436" max="7437" width="10" style="64" bestFit="1" customWidth="1"/>
    <col min="7438" max="7438" width="14.42578125" style="64" bestFit="1" customWidth="1"/>
    <col min="7439" max="7449" width="0" style="64" hidden="1" customWidth="1"/>
    <col min="7450" max="7678" width="9.140625" style="64"/>
    <col min="7679" max="7679" width="41" style="64" customWidth="1"/>
    <col min="7680" max="7680" width="13.140625" style="64" customWidth="1"/>
    <col min="7681" max="7681" width="10.140625" style="64" customWidth="1"/>
    <col min="7682" max="7682" width="10.42578125" style="64" bestFit="1" customWidth="1"/>
    <col min="7683" max="7684" width="9.42578125" style="64" bestFit="1" customWidth="1"/>
    <col min="7685" max="7685" width="10.140625" style="64" bestFit="1" customWidth="1"/>
    <col min="7686" max="7687" width="9.140625" style="64"/>
    <col min="7688" max="7688" width="7.28515625" style="64" customWidth="1"/>
    <col min="7689" max="7689" width="7.42578125" style="64" customWidth="1"/>
    <col min="7690" max="7690" width="9.42578125" style="64" bestFit="1" customWidth="1"/>
    <col min="7691" max="7691" width="12" style="64" bestFit="1" customWidth="1"/>
    <col min="7692" max="7693" width="10" style="64" bestFit="1" customWidth="1"/>
    <col min="7694" max="7694" width="14.42578125" style="64" bestFit="1" customWidth="1"/>
    <col min="7695" max="7705" width="0" style="64" hidden="1" customWidth="1"/>
    <col min="7706" max="7934" width="9.140625" style="64"/>
    <col min="7935" max="7935" width="41" style="64" customWidth="1"/>
    <col min="7936" max="7936" width="13.140625" style="64" customWidth="1"/>
    <col min="7937" max="7937" width="10.140625" style="64" customWidth="1"/>
    <col min="7938" max="7938" width="10.42578125" style="64" bestFit="1" customWidth="1"/>
    <col min="7939" max="7940" width="9.42578125" style="64" bestFit="1" customWidth="1"/>
    <col min="7941" max="7941" width="10.140625" style="64" bestFit="1" customWidth="1"/>
    <col min="7942" max="7943" width="9.140625" style="64"/>
    <col min="7944" max="7944" width="7.28515625" style="64" customWidth="1"/>
    <col min="7945" max="7945" width="7.42578125" style="64" customWidth="1"/>
    <col min="7946" max="7946" width="9.42578125" style="64" bestFit="1" customWidth="1"/>
    <col min="7947" max="7947" width="12" style="64" bestFit="1" customWidth="1"/>
    <col min="7948" max="7949" width="10" style="64" bestFit="1" customWidth="1"/>
    <col min="7950" max="7950" width="14.42578125" style="64" bestFit="1" customWidth="1"/>
    <col min="7951" max="7961" width="0" style="64" hidden="1" customWidth="1"/>
    <col min="7962" max="8190" width="9.140625" style="64"/>
    <col min="8191" max="8191" width="41" style="64" customWidth="1"/>
    <col min="8192" max="8192" width="13.140625" style="64" customWidth="1"/>
    <col min="8193" max="8193" width="10.140625" style="64" customWidth="1"/>
    <col min="8194" max="8194" width="10.42578125" style="64" bestFit="1" customWidth="1"/>
    <col min="8195" max="8196" width="9.42578125" style="64" bestFit="1" customWidth="1"/>
    <col min="8197" max="8197" width="10.140625" style="64" bestFit="1" customWidth="1"/>
    <col min="8198" max="8199" width="9.140625" style="64"/>
    <col min="8200" max="8200" width="7.28515625" style="64" customWidth="1"/>
    <col min="8201" max="8201" width="7.42578125" style="64" customWidth="1"/>
    <col min="8202" max="8202" width="9.42578125" style="64" bestFit="1" customWidth="1"/>
    <col min="8203" max="8203" width="12" style="64" bestFit="1" customWidth="1"/>
    <col min="8204" max="8205" width="10" style="64" bestFit="1" customWidth="1"/>
    <col min="8206" max="8206" width="14.42578125" style="64" bestFit="1" customWidth="1"/>
    <col min="8207" max="8217" width="0" style="64" hidden="1" customWidth="1"/>
    <col min="8218" max="8446" width="9.140625" style="64"/>
    <col min="8447" max="8447" width="41" style="64" customWidth="1"/>
    <col min="8448" max="8448" width="13.140625" style="64" customWidth="1"/>
    <col min="8449" max="8449" width="10.140625" style="64" customWidth="1"/>
    <col min="8450" max="8450" width="10.42578125" style="64" bestFit="1" customWidth="1"/>
    <col min="8451" max="8452" width="9.42578125" style="64" bestFit="1" customWidth="1"/>
    <col min="8453" max="8453" width="10.140625" style="64" bestFit="1" customWidth="1"/>
    <col min="8454" max="8455" width="9.140625" style="64"/>
    <col min="8456" max="8456" width="7.28515625" style="64" customWidth="1"/>
    <col min="8457" max="8457" width="7.42578125" style="64" customWidth="1"/>
    <col min="8458" max="8458" width="9.42578125" style="64" bestFit="1" customWidth="1"/>
    <col min="8459" max="8459" width="12" style="64" bestFit="1" customWidth="1"/>
    <col min="8460" max="8461" width="10" style="64" bestFit="1" customWidth="1"/>
    <col min="8462" max="8462" width="14.42578125" style="64" bestFit="1" customWidth="1"/>
    <col min="8463" max="8473" width="0" style="64" hidden="1" customWidth="1"/>
    <col min="8474" max="8702" width="9.140625" style="64"/>
    <col min="8703" max="8703" width="41" style="64" customWidth="1"/>
    <col min="8704" max="8704" width="13.140625" style="64" customWidth="1"/>
    <col min="8705" max="8705" width="10.140625" style="64" customWidth="1"/>
    <col min="8706" max="8706" width="10.42578125" style="64" bestFit="1" customWidth="1"/>
    <col min="8707" max="8708" width="9.42578125" style="64" bestFit="1" customWidth="1"/>
    <col min="8709" max="8709" width="10.140625" style="64" bestFit="1" customWidth="1"/>
    <col min="8710" max="8711" width="9.140625" style="64"/>
    <col min="8712" max="8712" width="7.28515625" style="64" customWidth="1"/>
    <col min="8713" max="8713" width="7.42578125" style="64" customWidth="1"/>
    <col min="8714" max="8714" width="9.42578125" style="64" bestFit="1" customWidth="1"/>
    <col min="8715" max="8715" width="12" style="64" bestFit="1" customWidth="1"/>
    <col min="8716" max="8717" width="10" style="64" bestFit="1" customWidth="1"/>
    <col min="8718" max="8718" width="14.42578125" style="64" bestFit="1" customWidth="1"/>
    <col min="8719" max="8729" width="0" style="64" hidden="1" customWidth="1"/>
    <col min="8730" max="8958" width="9.140625" style="64"/>
    <col min="8959" max="8959" width="41" style="64" customWidth="1"/>
    <col min="8960" max="8960" width="13.140625" style="64" customWidth="1"/>
    <col min="8961" max="8961" width="10.140625" style="64" customWidth="1"/>
    <col min="8962" max="8962" width="10.42578125" style="64" bestFit="1" customWidth="1"/>
    <col min="8963" max="8964" width="9.42578125" style="64" bestFit="1" customWidth="1"/>
    <col min="8965" max="8965" width="10.140625" style="64" bestFit="1" customWidth="1"/>
    <col min="8966" max="8967" width="9.140625" style="64"/>
    <col min="8968" max="8968" width="7.28515625" style="64" customWidth="1"/>
    <col min="8969" max="8969" width="7.42578125" style="64" customWidth="1"/>
    <col min="8970" max="8970" width="9.42578125" style="64" bestFit="1" customWidth="1"/>
    <col min="8971" max="8971" width="12" style="64" bestFit="1" customWidth="1"/>
    <col min="8972" max="8973" width="10" style="64" bestFit="1" customWidth="1"/>
    <col min="8974" max="8974" width="14.42578125" style="64" bestFit="1" customWidth="1"/>
    <col min="8975" max="8985" width="0" style="64" hidden="1" customWidth="1"/>
    <col min="8986" max="9214" width="9.140625" style="64"/>
    <col min="9215" max="9215" width="41" style="64" customWidth="1"/>
    <col min="9216" max="9216" width="13.140625" style="64" customWidth="1"/>
    <col min="9217" max="9217" width="10.140625" style="64" customWidth="1"/>
    <col min="9218" max="9218" width="10.42578125" style="64" bestFit="1" customWidth="1"/>
    <col min="9219" max="9220" width="9.42578125" style="64" bestFit="1" customWidth="1"/>
    <col min="9221" max="9221" width="10.140625" style="64" bestFit="1" customWidth="1"/>
    <col min="9222" max="9223" width="9.140625" style="64"/>
    <col min="9224" max="9224" width="7.28515625" style="64" customWidth="1"/>
    <col min="9225" max="9225" width="7.42578125" style="64" customWidth="1"/>
    <col min="9226" max="9226" width="9.42578125" style="64" bestFit="1" customWidth="1"/>
    <col min="9227" max="9227" width="12" style="64" bestFit="1" customWidth="1"/>
    <col min="9228" max="9229" width="10" style="64" bestFit="1" customWidth="1"/>
    <col min="9230" max="9230" width="14.42578125" style="64" bestFit="1" customWidth="1"/>
    <col min="9231" max="9241" width="0" style="64" hidden="1" customWidth="1"/>
    <col min="9242" max="9470" width="9.140625" style="64"/>
    <col min="9471" max="9471" width="41" style="64" customWidth="1"/>
    <col min="9472" max="9472" width="13.140625" style="64" customWidth="1"/>
    <col min="9473" max="9473" width="10.140625" style="64" customWidth="1"/>
    <col min="9474" max="9474" width="10.42578125" style="64" bestFit="1" customWidth="1"/>
    <col min="9475" max="9476" width="9.42578125" style="64" bestFit="1" customWidth="1"/>
    <col min="9477" max="9477" width="10.140625" style="64" bestFit="1" customWidth="1"/>
    <col min="9478" max="9479" width="9.140625" style="64"/>
    <col min="9480" max="9480" width="7.28515625" style="64" customWidth="1"/>
    <col min="9481" max="9481" width="7.42578125" style="64" customWidth="1"/>
    <col min="9482" max="9482" width="9.42578125" style="64" bestFit="1" customWidth="1"/>
    <col min="9483" max="9483" width="12" style="64" bestFit="1" customWidth="1"/>
    <col min="9484" max="9485" width="10" style="64" bestFit="1" customWidth="1"/>
    <col min="9486" max="9486" width="14.42578125" style="64" bestFit="1" customWidth="1"/>
    <col min="9487" max="9497" width="0" style="64" hidden="1" customWidth="1"/>
    <col min="9498" max="9726" width="9.140625" style="64"/>
    <col min="9727" max="9727" width="41" style="64" customWidth="1"/>
    <col min="9728" max="9728" width="13.140625" style="64" customWidth="1"/>
    <col min="9729" max="9729" width="10.140625" style="64" customWidth="1"/>
    <col min="9730" max="9730" width="10.42578125" style="64" bestFit="1" customWidth="1"/>
    <col min="9731" max="9732" width="9.42578125" style="64" bestFit="1" customWidth="1"/>
    <col min="9733" max="9733" width="10.140625" style="64" bestFit="1" customWidth="1"/>
    <col min="9734" max="9735" width="9.140625" style="64"/>
    <col min="9736" max="9736" width="7.28515625" style="64" customWidth="1"/>
    <col min="9737" max="9737" width="7.42578125" style="64" customWidth="1"/>
    <col min="9738" max="9738" width="9.42578125" style="64" bestFit="1" customWidth="1"/>
    <col min="9739" max="9739" width="12" style="64" bestFit="1" customWidth="1"/>
    <col min="9740" max="9741" width="10" style="64" bestFit="1" customWidth="1"/>
    <col min="9742" max="9742" width="14.42578125" style="64" bestFit="1" customWidth="1"/>
    <col min="9743" max="9753" width="0" style="64" hidden="1" customWidth="1"/>
    <col min="9754" max="9982" width="9.140625" style="64"/>
    <col min="9983" max="9983" width="41" style="64" customWidth="1"/>
    <col min="9984" max="9984" width="13.140625" style="64" customWidth="1"/>
    <col min="9985" max="9985" width="10.140625" style="64" customWidth="1"/>
    <col min="9986" max="9986" width="10.42578125" style="64" bestFit="1" customWidth="1"/>
    <col min="9987" max="9988" width="9.42578125" style="64" bestFit="1" customWidth="1"/>
    <col min="9989" max="9989" width="10.140625" style="64" bestFit="1" customWidth="1"/>
    <col min="9990" max="9991" width="9.140625" style="64"/>
    <col min="9992" max="9992" width="7.28515625" style="64" customWidth="1"/>
    <col min="9993" max="9993" width="7.42578125" style="64" customWidth="1"/>
    <col min="9994" max="9994" width="9.42578125" style="64" bestFit="1" customWidth="1"/>
    <col min="9995" max="9995" width="12" style="64" bestFit="1" customWidth="1"/>
    <col min="9996" max="9997" width="10" style="64" bestFit="1" customWidth="1"/>
    <col min="9998" max="9998" width="14.42578125" style="64" bestFit="1" customWidth="1"/>
    <col min="9999" max="10009" width="0" style="64" hidden="1" customWidth="1"/>
    <col min="10010" max="10238" width="9.140625" style="64"/>
    <col min="10239" max="10239" width="41" style="64" customWidth="1"/>
    <col min="10240" max="10240" width="13.140625" style="64" customWidth="1"/>
    <col min="10241" max="10241" width="10.140625" style="64" customWidth="1"/>
    <col min="10242" max="10242" width="10.42578125" style="64" bestFit="1" customWidth="1"/>
    <col min="10243" max="10244" width="9.42578125" style="64" bestFit="1" customWidth="1"/>
    <col min="10245" max="10245" width="10.140625" style="64" bestFit="1" customWidth="1"/>
    <col min="10246" max="10247" width="9.140625" style="64"/>
    <col min="10248" max="10248" width="7.28515625" style="64" customWidth="1"/>
    <col min="10249" max="10249" width="7.42578125" style="64" customWidth="1"/>
    <col min="10250" max="10250" width="9.42578125" style="64" bestFit="1" customWidth="1"/>
    <col min="10251" max="10251" width="12" style="64" bestFit="1" customWidth="1"/>
    <col min="10252" max="10253" width="10" style="64" bestFit="1" customWidth="1"/>
    <col min="10254" max="10254" width="14.42578125" style="64" bestFit="1" customWidth="1"/>
    <col min="10255" max="10265" width="0" style="64" hidden="1" customWidth="1"/>
    <col min="10266" max="10494" width="9.140625" style="64"/>
    <col min="10495" max="10495" width="41" style="64" customWidth="1"/>
    <col min="10496" max="10496" width="13.140625" style="64" customWidth="1"/>
    <col min="10497" max="10497" width="10.140625" style="64" customWidth="1"/>
    <col min="10498" max="10498" width="10.42578125" style="64" bestFit="1" customWidth="1"/>
    <col min="10499" max="10500" width="9.42578125" style="64" bestFit="1" customWidth="1"/>
    <col min="10501" max="10501" width="10.140625" style="64" bestFit="1" customWidth="1"/>
    <col min="10502" max="10503" width="9.140625" style="64"/>
    <col min="10504" max="10504" width="7.28515625" style="64" customWidth="1"/>
    <col min="10505" max="10505" width="7.42578125" style="64" customWidth="1"/>
    <col min="10506" max="10506" width="9.42578125" style="64" bestFit="1" customWidth="1"/>
    <col min="10507" max="10507" width="12" style="64" bestFit="1" customWidth="1"/>
    <col min="10508" max="10509" width="10" style="64" bestFit="1" customWidth="1"/>
    <col min="10510" max="10510" width="14.42578125" style="64" bestFit="1" customWidth="1"/>
    <col min="10511" max="10521" width="0" style="64" hidden="1" customWidth="1"/>
    <col min="10522" max="10750" width="9.140625" style="64"/>
    <col min="10751" max="10751" width="41" style="64" customWidth="1"/>
    <col min="10752" max="10752" width="13.140625" style="64" customWidth="1"/>
    <col min="10753" max="10753" width="10.140625" style="64" customWidth="1"/>
    <col min="10754" max="10754" width="10.42578125" style="64" bestFit="1" customWidth="1"/>
    <col min="10755" max="10756" width="9.42578125" style="64" bestFit="1" customWidth="1"/>
    <col min="10757" max="10757" width="10.140625" style="64" bestFit="1" customWidth="1"/>
    <col min="10758" max="10759" width="9.140625" style="64"/>
    <col min="10760" max="10760" width="7.28515625" style="64" customWidth="1"/>
    <col min="10761" max="10761" width="7.42578125" style="64" customWidth="1"/>
    <col min="10762" max="10762" width="9.42578125" style="64" bestFit="1" customWidth="1"/>
    <col min="10763" max="10763" width="12" style="64" bestFit="1" customWidth="1"/>
    <col min="10764" max="10765" width="10" style="64" bestFit="1" customWidth="1"/>
    <col min="10766" max="10766" width="14.42578125" style="64" bestFit="1" customWidth="1"/>
    <col min="10767" max="10777" width="0" style="64" hidden="1" customWidth="1"/>
    <col min="10778" max="11006" width="9.140625" style="64"/>
    <col min="11007" max="11007" width="41" style="64" customWidth="1"/>
    <col min="11008" max="11008" width="13.140625" style="64" customWidth="1"/>
    <col min="11009" max="11009" width="10.140625" style="64" customWidth="1"/>
    <col min="11010" max="11010" width="10.42578125" style="64" bestFit="1" customWidth="1"/>
    <col min="11011" max="11012" width="9.42578125" style="64" bestFit="1" customWidth="1"/>
    <col min="11013" max="11013" width="10.140625" style="64" bestFit="1" customWidth="1"/>
    <col min="11014" max="11015" width="9.140625" style="64"/>
    <col min="11016" max="11016" width="7.28515625" style="64" customWidth="1"/>
    <col min="11017" max="11017" width="7.42578125" style="64" customWidth="1"/>
    <col min="11018" max="11018" width="9.42578125" style="64" bestFit="1" customWidth="1"/>
    <col min="11019" max="11019" width="12" style="64" bestFit="1" customWidth="1"/>
    <col min="11020" max="11021" width="10" style="64" bestFit="1" customWidth="1"/>
    <col min="11022" max="11022" width="14.42578125" style="64" bestFit="1" customWidth="1"/>
    <col min="11023" max="11033" width="0" style="64" hidden="1" customWidth="1"/>
    <col min="11034" max="11262" width="9.140625" style="64"/>
    <col min="11263" max="11263" width="41" style="64" customWidth="1"/>
    <col min="11264" max="11264" width="13.140625" style="64" customWidth="1"/>
    <col min="11265" max="11265" width="10.140625" style="64" customWidth="1"/>
    <col min="11266" max="11266" width="10.42578125" style="64" bestFit="1" customWidth="1"/>
    <col min="11267" max="11268" width="9.42578125" style="64" bestFit="1" customWidth="1"/>
    <col min="11269" max="11269" width="10.140625" style="64" bestFit="1" customWidth="1"/>
    <col min="11270" max="11271" width="9.140625" style="64"/>
    <col min="11272" max="11272" width="7.28515625" style="64" customWidth="1"/>
    <col min="11273" max="11273" width="7.42578125" style="64" customWidth="1"/>
    <col min="11274" max="11274" width="9.42578125" style="64" bestFit="1" customWidth="1"/>
    <col min="11275" max="11275" width="12" style="64" bestFit="1" customWidth="1"/>
    <col min="11276" max="11277" width="10" style="64" bestFit="1" customWidth="1"/>
    <col min="11278" max="11278" width="14.42578125" style="64" bestFit="1" customWidth="1"/>
    <col min="11279" max="11289" width="0" style="64" hidden="1" customWidth="1"/>
    <col min="11290" max="11518" width="9.140625" style="64"/>
    <col min="11519" max="11519" width="41" style="64" customWidth="1"/>
    <col min="11520" max="11520" width="13.140625" style="64" customWidth="1"/>
    <col min="11521" max="11521" width="10.140625" style="64" customWidth="1"/>
    <col min="11522" max="11522" width="10.42578125" style="64" bestFit="1" customWidth="1"/>
    <col min="11523" max="11524" width="9.42578125" style="64" bestFit="1" customWidth="1"/>
    <col min="11525" max="11525" width="10.140625" style="64" bestFit="1" customWidth="1"/>
    <col min="11526" max="11527" width="9.140625" style="64"/>
    <col min="11528" max="11528" width="7.28515625" style="64" customWidth="1"/>
    <col min="11529" max="11529" width="7.42578125" style="64" customWidth="1"/>
    <col min="11530" max="11530" width="9.42578125" style="64" bestFit="1" customWidth="1"/>
    <col min="11531" max="11531" width="12" style="64" bestFit="1" customWidth="1"/>
    <col min="11532" max="11533" width="10" style="64" bestFit="1" customWidth="1"/>
    <col min="11534" max="11534" width="14.42578125" style="64" bestFit="1" customWidth="1"/>
    <col min="11535" max="11545" width="0" style="64" hidden="1" customWidth="1"/>
    <col min="11546" max="11774" width="9.140625" style="64"/>
    <col min="11775" max="11775" width="41" style="64" customWidth="1"/>
    <col min="11776" max="11776" width="13.140625" style="64" customWidth="1"/>
    <col min="11777" max="11777" width="10.140625" style="64" customWidth="1"/>
    <col min="11778" max="11778" width="10.42578125" style="64" bestFit="1" customWidth="1"/>
    <col min="11779" max="11780" width="9.42578125" style="64" bestFit="1" customWidth="1"/>
    <col min="11781" max="11781" width="10.140625" style="64" bestFit="1" customWidth="1"/>
    <col min="11782" max="11783" width="9.140625" style="64"/>
    <col min="11784" max="11784" width="7.28515625" style="64" customWidth="1"/>
    <col min="11785" max="11785" width="7.42578125" style="64" customWidth="1"/>
    <col min="11786" max="11786" width="9.42578125" style="64" bestFit="1" customWidth="1"/>
    <col min="11787" max="11787" width="12" style="64" bestFit="1" customWidth="1"/>
    <col min="11788" max="11789" width="10" style="64" bestFit="1" customWidth="1"/>
    <col min="11790" max="11790" width="14.42578125" style="64" bestFit="1" customWidth="1"/>
    <col min="11791" max="11801" width="0" style="64" hidden="1" customWidth="1"/>
    <col min="11802" max="12030" width="9.140625" style="64"/>
    <col min="12031" max="12031" width="41" style="64" customWidth="1"/>
    <col min="12032" max="12032" width="13.140625" style="64" customWidth="1"/>
    <col min="12033" max="12033" width="10.140625" style="64" customWidth="1"/>
    <col min="12034" max="12034" width="10.42578125" style="64" bestFit="1" customWidth="1"/>
    <col min="12035" max="12036" width="9.42578125" style="64" bestFit="1" customWidth="1"/>
    <col min="12037" max="12037" width="10.140625" style="64" bestFit="1" customWidth="1"/>
    <col min="12038" max="12039" width="9.140625" style="64"/>
    <col min="12040" max="12040" width="7.28515625" style="64" customWidth="1"/>
    <col min="12041" max="12041" width="7.42578125" style="64" customWidth="1"/>
    <col min="12042" max="12042" width="9.42578125" style="64" bestFit="1" customWidth="1"/>
    <col min="12043" max="12043" width="12" style="64" bestFit="1" customWidth="1"/>
    <col min="12044" max="12045" width="10" style="64" bestFit="1" customWidth="1"/>
    <col min="12046" max="12046" width="14.42578125" style="64" bestFit="1" customWidth="1"/>
    <col min="12047" max="12057" width="0" style="64" hidden="1" customWidth="1"/>
    <col min="12058" max="12286" width="9.140625" style="64"/>
    <col min="12287" max="12287" width="41" style="64" customWidth="1"/>
    <col min="12288" max="12288" width="13.140625" style="64" customWidth="1"/>
    <col min="12289" max="12289" width="10.140625" style="64" customWidth="1"/>
    <col min="12290" max="12290" width="10.42578125" style="64" bestFit="1" customWidth="1"/>
    <col min="12291" max="12292" width="9.42578125" style="64" bestFit="1" customWidth="1"/>
    <col min="12293" max="12293" width="10.140625" style="64" bestFit="1" customWidth="1"/>
    <col min="12294" max="12295" width="9.140625" style="64"/>
    <col min="12296" max="12296" width="7.28515625" style="64" customWidth="1"/>
    <col min="12297" max="12297" width="7.42578125" style="64" customWidth="1"/>
    <col min="12298" max="12298" width="9.42578125" style="64" bestFit="1" customWidth="1"/>
    <col min="12299" max="12299" width="12" style="64" bestFit="1" customWidth="1"/>
    <col min="12300" max="12301" width="10" style="64" bestFit="1" customWidth="1"/>
    <col min="12302" max="12302" width="14.42578125" style="64" bestFit="1" customWidth="1"/>
    <col min="12303" max="12313" width="0" style="64" hidden="1" customWidth="1"/>
    <col min="12314" max="12542" width="9.140625" style="64"/>
    <col min="12543" max="12543" width="41" style="64" customWidth="1"/>
    <col min="12544" max="12544" width="13.140625" style="64" customWidth="1"/>
    <col min="12545" max="12545" width="10.140625" style="64" customWidth="1"/>
    <col min="12546" max="12546" width="10.42578125" style="64" bestFit="1" customWidth="1"/>
    <col min="12547" max="12548" width="9.42578125" style="64" bestFit="1" customWidth="1"/>
    <col min="12549" max="12549" width="10.140625" style="64" bestFit="1" customWidth="1"/>
    <col min="12550" max="12551" width="9.140625" style="64"/>
    <col min="12552" max="12552" width="7.28515625" style="64" customWidth="1"/>
    <col min="12553" max="12553" width="7.42578125" style="64" customWidth="1"/>
    <col min="12554" max="12554" width="9.42578125" style="64" bestFit="1" customWidth="1"/>
    <col min="12555" max="12555" width="12" style="64" bestFit="1" customWidth="1"/>
    <col min="12556" max="12557" width="10" style="64" bestFit="1" customWidth="1"/>
    <col min="12558" max="12558" width="14.42578125" style="64" bestFit="1" customWidth="1"/>
    <col min="12559" max="12569" width="0" style="64" hidden="1" customWidth="1"/>
    <col min="12570" max="12798" width="9.140625" style="64"/>
    <col min="12799" max="12799" width="41" style="64" customWidth="1"/>
    <col min="12800" max="12800" width="13.140625" style="64" customWidth="1"/>
    <col min="12801" max="12801" width="10.140625" style="64" customWidth="1"/>
    <col min="12802" max="12802" width="10.42578125" style="64" bestFit="1" customWidth="1"/>
    <col min="12803" max="12804" width="9.42578125" style="64" bestFit="1" customWidth="1"/>
    <col min="12805" max="12805" width="10.140625" style="64" bestFit="1" customWidth="1"/>
    <col min="12806" max="12807" width="9.140625" style="64"/>
    <col min="12808" max="12808" width="7.28515625" style="64" customWidth="1"/>
    <col min="12809" max="12809" width="7.42578125" style="64" customWidth="1"/>
    <col min="12810" max="12810" width="9.42578125" style="64" bestFit="1" customWidth="1"/>
    <col min="12811" max="12811" width="12" style="64" bestFit="1" customWidth="1"/>
    <col min="12812" max="12813" width="10" style="64" bestFit="1" customWidth="1"/>
    <col min="12814" max="12814" width="14.42578125" style="64" bestFit="1" customWidth="1"/>
    <col min="12815" max="12825" width="0" style="64" hidden="1" customWidth="1"/>
    <col min="12826" max="13054" width="9.140625" style="64"/>
    <col min="13055" max="13055" width="41" style="64" customWidth="1"/>
    <col min="13056" max="13056" width="13.140625" style="64" customWidth="1"/>
    <col min="13057" max="13057" width="10.140625" style="64" customWidth="1"/>
    <col min="13058" max="13058" width="10.42578125" style="64" bestFit="1" customWidth="1"/>
    <col min="13059" max="13060" width="9.42578125" style="64" bestFit="1" customWidth="1"/>
    <col min="13061" max="13061" width="10.140625" style="64" bestFit="1" customWidth="1"/>
    <col min="13062" max="13063" width="9.140625" style="64"/>
    <col min="13064" max="13064" width="7.28515625" style="64" customWidth="1"/>
    <col min="13065" max="13065" width="7.42578125" style="64" customWidth="1"/>
    <col min="13066" max="13066" width="9.42578125" style="64" bestFit="1" customWidth="1"/>
    <col min="13067" max="13067" width="12" style="64" bestFit="1" customWidth="1"/>
    <col min="13068" max="13069" width="10" style="64" bestFit="1" customWidth="1"/>
    <col min="13070" max="13070" width="14.42578125" style="64" bestFit="1" customWidth="1"/>
    <col min="13071" max="13081" width="0" style="64" hidden="1" customWidth="1"/>
    <col min="13082" max="13310" width="9.140625" style="64"/>
    <col min="13311" max="13311" width="41" style="64" customWidth="1"/>
    <col min="13312" max="13312" width="13.140625" style="64" customWidth="1"/>
    <col min="13313" max="13313" width="10.140625" style="64" customWidth="1"/>
    <col min="13314" max="13314" width="10.42578125" style="64" bestFit="1" customWidth="1"/>
    <col min="13315" max="13316" width="9.42578125" style="64" bestFit="1" customWidth="1"/>
    <col min="13317" max="13317" width="10.140625" style="64" bestFit="1" customWidth="1"/>
    <col min="13318" max="13319" width="9.140625" style="64"/>
    <col min="13320" max="13320" width="7.28515625" style="64" customWidth="1"/>
    <col min="13321" max="13321" width="7.42578125" style="64" customWidth="1"/>
    <col min="13322" max="13322" width="9.42578125" style="64" bestFit="1" customWidth="1"/>
    <col min="13323" max="13323" width="12" style="64" bestFit="1" customWidth="1"/>
    <col min="13324" max="13325" width="10" style="64" bestFit="1" customWidth="1"/>
    <col min="13326" max="13326" width="14.42578125" style="64" bestFit="1" customWidth="1"/>
    <col min="13327" max="13337" width="0" style="64" hidden="1" customWidth="1"/>
    <col min="13338" max="13566" width="9.140625" style="64"/>
    <col min="13567" max="13567" width="41" style="64" customWidth="1"/>
    <col min="13568" max="13568" width="13.140625" style="64" customWidth="1"/>
    <col min="13569" max="13569" width="10.140625" style="64" customWidth="1"/>
    <col min="13570" max="13570" width="10.42578125" style="64" bestFit="1" customWidth="1"/>
    <col min="13571" max="13572" width="9.42578125" style="64" bestFit="1" customWidth="1"/>
    <col min="13573" max="13573" width="10.140625" style="64" bestFit="1" customWidth="1"/>
    <col min="13574" max="13575" width="9.140625" style="64"/>
    <col min="13576" max="13576" width="7.28515625" style="64" customWidth="1"/>
    <col min="13577" max="13577" width="7.42578125" style="64" customWidth="1"/>
    <col min="13578" max="13578" width="9.42578125" style="64" bestFit="1" customWidth="1"/>
    <col min="13579" max="13579" width="12" style="64" bestFit="1" customWidth="1"/>
    <col min="13580" max="13581" width="10" style="64" bestFit="1" customWidth="1"/>
    <col min="13582" max="13582" width="14.42578125" style="64" bestFit="1" customWidth="1"/>
    <col min="13583" max="13593" width="0" style="64" hidden="1" customWidth="1"/>
    <col min="13594" max="13822" width="9.140625" style="64"/>
    <col min="13823" max="13823" width="41" style="64" customWidth="1"/>
    <col min="13824" max="13824" width="13.140625" style="64" customWidth="1"/>
    <col min="13825" max="13825" width="10.140625" style="64" customWidth="1"/>
    <col min="13826" max="13826" width="10.42578125" style="64" bestFit="1" customWidth="1"/>
    <col min="13827" max="13828" width="9.42578125" style="64" bestFit="1" customWidth="1"/>
    <col min="13829" max="13829" width="10.140625" style="64" bestFit="1" customWidth="1"/>
    <col min="13830" max="13831" width="9.140625" style="64"/>
    <col min="13832" max="13832" width="7.28515625" style="64" customWidth="1"/>
    <col min="13833" max="13833" width="7.42578125" style="64" customWidth="1"/>
    <col min="13834" max="13834" width="9.42578125" style="64" bestFit="1" customWidth="1"/>
    <col min="13835" max="13835" width="12" style="64" bestFit="1" customWidth="1"/>
    <col min="13836" max="13837" width="10" style="64" bestFit="1" customWidth="1"/>
    <col min="13838" max="13838" width="14.42578125" style="64" bestFit="1" customWidth="1"/>
    <col min="13839" max="13849" width="0" style="64" hidden="1" customWidth="1"/>
    <col min="13850" max="14078" width="9.140625" style="64"/>
    <col min="14079" max="14079" width="41" style="64" customWidth="1"/>
    <col min="14080" max="14080" width="13.140625" style="64" customWidth="1"/>
    <col min="14081" max="14081" width="10.140625" style="64" customWidth="1"/>
    <col min="14082" max="14082" width="10.42578125" style="64" bestFit="1" customWidth="1"/>
    <col min="14083" max="14084" width="9.42578125" style="64" bestFit="1" customWidth="1"/>
    <col min="14085" max="14085" width="10.140625" style="64" bestFit="1" customWidth="1"/>
    <col min="14086" max="14087" width="9.140625" style="64"/>
    <col min="14088" max="14088" width="7.28515625" style="64" customWidth="1"/>
    <col min="14089" max="14089" width="7.42578125" style="64" customWidth="1"/>
    <col min="14090" max="14090" width="9.42578125" style="64" bestFit="1" customWidth="1"/>
    <col min="14091" max="14091" width="12" style="64" bestFit="1" customWidth="1"/>
    <col min="14092" max="14093" width="10" style="64" bestFit="1" customWidth="1"/>
    <col min="14094" max="14094" width="14.42578125" style="64" bestFit="1" customWidth="1"/>
    <col min="14095" max="14105" width="0" style="64" hidden="1" customWidth="1"/>
    <col min="14106" max="14334" width="9.140625" style="64"/>
    <col min="14335" max="14335" width="41" style="64" customWidth="1"/>
    <col min="14336" max="14336" width="13.140625" style="64" customWidth="1"/>
    <col min="14337" max="14337" width="10.140625" style="64" customWidth="1"/>
    <col min="14338" max="14338" width="10.42578125" style="64" bestFit="1" customWidth="1"/>
    <col min="14339" max="14340" width="9.42578125" style="64" bestFit="1" customWidth="1"/>
    <col min="14341" max="14341" width="10.140625" style="64" bestFit="1" customWidth="1"/>
    <col min="14342" max="14343" width="9.140625" style="64"/>
    <col min="14344" max="14344" width="7.28515625" style="64" customWidth="1"/>
    <col min="14345" max="14345" width="7.42578125" style="64" customWidth="1"/>
    <col min="14346" max="14346" width="9.42578125" style="64" bestFit="1" customWidth="1"/>
    <col min="14347" max="14347" width="12" style="64" bestFit="1" customWidth="1"/>
    <col min="14348" max="14349" width="10" style="64" bestFit="1" customWidth="1"/>
    <col min="14350" max="14350" width="14.42578125" style="64" bestFit="1" customWidth="1"/>
    <col min="14351" max="14361" width="0" style="64" hidden="1" customWidth="1"/>
    <col min="14362" max="14590" width="9.140625" style="64"/>
    <col min="14591" max="14591" width="41" style="64" customWidth="1"/>
    <col min="14592" max="14592" width="13.140625" style="64" customWidth="1"/>
    <col min="14593" max="14593" width="10.140625" style="64" customWidth="1"/>
    <col min="14594" max="14594" width="10.42578125" style="64" bestFit="1" customWidth="1"/>
    <col min="14595" max="14596" width="9.42578125" style="64" bestFit="1" customWidth="1"/>
    <col min="14597" max="14597" width="10.140625" style="64" bestFit="1" customWidth="1"/>
    <col min="14598" max="14599" width="9.140625" style="64"/>
    <col min="14600" max="14600" width="7.28515625" style="64" customWidth="1"/>
    <col min="14601" max="14601" width="7.42578125" style="64" customWidth="1"/>
    <col min="14602" max="14602" width="9.42578125" style="64" bestFit="1" customWidth="1"/>
    <col min="14603" max="14603" width="12" style="64" bestFit="1" customWidth="1"/>
    <col min="14604" max="14605" width="10" style="64" bestFit="1" customWidth="1"/>
    <col min="14606" max="14606" width="14.42578125" style="64" bestFit="1" customWidth="1"/>
    <col min="14607" max="14617" width="0" style="64" hidden="1" customWidth="1"/>
    <col min="14618" max="14846" width="9.140625" style="64"/>
    <col min="14847" max="14847" width="41" style="64" customWidth="1"/>
    <col min="14848" max="14848" width="13.140625" style="64" customWidth="1"/>
    <col min="14849" max="14849" width="10.140625" style="64" customWidth="1"/>
    <col min="14850" max="14850" width="10.42578125" style="64" bestFit="1" customWidth="1"/>
    <col min="14851" max="14852" width="9.42578125" style="64" bestFit="1" customWidth="1"/>
    <col min="14853" max="14853" width="10.140625" style="64" bestFit="1" customWidth="1"/>
    <col min="14854" max="14855" width="9.140625" style="64"/>
    <col min="14856" max="14856" width="7.28515625" style="64" customWidth="1"/>
    <col min="14857" max="14857" width="7.42578125" style="64" customWidth="1"/>
    <col min="14858" max="14858" width="9.42578125" style="64" bestFit="1" customWidth="1"/>
    <col min="14859" max="14859" width="12" style="64" bestFit="1" customWidth="1"/>
    <col min="14860" max="14861" width="10" style="64" bestFit="1" customWidth="1"/>
    <col min="14862" max="14862" width="14.42578125" style="64" bestFit="1" customWidth="1"/>
    <col min="14863" max="14873" width="0" style="64" hidden="1" customWidth="1"/>
    <col min="14874" max="15102" width="9.140625" style="64"/>
    <col min="15103" max="15103" width="41" style="64" customWidth="1"/>
    <col min="15104" max="15104" width="13.140625" style="64" customWidth="1"/>
    <col min="15105" max="15105" width="10.140625" style="64" customWidth="1"/>
    <col min="15106" max="15106" width="10.42578125" style="64" bestFit="1" customWidth="1"/>
    <col min="15107" max="15108" width="9.42578125" style="64" bestFit="1" customWidth="1"/>
    <col min="15109" max="15109" width="10.140625" style="64" bestFit="1" customWidth="1"/>
    <col min="15110" max="15111" width="9.140625" style="64"/>
    <col min="15112" max="15112" width="7.28515625" style="64" customWidth="1"/>
    <col min="15113" max="15113" width="7.42578125" style="64" customWidth="1"/>
    <col min="15114" max="15114" width="9.42578125" style="64" bestFit="1" customWidth="1"/>
    <col min="15115" max="15115" width="12" style="64" bestFit="1" customWidth="1"/>
    <col min="15116" max="15117" width="10" style="64" bestFit="1" customWidth="1"/>
    <col min="15118" max="15118" width="14.42578125" style="64" bestFit="1" customWidth="1"/>
    <col min="15119" max="15129" width="0" style="64" hidden="1" customWidth="1"/>
    <col min="15130" max="15358" width="9.140625" style="64"/>
    <col min="15359" max="15359" width="41" style="64" customWidth="1"/>
    <col min="15360" max="15360" width="13.140625" style="64" customWidth="1"/>
    <col min="15361" max="15361" width="10.140625" style="64" customWidth="1"/>
    <col min="15362" max="15362" width="10.42578125" style="64" bestFit="1" customWidth="1"/>
    <col min="15363" max="15364" width="9.42578125" style="64" bestFit="1" customWidth="1"/>
    <col min="15365" max="15365" width="10.140625" style="64" bestFit="1" customWidth="1"/>
    <col min="15366" max="15367" width="9.140625" style="64"/>
    <col min="15368" max="15368" width="7.28515625" style="64" customWidth="1"/>
    <col min="15369" max="15369" width="7.42578125" style="64" customWidth="1"/>
    <col min="15370" max="15370" width="9.42578125" style="64" bestFit="1" customWidth="1"/>
    <col min="15371" max="15371" width="12" style="64" bestFit="1" customWidth="1"/>
    <col min="15372" max="15373" width="10" style="64" bestFit="1" customWidth="1"/>
    <col min="15374" max="15374" width="14.42578125" style="64" bestFit="1" customWidth="1"/>
    <col min="15375" max="15385" width="0" style="64" hidden="1" customWidth="1"/>
    <col min="15386" max="15614" width="9.140625" style="64"/>
    <col min="15615" max="15615" width="41" style="64" customWidth="1"/>
    <col min="15616" max="15616" width="13.140625" style="64" customWidth="1"/>
    <col min="15617" max="15617" width="10.140625" style="64" customWidth="1"/>
    <col min="15618" max="15618" width="10.42578125" style="64" bestFit="1" customWidth="1"/>
    <col min="15619" max="15620" width="9.42578125" style="64" bestFit="1" customWidth="1"/>
    <col min="15621" max="15621" width="10.140625" style="64" bestFit="1" customWidth="1"/>
    <col min="15622" max="15623" width="9.140625" style="64"/>
    <col min="15624" max="15624" width="7.28515625" style="64" customWidth="1"/>
    <col min="15625" max="15625" width="7.42578125" style="64" customWidth="1"/>
    <col min="15626" max="15626" width="9.42578125" style="64" bestFit="1" customWidth="1"/>
    <col min="15627" max="15627" width="12" style="64" bestFit="1" customWidth="1"/>
    <col min="15628" max="15629" width="10" style="64" bestFit="1" customWidth="1"/>
    <col min="15630" max="15630" width="14.42578125" style="64" bestFit="1" customWidth="1"/>
    <col min="15631" max="15641" width="0" style="64" hidden="1" customWidth="1"/>
    <col min="15642" max="15870" width="9.140625" style="64"/>
    <col min="15871" max="15871" width="41" style="64" customWidth="1"/>
    <col min="15872" max="15872" width="13.140625" style="64" customWidth="1"/>
    <col min="15873" max="15873" width="10.140625" style="64" customWidth="1"/>
    <col min="15874" max="15874" width="10.42578125" style="64" bestFit="1" customWidth="1"/>
    <col min="15875" max="15876" width="9.42578125" style="64" bestFit="1" customWidth="1"/>
    <col min="15877" max="15877" width="10.140625" style="64" bestFit="1" customWidth="1"/>
    <col min="15878" max="15879" width="9.140625" style="64"/>
    <col min="15880" max="15880" width="7.28515625" style="64" customWidth="1"/>
    <col min="15881" max="15881" width="7.42578125" style="64" customWidth="1"/>
    <col min="15882" max="15882" width="9.42578125" style="64" bestFit="1" customWidth="1"/>
    <col min="15883" max="15883" width="12" style="64" bestFit="1" customWidth="1"/>
    <col min="15884" max="15885" width="10" style="64" bestFit="1" customWidth="1"/>
    <col min="15886" max="15886" width="14.42578125" style="64" bestFit="1" customWidth="1"/>
    <col min="15887" max="15897" width="0" style="64" hidden="1" customWidth="1"/>
    <col min="15898" max="16126" width="9.140625" style="64"/>
    <col min="16127" max="16127" width="41" style="64" customWidth="1"/>
    <col min="16128" max="16128" width="13.140625" style="64" customWidth="1"/>
    <col min="16129" max="16129" width="10.140625" style="64" customWidth="1"/>
    <col min="16130" max="16130" width="10.42578125" style="64" bestFit="1" customWidth="1"/>
    <col min="16131" max="16132" width="9.42578125" style="64" bestFit="1" customWidth="1"/>
    <col min="16133" max="16133" width="10.140625" style="64" bestFit="1" customWidth="1"/>
    <col min="16134" max="16135" width="9.140625" style="64"/>
    <col min="16136" max="16136" width="7.28515625" style="64" customWidth="1"/>
    <col min="16137" max="16137" width="7.42578125" style="64" customWidth="1"/>
    <col min="16138" max="16138" width="9.42578125" style="64" bestFit="1" customWidth="1"/>
    <col min="16139" max="16139" width="12" style="64" bestFit="1" customWidth="1"/>
    <col min="16140" max="16141" width="10" style="64" bestFit="1" customWidth="1"/>
    <col min="16142" max="16142" width="14.42578125" style="64" bestFit="1" customWidth="1"/>
    <col min="16143" max="16153" width="0" style="64" hidden="1" customWidth="1"/>
    <col min="16154" max="16384" width="9.140625" style="64"/>
  </cols>
  <sheetData>
    <row r="1" spans="1:48" ht="25.5" customHeight="1" thickBot="1" x14ac:dyDescent="0.25">
      <c r="A1" s="149" t="s">
        <v>230</v>
      </c>
      <c r="B1" s="150"/>
      <c r="C1" s="150"/>
      <c r="D1" s="150"/>
      <c r="E1" s="150"/>
      <c r="F1" s="150"/>
      <c r="G1" s="150"/>
      <c r="H1" s="150"/>
      <c r="I1" s="150"/>
      <c r="J1" s="150"/>
      <c r="K1" s="151"/>
      <c r="L1" s="62"/>
      <c r="M1" s="62"/>
      <c r="N1" s="62"/>
      <c r="O1" s="62"/>
      <c r="P1" s="62"/>
      <c r="Q1" s="62"/>
      <c r="R1" s="62"/>
      <c r="S1" s="63"/>
      <c r="T1" s="63"/>
    </row>
    <row r="2" spans="1:48" ht="15" x14ac:dyDescent="0.25">
      <c r="A2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3"/>
      <c r="T2" s="63"/>
    </row>
    <row r="3" spans="1:48" ht="29.25" customHeight="1" x14ac:dyDescent="0.2">
      <c r="A3" s="130" t="s">
        <v>135</v>
      </c>
      <c r="B3" s="152">
        <v>45231</v>
      </c>
      <c r="C3" s="153"/>
      <c r="D3" s="153"/>
      <c r="E3" s="153"/>
      <c r="F3" s="153"/>
      <c r="G3" s="153"/>
      <c r="H3" s="153"/>
      <c r="I3" s="153"/>
      <c r="J3" s="153"/>
      <c r="K3" s="154"/>
      <c r="L3" s="65"/>
      <c r="M3" s="65"/>
      <c r="N3" s="65"/>
      <c r="O3" s="65"/>
      <c r="P3" s="65"/>
      <c r="Q3" s="65"/>
      <c r="R3" s="65"/>
      <c r="S3" s="63"/>
      <c r="T3" s="63"/>
    </row>
    <row r="4" spans="1:48" ht="26.25" customHeight="1" x14ac:dyDescent="0.2">
      <c r="A4" s="66"/>
      <c r="B4" s="172" t="s">
        <v>232</v>
      </c>
      <c r="C4" s="172"/>
      <c r="D4" s="172"/>
      <c r="E4" s="172"/>
      <c r="F4" s="172"/>
      <c r="G4" s="172"/>
      <c r="H4" s="172"/>
      <c r="I4" s="172"/>
      <c r="J4" s="172"/>
      <c r="K4" s="172"/>
      <c r="L4" s="67"/>
      <c r="M4" s="67"/>
      <c r="N4" s="67"/>
      <c r="O4" s="67"/>
      <c r="P4" s="67"/>
      <c r="Q4" s="67"/>
      <c r="R4" s="67"/>
      <c r="S4" s="68"/>
      <c r="T4" s="68"/>
    </row>
    <row r="5" spans="1:48" ht="38.25" x14ac:dyDescent="0.2">
      <c r="A5" s="69" t="s">
        <v>195</v>
      </c>
      <c r="B5" s="132" t="s">
        <v>196</v>
      </c>
      <c r="C5" s="66"/>
      <c r="D5" s="66"/>
      <c r="E5" s="66"/>
      <c r="F5" s="66"/>
      <c r="G5" s="66"/>
      <c r="H5" s="66"/>
      <c r="I5" s="66"/>
      <c r="J5" s="66"/>
      <c r="K5" s="66"/>
      <c r="L5" s="67"/>
      <c r="M5" s="67"/>
      <c r="N5" s="67"/>
      <c r="O5" s="67"/>
      <c r="P5" s="67"/>
      <c r="Q5" s="67"/>
      <c r="R5" s="67"/>
      <c r="S5" s="68"/>
      <c r="T5" s="68"/>
    </row>
    <row r="6" spans="1:48" ht="42.75" customHeight="1" x14ac:dyDescent="0.2">
      <c r="A6" s="69" t="s">
        <v>197</v>
      </c>
      <c r="B6" s="70" t="s">
        <v>198</v>
      </c>
      <c r="C6" s="66"/>
      <c r="D6" s="66"/>
      <c r="E6" s="66"/>
      <c r="F6" s="66"/>
      <c r="G6" s="66"/>
      <c r="H6" s="66"/>
      <c r="I6" s="66"/>
      <c r="J6" s="66"/>
      <c r="K6" s="66"/>
      <c r="L6" s="67"/>
      <c r="M6" s="67"/>
      <c r="N6" s="67"/>
      <c r="O6" s="67"/>
      <c r="P6" s="71"/>
      <c r="Q6" s="67"/>
      <c r="R6" s="67"/>
      <c r="S6" s="68"/>
      <c r="T6" s="68"/>
    </row>
    <row r="7" spans="1:48" ht="30.75" customHeight="1" x14ac:dyDescent="0.2">
      <c r="A7" s="155" t="s">
        <v>199</v>
      </c>
      <c r="B7" s="156"/>
      <c r="C7" s="66"/>
      <c r="D7" s="66"/>
      <c r="E7" s="66"/>
      <c r="F7" s="66"/>
      <c r="G7" s="66"/>
      <c r="H7" s="66"/>
      <c r="I7" s="66"/>
      <c r="J7" s="66"/>
      <c r="K7" s="66"/>
      <c r="L7" s="67"/>
      <c r="M7" s="67"/>
      <c r="N7" s="67"/>
      <c r="O7" s="67"/>
      <c r="P7" s="71"/>
      <c r="Q7" s="67"/>
      <c r="R7" s="67"/>
      <c r="S7" s="68"/>
      <c r="T7" s="68"/>
    </row>
    <row r="8" spans="1:48" ht="13.5" thickBot="1" x14ac:dyDescent="0.25">
      <c r="C8" s="65"/>
      <c r="D8" s="72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3"/>
      <c r="T8" s="63"/>
    </row>
    <row r="9" spans="1:48" ht="12.75" customHeight="1" thickBot="1" x14ac:dyDescent="0.25">
      <c r="A9" s="157" t="s">
        <v>200</v>
      </c>
      <c r="B9" s="160" t="s">
        <v>201</v>
      </c>
      <c r="C9" s="163" t="s">
        <v>202</v>
      </c>
      <c r="D9" s="166" t="s">
        <v>203</v>
      </c>
      <c r="E9" s="167"/>
      <c r="F9" s="168"/>
      <c r="G9" s="168"/>
      <c r="H9" s="169" t="s">
        <v>204</v>
      </c>
      <c r="I9" s="170"/>
      <c r="J9" s="170"/>
      <c r="K9" s="171"/>
      <c r="L9" s="189" t="s">
        <v>205</v>
      </c>
      <c r="M9" s="170"/>
      <c r="N9" s="171"/>
      <c r="O9" s="180" t="s">
        <v>206</v>
      </c>
      <c r="P9" s="182" t="s">
        <v>236</v>
      </c>
      <c r="Q9" s="182" t="s">
        <v>207</v>
      </c>
      <c r="R9" s="182" t="s">
        <v>208</v>
      </c>
      <c r="S9" s="184" t="s">
        <v>209</v>
      </c>
      <c r="T9" s="173" t="s">
        <v>210</v>
      </c>
      <c r="U9" s="176" t="s">
        <v>211</v>
      </c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7"/>
      <c r="AN9" s="73"/>
      <c r="AO9" s="73"/>
      <c r="AP9" s="73"/>
      <c r="AQ9" s="73"/>
      <c r="AR9" s="73"/>
      <c r="AS9" s="73"/>
      <c r="AT9" s="73"/>
      <c r="AU9" s="73"/>
      <c r="AV9" s="73"/>
    </row>
    <row r="10" spans="1:48" ht="15.75" customHeight="1" thickBot="1" x14ac:dyDescent="0.25">
      <c r="A10" s="158"/>
      <c r="B10" s="161"/>
      <c r="C10" s="164"/>
      <c r="D10" s="180" t="s">
        <v>212</v>
      </c>
      <c r="E10" s="182" t="s">
        <v>213</v>
      </c>
      <c r="F10" s="184" t="s">
        <v>214</v>
      </c>
      <c r="G10" s="184" t="s">
        <v>215</v>
      </c>
      <c r="H10" s="186" t="s">
        <v>212</v>
      </c>
      <c r="I10" s="183" t="s">
        <v>216</v>
      </c>
      <c r="J10" s="185" t="s">
        <v>217</v>
      </c>
      <c r="K10" s="188" t="s">
        <v>218</v>
      </c>
      <c r="L10" s="190"/>
      <c r="M10" s="191"/>
      <c r="N10" s="192"/>
      <c r="O10" s="181"/>
      <c r="P10" s="183"/>
      <c r="Q10" s="183"/>
      <c r="R10" s="183"/>
      <c r="S10" s="185"/>
      <c r="T10" s="174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9"/>
      <c r="AN10" s="73"/>
      <c r="AO10" s="73"/>
      <c r="AP10" s="73"/>
      <c r="AQ10" s="73"/>
      <c r="AR10" s="73"/>
      <c r="AS10" s="73"/>
      <c r="AT10" s="73"/>
      <c r="AU10" s="73"/>
      <c r="AV10" s="73"/>
    </row>
    <row r="11" spans="1:48" ht="45" customHeight="1" x14ac:dyDescent="0.2">
      <c r="A11" s="159"/>
      <c r="B11" s="162"/>
      <c r="C11" s="165"/>
      <c r="D11" s="181"/>
      <c r="E11" s="183"/>
      <c r="F11" s="185"/>
      <c r="G11" s="185"/>
      <c r="H11" s="187"/>
      <c r="I11" s="183"/>
      <c r="J11" s="185"/>
      <c r="K11" s="188"/>
      <c r="L11" s="76" t="s">
        <v>219</v>
      </c>
      <c r="M11" s="74" t="s">
        <v>197</v>
      </c>
      <c r="N11" s="75" t="s">
        <v>220</v>
      </c>
      <c r="O11" s="181"/>
      <c r="P11" s="183"/>
      <c r="Q11" s="183"/>
      <c r="R11" s="183"/>
      <c r="S11" s="185"/>
      <c r="T11" s="175"/>
      <c r="U11" s="77" t="s">
        <v>80</v>
      </c>
      <c r="V11" s="78" t="s">
        <v>82</v>
      </c>
      <c r="W11" s="78" t="s">
        <v>103</v>
      </c>
      <c r="X11" s="78" t="s">
        <v>107</v>
      </c>
      <c r="Y11" s="78" t="s">
        <v>18</v>
      </c>
      <c r="Z11" s="78" t="str">
        <f>'AUTO CALCULATION SHEET (2)'!AM17</f>
        <v>FR PVC Type ST-2</v>
      </c>
      <c r="AA11" s="78" t="s">
        <v>105</v>
      </c>
      <c r="AB11" s="78" t="s">
        <v>120</v>
      </c>
      <c r="AC11" s="78" t="s">
        <v>100</v>
      </c>
      <c r="AD11" s="78" t="s">
        <v>105</v>
      </c>
      <c r="AE11" s="79" t="s">
        <v>221</v>
      </c>
      <c r="AF11" s="79" t="s">
        <v>222</v>
      </c>
      <c r="AG11" s="79" t="s">
        <v>223</v>
      </c>
      <c r="AH11" s="79" t="s">
        <v>224</v>
      </c>
      <c r="AI11" s="79" t="s">
        <v>225</v>
      </c>
      <c r="AJ11" s="79" t="s">
        <v>226</v>
      </c>
      <c r="AK11" s="79" t="s">
        <v>227</v>
      </c>
      <c r="AL11" s="79" t="s">
        <v>228</v>
      </c>
      <c r="AM11" s="80" t="s">
        <v>229</v>
      </c>
    </row>
    <row r="12" spans="1:48" ht="12.75" customHeight="1" x14ac:dyDescent="0.2">
      <c r="A12" s="81"/>
      <c r="B12" s="82"/>
      <c r="C12" s="83"/>
      <c r="D12" s="84"/>
      <c r="E12" s="85"/>
      <c r="F12" s="86"/>
      <c r="G12" s="86"/>
      <c r="H12" s="87"/>
      <c r="I12" s="88"/>
      <c r="J12" s="89"/>
      <c r="K12" s="90"/>
      <c r="L12" s="91"/>
      <c r="M12" s="92"/>
      <c r="N12" s="93"/>
      <c r="O12" s="94"/>
      <c r="P12" s="95"/>
      <c r="Q12" s="95"/>
      <c r="R12" s="96"/>
      <c r="S12" s="97"/>
      <c r="T12" s="98"/>
      <c r="U12" s="99">
        <v>211</v>
      </c>
      <c r="V12" s="100">
        <v>751</v>
      </c>
      <c r="W12" s="100">
        <v>72</v>
      </c>
      <c r="X12" s="100">
        <v>102</v>
      </c>
      <c r="Y12" s="100">
        <v>123</v>
      </c>
      <c r="Z12" s="100">
        <v>95</v>
      </c>
      <c r="AA12" s="100">
        <v>59</v>
      </c>
      <c r="AB12" s="100">
        <v>87</v>
      </c>
      <c r="AC12" s="100">
        <v>94</v>
      </c>
      <c r="AD12" s="100">
        <v>59</v>
      </c>
      <c r="AE12" s="101"/>
      <c r="AF12" s="101"/>
      <c r="AG12" s="101"/>
      <c r="AH12" s="101"/>
      <c r="AI12" s="101"/>
      <c r="AJ12" s="101"/>
      <c r="AK12" s="102"/>
      <c r="AL12" s="101"/>
      <c r="AM12" s="103"/>
    </row>
    <row r="13" spans="1:48" s="121" customFormat="1" ht="24" customHeight="1" x14ac:dyDescent="0.2">
      <c r="A13" s="104" t="str">
        <f>'AUTO CALCULATION SHEET (2)'!D19</f>
        <v>4 CORE X 2.5 SQ. MM. CU/ARD - WIRE (PVC)</v>
      </c>
      <c r="B13" s="105"/>
      <c r="C13" s="106" t="s">
        <v>231</v>
      </c>
      <c r="D13" s="131">
        <v>45267</v>
      </c>
      <c r="E13" s="107">
        <v>757901.46</v>
      </c>
      <c r="F13" s="108">
        <v>150825</v>
      </c>
      <c r="G13" s="110">
        <v>77250</v>
      </c>
      <c r="H13" s="109">
        <f t="shared" ref="H13:H16" si="0">$B$3</f>
        <v>45231</v>
      </c>
      <c r="I13" s="108">
        <v>738675</v>
      </c>
      <c r="J13" s="108">
        <v>150825</v>
      </c>
      <c r="K13" s="110">
        <v>77250</v>
      </c>
      <c r="L13" s="111">
        <v>9.4E-2</v>
      </c>
      <c r="M13" s="112">
        <v>0.17899999999999999</v>
      </c>
      <c r="N13" s="113">
        <v>0.314</v>
      </c>
      <c r="O13" s="94">
        <f>'AUTO CALCULATION SHEET (2)'!E19</f>
        <v>124549.19165899999</v>
      </c>
      <c r="P13" s="114">
        <f>(L13*(E13-I13))</f>
        <v>1807.2872399999965</v>
      </c>
      <c r="Q13" s="114">
        <f>(M13*(F13-J13))</f>
        <v>0</v>
      </c>
      <c r="R13" s="114">
        <f>(N13*(G13-K13))</f>
        <v>0</v>
      </c>
      <c r="S13" s="115">
        <f>P13+Q13+R13</f>
        <v>1807.2872399999965</v>
      </c>
      <c r="T13" s="116">
        <f>+O13+S13</f>
        <v>126356.47889899998</v>
      </c>
      <c r="U13" s="117">
        <f>'AUTO CALCULATION SHEET (2)'!N19</f>
        <v>0</v>
      </c>
      <c r="V13" s="118">
        <f>'AUTO CALCULATION SHEET (2)'!P19</f>
        <v>88.8</v>
      </c>
      <c r="W13" s="118">
        <f>'AUTO CALCULATION SHEET (2)'!AH19</f>
        <v>0</v>
      </c>
      <c r="X13" s="118">
        <f>'AUTO CALCULATION SHEET (2)'!AI19</f>
        <v>52</v>
      </c>
      <c r="Y13" s="118">
        <f>'AUTO CALCULATION SHEET (2)'!AK19</f>
        <v>3</v>
      </c>
      <c r="Z13" s="118">
        <f>'AUTO CALCULATION SHEET (2)'!AM19</f>
        <v>27</v>
      </c>
      <c r="AA13" s="118">
        <f>'AUTO CALCULATION SHEET (2)'!AO19</f>
        <v>0</v>
      </c>
      <c r="AB13" s="118">
        <f>'AUTO CALCULATION SHEET (2)'!BA19</f>
        <v>289</v>
      </c>
      <c r="AC13" s="118">
        <f>'AUTO CALCULATION SHEET (2)'!BF19</f>
        <v>104</v>
      </c>
      <c r="AD13" s="118">
        <f>'AUTO CALCULATION SHEET (2)'!BI19</f>
        <v>0</v>
      </c>
      <c r="AE13" s="119">
        <f>SUMPRODUCT(U13:AD13,$U$12:$AD$12)</f>
        <v>109845.8</v>
      </c>
      <c r="AF13" s="118">
        <f>'AUTO CALCULATION SHEET (2)'!BZ19</f>
        <v>4610.79</v>
      </c>
      <c r="AG13" s="119">
        <f>AE13+AF13</f>
        <v>114456.59</v>
      </c>
      <c r="AH13" s="118">
        <f>T13-AG13</f>
        <v>11899.888898999983</v>
      </c>
      <c r="AI13" s="119">
        <f>ROUND((AH13/AG13)*100,2)</f>
        <v>10.4</v>
      </c>
      <c r="AJ13" s="118">
        <v>0</v>
      </c>
      <c r="AK13" s="118">
        <v>2</v>
      </c>
      <c r="AL13" s="118">
        <v>1</v>
      </c>
      <c r="AM13" s="120">
        <f t="shared" ref="AM13:AM16" si="1">AI13-AJ13-AK13-AL13</f>
        <v>7.4</v>
      </c>
    </row>
    <row r="14" spans="1:48" ht="24" customHeight="1" x14ac:dyDescent="0.2">
      <c r="A14" s="104" t="str">
        <f>'AUTO CALCULATION SHEET (2)'!D20</f>
        <v>8 CORE X 2.5 SQ. MM. CU/ARD - WIRE (PVC)</v>
      </c>
      <c r="B14" s="105"/>
      <c r="C14" s="106" t="s">
        <v>231</v>
      </c>
      <c r="D14" s="131">
        <v>45267</v>
      </c>
      <c r="E14" s="107">
        <v>757901.46</v>
      </c>
      <c r="F14" s="108">
        <v>150825</v>
      </c>
      <c r="G14" s="110">
        <v>77250</v>
      </c>
      <c r="H14" s="109">
        <f t="shared" si="0"/>
        <v>45231</v>
      </c>
      <c r="I14" s="108">
        <v>738675</v>
      </c>
      <c r="J14" s="108">
        <v>150825</v>
      </c>
      <c r="K14" s="110">
        <v>77250</v>
      </c>
      <c r="L14" s="111">
        <v>0.182</v>
      </c>
      <c r="M14" s="112">
        <v>0.32500000000000001</v>
      </c>
      <c r="N14" s="113">
        <v>0.45600000000000002</v>
      </c>
      <c r="O14" s="94">
        <f>'AUTO CALCULATION SHEET (2)'!E20</f>
        <v>217666.72275900003</v>
      </c>
      <c r="P14" s="114">
        <f>(L14*(E14-I14))</f>
        <v>3499.2157199999933</v>
      </c>
      <c r="Q14" s="114">
        <f>(M14*(F14-J14))</f>
        <v>0</v>
      </c>
      <c r="R14" s="114">
        <f>(N14*(G14-K14))</f>
        <v>0</v>
      </c>
      <c r="S14" s="115">
        <f>P14+Q14+R14</f>
        <v>3499.2157199999933</v>
      </c>
      <c r="T14" s="116">
        <f>+O14+S14</f>
        <v>221165.93847900003</v>
      </c>
      <c r="U14" s="117">
        <f>'AUTO CALCULATION SHEET (2)'!N20</f>
        <v>0</v>
      </c>
      <c r="V14" s="118">
        <f>'AUTO CALCULATION SHEET (2)'!P20</f>
        <v>178</v>
      </c>
      <c r="W14" s="118">
        <f>'AUTO CALCULATION SHEET (2)'!AH20</f>
        <v>0</v>
      </c>
      <c r="X14" s="118">
        <f>'AUTO CALCULATION SHEET (2)'!AI20</f>
        <v>120</v>
      </c>
      <c r="Y14" s="118">
        <f>'AUTO CALCULATION SHEET (2)'!AK20</f>
        <v>5</v>
      </c>
      <c r="Z14" s="118">
        <f>'AUTO CALCULATION SHEET (2)'!AM20</f>
        <v>34</v>
      </c>
      <c r="AA14" s="118">
        <f>'AUTO CALCULATION SHEET (2)'!AO20</f>
        <v>0</v>
      </c>
      <c r="AB14" s="118">
        <f>'AUTO CALCULATION SHEET (2)'!BA20</f>
        <v>373</v>
      </c>
      <c r="AC14" s="118">
        <f>'AUTO CALCULATION SHEET (2)'!BF20</f>
        <v>145</v>
      </c>
      <c r="AD14" s="118">
        <f>'AUTO CALCULATION SHEET (2)'!BI20</f>
        <v>0</v>
      </c>
      <c r="AE14" s="119">
        <f>SUMPRODUCT(U14:AD14,$U$12:$AD$12)</f>
        <v>195844</v>
      </c>
      <c r="AF14" s="118">
        <f>'AUTO CALCULATION SHEET (2)'!BZ20</f>
        <v>4610.79</v>
      </c>
      <c r="AG14" s="119">
        <f>AE14+AF14</f>
        <v>200454.79</v>
      </c>
      <c r="AH14" s="118">
        <f>T14-AG14</f>
        <v>20711.148479000025</v>
      </c>
      <c r="AI14" s="119">
        <f t="shared" ref="AI14:AI16" si="2">ROUND((AH14/AG14)*100,2)</f>
        <v>10.33</v>
      </c>
      <c r="AJ14" s="118">
        <v>0</v>
      </c>
      <c r="AK14" s="118">
        <v>2</v>
      </c>
      <c r="AL14" s="118">
        <v>1</v>
      </c>
      <c r="AM14" s="120">
        <f t="shared" si="1"/>
        <v>7.33</v>
      </c>
    </row>
    <row r="15" spans="1:48" ht="24" customHeight="1" x14ac:dyDescent="0.2">
      <c r="A15" s="104" t="str">
        <f>'AUTO CALCULATION SHEET (2)'!D21</f>
        <v>12 CORE X 2.5 SQ. MM. CU/ARD - WIRE (PVC)</v>
      </c>
      <c r="B15" s="105"/>
      <c r="C15" s="106" t="s">
        <v>231</v>
      </c>
      <c r="D15" s="131">
        <v>45267</v>
      </c>
      <c r="E15" s="107">
        <v>757901.46</v>
      </c>
      <c r="F15" s="108">
        <v>150825</v>
      </c>
      <c r="G15" s="110">
        <v>76750</v>
      </c>
      <c r="H15" s="109">
        <f t="shared" si="0"/>
        <v>45231</v>
      </c>
      <c r="I15" s="108">
        <v>738675</v>
      </c>
      <c r="J15" s="108">
        <v>150825</v>
      </c>
      <c r="K15" s="110">
        <v>76750</v>
      </c>
      <c r="L15" s="111">
        <v>0.28199999999999997</v>
      </c>
      <c r="M15" s="112">
        <v>0.371</v>
      </c>
      <c r="N15" s="113">
        <v>0.57199999999999995</v>
      </c>
      <c r="O15" s="94">
        <f>'AUTO CALCULATION SHEET (2)'!E21</f>
        <v>310256.00630800001</v>
      </c>
      <c r="P15" s="114">
        <f>(L15*(E15-I15))</f>
        <v>5421.861719999989</v>
      </c>
      <c r="Q15" s="114">
        <f>(M15*(F15-J15))</f>
        <v>0</v>
      </c>
      <c r="R15" s="114">
        <f>(N15*(G15-K15))</f>
        <v>0</v>
      </c>
      <c r="S15" s="115">
        <f>P15+Q15+R15</f>
        <v>5421.861719999989</v>
      </c>
      <c r="T15" s="116">
        <f>+O15+S15</f>
        <v>315677.868028</v>
      </c>
      <c r="U15" s="117">
        <f>'AUTO CALCULATION SHEET (2)'!N21</f>
        <v>0</v>
      </c>
      <c r="V15" s="118">
        <f>'AUTO CALCULATION SHEET (2)'!P21</f>
        <v>266.39999999999998</v>
      </c>
      <c r="W15" s="118">
        <f>'AUTO CALCULATION SHEET (2)'!AH21</f>
        <v>0</v>
      </c>
      <c r="X15" s="118">
        <f>'AUTO CALCULATION SHEET (2)'!AI21</f>
        <v>156</v>
      </c>
      <c r="Y15" s="118">
        <f>'AUTO CALCULATION SHEET (2)'!AK21</f>
        <v>6</v>
      </c>
      <c r="Z15" s="118">
        <f>'AUTO CALCULATION SHEET (2)'!AM21</f>
        <v>40</v>
      </c>
      <c r="AA15" s="118">
        <f>'AUTO CALCULATION SHEET (2)'!AO21</f>
        <v>0</v>
      </c>
      <c r="AB15" s="118">
        <f>'AUTO CALCULATION SHEET (2)'!BA21</f>
        <v>508</v>
      </c>
      <c r="AC15" s="118">
        <f>'AUTO CALCULATION SHEET (2)'!BF21</f>
        <v>170</v>
      </c>
      <c r="AD15" s="118">
        <f>'AUTO CALCULATION SHEET (2)'!BI21</f>
        <v>0</v>
      </c>
      <c r="AE15" s="119">
        <f>SUMPRODUCT(U15:AD15,$U$12:$AD$12)</f>
        <v>280692.40000000002</v>
      </c>
      <c r="AF15" s="118">
        <f>'AUTO CALCULATION SHEET (2)'!BZ21</f>
        <v>5151.4799999999996</v>
      </c>
      <c r="AG15" s="119">
        <f>AE15+AF15</f>
        <v>285843.88</v>
      </c>
      <c r="AH15" s="118">
        <f>T15-AG15</f>
        <v>29833.988027999992</v>
      </c>
      <c r="AI15" s="119">
        <f t="shared" si="2"/>
        <v>10.44</v>
      </c>
      <c r="AJ15" s="118">
        <v>0</v>
      </c>
      <c r="AK15" s="118">
        <v>2</v>
      </c>
      <c r="AL15" s="118">
        <v>1</v>
      </c>
      <c r="AM15" s="120">
        <f t="shared" si="1"/>
        <v>7.4399999999999995</v>
      </c>
      <c r="AN15" s="121"/>
    </row>
    <row r="16" spans="1:48" ht="24" customHeight="1" x14ac:dyDescent="0.2">
      <c r="A16" s="104" t="str">
        <f>'AUTO CALCULATION SHEET (2)'!D22</f>
        <v>2 CORE X 6 SQ. MM. AL/UNARD (PVC)</v>
      </c>
      <c r="B16" s="105"/>
      <c r="C16" s="106" t="s">
        <v>231</v>
      </c>
      <c r="D16" s="131">
        <v>45267</v>
      </c>
      <c r="E16" s="107">
        <v>204174.48</v>
      </c>
      <c r="F16" s="108">
        <v>150825</v>
      </c>
      <c r="G16" s="110"/>
      <c r="H16" s="109">
        <f t="shared" si="0"/>
        <v>45231</v>
      </c>
      <c r="I16" s="108">
        <v>212415</v>
      </c>
      <c r="J16" s="108">
        <v>150825</v>
      </c>
      <c r="K16" s="110"/>
      <c r="L16" s="111">
        <v>3.4000000000000002E-2</v>
      </c>
      <c r="M16" s="112">
        <v>0.154</v>
      </c>
      <c r="N16" s="113"/>
      <c r="O16" s="94">
        <f>'AUTO CALCULATION SHEET (2)'!E22</f>
        <v>26256.077728</v>
      </c>
      <c r="P16" s="114">
        <f>(L16*(E16-I16))</f>
        <v>-280.17767999999967</v>
      </c>
      <c r="Q16" s="114">
        <f>(M16*(F16-J16))</f>
        <v>0</v>
      </c>
      <c r="R16" s="114">
        <f>(N16*(G16-K16))</f>
        <v>0</v>
      </c>
      <c r="S16" s="115">
        <f>P16+Q16+R16</f>
        <v>-280.17767999999967</v>
      </c>
      <c r="T16" s="116">
        <f>+O16+S16</f>
        <v>25975.900048</v>
      </c>
      <c r="U16" s="117">
        <f>'AUTO CALCULATION SHEET (2)'!N22</f>
        <v>32.4</v>
      </c>
      <c r="V16" s="118">
        <f>'AUTO CALCULATION SHEET (2)'!P22</f>
        <v>0</v>
      </c>
      <c r="W16" s="118">
        <f>'AUTO CALCULATION SHEET (2)'!AH22</f>
        <v>40</v>
      </c>
      <c r="X16" s="118">
        <f>'AUTO CALCULATION SHEET (2)'!AI22</f>
        <v>0</v>
      </c>
      <c r="Y16" s="118">
        <f>'AUTO CALCULATION SHEET (2)'!AK22</f>
        <v>0</v>
      </c>
      <c r="Z16" s="118">
        <f>'AUTO CALCULATION SHEET (2)'!AM22</f>
        <v>0</v>
      </c>
      <c r="AA16" s="118">
        <f>'AUTO CALCULATION SHEET (2)'!AO22</f>
        <v>68</v>
      </c>
      <c r="AB16" s="118">
        <f>'AUTO CALCULATION SHEET (2)'!BA22</f>
        <v>0</v>
      </c>
      <c r="AC16" s="118">
        <f>'AUTO CALCULATION SHEET (2)'!BF22</f>
        <v>0</v>
      </c>
      <c r="AD16" s="118">
        <f>'AUTO CALCULATION SHEET (2)'!BI22</f>
        <v>109</v>
      </c>
      <c r="AE16" s="119">
        <f>SUMPRODUCT(U16:AD16,$U$12:$AD$12)</f>
        <v>20159.400000000001</v>
      </c>
      <c r="AF16" s="118">
        <f>'AUTO CALCULATION SHEET (2)'!BZ22</f>
        <v>3751.68</v>
      </c>
      <c r="AG16" s="119">
        <f>AE16+AF16</f>
        <v>23911.08</v>
      </c>
      <c r="AH16" s="118">
        <f>T16-AG16</f>
        <v>2064.8200479999978</v>
      </c>
      <c r="AI16" s="119">
        <f t="shared" si="2"/>
        <v>8.64</v>
      </c>
      <c r="AJ16" s="118">
        <v>0</v>
      </c>
      <c r="AK16" s="118">
        <v>2</v>
      </c>
      <c r="AL16" s="118">
        <v>1</v>
      </c>
      <c r="AM16" s="120">
        <f t="shared" si="1"/>
        <v>5.6400000000000006</v>
      </c>
    </row>
    <row r="17" spans="1:39" ht="13.5" thickBot="1" x14ac:dyDescent="0.25">
      <c r="A17" s="122"/>
      <c r="B17" s="123"/>
      <c r="C17" s="124"/>
      <c r="D17" s="125"/>
      <c r="E17" s="126"/>
      <c r="F17" s="126"/>
      <c r="G17" s="127"/>
      <c r="H17" s="128"/>
      <c r="I17" s="126"/>
      <c r="J17" s="126"/>
      <c r="K17" s="129"/>
      <c r="L17" s="128"/>
      <c r="M17" s="126"/>
      <c r="N17" s="129"/>
      <c r="O17" s="125"/>
      <c r="P17" s="126"/>
      <c r="Q17" s="126"/>
      <c r="R17" s="126"/>
      <c r="S17" s="127"/>
      <c r="T17" s="123"/>
      <c r="U17" s="125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9"/>
    </row>
  </sheetData>
  <mergeCells count="25">
    <mergeCell ref="T9:T11"/>
    <mergeCell ref="U9:AM10"/>
    <mergeCell ref="D10:D11"/>
    <mergeCell ref="E10:E11"/>
    <mergeCell ref="F10:F11"/>
    <mergeCell ref="G10:G11"/>
    <mergeCell ref="H10:H11"/>
    <mergeCell ref="I10:I11"/>
    <mergeCell ref="J10:J11"/>
    <mergeCell ref="K10:K11"/>
    <mergeCell ref="L9:N10"/>
    <mergeCell ref="O9:O11"/>
    <mergeCell ref="P9:P11"/>
    <mergeCell ref="Q9:Q11"/>
    <mergeCell ref="R9:R11"/>
    <mergeCell ref="S9:S11"/>
    <mergeCell ref="A1:K1"/>
    <mergeCell ref="B3:K3"/>
    <mergeCell ref="A7:B7"/>
    <mergeCell ref="A9:A11"/>
    <mergeCell ref="B9:B11"/>
    <mergeCell ref="C9:C11"/>
    <mergeCell ref="D9:G9"/>
    <mergeCell ref="H9:K9"/>
    <mergeCell ref="B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AUTO CALCULATION SHEET (2)</vt:lpstr>
      <vt:lpstr>Cable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2023-12-08T07:46:50Z</dcterms:modified>
</cp:coreProperties>
</file>