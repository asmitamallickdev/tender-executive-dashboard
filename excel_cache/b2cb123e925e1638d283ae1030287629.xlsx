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E:\working\2024-25\08_AUGUST 2024\GEM-PGCIL-13581-12-08-2024\"/>
    </mc:Choice>
  </mc:AlternateContent>
  <xr:revisionPtr revIDLastSave="0" documentId="13_ncr:1_{E1C5BE40-BAB7-4CE1-AAD5-8C6BF4D40647}" xr6:coauthVersionLast="47" xr6:coauthVersionMax="47" xr10:uidLastSave="{00000000-0000-0000-0000-000000000000}"/>
  <bookViews>
    <workbookView xWindow="60" yWindow="7245" windowWidth="28800" windowHeight="8340" firstSheet="1" activeTab="2" xr2:uid="{00000000-000D-0000-FFFF-FFFF00000000}"/>
  </bookViews>
  <sheets>
    <sheet name="Sheet1" sheetId="1" state="hidden" r:id="rId1"/>
    <sheet name="AUTO CALCULATION SHEET (2)" sheetId="4" r:id="rId2"/>
    <sheet name="CONDUCTOR" sheetId="6" r:id="rId3"/>
  </sheets>
  <definedNames>
    <definedName name="_xlnm._FilterDatabase" localSheetId="0" hidden="1">Sheet1!$A$1:$CW$1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8" i="6" l="1"/>
  <c r="AA28" i="6"/>
  <c r="W30" i="6"/>
  <c r="U30" i="6"/>
  <c r="T30" i="6"/>
  <c r="W29" i="6"/>
  <c r="U29" i="6"/>
  <c r="T29" i="6"/>
  <c r="W28" i="6"/>
  <c r="U28" i="6"/>
  <c r="T28" i="6"/>
  <c r="W27" i="6"/>
  <c r="U27" i="6"/>
  <c r="T27" i="6"/>
  <c r="W26" i="6"/>
  <c r="U26" i="6"/>
  <c r="T26" i="6"/>
  <c r="X26" i="6" l="1"/>
  <c r="X30" i="6"/>
  <c r="AC28" i="6"/>
  <c r="X27" i="6"/>
  <c r="X28" i="6"/>
  <c r="X29" i="6"/>
  <c r="CA7" i="4" l="1"/>
  <c r="CA8" i="4"/>
  <c r="CA5" i="4"/>
  <c r="CB5" i="4" s="1"/>
  <c r="CA9" i="4"/>
  <c r="CB9" i="4" s="1"/>
  <c r="CA6" i="4"/>
  <c r="CA3" i="4"/>
  <c r="CP3" i="4"/>
  <c r="CO3" i="4"/>
  <c r="CB8" i="4" l="1"/>
  <c r="AD29" i="6" s="1"/>
  <c r="CB6" i="4"/>
  <c r="AD27" i="6" s="1"/>
  <c r="CB7" i="4"/>
  <c r="AD28" i="6" s="1"/>
  <c r="AE28" i="6" s="1"/>
  <c r="F18" i="4"/>
  <c r="AD30" i="6"/>
  <c r="F17" i="4"/>
  <c r="AD26" i="6"/>
  <c r="F14" i="4"/>
  <c r="F15" i="4"/>
  <c r="F16" i="4"/>
  <c r="CO9" i="4"/>
  <c r="CO5" i="4"/>
  <c r="CO7" i="4"/>
  <c r="CO6" i="4"/>
  <c r="CO8" i="4"/>
  <c r="J16" i="4" l="1"/>
  <c r="J17" i="4"/>
  <c r="J15" i="4"/>
  <c r="J14" i="4"/>
  <c r="J18" i="4"/>
  <c r="BY3" i="4"/>
  <c r="BX3" i="4"/>
  <c r="BV7" i="4"/>
  <c r="BV8" i="4"/>
  <c r="BV5" i="4"/>
  <c r="BV9" i="4"/>
  <c r="BV6" i="4"/>
  <c r="BV3" i="4"/>
  <c r="AD7" i="4"/>
  <c r="AD8" i="4"/>
  <c r="AD5" i="4"/>
  <c r="AD9" i="4"/>
  <c r="AD6" i="4"/>
  <c r="B7" i="4"/>
  <c r="B8" i="4"/>
  <c r="B5" i="4"/>
  <c r="B9" i="4"/>
  <c r="B6" i="4"/>
  <c r="B3" i="4"/>
  <c r="T4" i="4"/>
  <c r="S4" i="4"/>
  <c r="H7" i="4" l="1"/>
  <c r="K7" i="4"/>
  <c r="L7" i="4"/>
  <c r="O7" i="4"/>
  <c r="P7" i="4"/>
  <c r="Q7" i="4"/>
  <c r="R7" i="4"/>
  <c r="S7" i="4"/>
  <c r="T7" i="4"/>
  <c r="U7" i="4"/>
  <c r="V7" i="4"/>
  <c r="W7" i="4"/>
  <c r="X7" i="4"/>
  <c r="Y7" i="4"/>
  <c r="Z7" i="4"/>
  <c r="AA7" i="4"/>
  <c r="AB7" i="4"/>
  <c r="AC7" i="4"/>
  <c r="AE7" i="4"/>
  <c r="AF7" i="4"/>
  <c r="AG7" i="4"/>
  <c r="AH7" i="4"/>
  <c r="AI7" i="4"/>
  <c r="AJ7" i="4"/>
  <c r="AK7" i="4"/>
  <c r="AL7" i="4"/>
  <c r="AM7" i="4"/>
  <c r="AN7" i="4"/>
  <c r="AO7" i="4"/>
  <c r="AP7" i="4"/>
  <c r="AQ7" i="4"/>
  <c r="AR7" i="4"/>
  <c r="AT7" i="4"/>
  <c r="AU7" i="4"/>
  <c r="AV7" i="4"/>
  <c r="AW7" i="4"/>
  <c r="AX7" i="4"/>
  <c r="AY7" i="4"/>
  <c r="AZ7" i="4"/>
  <c r="BA7" i="4"/>
  <c r="BB7" i="4"/>
  <c r="BC7" i="4"/>
  <c r="BD7" i="4"/>
  <c r="BE7" i="4"/>
  <c r="BF7" i="4"/>
  <c r="BG7" i="4"/>
  <c r="BH7" i="4"/>
  <c r="BI7" i="4"/>
  <c r="BJ7" i="4"/>
  <c r="BK7" i="4"/>
  <c r="BL7" i="4"/>
  <c r="BM7" i="4"/>
  <c r="BN7" i="4"/>
  <c r="BO7" i="4"/>
  <c r="BP7" i="4"/>
  <c r="BQ7" i="4"/>
  <c r="BR7" i="4"/>
  <c r="BS7" i="4"/>
  <c r="BT7" i="4"/>
  <c r="BU7" i="4"/>
  <c r="CD7" i="4"/>
  <c r="CH7" i="4"/>
  <c r="H8" i="4"/>
  <c r="K8" i="4"/>
  <c r="E16" i="4" s="1"/>
  <c r="K16" i="4" s="1"/>
  <c r="M16" i="4" s="1"/>
  <c r="L8" i="4"/>
  <c r="N8" i="4"/>
  <c r="O8" i="4"/>
  <c r="P8" i="4"/>
  <c r="Q8" i="4"/>
  <c r="R8" i="4"/>
  <c r="S8" i="4"/>
  <c r="T8" i="4"/>
  <c r="U8" i="4"/>
  <c r="V8" i="4"/>
  <c r="W8" i="4"/>
  <c r="X8" i="4"/>
  <c r="Y8" i="4"/>
  <c r="Z8" i="4"/>
  <c r="AA8" i="4"/>
  <c r="AB8" i="4"/>
  <c r="AC8" i="4"/>
  <c r="AE8" i="4"/>
  <c r="AF8" i="4"/>
  <c r="AG8" i="4"/>
  <c r="AH8" i="4"/>
  <c r="AI8" i="4"/>
  <c r="AJ8" i="4"/>
  <c r="AK8" i="4"/>
  <c r="AL8" i="4"/>
  <c r="AM8" i="4"/>
  <c r="AN8" i="4"/>
  <c r="AO8" i="4"/>
  <c r="AP8" i="4"/>
  <c r="AQ8" i="4"/>
  <c r="AR8" i="4"/>
  <c r="AS8" i="4"/>
  <c r="AB29" i="6" s="1"/>
  <c r="AT8" i="4"/>
  <c r="AU8" i="4"/>
  <c r="AV8" i="4"/>
  <c r="AW8" i="4"/>
  <c r="AX8" i="4"/>
  <c r="AY8" i="4"/>
  <c r="AZ8" i="4"/>
  <c r="BA8" i="4"/>
  <c r="BB8" i="4"/>
  <c r="BC8" i="4"/>
  <c r="BD8" i="4"/>
  <c r="BE8" i="4"/>
  <c r="BF8" i="4"/>
  <c r="BG8" i="4"/>
  <c r="BH8" i="4"/>
  <c r="BI8" i="4"/>
  <c r="BJ8" i="4"/>
  <c r="BK8" i="4"/>
  <c r="BL8" i="4"/>
  <c r="BM8" i="4"/>
  <c r="BN8" i="4"/>
  <c r="BO8" i="4"/>
  <c r="BP8" i="4"/>
  <c r="BQ8" i="4"/>
  <c r="BR8" i="4"/>
  <c r="BS8" i="4"/>
  <c r="BT8" i="4"/>
  <c r="BU8" i="4"/>
  <c r="CD8" i="4"/>
  <c r="CH8" i="4"/>
  <c r="H5" i="4"/>
  <c r="K5" i="4"/>
  <c r="L5" i="4"/>
  <c r="N5" i="4"/>
  <c r="O5" i="4"/>
  <c r="P5" i="4"/>
  <c r="Q5" i="4"/>
  <c r="R5" i="4"/>
  <c r="S5" i="4"/>
  <c r="T5" i="4"/>
  <c r="U5" i="4"/>
  <c r="V5" i="4"/>
  <c r="W5" i="4"/>
  <c r="X5" i="4"/>
  <c r="Y5" i="4"/>
  <c r="Z5" i="4"/>
  <c r="AA5" i="4"/>
  <c r="AB5" i="4"/>
  <c r="AC5" i="4"/>
  <c r="AE5" i="4"/>
  <c r="AF5" i="4"/>
  <c r="AG5" i="4"/>
  <c r="AH5" i="4"/>
  <c r="AI5" i="4"/>
  <c r="AJ5" i="4"/>
  <c r="AK5" i="4"/>
  <c r="AL5" i="4"/>
  <c r="AM5" i="4"/>
  <c r="AN5" i="4"/>
  <c r="AO5" i="4"/>
  <c r="AP5" i="4"/>
  <c r="AQ5" i="4"/>
  <c r="AR5" i="4"/>
  <c r="AS5" i="4"/>
  <c r="AB26" i="6" s="1"/>
  <c r="AT5" i="4"/>
  <c r="AU5" i="4"/>
  <c r="AV5" i="4"/>
  <c r="AW5" i="4"/>
  <c r="AX5" i="4"/>
  <c r="AY5" i="4"/>
  <c r="AZ5" i="4"/>
  <c r="BA5" i="4"/>
  <c r="BB5" i="4"/>
  <c r="BC5" i="4"/>
  <c r="BD5" i="4"/>
  <c r="BE5" i="4"/>
  <c r="BF5" i="4"/>
  <c r="BG5" i="4"/>
  <c r="BH5" i="4"/>
  <c r="BI5" i="4"/>
  <c r="BJ5" i="4"/>
  <c r="BK5" i="4"/>
  <c r="BL5" i="4"/>
  <c r="BM5" i="4"/>
  <c r="BN5" i="4"/>
  <c r="BO5" i="4"/>
  <c r="BP5" i="4"/>
  <c r="BQ5" i="4"/>
  <c r="BR5" i="4"/>
  <c r="BS5" i="4"/>
  <c r="BT5" i="4"/>
  <c r="BU5" i="4"/>
  <c r="CD5" i="4"/>
  <c r="CH5" i="4"/>
  <c r="H9" i="4"/>
  <c r="K9" i="4"/>
  <c r="E18" i="4" s="1"/>
  <c r="K18" i="4" s="1"/>
  <c r="M18" i="4" s="1"/>
  <c r="L9" i="4"/>
  <c r="N9" i="4"/>
  <c r="O9" i="4"/>
  <c r="P9" i="4"/>
  <c r="Q9" i="4"/>
  <c r="R9" i="4"/>
  <c r="S9" i="4"/>
  <c r="T9" i="4"/>
  <c r="U9" i="4"/>
  <c r="V9" i="4"/>
  <c r="W9" i="4"/>
  <c r="X9" i="4"/>
  <c r="Y9" i="4"/>
  <c r="Z9" i="4"/>
  <c r="AA9" i="4"/>
  <c r="AB9" i="4"/>
  <c r="AC9" i="4"/>
  <c r="AE9" i="4"/>
  <c r="AF9" i="4"/>
  <c r="AG9" i="4"/>
  <c r="AH9" i="4"/>
  <c r="AI9" i="4"/>
  <c r="AJ9" i="4"/>
  <c r="AK9" i="4"/>
  <c r="AL9" i="4"/>
  <c r="AM9" i="4"/>
  <c r="AN9" i="4"/>
  <c r="AO9" i="4"/>
  <c r="AP9" i="4"/>
  <c r="AQ9" i="4"/>
  <c r="AR9" i="4"/>
  <c r="AS9" i="4"/>
  <c r="AB30" i="6" s="1"/>
  <c r="AT9" i="4"/>
  <c r="AU9" i="4"/>
  <c r="AV9" i="4"/>
  <c r="AW9" i="4"/>
  <c r="AX9" i="4"/>
  <c r="AY9" i="4"/>
  <c r="AZ9" i="4"/>
  <c r="BA9" i="4"/>
  <c r="BB9" i="4"/>
  <c r="BC9" i="4"/>
  <c r="BD9" i="4"/>
  <c r="BE9" i="4"/>
  <c r="BF9" i="4"/>
  <c r="BG9" i="4"/>
  <c r="BH9" i="4"/>
  <c r="BI9" i="4"/>
  <c r="BJ9" i="4"/>
  <c r="BK9" i="4"/>
  <c r="BL9" i="4"/>
  <c r="BM9" i="4"/>
  <c r="BN9" i="4"/>
  <c r="BO9" i="4"/>
  <c r="BP9" i="4"/>
  <c r="BQ9" i="4"/>
  <c r="BR9" i="4"/>
  <c r="BS9" i="4"/>
  <c r="BT9" i="4"/>
  <c r="BU9" i="4"/>
  <c r="CD9" i="4"/>
  <c r="CH9" i="4"/>
  <c r="D7" i="4"/>
  <c r="D8" i="4"/>
  <c r="D16" i="4" s="1"/>
  <c r="D5" i="4"/>
  <c r="D9" i="4"/>
  <c r="D18" i="4" s="1"/>
  <c r="C7" i="4"/>
  <c r="C8" i="4"/>
  <c r="C5" i="4"/>
  <c r="C9" i="4"/>
  <c r="A7" i="4"/>
  <c r="A8" i="4"/>
  <c r="A5" i="4"/>
  <c r="A9" i="4"/>
  <c r="AB6" i="4"/>
  <c r="AA6" i="4"/>
  <c r="Z6" i="4"/>
  <c r="Y6" i="4"/>
  <c r="X6" i="4"/>
  <c r="W6" i="4"/>
  <c r="V6" i="4"/>
  <c r="U6" i="4"/>
  <c r="T6" i="4"/>
  <c r="S6" i="4"/>
  <c r="BU6" i="4"/>
  <c r="BT6" i="4"/>
  <c r="BS6" i="4"/>
  <c r="BR6" i="4"/>
  <c r="BQ6" i="4"/>
  <c r="BP6" i="4"/>
  <c r="BO6" i="4"/>
  <c r="BN6" i="4"/>
  <c r="BS4" i="4"/>
  <c r="BT4" i="4"/>
  <c r="BU4" i="4"/>
  <c r="BR4" i="4"/>
  <c r="BQ4" i="4"/>
  <c r="BP4" i="4"/>
  <c r="BN4" i="4"/>
  <c r="BO4" i="4"/>
  <c r="BM4" i="4"/>
  <c r="BM6" i="4"/>
  <c r="BL6" i="4"/>
  <c r="BK6" i="4"/>
  <c r="BJ6" i="4"/>
  <c r="BI6" i="4"/>
  <c r="BH6" i="4"/>
  <c r="BG6" i="4"/>
  <c r="BF6" i="4"/>
  <c r="BE6" i="4"/>
  <c r="BD6" i="4"/>
  <c r="BC6" i="4"/>
  <c r="BL4" i="4"/>
  <c r="BK4" i="4"/>
  <c r="BJ4" i="4"/>
  <c r="BI4" i="4"/>
  <c r="BH4" i="4"/>
  <c r="BG4" i="4"/>
  <c r="BF4" i="4"/>
  <c r="BE4" i="4"/>
  <c r="BD4" i="4"/>
  <c r="BC4" i="4"/>
  <c r="BB6" i="4"/>
  <c r="BA6" i="4"/>
  <c r="AZ6" i="4"/>
  <c r="AY6" i="4"/>
  <c r="AX6" i="4"/>
  <c r="AW6" i="4"/>
  <c r="AV6" i="4"/>
  <c r="AU6" i="4"/>
  <c r="AT6" i="4"/>
  <c r="AS6" i="4"/>
  <c r="AB27" i="6" s="1"/>
  <c r="BB4" i="4"/>
  <c r="BA4" i="4"/>
  <c r="AZ4" i="4"/>
  <c r="AY4" i="4"/>
  <c r="AX4" i="4"/>
  <c r="AW4" i="4"/>
  <c r="AV4" i="4"/>
  <c r="AU4" i="4"/>
  <c r="AT4" i="4"/>
  <c r="AR4" i="4"/>
  <c r="AR6" i="4"/>
  <c r="AQ6" i="4"/>
  <c r="AP6" i="4"/>
  <c r="AO6" i="4"/>
  <c r="AN6" i="4"/>
  <c r="AM6" i="4"/>
  <c r="AL6" i="4"/>
  <c r="AQ4" i="4"/>
  <c r="AP4" i="4"/>
  <c r="AO4" i="4"/>
  <c r="AN4" i="4"/>
  <c r="AM4" i="4"/>
  <c r="AL4" i="4"/>
  <c r="AK4" i="4"/>
  <c r="CH6" i="4"/>
  <c r="AK6" i="4"/>
  <c r="AJ6" i="4"/>
  <c r="AI6" i="4"/>
  <c r="AH6" i="4"/>
  <c r="AG6" i="4"/>
  <c r="AF6" i="4"/>
  <c r="AE6" i="4"/>
  <c r="AJ4" i="4"/>
  <c r="AI4" i="4"/>
  <c r="AH4" i="4"/>
  <c r="AE4" i="4"/>
  <c r="AG4" i="4"/>
  <c r="AF4" i="4"/>
  <c r="AD4" i="4"/>
  <c r="AC6" i="4"/>
  <c r="AC4" i="4"/>
  <c r="AA30" i="6" l="1"/>
  <c r="AC30" i="6" s="1"/>
  <c r="AE30" i="6" s="1"/>
  <c r="BY18" i="4"/>
  <c r="AA29" i="6"/>
  <c r="AC29" i="6" s="1"/>
  <c r="AE29" i="6" s="1"/>
  <c r="BY17" i="4"/>
  <c r="BZ17" i="4" s="1"/>
  <c r="BY16" i="4"/>
  <c r="AA26" i="6"/>
  <c r="AC26" i="6" s="1"/>
  <c r="AE26" i="6" s="1"/>
  <c r="BY14" i="4"/>
  <c r="D17" i="4"/>
  <c r="E17" i="4"/>
  <c r="K17" i="4" s="1"/>
  <c r="M17" i="4" s="1"/>
  <c r="F8" i="4" s="1"/>
  <c r="BZ18" i="4"/>
  <c r="BZ16" i="4"/>
  <c r="L17" i="4"/>
  <c r="F7" i="4"/>
  <c r="L16" i="4"/>
  <c r="L18" i="4"/>
  <c r="F9" i="4"/>
  <c r="BW8" i="4"/>
  <c r="BW9" i="4"/>
  <c r="BW5" i="4"/>
  <c r="BW7" i="4"/>
  <c r="AB4" i="4"/>
  <c r="AA4" i="4"/>
  <c r="Z4" i="4"/>
  <c r="Y4" i="4"/>
  <c r="X4" i="4"/>
  <c r="W4" i="4"/>
  <c r="V4" i="4"/>
  <c r="U4" i="4"/>
  <c r="R4" i="4" l="1"/>
  <c r="Q4" i="4"/>
  <c r="P4" i="4"/>
  <c r="O4" i="4"/>
  <c r="N6" i="4"/>
  <c r="R6" i="4"/>
  <c r="Q6" i="4"/>
  <c r="P6" i="4"/>
  <c r="O6" i="4"/>
  <c r="N2" i="4"/>
  <c r="L6" i="4"/>
  <c r="K6" i="4"/>
  <c r="H6" i="4"/>
  <c r="CD6" i="4"/>
  <c r="D6" i="4"/>
  <c r="C6" i="4"/>
  <c r="A6" i="4"/>
  <c r="AA27" i="6" l="1"/>
  <c r="AC27" i="6" s="1"/>
  <c r="AE27" i="6" s="1"/>
  <c r="BY15" i="4"/>
  <c r="BZ15" i="4" s="1"/>
  <c r="E14" i="4"/>
  <c r="K14" i="4" s="1"/>
  <c r="M14" i="4" s="1"/>
  <c r="F5" i="4" s="1"/>
  <c r="E15" i="4"/>
  <c r="K15" i="4" s="1"/>
  <c r="M15" i="4" s="1"/>
  <c r="L15" i="4" s="1"/>
  <c r="D14" i="4"/>
  <c r="D15" i="4"/>
  <c r="BZ14" i="4"/>
  <c r="BW6" i="4"/>
  <c r="CC7" i="4"/>
  <c r="CC8" i="4"/>
  <c r="CC5" i="4"/>
  <c r="CC9" i="4"/>
  <c r="CC6" i="4"/>
  <c r="F6" i="4" l="1"/>
  <c r="L14" i="4"/>
  <c r="CG7" i="4"/>
  <c r="CI7" i="4"/>
  <c r="CE7" i="4"/>
  <c r="CG5" i="4"/>
  <c r="CI5" i="4"/>
  <c r="CE5" i="4"/>
  <c r="CI9" i="4"/>
  <c r="CG9" i="4"/>
  <c r="CE9" i="4"/>
  <c r="CG8" i="4"/>
  <c r="CE8" i="4"/>
  <c r="CI8" i="4"/>
  <c r="CE6" i="4"/>
  <c r="CG6" i="4"/>
  <c r="CI6" i="4"/>
  <c r="CJ8" i="4" l="1"/>
  <c r="CJ7" i="4"/>
  <c r="CJ9" i="4"/>
  <c r="CP9" i="4" s="1"/>
  <c r="CJ5" i="4"/>
  <c r="CP5" i="4" s="1"/>
  <c r="CJ6" i="4"/>
  <c r="CP6" i="4" s="1"/>
  <c r="CN8" i="4" l="1"/>
  <c r="CP8" i="4"/>
  <c r="CL7" i="4"/>
  <c r="CP7" i="4"/>
  <c r="CL8" i="4"/>
  <c r="CN7" i="4"/>
  <c r="CL9" i="4"/>
  <c r="CN9" i="4"/>
  <c r="CL5" i="4"/>
  <c r="CN5" i="4"/>
  <c r="CL6" i="4"/>
  <c r="CN6" i="4"/>
  <c r="E6" i="4" l="1"/>
  <c r="E7" i="4"/>
  <c r="E8" i="4"/>
  <c r="E9" i="4"/>
  <c r="E5" i="4"/>
  <c r="G7" i="4" l="1"/>
  <c r="I7" i="4" s="1"/>
  <c r="J7" i="4" s="1"/>
  <c r="M7" i="4" s="1"/>
  <c r="S28" i="6"/>
  <c r="Y28" i="6" s="1"/>
  <c r="Z28" i="6" s="1"/>
  <c r="AF28" i="6" s="1"/>
  <c r="AG28" i="6" s="1"/>
  <c r="AK28" i="6" s="1"/>
  <c r="G9" i="4"/>
  <c r="S30" i="6"/>
  <c r="Y30" i="6" s="1"/>
  <c r="Z30" i="6" s="1"/>
  <c r="AF30" i="6" s="1"/>
  <c r="AG30" i="6" s="1"/>
  <c r="AK30" i="6" s="1"/>
  <c r="G8" i="4"/>
  <c r="I8" i="4" s="1"/>
  <c r="J8" i="4" s="1"/>
  <c r="M8" i="4" s="1"/>
  <c r="S29" i="6"/>
  <c r="Y29" i="6" s="1"/>
  <c r="Z29" i="6" s="1"/>
  <c r="AF29" i="6" s="1"/>
  <c r="AG29" i="6" s="1"/>
  <c r="AK29" i="6" s="1"/>
  <c r="G6" i="4"/>
  <c r="I6" i="4" s="1"/>
  <c r="J6" i="4" s="1"/>
  <c r="M6" i="4" s="1"/>
  <c r="S27" i="6"/>
  <c r="Y27" i="6" s="1"/>
  <c r="Z27" i="6" s="1"/>
  <c r="AF27" i="6" s="1"/>
  <c r="AG27" i="6" s="1"/>
  <c r="AK27" i="6" s="1"/>
  <c r="G5" i="4"/>
  <c r="I5" i="4" s="1"/>
  <c r="J5" i="4" s="1"/>
  <c r="M5" i="4" s="1"/>
  <c r="S26" i="6"/>
  <c r="Y26" i="6" s="1"/>
  <c r="Z26" i="6" s="1"/>
  <c r="AF26" i="6" s="1"/>
  <c r="AG26" i="6" s="1"/>
  <c r="AK26" i="6" s="1"/>
  <c r="I9" i="4"/>
  <c r="J9" i="4" s="1"/>
  <c r="M9" i="4" s="1"/>
  <c r="M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3" authorId="0" shapeId="0" xr:uid="{0D03799D-555D-4A93-935A-31B5F0675A0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<sst xmlns="http://schemas.openxmlformats.org/spreadsheetml/2006/main" count="353" uniqueCount="257">
  <si>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</si>
  <si>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</si>
  <si>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</si>
  <si>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</si>
  <si>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</si>
  <si>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</si>
  <si>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</si>
  <si>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</si>
  <si>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</si>
  <si>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</si>
  <si>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</si>
  <si>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</si>
  <si>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</si>
  <si>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</si>
  <si>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</si>
  <si>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</si>
  <si>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</si>
  <si>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</si>
  <si>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</si>
  <si>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</si>
  <si>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</si>
  <si>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</si>
  <si>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</si>
  <si>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</si>
  <si>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</si>
  <si>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</si>
  <si>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</si>
  <si>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</si>
  <si>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</si>
  <si>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</si>
  <si>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</si>
  <si>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</si>
  <si>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</si>
  <si>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</si>
  <si>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</si>
  <si>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</si>
  <si>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</si>
  <si>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</si>
  <si>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</si>
  <si>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</si>
  <si>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</si>
  <si>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</si>
  <si>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</si>
  <si>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</si>
  <si>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</si>
  <si>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</si>
  <si>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</si>
  <si>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</si>
  <si>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</si>
  <si>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</si>
  <si>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</si>
  <si>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</si>
  <si>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</si>
  <si>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</si>
  <si>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</si>
  <si>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</si>
  <si>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</si>
  <si>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</si>
  <si>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</si>
  <si>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</si>
  <si>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</si>
  <si>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</si>
  <si>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</si>
  <si>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</si>
  <si>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</si>
  <si>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</si>
  <si>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</si>
  <si>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</si>
  <si>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</si>
  <si>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</si>
  <si>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</si>
  <si>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</si>
  <si>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</si>
  <si>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</si>
  <si>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</si>
  <si>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</si>
  <si>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</si>
  <si>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</si>
  <si>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</si>
  <si>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</si>
  <si>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</si>
  <si>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</si>
  <si>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</si>
  <si>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</si>
  <si>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</si>
  <si>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</si>
  <si>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</si>
  <si>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</si>
  <si>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</si>
  <si>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</si>
  <si>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</si>
  <si>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</si>
  <si>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</si>
  <si>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</si>
  <si>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</si>
  <si>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</si>
  <si>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</si>
  <si>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</si>
  <si>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</si>
  <si>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</si>
  <si>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</si>
  <si>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</si>
  <si>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</si>
  <si>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</si>
  <si>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</si>
  <si>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</si>
  <si>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</si>
  <si>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</si>
  <si>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</si>
  <si>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</si>
  <si>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</si>
  <si>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</si>
  <si>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</si>
  <si>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</si>
  <si>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</si>
  <si>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</si>
  <si>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</si>
  <si>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</si>
  <si>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</si>
  <si>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</si>
  <si>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</si>
  <si>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</si>
  <si>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</si>
  <si>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</si>
  <si>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Base Date</t>
  </si>
  <si>
    <t>PROPOSE DRUM TYPE</t>
  </si>
  <si>
    <t>TTR CHARGES%</t>
  </si>
  <si>
    <t>TTR VALUE</t>
  </si>
  <si>
    <t>DRUM CODE</t>
  </si>
  <si>
    <t>DRUM SIZE (FxbXtx Ft)</t>
  </si>
  <si>
    <t xml:space="preserve">PARTY STANDARD LENGTH (MTR)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</si>
  <si>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</si>
  <si>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</si>
  <si>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</si>
  <si>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</si>
  <si>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</si>
  <si>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</si>
  <si>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</si>
  <si>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</si>
  <si>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</si>
  <si>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</si>
  <si>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</si>
  <si>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</si>
  <si>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</si>
  <si>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</si>
  <si>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</si>
  <si>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</si>
  <si>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</si>
  <si>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</si>
  <si>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FC4900001</t>
  </si>
  <si>
    <t>ACSR : BERSIMIS CONDUCTOR - 690 SQ. MM. (42/4.57/7/2.54)</t>
  </si>
  <si>
    <t>STEEL</t>
  </si>
  <si>
    <t>KMS</t>
  </si>
  <si>
    <t>SP0400151</t>
  </si>
  <si>
    <t>CORRUGATED DISPATCH STEEL DRUM 2100 X 730 X 1000 MM</t>
  </si>
  <si>
    <t>FC6400002</t>
  </si>
  <si>
    <t>ACSR : LAPWING CONDUCTOR - 804.1 SQ. MM. (45/4.77//7/3.18)</t>
  </si>
  <si>
    <t>SP0400107</t>
  </si>
  <si>
    <t>CORRUGATED DISPATCH STEEL DRUM 2150 X 1080 X 1240 MM</t>
  </si>
  <si>
    <t>FC6100001</t>
  </si>
  <si>
    <t>ACSR : ZEBRA CONDUCTOR - 420 SQ. MM. (54/7/3.18)</t>
  </si>
  <si>
    <t>FC6100002</t>
  </si>
  <si>
    <t>ACSR : MOOSE CONDUCTOR - 520 SQ. MM. (54/7/3.53)</t>
  </si>
  <si>
    <t>FC3700003</t>
  </si>
  <si>
    <t>ACSR : PANTHER CONDUCTOR - 200 SQ. MM. (30/7/3.00)</t>
  </si>
  <si>
    <t>WOOD</t>
  </si>
  <si>
    <t>CORRUGATED DISPATCH STEEL DRUM 2200 X 800 X 965 MM</t>
  </si>
  <si>
    <t>CORRUGATED DISPATCH STEEL DRUM 1800 X 800 X 915 MM</t>
  </si>
  <si>
    <t>DRUM WEIGHT IN KG</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</si>
  <si>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</si>
  <si>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</si>
  <si>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</si>
  <si>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</si>
  <si>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</si>
  <si>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</si>
  <si>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</si>
  <si>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</si>
  <si>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</si>
  <si>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25 MT TRAILER</t>
  </si>
  <si>
    <t>TENDER SUBMISSION DATE</t>
  </si>
  <si>
    <t>PV Terms</t>
  </si>
  <si>
    <t>Subscript '0' refers to indices as on Calendar month preceding the month of opening of Bids, for materials &amp; labour
Subscript '1' refers to indices as on Calendar month preceding the month of shipment, for material &amp; labour</t>
  </si>
  <si>
    <t>PV FORMULA (IEEMA)</t>
  </si>
  <si>
    <t xml:space="preserve">P1 = Po x {0.15 + a x (A1/A0) +  b x (B1/B0) +  c x (C1/C0) +  l x (L1/L0)} - P0
</t>
  </si>
  <si>
    <t>P1 = Price adjustment amount, shipment-wise (if it works out negative, that would mean the amount to be recovered by the Purchaser from the supplier)</t>
  </si>
  <si>
    <t>P0 = Ex-works price of Conductor.</t>
  </si>
  <si>
    <t>A = Monthly average of "Aluminium LME SELLER Settlement Price including Premium of Al Ingots and Customs duty converted in Rs./MT" as published by IEEMA/Nationally recognized publised price index of EC Grade Aluminum Ingots acceptable to the purchaser, in case index is not publised by IEEMA.</t>
  </si>
  <si>
    <r>
      <t xml:space="preserve">B = Nationally recognized published Price Index for High Carbon Steel acceptable to the Purchaser.
</t>
    </r>
    <r>
      <rPr>
        <b/>
        <sz val="10"/>
        <rFont val="Verdana"/>
        <family val="2"/>
      </rPr>
      <t>B = Monthly Price exclusive of all duties of "High Tensile Galvanised Steel Wire (FE)" in Rs./MT as published by IEEMA/Nationally recognized published Price Index for High Tensile Galvanised Wire acceptable to the Purchaser, in case index is not published by IEEMA.</t>
    </r>
  </si>
  <si>
    <t>C = Nationally recognized published Price Index for High Grade Electrolytic Zinc acceptable to the Purchaser.</t>
  </si>
  <si>
    <t>L = Indian field labour index - namely All India average consumer price index for Industrial Workers (monthly) (Base: 2001=100), as published by Labour Bureau, Shimla, Government of India (www.labourbureau.nic.in)</t>
  </si>
  <si>
    <t>a = Co-efficient for EC Grade Aluminium Ingots, which shall be 0.65</t>
  </si>
  <si>
    <t>b = Co-efficient for High Carbon Steel, which shall be 0.13</t>
  </si>
  <si>
    <t>c = Co-efficient for High Grade Electrolytic Zinc, which shall be 0.02</t>
  </si>
  <si>
    <t>l = Co-efficient for labour component, which shall be 0.05</t>
  </si>
  <si>
    <r>
      <t xml:space="preserve">For bidders who intend to quote their prices based on High Tensile Galvanised Steel Wire, </t>
    </r>
    <r>
      <rPr>
        <b/>
        <sz val="10"/>
        <rFont val="Verdana"/>
        <family val="2"/>
      </rPr>
      <t>the coefficient for the same (i.e. coefficient 'b' for High Tensile Galvanised Steel Wire) shall be 0.15</t>
    </r>
    <r>
      <rPr>
        <sz val="10"/>
        <rFont val="Verdana"/>
        <family val="2"/>
      </rPr>
      <t xml:space="preserve"> and coefficient 'c' shall not be applicable.</t>
    </r>
  </si>
  <si>
    <t>Item</t>
  </si>
  <si>
    <t>Calculation part</t>
  </si>
  <si>
    <t>Date of Inspection</t>
  </si>
  <si>
    <t>Applicable Date</t>
  </si>
  <si>
    <t>BASE DATE</t>
  </si>
  <si>
    <t>Co-efficient</t>
  </si>
  <si>
    <t>Ex-Work
Po</t>
  </si>
  <si>
    <t>a x (A1/A0)</t>
  </si>
  <si>
    <t xml:space="preserve">b x (B1/B0) </t>
  </si>
  <si>
    <t xml:space="preserve"> c x (C1/C0) </t>
  </si>
  <si>
    <t xml:space="preserve"> l x (L1/L0)</t>
  </si>
  <si>
    <t>{0.15 + a x (A1/A0) +  b x (B1/B0) +  c x (C1/C0) +  l x (L1/L0)}</t>
  </si>
  <si>
    <t>P1 = Po x {0.15 + a x (A1/A0) +  b x (B1/B0) +  c x (C1/C0) +  l x (L1/L0)} - P0</t>
  </si>
  <si>
    <t>Billing price/km</t>
  </si>
  <si>
    <t>VALUE ADDITION CALCULATION</t>
  </si>
  <si>
    <t>Date</t>
  </si>
  <si>
    <t>A1</t>
  </si>
  <si>
    <t>B1</t>
  </si>
  <si>
    <t>C1</t>
  </si>
  <si>
    <t>L1</t>
  </si>
  <si>
    <t>Ao</t>
  </si>
  <si>
    <t>Bo</t>
  </si>
  <si>
    <t>Co</t>
  </si>
  <si>
    <t>Lo</t>
  </si>
  <si>
    <t>a</t>
  </si>
  <si>
    <t>b</t>
  </si>
  <si>
    <t>c</t>
  </si>
  <si>
    <t>l</t>
  </si>
  <si>
    <t>Al @</t>
  </si>
  <si>
    <t>ST @</t>
  </si>
  <si>
    <t>RMC</t>
  </si>
  <si>
    <t>Drum</t>
  </si>
  <si>
    <t>RMC+DRUM</t>
  </si>
  <si>
    <t>VA</t>
  </si>
  <si>
    <t>Groos VA%</t>
  </si>
  <si>
    <t>Mfg %</t>
  </si>
  <si>
    <t>Int %</t>
  </si>
  <si>
    <t>Ins%</t>
  </si>
  <si>
    <t>Net VA</t>
  </si>
  <si>
    <t>PROVISIONAL</t>
  </si>
  <si>
    <t>90 RS/KG</t>
  </si>
  <si>
    <t>ENQ-13581-22-23</t>
  </si>
  <si>
    <t xml:space="preserve">Bulk Proc Conductor Package - CD02    </t>
  </si>
  <si>
    <t>Spec No: CC/NT/G-COND/DOM/A00/24/05628</t>
  </si>
  <si>
    <t>DEVESH SIR INSTRUCTION OVERPHONE</t>
  </si>
  <si>
    <t>conductor+drum weight in kg</t>
  </si>
  <si>
    <t>truck weight in kg</t>
  </si>
  <si>
    <r>
      <rPr>
        <b/>
        <sz val="11"/>
        <color theme="1"/>
        <rFont val="Calibri"/>
        <family val="2"/>
        <scheme val="minor"/>
      </rPr>
      <t>Freight Clause :</t>
    </r>
    <r>
      <rPr>
        <sz val="11"/>
        <color theme="1"/>
        <rFont val="Calibri"/>
        <family val="2"/>
        <scheme val="minor"/>
      </rPr>
      <t xml:space="preserve"> The evaluation of bids shall be done considering the destination 500 km away from the works</t>
    </r>
  </si>
  <si>
    <t>The payment of the inland transportation, In-transit insurance, and loading &amp; unloading charges (F&amp;I Charges) shall be made on actual distance basis. The computation of the distance for such payment shall be based on the shortest feasible distance by national highway, state highway, or other roads, in the order of preference, as indicated on such resources as internat websites like Google Maps, Map my India.</t>
  </si>
  <si>
    <r>
      <rPr>
        <b/>
        <sz val="11"/>
        <color theme="1"/>
        <rFont val="Calibri"/>
        <family val="2"/>
        <scheme val="minor"/>
      </rPr>
      <t>Variable price :</t>
    </r>
    <r>
      <rPr>
        <sz val="11"/>
        <color theme="1"/>
        <rFont val="Calibri"/>
        <family val="2"/>
        <scheme val="minor"/>
      </rPr>
      <t xml:space="preserve"> indices as on calendar month preceding the month of opening of bids.</t>
    </r>
  </si>
  <si>
    <r>
      <rPr>
        <b/>
        <sz val="11"/>
        <color theme="1"/>
        <rFont val="Calibri"/>
        <family val="2"/>
        <scheme val="minor"/>
      </rPr>
      <t xml:space="preserve">Ra Qualification Rule </t>
    </r>
    <r>
      <rPr>
        <sz val="11"/>
        <color theme="1"/>
        <rFont val="Calibri"/>
        <family val="2"/>
        <scheme val="minor"/>
      </rPr>
      <t>: 50% lowest Priced Technically Qualified Bidders.</t>
    </r>
  </si>
  <si>
    <r>
      <rPr>
        <b/>
        <sz val="11"/>
        <color theme="1"/>
        <rFont val="Calibri"/>
        <family val="2"/>
        <scheme val="minor"/>
      </rPr>
      <t>Evaluation Method :</t>
    </r>
    <r>
      <rPr>
        <sz val="11"/>
        <color theme="1"/>
        <rFont val="Calibri"/>
        <family val="2"/>
        <scheme val="minor"/>
      </rPr>
      <t xml:space="preserve"> Total value wise evaluation</t>
    </r>
  </si>
  <si>
    <r>
      <rPr>
        <b/>
        <sz val="11"/>
        <color theme="1"/>
        <rFont val="Calibri"/>
        <family val="2"/>
        <scheme val="minor"/>
      </rPr>
      <t xml:space="preserve">Splitting : </t>
    </r>
    <r>
      <rPr>
        <sz val="11"/>
        <color theme="1"/>
        <rFont val="Calibri"/>
        <family val="2"/>
        <scheme val="minor"/>
      </rPr>
      <t>Total package award value shall be divided/split amongst two bidders L-1 and L-2 in the bid Splitting ratio of 60% and 40% respectively subject to the condition of matching the L1 bidder's price.</t>
    </r>
  </si>
  <si>
    <r>
      <rPr>
        <b/>
        <sz val="11"/>
        <color theme="1"/>
        <rFont val="Calibri"/>
        <family val="2"/>
        <scheme val="minor"/>
      </rPr>
      <t xml:space="preserve">Delivery : </t>
    </r>
    <r>
      <rPr>
        <sz val="11"/>
        <color theme="1"/>
        <rFont val="Calibri"/>
        <family val="2"/>
        <scheme val="minor"/>
      </rPr>
      <t>Commencement = 2nd month and Completion = 24th month. Completion schedule shall be progressively 24 months from NOA/GeM Contract Order. Which shall be extendable for a further period of 1 year on same rates, terms and Condition, on mutual consent.</t>
    </r>
  </si>
  <si>
    <t>Payment :</t>
  </si>
  <si>
    <t>a) No initial  advance is applicable.</t>
  </si>
  <si>
    <t>b) 90% of the Ex-works price shall be paid progressively after dispatch of the Goods and on submission of documents.</t>
  </si>
  <si>
    <t>c) the balance 10% of the ex-works price component shall be paid on receipt of Goods at site and on submission of invoice supported by the Material Acceptance Certificate issued by the Purchaser's representative</t>
  </si>
  <si>
    <t>The Purchaser shall make payments promptly within 30 days of submission of an invoice/claim by the supplier, complete in all respects and supported by the requisite documents and fulfillment of stipulated conditions, if any.</t>
  </si>
  <si>
    <t>Incase of Ex-works supply of goods, GST shall be reimburse along with progressive payment on dispatch.</t>
  </si>
  <si>
    <r>
      <rPr>
        <b/>
        <sz val="11"/>
        <color theme="1"/>
        <rFont val="Calibri"/>
        <family val="2"/>
        <scheme val="minor"/>
      </rPr>
      <t>Due date</t>
    </r>
    <r>
      <rPr>
        <sz val="11"/>
        <color theme="1"/>
        <rFont val="Calibri"/>
        <family val="2"/>
        <scheme val="minor"/>
      </rPr>
      <t xml:space="preserve"> 05-08-2024 11:00:00 am and </t>
    </r>
    <r>
      <rPr>
        <b/>
        <sz val="11"/>
        <color theme="1"/>
        <rFont val="Calibri"/>
        <family val="2"/>
        <scheme val="minor"/>
      </rPr>
      <t>Opening dated</t>
    </r>
    <r>
      <rPr>
        <sz val="11"/>
        <color theme="1"/>
        <rFont val="Calibri"/>
        <family val="2"/>
        <scheme val="minor"/>
      </rPr>
      <t xml:space="preserve"> 05-08-2024 11:30:00 am</t>
    </r>
  </si>
  <si>
    <t>Extended due date 12-08-2024 and Opening dated 12-08-2024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</si>
</sst>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quot;Rs.&quot;#,##0.00"/>
    <numFmt numFmtId="172"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b/>
      <sz val="9"/>
      <color indexed="81"/>
      <name val="Tahoma"/>
      <family val="2"/>
    </font>
    <font>
      <sz val="9"/>
      <color indexed="81"/>
      <name val="Tahoma"/>
      <family val="2"/>
    </font>
    <font>
      <sz val="10"/>
      <name val="Verdana"/>
      <family val="2"/>
    </font>
    <font>
      <b/>
      <sz val="10"/>
      <name val="Calibri"/>
      <family val="2"/>
      <scheme val="minor"/>
    </font>
    <font>
      <b/>
      <sz val="10"/>
      <name val="Verdana"/>
      <family val="2"/>
    </font>
    <font>
      <sz val="10"/>
      <name val="Arial"/>
      <family val="2"/>
    </font>
    <font>
      <sz val="10"/>
      <name val="Calibri"/>
      <family val="2"/>
      <scheme val="minor"/>
    </font>
    <font>
      <b/>
      <sz val="11"/>
      <name val="Calibri"/>
      <family val="2"/>
      <scheme val="minor"/>
    </font>
    <font>
      <sz val="11"/>
      <name val="Calibri"/>
      <family val="2"/>
      <scheme val="minor"/>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43" fontId="1" fillId="0" borderId="0" applyFont="0" applyFill="0" applyBorder="0" applyAlignment="0" applyProtection="0"/>
    <xf numFmtId="0" fontId="12" fillId="0" borderId="0"/>
    <xf numFmtId="0" fontId="15" fillId="0" borderId="0"/>
    <xf numFmtId="9" fontId="12" fillId="0" borderId="0" applyFont="0" applyFill="0" applyBorder="0" applyAlignment="0" applyProtection="0"/>
  </cellStyleXfs>
  <cellXfs count="195">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4" fontId="0" fillId="0" borderId="1" xfId="0" applyNumberForma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2" fillId="0" borderId="1" xfId="0" applyNumberFormat="1" applyFont="1" applyBorder="1" applyAlignment="1">
      <alignment horizontal="center" vertical="center" wrapText="1"/>
    </xf>
    <xf numFmtId="9" fontId="0" fillId="0" borderId="1" xfId="0" applyNumberFormat="1" applyBorder="1" applyAlignment="1">
      <alignment horizontal="center" vertical="center" wrapText="1"/>
    </xf>
    <xf numFmtId="0" fontId="0" fillId="0" borderId="1" xfId="0" applyBorder="1"/>
    <xf numFmtId="14" fontId="0" fillId="0" borderId="1" xfId="0" applyNumberFormat="1" applyBorder="1" applyAlignment="1">
      <alignment wrapText="1"/>
    </xf>
    <xf numFmtId="10" fontId="2" fillId="0" borderId="1" xfId="2" applyNumberFormat="1" applyFont="1" applyBorder="1" applyAlignment="1">
      <alignment wrapText="1"/>
    </xf>
    <xf numFmtId="0" fontId="7" fillId="5" borderId="1"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4" applyFont="1" applyFill="1" applyBorder="1" applyAlignment="1">
      <alignment horizontal="center" vertical="center"/>
    </xf>
    <xf numFmtId="43" fontId="2" fillId="6" borderId="1" xfId="4" applyFont="1" applyFill="1" applyBorder="1" applyAlignment="1">
      <alignment horizontal="center" vertical="center"/>
    </xf>
    <xf numFmtId="43" fontId="0" fillId="0" borderId="1" xfId="0" applyNumberFormat="1" applyBorder="1" applyAlignment="1">
      <alignment wrapText="1"/>
    </xf>
    <xf numFmtId="0" fontId="13" fillId="0" borderId="2" xfId="5" applyFont="1" applyBorder="1" applyAlignment="1">
      <alignment horizontal="center" vertical="center" wrapText="1"/>
    </xf>
    <xf numFmtId="0" fontId="14" fillId="0" borderId="1" xfId="5" applyFont="1" applyBorder="1" applyAlignment="1">
      <alignment horizontal="center" vertical="center"/>
    </xf>
    <xf numFmtId="0" fontId="14" fillId="0" borderId="0" xfId="5" applyFont="1" applyAlignment="1">
      <alignment horizontal="center" vertical="center"/>
    </xf>
    <xf numFmtId="0" fontId="13" fillId="0" borderId="0" xfId="5" applyFont="1" applyAlignment="1">
      <alignment horizontal="center" wrapText="1"/>
    </xf>
    <xf numFmtId="0" fontId="13" fillId="0" borderId="0" xfId="5" applyFont="1"/>
    <xf numFmtId="0" fontId="16" fillId="0" borderId="0" xfId="6" applyFont="1"/>
    <xf numFmtId="0" fontId="12" fillId="0" borderId="0" xfId="5"/>
    <xf numFmtId="0" fontId="12" fillId="0" borderId="0" xfId="5" applyAlignment="1">
      <alignment horizontal="center" vertical="center"/>
    </xf>
    <xf numFmtId="0" fontId="16" fillId="0" borderId="0" xfId="5" applyFont="1" applyAlignment="1">
      <alignment horizontal="center"/>
    </xf>
    <xf numFmtId="0" fontId="17" fillId="0" borderId="1" xfId="5" applyFont="1" applyBorder="1" applyAlignment="1">
      <alignment horizontal="center" vertical="center" wrapText="1"/>
    </xf>
    <xf numFmtId="0" fontId="13" fillId="0" borderId="0" xfId="5" applyFont="1" applyAlignment="1">
      <alignment horizontal="left" vertical="center" wrapText="1"/>
    </xf>
    <xf numFmtId="0" fontId="9" fillId="0" borderId="0" xfId="5" applyFont="1" applyAlignment="1">
      <alignment vertical="center" wrapText="1"/>
    </xf>
    <xf numFmtId="0" fontId="13" fillId="0" borderId="0" xfId="5" applyFont="1" applyAlignment="1">
      <alignment horizontal="center"/>
    </xf>
    <xf numFmtId="0" fontId="16" fillId="0" borderId="0" xfId="6" applyFont="1" applyAlignment="1">
      <alignment horizontal="center"/>
    </xf>
    <xf numFmtId="0" fontId="12" fillId="0" borderId="0" xfId="5" applyAlignment="1">
      <alignment horizontal="center"/>
    </xf>
    <xf numFmtId="0" fontId="12" fillId="0" borderId="0" xfId="5" applyAlignment="1">
      <alignment horizontal="center" vertical="center" wrapText="1"/>
    </xf>
    <xf numFmtId="166" fontId="13" fillId="0" borderId="0" xfId="5" applyNumberFormat="1" applyFont="1" applyAlignment="1">
      <alignment horizontal="center" vertical="center"/>
    </xf>
    <xf numFmtId="0" fontId="13" fillId="0" borderId="0" xfId="5" applyFont="1" applyAlignment="1">
      <alignment horizontal="center" vertical="center"/>
    </xf>
    <xf numFmtId="0" fontId="2" fillId="0" borderId="0" xfId="0" applyFont="1" applyAlignment="1">
      <alignment vertical="center"/>
    </xf>
    <xf numFmtId="0" fontId="13" fillId="0" borderId="0" xfId="5" applyFont="1" applyAlignment="1">
      <alignment vertical="center"/>
    </xf>
    <xf numFmtId="0" fontId="12" fillId="0" borderId="0" xfId="5" applyAlignment="1">
      <alignment vertical="center" wrapText="1"/>
    </xf>
    <xf numFmtId="0" fontId="14" fillId="0" borderId="0" xfId="5" applyFont="1"/>
    <xf numFmtId="0" fontId="13" fillId="0" borderId="28" xfId="6" applyFont="1" applyBorder="1" applyAlignment="1">
      <alignment horizontal="center" vertical="center" wrapText="1"/>
    </xf>
    <xf numFmtId="0" fontId="19" fillId="0" borderId="31" xfId="6" applyFont="1" applyBorder="1" applyAlignment="1">
      <alignment horizontal="center" vertical="center" wrapText="1"/>
    </xf>
    <xf numFmtId="0" fontId="19" fillId="0" borderId="32" xfId="6" applyFont="1" applyBorder="1" applyAlignment="1">
      <alignment horizontal="center" vertical="center" wrapText="1"/>
    </xf>
    <xf numFmtId="0" fontId="19" fillId="0" borderId="33" xfId="6" applyFont="1" applyBorder="1" applyAlignment="1">
      <alignment horizontal="center" vertical="center" wrapText="1"/>
    </xf>
    <xf numFmtId="0" fontId="19" fillId="0" borderId="34" xfId="6" applyFont="1" applyBorder="1" applyAlignment="1">
      <alignment horizontal="center" vertical="center" wrapText="1"/>
    </xf>
    <xf numFmtId="0" fontId="12" fillId="0" borderId="15" xfId="5" applyBorder="1"/>
    <xf numFmtId="0" fontId="12" fillId="0" borderId="5" xfId="5" applyBorder="1"/>
    <xf numFmtId="0" fontId="16" fillId="0" borderId="16" xfId="6" applyFont="1" applyBorder="1"/>
    <xf numFmtId="0" fontId="16" fillId="0" borderId="35" xfId="6" applyFont="1" applyBorder="1" applyAlignment="1">
      <alignment horizontal="left" vertical="center" wrapText="1"/>
    </xf>
    <xf numFmtId="14" fontId="16" fillId="0" borderId="23" xfId="6" applyNumberFormat="1" applyFont="1" applyBorder="1" applyAlignment="1">
      <alignment horizontal="center" vertical="center" wrapText="1"/>
    </xf>
    <xf numFmtId="14" fontId="16" fillId="0" borderId="36" xfId="6" applyNumberFormat="1" applyFont="1" applyBorder="1" applyAlignment="1">
      <alignment horizontal="center" vertical="center" wrapText="1"/>
    </xf>
    <xf numFmtId="14" fontId="16" fillId="0" borderId="37" xfId="6" applyNumberFormat="1" applyFont="1" applyBorder="1" applyAlignment="1">
      <alignment horizontal="center" vertical="center" wrapText="1"/>
    </xf>
    <xf numFmtId="2" fontId="13" fillId="0" borderId="17" xfId="6" applyNumberFormat="1" applyFont="1" applyBorder="1" applyAlignment="1">
      <alignment horizontal="center" vertical="center" wrapText="1"/>
    </xf>
    <xf numFmtId="0" fontId="13" fillId="0" borderId="37"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37" xfId="6" applyFont="1" applyBorder="1" applyAlignment="1">
      <alignment horizontal="center" vertical="center" wrapText="1"/>
    </xf>
    <xf numFmtId="167" fontId="19" fillId="0" borderId="17" xfId="6" applyNumberFormat="1" applyFont="1" applyBorder="1" applyAlignment="1">
      <alignment horizontal="center" vertical="center" wrapText="1"/>
    </xf>
    <xf numFmtId="167" fontId="19" fillId="0" borderId="38" xfId="6" applyNumberFormat="1" applyFont="1" applyBorder="1" applyAlignment="1">
      <alignment horizontal="center" vertical="center" wrapText="1"/>
    </xf>
    <xf numFmtId="1" fontId="15" fillId="0" borderId="39" xfId="6" applyNumberFormat="1" applyBorder="1"/>
    <xf numFmtId="1" fontId="19" fillId="0" borderId="17" xfId="6" applyNumberFormat="1" applyFont="1" applyBorder="1"/>
    <xf numFmtId="1" fontId="15" fillId="0" borderId="1" xfId="6" applyNumberFormat="1" applyBorder="1"/>
    <xf numFmtId="1" fontId="15" fillId="0" borderId="1" xfId="6" applyNumberFormat="1" applyBorder="1" applyAlignment="1">
      <alignment horizontal="center"/>
    </xf>
    <xf numFmtId="0" fontId="15" fillId="0" borderId="40" xfId="6" applyBorder="1"/>
    <xf numFmtId="14" fontId="16" fillId="0" borderId="41" xfId="6" applyNumberFormat="1" applyFont="1" applyBorder="1" applyAlignment="1">
      <alignment horizontal="center" vertical="center" wrapText="1"/>
    </xf>
    <xf numFmtId="14" fontId="20" fillId="9" borderId="17" xfId="6" applyNumberFormat="1" applyFont="1" applyFill="1" applyBorder="1" applyAlignment="1">
      <alignment horizontal="center" vertical="center" wrapText="1"/>
    </xf>
    <xf numFmtId="168" fontId="20" fillId="0" borderId="4" xfId="6" applyNumberFormat="1" applyFont="1" applyBorder="1" applyAlignment="1">
      <alignment horizontal="center" vertical="center" wrapText="1"/>
    </xf>
    <xf numFmtId="168" fontId="16" fillId="0" borderId="4" xfId="6" applyNumberFormat="1" applyFont="1" applyBorder="1" applyAlignment="1">
      <alignment horizontal="center" vertical="center" wrapText="1"/>
    </xf>
    <xf numFmtId="14" fontId="16" fillId="9" borderId="17" xfId="6" applyNumberFormat="1" applyFont="1" applyFill="1" applyBorder="1" applyAlignment="1">
      <alignment horizontal="center" vertical="center" wrapText="1"/>
    </xf>
    <xf numFmtId="169" fontId="16" fillId="0" borderId="17" xfId="6" applyNumberFormat="1" applyFont="1" applyBorder="1" applyAlignment="1">
      <alignment horizontal="center" vertical="center" wrapText="1"/>
    </xf>
    <xf numFmtId="2" fontId="16" fillId="0" borderId="17" xfId="6" applyNumberFormat="1" applyFont="1" applyBorder="1" applyAlignment="1">
      <alignment horizontal="center" vertical="center" wrapText="1"/>
    </xf>
    <xf numFmtId="170" fontId="16" fillId="0" borderId="4" xfId="6" applyNumberFormat="1" applyFont="1" applyBorder="1" applyAlignment="1">
      <alignment vertical="center" wrapText="1"/>
    </xf>
    <xf numFmtId="170" fontId="16" fillId="10" borderId="1" xfId="6" applyNumberFormat="1" applyFont="1" applyFill="1" applyBorder="1" applyAlignment="1">
      <alignment horizontal="center" vertical="center" wrapText="1"/>
    </xf>
    <xf numFmtId="2" fontId="16" fillId="11" borderId="1" xfId="6" applyNumberFormat="1" applyFont="1" applyFill="1" applyBorder="1" applyAlignment="1">
      <alignment horizontal="center" vertical="center" wrapText="1"/>
    </xf>
    <xf numFmtId="2" fontId="16" fillId="11" borderId="42" xfId="6" applyNumberFormat="1" applyFont="1" applyFill="1" applyBorder="1" applyAlignment="1">
      <alignment horizontal="center" vertical="center" wrapText="1"/>
    </xf>
    <xf numFmtId="2" fontId="15" fillId="0" borderId="43" xfId="6" applyNumberFormat="1" applyBorder="1" applyAlignment="1">
      <alignment horizontal="center" vertical="center"/>
    </xf>
    <xf numFmtId="2" fontId="15" fillId="0" borderId="44" xfId="6" applyNumberFormat="1" applyBorder="1" applyAlignment="1">
      <alignment horizontal="center" vertical="center"/>
    </xf>
    <xf numFmtId="171" fontId="19" fillId="0" borderId="45" xfId="6" applyNumberFormat="1" applyFont="1" applyBorder="1" applyAlignment="1">
      <alignment vertical="center"/>
    </xf>
    <xf numFmtId="171" fontId="15" fillId="0" borderId="45" xfId="6" applyNumberFormat="1" applyBorder="1" applyAlignment="1">
      <alignment vertical="center"/>
    </xf>
    <xf numFmtId="10" fontId="14" fillId="0" borderId="43" xfId="7" applyNumberFormat="1" applyFont="1" applyFill="1" applyBorder="1" applyAlignment="1">
      <alignment vertical="center"/>
    </xf>
    <xf numFmtId="10" fontId="15" fillId="0" borderId="46" xfId="6" applyNumberFormat="1" applyBorder="1" applyAlignment="1">
      <alignment vertical="center"/>
    </xf>
    <xf numFmtId="10" fontId="14" fillId="0" borderId="47" xfId="6" applyNumberFormat="1" applyFont="1" applyBorder="1" applyAlignment="1">
      <alignment vertical="center"/>
    </xf>
    <xf numFmtId="0" fontId="12" fillId="0" borderId="48" xfId="5" applyBorder="1" applyAlignment="1">
      <alignment wrapText="1"/>
    </xf>
    <xf numFmtId="0" fontId="12" fillId="0" borderId="48" xfId="5" applyBorder="1"/>
    <xf numFmtId="14" fontId="16" fillId="0" borderId="49" xfId="6" applyNumberFormat="1" applyFont="1" applyBorder="1" applyAlignment="1">
      <alignment horizontal="center" vertical="center" wrapText="1"/>
    </xf>
    <xf numFmtId="14" fontId="16" fillId="0" borderId="43" xfId="6" applyNumberFormat="1" applyFont="1" applyBorder="1" applyAlignment="1">
      <alignment horizontal="center" vertical="center" wrapText="1"/>
    </xf>
    <xf numFmtId="2" fontId="16" fillId="0" borderId="46" xfId="6" applyNumberFormat="1" applyFont="1" applyBorder="1" applyAlignment="1">
      <alignment horizontal="center" vertical="center" wrapText="1"/>
    </xf>
    <xf numFmtId="2" fontId="16" fillId="0" borderId="50" xfId="6" applyNumberFormat="1" applyFont="1" applyBorder="1" applyAlignment="1">
      <alignment horizontal="center" vertical="center" wrapText="1"/>
    </xf>
    <xf numFmtId="2" fontId="16" fillId="0" borderId="43" xfId="6" applyNumberFormat="1" applyFont="1" applyBorder="1" applyAlignment="1">
      <alignment horizontal="center" vertical="center" wrapText="1"/>
    </xf>
    <xf numFmtId="168" fontId="16" fillId="0" borderId="50" xfId="6" applyNumberFormat="1" applyFont="1" applyBorder="1" applyAlignment="1">
      <alignment horizontal="center" vertical="center" wrapText="1"/>
    </xf>
    <xf numFmtId="172" fontId="16" fillId="0" borderId="50" xfId="6" applyNumberFormat="1" applyFont="1" applyBorder="1" applyAlignment="1">
      <alignment vertical="center" wrapText="1"/>
    </xf>
    <xf numFmtId="170" fontId="16" fillId="0" borderId="46" xfId="6" applyNumberFormat="1" applyFont="1" applyBorder="1" applyAlignment="1">
      <alignment horizontal="center" vertical="center" wrapText="1"/>
    </xf>
    <xf numFmtId="170" fontId="16" fillId="0" borderId="20" xfId="6" applyNumberFormat="1" applyFont="1" applyBorder="1" applyAlignment="1">
      <alignment horizontal="center" vertical="center" wrapText="1"/>
    </xf>
    <xf numFmtId="2" fontId="12" fillId="0" borderId="0" xfId="5" applyNumberFormat="1"/>
    <xf numFmtId="14" fontId="12" fillId="0" borderId="0" xfId="5" applyNumberFormat="1"/>
    <xf numFmtId="164" fontId="4" fillId="0" borderId="1" xfId="1" applyFont="1" applyBorder="1" applyAlignment="1">
      <alignment horizontal="center" vertical="center" wrapText="1"/>
    </xf>
    <xf numFmtId="0" fontId="12" fillId="0" borderId="15" xfId="5" applyBorder="1" applyAlignment="1">
      <alignment horizontal="center" wrapText="1"/>
    </xf>
    <xf numFmtId="0" fontId="12" fillId="0" borderId="39" xfId="5" applyBorder="1" applyAlignment="1">
      <alignment horizontal="center" wrapText="1"/>
    </xf>
    <xf numFmtId="0" fontId="2" fillId="0" borderId="0" xfId="0" applyFont="1" applyAlignment="1">
      <alignment horizontal="center" vertical="center"/>
    </xf>
    <xf numFmtId="0" fontId="2" fillId="0" borderId="0" xfId="0" applyFont="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3" fillId="0" borderId="13" xfId="6" applyFont="1" applyBorder="1" applyAlignment="1">
      <alignment horizontal="center" vertical="center" wrapText="1"/>
    </xf>
    <xf numFmtId="0" fontId="13" fillId="0" borderId="23" xfId="6" applyFont="1" applyBorder="1" applyAlignment="1">
      <alignment horizontal="center" vertical="center" wrapText="1"/>
    </xf>
    <xf numFmtId="0" fontId="13" fillId="0" borderId="29" xfId="6" applyFont="1" applyBorder="1" applyAlignment="1">
      <alignment horizontal="center" vertical="center" wrapText="1"/>
    </xf>
    <xf numFmtId="0" fontId="19" fillId="0" borderId="51" xfId="6" applyFont="1" applyBorder="1" applyAlignment="1">
      <alignment horizontal="center" vertical="center"/>
    </xf>
    <xf numFmtId="0" fontId="19" fillId="0" borderId="52" xfId="6" applyFont="1" applyBorder="1" applyAlignment="1">
      <alignment horizontal="center" vertical="center"/>
    </xf>
    <xf numFmtId="0" fontId="19" fillId="0" borderId="53" xfId="6" applyFont="1" applyBorder="1" applyAlignment="1">
      <alignment horizontal="center" vertical="center"/>
    </xf>
    <xf numFmtId="0" fontId="13" fillId="0" borderId="14" xfId="6" applyFont="1" applyBorder="1" applyAlignment="1">
      <alignment horizontal="center" vertical="center" wrapText="1"/>
    </xf>
    <xf numFmtId="0" fontId="13" fillId="0" borderId="24" xfId="6" applyFont="1" applyBorder="1" applyAlignment="1">
      <alignment horizontal="center" vertical="center" wrapText="1"/>
    </xf>
    <xf numFmtId="0" fontId="13" fillId="0" borderId="30" xfId="6" applyFont="1" applyBorder="1" applyAlignment="1">
      <alignment horizontal="center" vertical="center" wrapText="1"/>
    </xf>
    <xf numFmtId="0" fontId="13" fillId="0" borderId="5" xfId="6" applyFont="1" applyBorder="1" applyAlignment="1">
      <alignment horizontal="center" vertical="center" wrapText="1"/>
    </xf>
    <xf numFmtId="0" fontId="13" fillId="0" borderId="15" xfId="6" applyFont="1" applyBorder="1" applyAlignment="1">
      <alignment horizontal="center" vertical="center" wrapText="1"/>
    </xf>
    <xf numFmtId="0" fontId="13" fillId="0" borderId="25" xfId="6" applyFont="1" applyBorder="1" applyAlignment="1">
      <alignment horizontal="center" vertical="center" wrapText="1"/>
    </xf>
    <xf numFmtId="0" fontId="19" fillId="0" borderId="10" xfId="6" applyFont="1" applyBorder="1" applyAlignment="1">
      <alignment horizontal="center" vertical="center"/>
    </xf>
    <xf numFmtId="0" fontId="19" fillId="0" borderId="11" xfId="6" applyFont="1" applyBorder="1" applyAlignment="1">
      <alignment horizontal="center" vertical="center"/>
    </xf>
    <xf numFmtId="0" fontId="19" fillId="0" borderId="6" xfId="6" applyFont="1" applyBorder="1" applyAlignment="1">
      <alignment horizontal="center" vertical="center"/>
    </xf>
    <xf numFmtId="0" fontId="19" fillId="0" borderId="19" xfId="6" applyFont="1" applyBorder="1" applyAlignment="1">
      <alignment horizontal="center" vertical="center"/>
    </xf>
    <xf numFmtId="0" fontId="19" fillId="0" borderId="20" xfId="6" applyFont="1" applyBorder="1" applyAlignment="1">
      <alignment horizontal="center" vertical="center"/>
    </xf>
    <xf numFmtId="0" fontId="19" fillId="0" borderId="21" xfId="6" applyFont="1" applyBorder="1" applyAlignment="1">
      <alignment horizontal="center" vertical="center"/>
    </xf>
    <xf numFmtId="0" fontId="13" fillId="0" borderId="10" xfId="6" applyFont="1" applyBorder="1" applyAlignment="1">
      <alignment horizontal="center" vertical="center" wrapText="1"/>
    </xf>
    <xf numFmtId="0" fontId="13" fillId="0" borderId="11" xfId="6" applyFont="1" applyBorder="1" applyAlignment="1">
      <alignment horizontal="center" vertical="center" wrapText="1"/>
    </xf>
    <xf numFmtId="0" fontId="13" fillId="0" borderId="6" xfId="6" applyFont="1" applyBorder="1" applyAlignment="1">
      <alignment horizontal="center" vertical="center" wrapText="1"/>
    </xf>
    <xf numFmtId="0" fontId="13" fillId="0" borderId="19" xfId="6" applyFont="1" applyBorder="1" applyAlignment="1">
      <alignment horizontal="center" vertical="center" wrapText="1"/>
    </xf>
    <xf numFmtId="0" fontId="13" fillId="0" borderId="20" xfId="6" applyFont="1" applyBorder="1" applyAlignment="1">
      <alignment horizontal="center" vertical="center" wrapText="1"/>
    </xf>
    <xf numFmtId="0" fontId="13" fillId="0" borderId="21" xfId="6" applyFont="1" applyBorder="1" applyAlignment="1">
      <alignment horizontal="center" vertical="center" wrapText="1"/>
    </xf>
    <xf numFmtId="0" fontId="13" fillId="0" borderId="12" xfId="6" applyFont="1" applyBorder="1" applyAlignment="1">
      <alignment horizontal="center" vertical="center" wrapText="1"/>
    </xf>
    <xf numFmtId="0" fontId="13" fillId="0" borderId="22" xfId="6" applyFont="1" applyBorder="1" applyAlignment="1">
      <alignment horizontal="center" vertical="center" wrapText="1"/>
    </xf>
    <xf numFmtId="0" fontId="13" fillId="0" borderId="28" xfId="6" applyFont="1" applyBorder="1" applyAlignment="1">
      <alignment horizontal="center" vertical="center" wrapText="1"/>
    </xf>
    <xf numFmtId="0" fontId="13" fillId="0" borderId="17" xfId="6" applyFont="1" applyBorder="1" applyAlignment="1">
      <alignment horizontal="center" vertical="center" wrapText="1"/>
    </xf>
    <xf numFmtId="0" fontId="13" fillId="0" borderId="1" xfId="6" applyFont="1" applyBorder="1" applyAlignment="1">
      <alignment horizontal="center" vertical="center" wrapText="1"/>
    </xf>
    <xf numFmtId="0" fontId="12" fillId="0" borderId="0" xfId="5" applyAlignment="1">
      <alignment vertical="center" wrapText="1"/>
    </xf>
    <xf numFmtId="0" fontId="14" fillId="0" borderId="5" xfId="5" applyFont="1" applyBorder="1" applyAlignment="1">
      <alignment horizontal="center" vertical="center"/>
    </xf>
    <xf numFmtId="0" fontId="14" fillId="0" borderId="15" xfId="5" applyFont="1" applyBorder="1" applyAlignment="1">
      <alignment horizontal="center" vertical="center"/>
    </xf>
    <xf numFmtId="0" fontId="14" fillId="0" borderId="25" xfId="5" applyFont="1" applyBorder="1" applyAlignment="1">
      <alignment horizontal="center" vertical="center"/>
    </xf>
    <xf numFmtId="0" fontId="14" fillId="0" borderId="5" xfId="5" applyFont="1" applyBorder="1" applyAlignment="1">
      <alignment horizontal="center" vertical="center" wrapText="1"/>
    </xf>
    <xf numFmtId="0" fontId="14" fillId="0" borderId="15" xfId="5" applyFont="1" applyBorder="1" applyAlignment="1">
      <alignment horizontal="center" vertical="center" wrapText="1"/>
    </xf>
    <xf numFmtId="0" fontId="13" fillId="0" borderId="16" xfId="6" applyFont="1" applyBorder="1" applyAlignment="1">
      <alignment horizontal="center" vertical="center" wrapText="1"/>
    </xf>
    <xf numFmtId="0" fontId="13" fillId="0" borderId="26" xfId="6" applyFont="1" applyBorder="1" applyAlignment="1">
      <alignment horizontal="center" vertical="center" wrapText="1"/>
    </xf>
    <xf numFmtId="0" fontId="13" fillId="0" borderId="7" xfId="6" applyFont="1" applyBorder="1" applyAlignment="1">
      <alignment horizontal="center" vertical="center" wrapText="1"/>
    </xf>
    <xf numFmtId="0" fontId="13" fillId="0" borderId="8" xfId="6" applyFont="1" applyBorder="1" applyAlignment="1">
      <alignment horizontal="center" vertical="center" wrapText="1"/>
    </xf>
    <xf numFmtId="0" fontId="13" fillId="0" borderId="9" xfId="6" applyFont="1" applyBorder="1" applyAlignment="1">
      <alignment horizontal="center" vertical="center" wrapText="1"/>
    </xf>
    <xf numFmtId="0" fontId="13" fillId="0" borderId="18" xfId="6" applyFont="1" applyBorder="1" applyAlignment="1">
      <alignment horizontal="center" vertical="center" wrapText="1"/>
    </xf>
    <xf numFmtId="0" fontId="13" fillId="0" borderId="27" xfId="6" applyFont="1" applyBorder="1" applyAlignment="1">
      <alignment horizontal="center" vertical="center" wrapText="1"/>
    </xf>
    <xf numFmtId="0" fontId="12" fillId="0" borderId="0" xfId="5" applyAlignment="1">
      <alignment horizontal="center"/>
    </xf>
    <xf numFmtId="14" fontId="14" fillId="0" borderId="1" xfId="5" applyNumberFormat="1" applyFont="1" applyBorder="1" applyAlignment="1">
      <alignment horizontal="center" vertical="center"/>
    </xf>
    <xf numFmtId="0" fontId="14" fillId="0" borderId="1" xfId="5" applyFont="1" applyBorder="1" applyAlignment="1">
      <alignment horizontal="center" vertical="center"/>
    </xf>
    <xf numFmtId="14" fontId="14" fillId="8" borderId="1" xfId="5" applyNumberFormat="1" applyFont="1" applyFill="1" applyBorder="1" applyAlignment="1">
      <alignment horizontal="center" vertical="center"/>
    </xf>
    <xf numFmtId="0" fontId="14" fillId="8" borderId="1" xfId="5" applyFont="1" applyFill="1" applyBorder="1" applyAlignment="1">
      <alignment horizontal="center" vertical="center"/>
    </xf>
    <xf numFmtId="0" fontId="18" fillId="0" borderId="1" xfId="5" applyFont="1" applyBorder="1" applyAlignment="1">
      <alignment horizontal="left" vertical="center" wrapText="1"/>
    </xf>
    <xf numFmtId="0" fontId="13" fillId="0" borderId="1" xfId="5" applyFont="1" applyBorder="1" applyAlignment="1">
      <alignment horizontal="left" vertical="center" wrapText="1"/>
    </xf>
    <xf numFmtId="0" fontId="13" fillId="0" borderId="1" xfId="5" applyFont="1" applyBorder="1" applyAlignment="1">
      <alignment horizontal="center"/>
    </xf>
    <xf numFmtId="0" fontId="13" fillId="0" borderId="1" xfId="5" applyFont="1" applyBorder="1" applyAlignment="1">
      <alignment horizontal="center" wrapText="1"/>
    </xf>
    <xf numFmtId="164" fontId="2" fillId="0" borderId="0" xfId="0" applyNumberFormat="1" applyFont="1"/>
  </cellXfs>
  <cellStyles count="8">
    <cellStyle name="Comma" xfId="1" builtinId="3"/>
    <cellStyle name="Comma 3" xfId="4" xr:uid="{5E226C1D-3772-464D-9C4B-23B12D51E6BC}"/>
    <cellStyle name="Normal" xfId="0" builtinId="0"/>
    <cellStyle name="Normal 2" xfId="3" xr:uid="{00000000-0005-0000-0000-000002000000}"/>
    <cellStyle name="Normal 2 2 2" xfId="6" xr:uid="{B69C63DA-0629-49BD-AECC-0F7E078ECF9B}"/>
    <cellStyle name="Normal 6 2" xfId="5" xr:uid="{998E4F79-2C69-4401-AA6B-6C0708B6B6C0}"/>
    <cellStyle name="Percent" xfId="2" builtinId="5"/>
    <cellStyle name="Percent 2" xfId="7" xr:uid="{1D7AB898-0E92-4687-8105-AF9C9F3B6D0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20"/>
  <sheetViews>
    <sheetView workbookViewId="0">
      <selection activeCell="A2" sqref="A2:A6"/>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2" width="8.85546875" customWidth="1"/>
    <col min="93" max="93" width="11.5703125" style="4" bestFit="1" customWidth="1"/>
    <col min="94" max="94" width="8.85546875" customWidth="1"/>
    <col min="95" max="95" width="11.5703125" customWidth="1"/>
    <col min="96" max="96" width="8.85546875" customWidth="1"/>
    <col min="97" max="98" width="11.5703125" customWidth="1"/>
    <col min="101" max="101" width="14.28515625" customWidth="1"/>
    <col min="102" max="102" width="10.7109375" customWidth="1"/>
    <col min="103" max="103" width="21.42578125" bestFit="1" customWidth="1"/>
  </cols>
  <sheetData>
    <row r="1" spans="1:104" s="19" customFormat="1" ht="63" customHeight="1" x14ac:dyDescent="0.25">
      <c r="A1" s="2" t="s">
        <v>0</v>
      </c>
      <c r="B1" s="2" t="s">
        <v>124</v>
      </c>
      <c r="C1" s="2" t="s">
        <v>1</v>
      </c>
      <c r="D1" s="2" t="s">
        <v>2</v>
      </c>
      <c r="E1" s="2" t="s">
        <v>125</v>
      </c>
      <c r="F1" s="2" t="s">
        <v>3</v>
      </c>
      <c r="G1" s="2" t="s">
        <v>131</v>
      </c>
      <c r="H1" s="2" t="s">
        <v>4</v>
      </c>
      <c r="I1" s="2" t="s">
        <v>5</v>
      </c>
      <c r="J1" s="2" t="s">
        <v>6</v>
      </c>
      <c r="K1" s="2" t="s">
        <v>132</v>
      </c>
      <c r="L1" s="2" t="s">
        <v>7</v>
      </c>
      <c r="M1" s="2" t="s">
        <v>8</v>
      </c>
      <c r="N1" s="2" t="s">
        <v>9</v>
      </c>
      <c r="O1" s="2" t="s">
        <v>133</v>
      </c>
      <c r="P1" s="2" t="s">
        <v>10</v>
      </c>
      <c r="Q1" s="2" t="s">
        <v>11</v>
      </c>
      <c r="R1" s="2" t="s">
        <v>12</v>
      </c>
      <c r="S1" s="2" t="s">
        <v>134</v>
      </c>
      <c r="T1" s="2" t="s">
        <v>13</v>
      </c>
      <c r="U1" s="2" t="s">
        <v>14</v>
      </c>
      <c r="V1" s="2" t="s">
        <v>15</v>
      </c>
      <c r="W1" s="2" t="s">
        <v>135</v>
      </c>
      <c r="X1" s="2" t="s">
        <v>16</v>
      </c>
      <c r="Y1" s="2" t="s">
        <v>17</v>
      </c>
      <c r="Z1" s="2" t="s">
        <v>18</v>
      </c>
      <c r="AA1" s="2" t="s">
        <v>136</v>
      </c>
      <c r="AB1" s="2" t="s">
        <v>19</v>
      </c>
      <c r="AC1" s="2" t="s">
        <v>20</v>
      </c>
      <c r="AD1" s="2" t="s">
        <v>21</v>
      </c>
      <c r="AE1" s="2" t="s">
        <v>137</v>
      </c>
      <c r="AF1" s="2" t="s">
        <v>22</v>
      </c>
      <c r="AG1" s="2" t="s">
        <v>23</v>
      </c>
      <c r="AH1" s="2" t="s">
        <v>24</v>
      </c>
      <c r="AI1" s="2" t="s">
        <v>138</v>
      </c>
      <c r="AJ1" s="2" t="s">
        <v>25</v>
      </c>
      <c r="AK1" s="2" t="s">
        <v>26</v>
      </c>
      <c r="AL1" s="2" t="s">
        <v>27</v>
      </c>
      <c r="AM1" s="2" t="s">
        <v>139</v>
      </c>
      <c r="AN1" s="2" t="s">
        <v>28</v>
      </c>
      <c r="AO1" s="2" t="s">
        <v>29</v>
      </c>
      <c r="AP1" s="2" t="s">
        <v>30</v>
      </c>
      <c r="AQ1" s="2" t="s">
        <v>140</v>
      </c>
      <c r="AR1" s="2" t="s">
        <v>31</v>
      </c>
      <c r="AS1" s="2" t="s">
        <v>32</v>
      </c>
      <c r="AT1" s="2" t="s">
        <v>33</v>
      </c>
      <c r="AU1" s="2" t="s">
        <v>141</v>
      </c>
      <c r="AV1" s="2" t="s">
        <v>34</v>
      </c>
      <c r="AW1" s="2" t="s">
        <v>35</v>
      </c>
      <c r="AX1" s="2" t="s">
        <v>36</v>
      </c>
      <c r="AY1" s="2" t="s">
        <v>142</v>
      </c>
      <c r="AZ1" s="2" t="s">
        <v>37</v>
      </c>
      <c r="BA1" s="2" t="s">
        <v>38</v>
      </c>
      <c r="BB1" s="2" t="s">
        <v>39</v>
      </c>
      <c r="BC1" s="2" t="s">
        <v>143</v>
      </c>
      <c r="BD1" s="2" t="s">
        <v>40</v>
      </c>
      <c r="BE1" s="2" t="s">
        <v>41</v>
      </c>
      <c r="BF1" s="2" t="s">
        <v>42</v>
      </c>
      <c r="BG1" s="2" t="s">
        <v>144</v>
      </c>
      <c r="BH1" s="2" t="s">
        <v>43</v>
      </c>
      <c r="BI1" s="2" t="s">
        <v>44</v>
      </c>
      <c r="BJ1" s="2" t="s">
        <v>45</v>
      </c>
      <c r="BK1" s="2" t="s">
        <v>145</v>
      </c>
      <c r="BL1" s="2" t="s">
        <v>46</v>
      </c>
      <c r="BM1" s="2" t="s">
        <v>47</v>
      </c>
      <c r="BN1" s="2" t="s">
        <v>48</v>
      </c>
      <c r="BO1" s="2" t="s">
        <v>146</v>
      </c>
      <c r="BP1" s="2" t="s">
        <v>49</v>
      </c>
      <c r="BQ1" s="2" t="s">
        <v>50</v>
      </c>
      <c r="BR1" s="2" t="s">
        <v>51</v>
      </c>
      <c r="BS1" s="2" t="s">
        <v>147</v>
      </c>
      <c r="BT1" s="2" t="s">
        <v>52</v>
      </c>
      <c r="BU1" s="2" t="s">
        <v>53</v>
      </c>
      <c r="BV1" s="2" t="s">
        <v>54</v>
      </c>
      <c r="BW1" s="2" t="s">
        <v>148</v>
      </c>
      <c r="BX1" s="2" t="s">
        <v>55</v>
      </c>
      <c r="BY1" s="2" t="s">
        <v>56</v>
      </c>
      <c r="BZ1" s="2" t="s">
        <v>57</v>
      </c>
      <c r="CA1" s="2" t="s">
        <v>58</v>
      </c>
      <c r="CB1" s="2" t="s">
        <v>59</v>
      </c>
      <c r="CC1" s="2" t="s">
        <v>60</v>
      </c>
      <c r="CD1" s="2" t="s">
        <v>61</v>
      </c>
      <c r="CE1" s="2" t="s">
        <v>62</v>
      </c>
      <c r="CF1" s="2" t="s">
        <v>63</v>
      </c>
      <c r="CG1" s="2" t="s">
        <v>64</v>
      </c>
      <c r="CH1" s="2" t="s">
        <v>65</v>
      </c>
      <c r="CI1" s="2" t="s">
        <v>66</v>
      </c>
      <c r="CJ1" s="2" t="s">
        <v>67</v>
      </c>
      <c r="CK1" s="2" t="s">
        <v>68</v>
      </c>
      <c r="CL1" s="2" t="s">
        <v>69</v>
      </c>
      <c r="CM1" s="2" t="s">
        <v>126</v>
      </c>
      <c r="CN1" s="2" t="s">
        <v>127</v>
      </c>
      <c r="CO1" s="2" t="s">
        <v>70</v>
      </c>
      <c r="CP1" s="2" t="s">
        <v>71</v>
      </c>
      <c r="CQ1" s="2" t="s">
        <v>72</v>
      </c>
      <c r="CR1" s="2" t="s">
        <v>73</v>
      </c>
      <c r="CS1" s="2" t="s">
        <v>74</v>
      </c>
      <c r="CT1" s="2" t="s">
        <v>75</v>
      </c>
      <c r="CU1" s="2" t="s">
        <v>76</v>
      </c>
      <c r="CV1" s="2" t="s">
        <v>77</v>
      </c>
      <c r="CW1" s="2" t="s">
        <v>78</v>
      </c>
      <c r="CX1" s="2" t="s">
        <v>128</v>
      </c>
      <c r="CY1" s="2" t="s">
        <v>129</v>
      </c>
      <c r="CZ1" s="2" t="s">
        <v>130</v>
      </c>
    </row>
    <row r="2" spans="1:104" ht="38.25" x14ac:dyDescent="0.25">
      <c r="A2" s="2" t="s">
        <v>236</v>
      </c>
      <c r="B2" s="47">
        <v>45474</v>
      </c>
      <c r="C2" s="2" t="s">
        <v>149</v>
      </c>
      <c r="D2" s="2" t="s">
        <v>150</v>
      </c>
      <c r="E2" s="2" t="s">
        <v>151</v>
      </c>
      <c r="F2" s="10"/>
      <c r="G2" s="10"/>
      <c r="H2" s="10"/>
      <c r="I2" s="10"/>
      <c r="J2" s="10" t="s">
        <v>80</v>
      </c>
      <c r="K2" s="10">
        <v>253</v>
      </c>
      <c r="L2" s="10">
        <v>1906</v>
      </c>
      <c r="M2" s="10">
        <v>482218</v>
      </c>
      <c r="N2" s="10"/>
      <c r="O2" s="10"/>
      <c r="P2" s="10">
        <v>0</v>
      </c>
      <c r="Q2" s="10"/>
      <c r="R2" s="10"/>
      <c r="S2" s="10"/>
      <c r="T2" s="10">
        <v>0</v>
      </c>
      <c r="U2" s="10"/>
      <c r="V2" s="10"/>
      <c r="W2" s="10"/>
      <c r="X2" s="10">
        <v>0</v>
      </c>
      <c r="Y2" s="10"/>
      <c r="Z2" s="10"/>
      <c r="AA2" s="10"/>
      <c r="AB2" s="10">
        <v>0</v>
      </c>
      <c r="AC2" s="10"/>
      <c r="AD2" s="10"/>
      <c r="AE2" s="10"/>
      <c r="AF2" s="10">
        <v>0</v>
      </c>
      <c r="AG2" s="10"/>
      <c r="AH2" s="25" t="s">
        <v>94</v>
      </c>
      <c r="AI2" s="10">
        <v>76.75</v>
      </c>
      <c r="AJ2" s="10">
        <v>281</v>
      </c>
      <c r="AK2" s="10">
        <v>21566.75</v>
      </c>
      <c r="AL2" s="25"/>
      <c r="AM2" s="10"/>
      <c r="AN2" s="10">
        <v>0</v>
      </c>
      <c r="AO2" s="10"/>
      <c r="AP2" s="10"/>
      <c r="AQ2" s="10"/>
      <c r="AR2" s="10">
        <v>0</v>
      </c>
      <c r="AS2" s="10"/>
      <c r="AT2" s="10"/>
      <c r="AU2" s="10"/>
      <c r="AV2" s="10">
        <v>0</v>
      </c>
      <c r="AW2" s="10"/>
      <c r="AX2" s="2"/>
      <c r="AY2" s="10"/>
      <c r="AZ2" s="10">
        <v>0</v>
      </c>
      <c r="BA2" s="10"/>
      <c r="BB2" s="10"/>
      <c r="BC2" s="10"/>
      <c r="BD2" s="10">
        <v>0</v>
      </c>
      <c r="BE2" s="10"/>
      <c r="BF2" s="10"/>
      <c r="BG2" s="10"/>
      <c r="BH2" s="10">
        <v>0</v>
      </c>
      <c r="BI2" s="18"/>
      <c r="BJ2" s="10"/>
      <c r="BK2" s="10"/>
      <c r="BL2" s="10">
        <v>0</v>
      </c>
      <c r="BM2" s="18"/>
      <c r="BN2" s="10"/>
      <c r="BO2" s="10"/>
      <c r="BP2" s="10">
        <v>0</v>
      </c>
      <c r="BQ2" s="10"/>
      <c r="BR2" s="10"/>
      <c r="BS2" s="10"/>
      <c r="BT2" s="10">
        <v>0</v>
      </c>
      <c r="BU2" s="10"/>
      <c r="BV2" s="10"/>
      <c r="BW2" s="10"/>
      <c r="BX2" s="10">
        <v>0</v>
      </c>
      <c r="BY2" s="10"/>
      <c r="BZ2" s="10">
        <v>19000</v>
      </c>
      <c r="CA2" s="10">
        <v>522784.75</v>
      </c>
      <c r="CB2" s="11">
        <v>0</v>
      </c>
      <c r="CC2" s="10">
        <v>0</v>
      </c>
      <c r="CD2" s="11">
        <v>0.15</v>
      </c>
      <c r="CE2" s="10">
        <v>78417.72</v>
      </c>
      <c r="CF2" s="11">
        <v>0</v>
      </c>
      <c r="CG2" s="10">
        <v>0</v>
      </c>
      <c r="CH2" s="10">
        <v>601202.47</v>
      </c>
      <c r="CI2" s="11">
        <v>0.03</v>
      </c>
      <c r="CJ2" s="10">
        <v>18036.080000000002</v>
      </c>
      <c r="CK2" s="11">
        <v>1.4999999999999999E-2</v>
      </c>
      <c r="CL2" s="10">
        <v>9018.0400000000009</v>
      </c>
      <c r="CM2" s="48"/>
      <c r="CN2" s="10"/>
      <c r="CO2" s="10">
        <v>628256.59</v>
      </c>
      <c r="CP2" s="10"/>
      <c r="CQ2" s="10">
        <v>628256.59</v>
      </c>
      <c r="CR2" s="11">
        <v>0.18</v>
      </c>
      <c r="CS2" s="10">
        <v>113086.19</v>
      </c>
      <c r="CT2" s="10">
        <v>741342.78</v>
      </c>
      <c r="CU2" s="10">
        <v>150</v>
      </c>
      <c r="CV2" s="10" t="s">
        <v>152</v>
      </c>
      <c r="CW2" s="12">
        <v>111201416</v>
      </c>
      <c r="CX2" s="49" t="s">
        <v>153</v>
      </c>
      <c r="CY2" s="49" t="s">
        <v>154</v>
      </c>
      <c r="CZ2" s="49">
        <v>2100</v>
      </c>
    </row>
    <row r="3" spans="1:104" ht="38.25" x14ac:dyDescent="0.25">
      <c r="A3" s="2" t="s">
        <v>236</v>
      </c>
      <c r="B3" s="47">
        <v>45474</v>
      </c>
      <c r="C3" s="2" t="s">
        <v>155</v>
      </c>
      <c r="D3" s="2" t="s">
        <v>156</v>
      </c>
      <c r="E3" s="2" t="s">
        <v>151</v>
      </c>
      <c r="F3" s="10"/>
      <c r="G3" s="10"/>
      <c r="H3" s="10"/>
      <c r="I3" s="10"/>
      <c r="J3" s="10" t="s">
        <v>80</v>
      </c>
      <c r="K3" s="10">
        <v>253</v>
      </c>
      <c r="L3" s="10">
        <v>2230</v>
      </c>
      <c r="M3" s="10">
        <v>564190</v>
      </c>
      <c r="N3" s="10"/>
      <c r="O3" s="10"/>
      <c r="P3" s="10">
        <v>0</v>
      </c>
      <c r="Q3" s="10"/>
      <c r="R3" s="10"/>
      <c r="S3" s="10"/>
      <c r="T3" s="10">
        <v>0</v>
      </c>
      <c r="U3" s="10"/>
      <c r="V3" s="10"/>
      <c r="W3" s="10"/>
      <c r="X3" s="10">
        <v>0</v>
      </c>
      <c r="Y3" s="10"/>
      <c r="Z3" s="10"/>
      <c r="AA3" s="10"/>
      <c r="AB3" s="10">
        <v>0</v>
      </c>
      <c r="AC3" s="10"/>
      <c r="AD3" s="10"/>
      <c r="AE3" s="10"/>
      <c r="AF3" s="10">
        <v>0</v>
      </c>
      <c r="AG3" s="10"/>
      <c r="AH3" s="25" t="s">
        <v>94</v>
      </c>
      <c r="AI3" s="10">
        <v>76.75</v>
      </c>
      <c r="AJ3" s="10">
        <v>424</v>
      </c>
      <c r="AK3" s="10">
        <v>32542</v>
      </c>
      <c r="AL3" s="25"/>
      <c r="AM3" s="10"/>
      <c r="AN3" s="10">
        <v>0</v>
      </c>
      <c r="AO3" s="10"/>
      <c r="AP3" s="10"/>
      <c r="AQ3" s="10"/>
      <c r="AR3" s="10">
        <v>0</v>
      </c>
      <c r="AS3" s="10"/>
      <c r="AT3" s="10"/>
      <c r="AU3" s="10"/>
      <c r="AV3" s="10">
        <v>0</v>
      </c>
      <c r="AW3" s="10"/>
      <c r="AX3" s="10"/>
      <c r="AY3" s="10"/>
      <c r="AZ3" s="10">
        <v>0</v>
      </c>
      <c r="BA3" s="10"/>
      <c r="BB3" s="10"/>
      <c r="BC3" s="10"/>
      <c r="BD3" s="10">
        <v>0</v>
      </c>
      <c r="BE3" s="10"/>
      <c r="BF3" s="10"/>
      <c r="BG3" s="10"/>
      <c r="BH3" s="10">
        <v>0</v>
      </c>
      <c r="BI3" s="10"/>
      <c r="BJ3" s="10"/>
      <c r="BK3" s="10"/>
      <c r="BL3" s="10">
        <v>0</v>
      </c>
      <c r="BM3" s="10"/>
      <c r="BN3" s="10"/>
      <c r="BO3" s="10"/>
      <c r="BP3" s="10">
        <v>0</v>
      </c>
      <c r="BQ3" s="10"/>
      <c r="BR3" s="10"/>
      <c r="BS3" s="10"/>
      <c r="BT3" s="10">
        <v>0</v>
      </c>
      <c r="BU3" s="10"/>
      <c r="BV3" s="10"/>
      <c r="BW3" s="10"/>
      <c r="BX3" s="10">
        <v>0</v>
      </c>
      <c r="BY3" s="10"/>
      <c r="BZ3" s="10">
        <v>18472.23</v>
      </c>
      <c r="CA3" s="10">
        <v>615204.23</v>
      </c>
      <c r="CB3" s="11">
        <v>0</v>
      </c>
      <c r="CC3" s="10">
        <v>0</v>
      </c>
      <c r="CD3" s="11">
        <v>0.15</v>
      </c>
      <c r="CE3" s="10">
        <v>92280.639999999999</v>
      </c>
      <c r="CF3" s="11">
        <v>0</v>
      </c>
      <c r="CG3" s="10">
        <v>0</v>
      </c>
      <c r="CH3" s="10">
        <v>707484.87</v>
      </c>
      <c r="CI3" s="11">
        <v>0.03</v>
      </c>
      <c r="CJ3" s="10">
        <v>21224.55</v>
      </c>
      <c r="CK3" s="11">
        <v>1.4999999999999999E-2</v>
      </c>
      <c r="CL3" s="10">
        <v>10612.28</v>
      </c>
      <c r="CM3" s="10"/>
      <c r="CN3" s="10"/>
      <c r="CO3" s="10">
        <v>739321.7</v>
      </c>
      <c r="CP3" s="10"/>
      <c r="CQ3" s="10">
        <v>739321.7</v>
      </c>
      <c r="CR3" s="11">
        <v>0.18</v>
      </c>
      <c r="CS3" s="10">
        <v>133077.91</v>
      </c>
      <c r="CT3" s="10">
        <v>872399.61</v>
      </c>
      <c r="CU3" s="10">
        <v>150</v>
      </c>
      <c r="CV3" s="10" t="s">
        <v>152</v>
      </c>
      <c r="CW3" s="12">
        <v>130859941</v>
      </c>
      <c r="CX3" s="49" t="s">
        <v>157</v>
      </c>
      <c r="CY3" s="49" t="s">
        <v>158</v>
      </c>
      <c r="CZ3" s="49">
        <v>1800</v>
      </c>
    </row>
    <row r="4" spans="1:104" ht="38.25" x14ac:dyDescent="0.25">
      <c r="A4" s="2" t="s">
        <v>236</v>
      </c>
      <c r="B4" s="47">
        <v>45474</v>
      </c>
      <c r="C4" s="2" t="s">
        <v>159</v>
      </c>
      <c r="D4" s="2" t="s">
        <v>160</v>
      </c>
      <c r="E4" s="2" t="s">
        <v>151</v>
      </c>
      <c r="F4" s="10"/>
      <c r="G4" s="10"/>
      <c r="H4" s="10"/>
      <c r="I4" s="10"/>
      <c r="J4" s="10" t="s">
        <v>80</v>
      </c>
      <c r="K4" s="10">
        <v>253</v>
      </c>
      <c r="L4" s="10">
        <v>1186</v>
      </c>
      <c r="M4" s="10">
        <v>300058</v>
      </c>
      <c r="N4" s="10"/>
      <c r="O4" s="10"/>
      <c r="P4" s="10">
        <v>0</v>
      </c>
      <c r="Q4" s="10"/>
      <c r="R4" s="10"/>
      <c r="S4" s="10"/>
      <c r="T4" s="10">
        <v>0</v>
      </c>
      <c r="U4" s="10"/>
      <c r="V4" s="10"/>
      <c r="W4" s="10"/>
      <c r="X4" s="10">
        <v>0</v>
      </c>
      <c r="Y4" s="10"/>
      <c r="Z4" s="10"/>
      <c r="AA4" s="10"/>
      <c r="AB4" s="10">
        <v>0</v>
      </c>
      <c r="AC4" s="10"/>
      <c r="AD4" s="10"/>
      <c r="AE4" s="10"/>
      <c r="AF4" s="10">
        <v>0</v>
      </c>
      <c r="AG4" s="10"/>
      <c r="AH4" s="25" t="s">
        <v>94</v>
      </c>
      <c r="AI4" s="10">
        <v>76.75</v>
      </c>
      <c r="AJ4" s="10">
        <v>436</v>
      </c>
      <c r="AK4" s="10">
        <v>33463</v>
      </c>
      <c r="AL4" s="25"/>
      <c r="AM4" s="10"/>
      <c r="AN4" s="10">
        <v>0</v>
      </c>
      <c r="AO4" s="10"/>
      <c r="AP4" s="10"/>
      <c r="AQ4" s="10"/>
      <c r="AR4" s="10">
        <v>0</v>
      </c>
      <c r="AS4" s="10"/>
      <c r="AT4" s="10"/>
      <c r="AU4" s="10"/>
      <c r="AV4" s="10">
        <v>0</v>
      </c>
      <c r="AW4" s="10"/>
      <c r="AX4" s="10"/>
      <c r="AY4" s="10"/>
      <c r="AZ4" s="10">
        <v>0</v>
      </c>
      <c r="BA4" s="10"/>
      <c r="BB4" s="10"/>
      <c r="BC4" s="10"/>
      <c r="BD4" s="10">
        <v>0</v>
      </c>
      <c r="BE4" s="10"/>
      <c r="BF4" s="10"/>
      <c r="BG4" s="10"/>
      <c r="BH4" s="10">
        <v>0</v>
      </c>
      <c r="BI4" s="10"/>
      <c r="BJ4" s="10"/>
      <c r="BK4" s="10"/>
      <c r="BL4" s="10">
        <v>0</v>
      </c>
      <c r="BM4" s="10"/>
      <c r="BN4" s="10"/>
      <c r="BO4" s="10"/>
      <c r="BP4" s="10">
        <v>0</v>
      </c>
      <c r="BQ4" s="10"/>
      <c r="BR4" s="10"/>
      <c r="BS4" s="10"/>
      <c r="BT4" s="10">
        <v>0</v>
      </c>
      <c r="BU4" s="10"/>
      <c r="BV4" s="10"/>
      <c r="BW4" s="10"/>
      <c r="BX4" s="10">
        <v>0</v>
      </c>
      <c r="BY4" s="10"/>
      <c r="BZ4" s="10"/>
      <c r="CA4" s="10">
        <v>333521</v>
      </c>
      <c r="CB4" s="11">
        <v>0</v>
      </c>
      <c r="CC4" s="10">
        <v>0</v>
      </c>
      <c r="CD4" s="11">
        <v>0.15</v>
      </c>
      <c r="CE4" s="10">
        <v>50028.15</v>
      </c>
      <c r="CF4" s="11">
        <v>0</v>
      </c>
      <c r="CG4" s="10">
        <v>0</v>
      </c>
      <c r="CH4" s="10">
        <v>383549.15</v>
      </c>
      <c r="CI4" s="11">
        <v>0.03</v>
      </c>
      <c r="CJ4" s="10">
        <v>11506.48</v>
      </c>
      <c r="CK4" s="11">
        <v>1.4999999999999999E-2</v>
      </c>
      <c r="CL4" s="10">
        <v>5753.24</v>
      </c>
      <c r="CM4" s="10"/>
      <c r="CN4" s="10"/>
      <c r="CO4" s="10">
        <v>400808.87</v>
      </c>
      <c r="CP4" s="10"/>
      <c r="CQ4" s="10">
        <v>400808.87</v>
      </c>
      <c r="CR4" s="11">
        <v>0.18</v>
      </c>
      <c r="CS4" s="10">
        <v>72145.600000000006</v>
      </c>
      <c r="CT4" s="10">
        <v>472954.47</v>
      </c>
      <c r="CU4" s="10">
        <v>250</v>
      </c>
      <c r="CV4" s="10" t="s">
        <v>152</v>
      </c>
      <c r="CW4" s="12">
        <v>118238617</v>
      </c>
      <c r="CX4" s="49"/>
      <c r="CY4" s="49"/>
      <c r="CZ4" s="49">
        <v>3000</v>
      </c>
    </row>
    <row r="5" spans="1:104" ht="38.25" x14ac:dyDescent="0.25">
      <c r="A5" s="2" t="s">
        <v>236</v>
      </c>
      <c r="B5" s="47">
        <v>45474</v>
      </c>
      <c r="C5" s="2" t="s">
        <v>161</v>
      </c>
      <c r="D5" s="2" t="s">
        <v>162</v>
      </c>
      <c r="E5" s="2" t="s">
        <v>151</v>
      </c>
      <c r="F5" s="10"/>
      <c r="G5" s="10"/>
      <c r="H5" s="10"/>
      <c r="I5" s="10"/>
      <c r="J5" s="10" t="s">
        <v>80</v>
      </c>
      <c r="K5" s="10">
        <v>253</v>
      </c>
      <c r="L5" s="10">
        <v>1467</v>
      </c>
      <c r="M5" s="10">
        <v>371151</v>
      </c>
      <c r="N5" s="10"/>
      <c r="O5" s="10"/>
      <c r="P5" s="10">
        <v>0</v>
      </c>
      <c r="Q5" s="10"/>
      <c r="R5" s="10"/>
      <c r="S5" s="10"/>
      <c r="T5" s="10">
        <v>0</v>
      </c>
      <c r="U5" s="10"/>
      <c r="V5" s="10"/>
      <c r="W5" s="10"/>
      <c r="X5" s="10">
        <v>0</v>
      </c>
      <c r="Y5" s="10"/>
      <c r="Z5" s="10"/>
      <c r="AA5" s="10"/>
      <c r="AB5" s="10">
        <v>0</v>
      </c>
      <c r="AC5" s="10"/>
      <c r="AD5" s="10"/>
      <c r="AE5" s="10"/>
      <c r="AF5" s="10">
        <v>0</v>
      </c>
      <c r="AG5" s="10"/>
      <c r="AH5" s="25" t="s">
        <v>94</v>
      </c>
      <c r="AI5" s="10">
        <v>76.75</v>
      </c>
      <c r="AJ5" s="10">
        <v>537</v>
      </c>
      <c r="AK5" s="10">
        <v>41214.75</v>
      </c>
      <c r="AL5" s="25"/>
      <c r="AM5" s="10"/>
      <c r="AN5" s="10">
        <v>0</v>
      </c>
      <c r="AO5" s="10"/>
      <c r="AP5" s="10"/>
      <c r="AQ5" s="10"/>
      <c r="AR5" s="10">
        <v>0</v>
      </c>
      <c r="AS5" s="10"/>
      <c r="AT5" s="10"/>
      <c r="AU5" s="10"/>
      <c r="AV5" s="10">
        <v>0</v>
      </c>
      <c r="AW5" s="10"/>
      <c r="AX5" s="10"/>
      <c r="AY5" s="10"/>
      <c r="AZ5" s="10">
        <v>0</v>
      </c>
      <c r="BA5" s="10"/>
      <c r="BB5" s="10"/>
      <c r="BC5" s="10"/>
      <c r="BD5" s="10">
        <v>0</v>
      </c>
      <c r="BE5" s="10"/>
      <c r="BF5" s="10"/>
      <c r="BG5" s="10"/>
      <c r="BH5" s="10">
        <v>0</v>
      </c>
      <c r="BI5" s="10"/>
      <c r="BJ5" s="10"/>
      <c r="BK5" s="10"/>
      <c r="BL5" s="10">
        <v>0</v>
      </c>
      <c r="BM5" s="10"/>
      <c r="BN5" s="10"/>
      <c r="BO5" s="10"/>
      <c r="BP5" s="10">
        <v>0</v>
      </c>
      <c r="BQ5" s="10"/>
      <c r="BR5" s="10"/>
      <c r="BS5" s="10"/>
      <c r="BT5" s="10">
        <v>0</v>
      </c>
      <c r="BU5" s="10"/>
      <c r="BV5" s="10"/>
      <c r="BW5" s="10"/>
      <c r="BX5" s="10">
        <v>0</v>
      </c>
      <c r="BY5" s="10"/>
      <c r="BZ5" s="10"/>
      <c r="CA5" s="10">
        <v>412365.75</v>
      </c>
      <c r="CB5" s="11">
        <v>0</v>
      </c>
      <c r="CC5" s="10">
        <v>0</v>
      </c>
      <c r="CD5" s="11">
        <v>0.15</v>
      </c>
      <c r="CE5" s="10">
        <v>61854.87</v>
      </c>
      <c r="CF5" s="11">
        <v>0</v>
      </c>
      <c r="CG5" s="10">
        <v>0</v>
      </c>
      <c r="CH5" s="10">
        <v>474220.62</v>
      </c>
      <c r="CI5" s="11">
        <v>0.03</v>
      </c>
      <c r="CJ5" s="10">
        <v>14226.62</v>
      </c>
      <c r="CK5" s="11">
        <v>1.4999999999999999E-2</v>
      </c>
      <c r="CL5" s="10">
        <v>7113.31</v>
      </c>
      <c r="CM5" s="10"/>
      <c r="CN5" s="10"/>
      <c r="CO5" s="10">
        <v>495560.55</v>
      </c>
      <c r="CP5" s="10"/>
      <c r="CQ5" s="10">
        <v>495560.55</v>
      </c>
      <c r="CR5" s="11">
        <v>0.18</v>
      </c>
      <c r="CS5" s="10">
        <v>89200.9</v>
      </c>
      <c r="CT5" s="10">
        <v>584761.44999999995</v>
      </c>
      <c r="CU5" s="10">
        <v>750</v>
      </c>
      <c r="CV5" s="10" t="s">
        <v>152</v>
      </c>
      <c r="CW5" s="12">
        <v>438571087</v>
      </c>
      <c r="CX5" s="49"/>
      <c r="CY5" s="49"/>
      <c r="CZ5" s="49">
        <v>2400</v>
      </c>
    </row>
    <row r="6" spans="1:104" ht="38.25" x14ac:dyDescent="0.25">
      <c r="A6" s="2" t="s">
        <v>236</v>
      </c>
      <c r="B6" s="47">
        <v>45474</v>
      </c>
      <c r="C6" s="2" t="s">
        <v>163</v>
      </c>
      <c r="D6" s="2" t="s">
        <v>164</v>
      </c>
      <c r="E6" s="2" t="s">
        <v>165</v>
      </c>
      <c r="F6" s="10"/>
      <c r="G6" s="10"/>
      <c r="H6" s="10"/>
      <c r="I6" s="10"/>
      <c r="J6" s="10" t="s">
        <v>80</v>
      </c>
      <c r="K6" s="10">
        <v>253</v>
      </c>
      <c r="L6" s="10">
        <v>588.5</v>
      </c>
      <c r="M6" s="10">
        <v>148890.5</v>
      </c>
      <c r="N6" s="10"/>
      <c r="O6" s="10"/>
      <c r="P6" s="10">
        <v>0</v>
      </c>
      <c r="Q6" s="10"/>
      <c r="R6" s="10"/>
      <c r="S6" s="10"/>
      <c r="T6" s="10">
        <v>0</v>
      </c>
      <c r="U6" s="10"/>
      <c r="V6" s="10"/>
      <c r="W6" s="10"/>
      <c r="X6" s="10">
        <v>0</v>
      </c>
      <c r="Y6" s="10"/>
      <c r="Z6" s="10"/>
      <c r="AA6" s="10"/>
      <c r="AB6" s="10">
        <v>0</v>
      </c>
      <c r="AC6" s="10"/>
      <c r="AD6" s="10"/>
      <c r="AE6" s="10"/>
      <c r="AF6" s="10">
        <v>0</v>
      </c>
      <c r="AG6" s="10"/>
      <c r="AH6" s="25" t="s">
        <v>94</v>
      </c>
      <c r="AI6" s="10">
        <v>76.75</v>
      </c>
      <c r="AJ6" s="10">
        <v>388</v>
      </c>
      <c r="AK6" s="10">
        <v>29779</v>
      </c>
      <c r="AL6" s="25"/>
      <c r="AM6" s="10"/>
      <c r="AN6" s="10">
        <v>0</v>
      </c>
      <c r="AO6" s="10"/>
      <c r="AP6" s="10"/>
      <c r="AQ6" s="10"/>
      <c r="AR6" s="10">
        <v>0</v>
      </c>
      <c r="AS6" s="10"/>
      <c r="AT6" s="10"/>
      <c r="AU6" s="10"/>
      <c r="AV6" s="10">
        <v>0</v>
      </c>
      <c r="AW6" s="10"/>
      <c r="AX6" s="10"/>
      <c r="AY6" s="10"/>
      <c r="AZ6" s="10">
        <v>0</v>
      </c>
      <c r="BA6" s="10"/>
      <c r="BB6" s="10"/>
      <c r="BC6" s="10"/>
      <c r="BD6" s="10">
        <v>0</v>
      </c>
      <c r="BE6" s="10"/>
      <c r="BF6" s="10"/>
      <c r="BG6" s="10"/>
      <c r="BH6" s="10">
        <v>0</v>
      </c>
      <c r="BI6" s="10"/>
      <c r="BJ6" s="10"/>
      <c r="BK6" s="10"/>
      <c r="BL6" s="10">
        <v>0</v>
      </c>
      <c r="BM6" s="10"/>
      <c r="BN6" s="10"/>
      <c r="BO6" s="10"/>
      <c r="BP6" s="10">
        <v>0</v>
      </c>
      <c r="BQ6" s="10"/>
      <c r="BR6" s="10"/>
      <c r="BS6" s="10"/>
      <c r="BT6" s="10">
        <v>0</v>
      </c>
      <c r="BU6" s="10"/>
      <c r="BV6" s="10"/>
      <c r="BW6" s="10"/>
      <c r="BX6" s="10">
        <v>0</v>
      </c>
      <c r="BY6" s="10"/>
      <c r="BZ6" s="10"/>
      <c r="CA6" s="10">
        <v>178669.5</v>
      </c>
      <c r="CB6" s="11">
        <v>0</v>
      </c>
      <c r="CC6" s="10">
        <v>0</v>
      </c>
      <c r="CD6" s="11">
        <v>0.15</v>
      </c>
      <c r="CE6" s="10">
        <v>26800.43</v>
      </c>
      <c r="CF6" s="11">
        <v>0</v>
      </c>
      <c r="CG6" s="10">
        <v>0</v>
      </c>
      <c r="CH6" s="10">
        <v>205469.93</v>
      </c>
      <c r="CI6" s="11">
        <v>0.03</v>
      </c>
      <c r="CJ6" s="10">
        <v>6164.1</v>
      </c>
      <c r="CK6" s="11">
        <v>1.4999999999999999E-2</v>
      </c>
      <c r="CL6" s="10">
        <v>3082.05</v>
      </c>
      <c r="CM6" s="10"/>
      <c r="CN6" s="10"/>
      <c r="CO6" s="10">
        <v>214716.08</v>
      </c>
      <c r="CP6" s="10"/>
      <c r="CQ6" s="10">
        <v>214716.08</v>
      </c>
      <c r="CR6" s="11">
        <v>0.18</v>
      </c>
      <c r="CS6" s="10">
        <v>38648.89</v>
      </c>
      <c r="CT6" s="10">
        <v>253364.97</v>
      </c>
      <c r="CU6" s="10">
        <v>1200</v>
      </c>
      <c r="CV6" s="10" t="s">
        <v>152</v>
      </c>
      <c r="CW6" s="12">
        <v>304037969</v>
      </c>
      <c r="CX6" s="49"/>
      <c r="CY6" s="49"/>
      <c r="CZ6" s="49">
        <v>3500</v>
      </c>
    </row>
    <row r="7" spans="1:104"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5"/>
      <c r="AI7" s="10"/>
      <c r="AJ7" s="10"/>
      <c r="AK7" s="10"/>
      <c r="AL7" s="25"/>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0"/>
      <c r="CQ7" s="10"/>
      <c r="CR7" s="11"/>
      <c r="CS7" s="10"/>
      <c r="CT7" s="10"/>
      <c r="CU7" s="10"/>
      <c r="CV7" s="10"/>
      <c r="CW7" s="12"/>
      <c r="CX7" s="49"/>
      <c r="CY7" s="49"/>
      <c r="CZ7" s="49"/>
    </row>
    <row r="8" spans="1:104"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5"/>
      <c r="AI8" s="10"/>
      <c r="AJ8" s="10"/>
      <c r="AK8" s="10"/>
      <c r="AL8" s="25"/>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0"/>
      <c r="CQ8" s="10"/>
      <c r="CR8" s="11"/>
      <c r="CS8" s="10"/>
      <c r="CT8" s="10"/>
      <c r="CU8" s="10"/>
      <c r="CV8" s="10"/>
      <c r="CW8" s="12"/>
      <c r="CX8" s="49"/>
      <c r="CY8" s="49"/>
      <c r="CZ8" s="49"/>
    </row>
    <row r="9" spans="1:104"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5"/>
      <c r="AI9" s="10"/>
      <c r="AJ9" s="10"/>
      <c r="AK9" s="10"/>
      <c r="AL9" s="25"/>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0"/>
      <c r="CQ9" s="10"/>
      <c r="CR9" s="11"/>
      <c r="CS9" s="10"/>
      <c r="CT9" s="10"/>
      <c r="CU9" s="10"/>
      <c r="CV9" s="10"/>
      <c r="CW9" s="12"/>
      <c r="CX9" s="49"/>
      <c r="CY9" s="49"/>
      <c r="CZ9" s="49"/>
    </row>
    <row r="10" spans="1:104"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5"/>
      <c r="AI10" s="10"/>
      <c r="AJ10" s="10"/>
      <c r="AK10" s="10"/>
      <c r="AL10" s="25"/>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0"/>
      <c r="CQ10" s="10"/>
      <c r="CR10" s="11"/>
      <c r="CS10" s="10"/>
      <c r="CT10" s="10"/>
      <c r="CU10" s="10"/>
      <c r="CV10" s="10"/>
      <c r="CW10" s="12"/>
      <c r="CX10" s="49"/>
      <c r="CY10" s="49"/>
      <c r="CZ10" s="49"/>
    </row>
    <row r="11" spans="1:104"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1"/>
      <c r="CN11" s="1"/>
      <c r="CO11" s="3"/>
      <c r="CP11" s="1"/>
      <c r="CQ11" s="1"/>
      <c r="CR11" s="16"/>
      <c r="CS11" s="1"/>
      <c r="CT11" s="1"/>
      <c r="CU11" s="1"/>
      <c r="CV11" s="1"/>
      <c r="CW11" s="17"/>
      <c r="CX11" s="49"/>
      <c r="CY11" s="49"/>
      <c r="CZ11" s="49"/>
    </row>
    <row r="12" spans="1:104"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1"/>
      <c r="CN12" s="1"/>
      <c r="CO12" s="3"/>
      <c r="CP12" s="1"/>
      <c r="CQ12" s="1"/>
      <c r="CR12" s="16"/>
      <c r="CS12" s="1"/>
      <c r="CT12" s="1"/>
      <c r="CU12" s="1"/>
      <c r="CV12" s="1"/>
      <c r="CW12" s="17"/>
      <c r="CX12" s="49"/>
      <c r="CY12" s="49"/>
      <c r="CZ12" s="49"/>
    </row>
    <row r="13" spans="1:104"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1"/>
      <c r="CN13" s="1"/>
      <c r="CO13" s="3"/>
      <c r="CP13" s="1"/>
      <c r="CQ13" s="1"/>
      <c r="CR13" s="16"/>
      <c r="CS13" s="1"/>
      <c r="CT13" s="1"/>
      <c r="CU13" s="1"/>
      <c r="CV13" s="1"/>
      <c r="CW13" s="17"/>
      <c r="CX13" s="49"/>
      <c r="CY13" s="49"/>
      <c r="CZ13" s="49"/>
    </row>
    <row r="14" spans="1:104"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5"/>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1"/>
      <c r="CN14" s="1"/>
      <c r="CO14" s="3"/>
      <c r="CP14" s="1"/>
      <c r="CQ14" s="1"/>
      <c r="CR14" s="16"/>
      <c r="CS14" s="1"/>
      <c r="CT14" s="1"/>
      <c r="CU14" s="1"/>
      <c r="CV14" s="1"/>
      <c r="CW14" s="17"/>
      <c r="CX14" s="49"/>
      <c r="CY14" s="49"/>
      <c r="CZ14" s="49"/>
    </row>
    <row r="15" spans="1:104"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1"/>
      <c r="CN15" s="1"/>
      <c r="CO15" s="3"/>
      <c r="CP15" s="1"/>
      <c r="CQ15" s="1"/>
      <c r="CR15" s="16"/>
      <c r="CS15" s="1"/>
      <c r="CT15" s="1"/>
      <c r="CU15" s="1"/>
      <c r="CV15" s="1"/>
      <c r="CW15" s="17"/>
      <c r="CX15" s="49"/>
      <c r="CY15" s="49"/>
      <c r="CZ15" s="49"/>
    </row>
    <row r="16" spans="1:104"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1"/>
      <c r="CN16" s="1"/>
      <c r="CO16" s="3"/>
      <c r="CP16" s="1"/>
      <c r="CQ16" s="1"/>
      <c r="CR16" s="16"/>
      <c r="CS16" s="1"/>
      <c r="CT16" s="1"/>
      <c r="CU16" s="1"/>
      <c r="CV16" s="1"/>
      <c r="CW16" s="17"/>
      <c r="CX16" s="49"/>
      <c r="CY16" s="49"/>
      <c r="CZ16" s="49"/>
    </row>
    <row r="17" spans="1:104"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1"/>
      <c r="CN17" s="1"/>
      <c r="CO17" s="3"/>
      <c r="CP17" s="1"/>
      <c r="CQ17" s="1"/>
      <c r="CR17" s="16"/>
      <c r="CS17" s="1"/>
      <c r="CT17" s="1"/>
      <c r="CU17" s="1"/>
      <c r="CV17" s="1"/>
      <c r="CW17" s="17"/>
      <c r="CX17" s="49"/>
      <c r="CY17" s="49"/>
      <c r="CZ17" s="49"/>
    </row>
    <row r="18" spans="1:104"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1"/>
      <c r="CN18" s="1"/>
      <c r="CO18" s="3"/>
      <c r="CP18" s="1"/>
      <c r="CQ18" s="1"/>
      <c r="CR18" s="16"/>
      <c r="CS18" s="1"/>
      <c r="CT18" s="1"/>
      <c r="CU18" s="1"/>
      <c r="CV18" s="1"/>
      <c r="CW18" s="17"/>
      <c r="CX18" s="49"/>
      <c r="CY18" s="49"/>
      <c r="CZ18" s="49"/>
    </row>
    <row r="19" spans="1:104"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1"/>
      <c r="CN19" s="1"/>
      <c r="CO19" s="3"/>
      <c r="CP19" s="1"/>
      <c r="CQ19" s="1"/>
      <c r="CR19" s="16"/>
      <c r="CS19" s="1"/>
      <c r="CT19" s="1"/>
      <c r="CU19" s="1"/>
      <c r="CV19" s="1"/>
      <c r="CW19" s="17"/>
      <c r="CX19" s="49"/>
      <c r="CY19" s="49"/>
      <c r="CZ19" s="49"/>
    </row>
    <row r="20" spans="1:104"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1"/>
      <c r="CN20" s="1"/>
      <c r="CO20" s="3"/>
      <c r="CP20" s="1"/>
      <c r="CQ20" s="1"/>
      <c r="CR20" s="16"/>
      <c r="CS20" s="1"/>
      <c r="CT20" s="1"/>
      <c r="CU20" s="1"/>
      <c r="CV20" s="1"/>
      <c r="CW20" s="17"/>
      <c r="CX20" s="49"/>
      <c r="CY20" s="49"/>
      <c r="CZ20" s="49"/>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P35"/>
  <sheetViews>
    <sheetView topLeftCell="A19" workbookViewId="0">
      <selection activeCell="J20" sqref="J20"/>
    </sheetView>
  </sheetViews>
  <sheetFormatPr defaultRowHeight="15" x14ac:dyDescent="0.25"/>
  <cols>
    <col min="1" max="1" width="15.140625" bestFit="1" customWidth="1"/>
    <col min="2" max="2" width="10.42578125" bestFit="1" customWidth="1"/>
    <col min="3" max="3" width="10.28515625" bestFit="1" customWidth="1"/>
    <col min="4" max="4" width="42.140625" bestFit="1"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1" customWidth="1"/>
    <col min="15" max="44" width="7.85546875" style="31" hidden="1" customWidth="1"/>
    <col min="45" max="45" width="7.85546875" style="31" customWidth="1"/>
    <col min="46" max="73" width="7.85546875" style="31" hidden="1" customWidth="1"/>
    <col min="74" max="75" width="7.85546875" style="31" customWidth="1"/>
    <col min="76" max="76" width="10.42578125" style="31" hidden="1" customWidth="1"/>
    <col min="77" max="77" width="31.7109375" style="31" customWidth="1"/>
    <col min="78" max="78" width="11.85546875" style="31" customWidth="1"/>
    <col min="79" max="79" width="11.28515625" style="31" customWidth="1"/>
    <col min="80" max="80" width="9.85546875" style="4" bestFit="1" customWidth="1"/>
    <col min="81" max="81" width="13.85546875" style="4" bestFit="1" customWidth="1"/>
    <col min="82" max="82" width="9.140625" style="29" hidden="1" customWidth="1"/>
    <col min="83" max="83" width="9.140625" style="4" hidden="1" customWidth="1"/>
    <col min="84" max="84" width="9.140625" style="14" customWidth="1"/>
    <col min="85" max="85" width="12" style="4" bestFit="1" customWidth="1"/>
    <col min="86" max="86" width="9.140625" style="8" customWidth="1"/>
    <col min="87" max="87" width="12.28515625" style="4" bestFit="1" customWidth="1"/>
    <col min="88" max="88" width="13.85546875" style="4" bestFit="1" customWidth="1"/>
    <col min="89" max="89" width="8.28515625" style="8" customWidth="1"/>
    <col min="90" max="90" width="11.5703125" customWidth="1"/>
    <col min="91" max="91" width="8.28515625" style="8" customWidth="1"/>
    <col min="92" max="92" width="9.140625" customWidth="1"/>
    <col min="93" max="93" width="12.140625" style="8" bestFit="1" customWidth="1"/>
    <col min="94" max="94" width="9.140625" customWidth="1"/>
  </cols>
  <sheetData>
    <row r="1" spans="1:94" ht="27" customHeight="1" x14ac:dyDescent="0.25">
      <c r="D1" s="139" t="s">
        <v>238</v>
      </c>
    </row>
    <row r="2" spans="1:94" s="38" customFormat="1" ht="28.9" customHeight="1" x14ac:dyDescent="0.25">
      <c r="D2" s="138" t="s">
        <v>237</v>
      </c>
      <c r="E2" s="43"/>
      <c r="H2" s="44"/>
      <c r="N2" s="142" t="str">
        <f>Sheet1!J1</f>
        <v>Conductor</v>
      </c>
      <c r="O2" s="142"/>
      <c r="P2" s="142"/>
      <c r="Q2" s="142"/>
      <c r="R2" s="142"/>
      <c r="S2" s="142" t="s">
        <v>9</v>
      </c>
      <c r="T2" s="142"/>
      <c r="U2" s="142" t="s">
        <v>3</v>
      </c>
      <c r="V2" s="142"/>
      <c r="W2" s="142"/>
      <c r="X2" s="142"/>
      <c r="Y2" s="142"/>
      <c r="Z2" s="142"/>
      <c r="AA2" s="142"/>
      <c r="AB2" s="142"/>
      <c r="AC2" s="142" t="s">
        <v>12</v>
      </c>
      <c r="AD2" s="142"/>
      <c r="AE2" s="142" t="s">
        <v>15</v>
      </c>
      <c r="AF2" s="142"/>
      <c r="AG2" s="142"/>
      <c r="AH2" s="142"/>
      <c r="AI2" s="142"/>
      <c r="AJ2" s="142"/>
      <c r="AK2" s="10" t="s">
        <v>18</v>
      </c>
      <c r="AL2" s="140" t="s">
        <v>21</v>
      </c>
      <c r="AM2" s="141"/>
      <c r="AN2" s="141"/>
      <c r="AO2" s="141"/>
      <c r="AP2" s="141"/>
      <c r="AQ2" s="141"/>
      <c r="AR2" s="141"/>
      <c r="AS2" s="142" t="s">
        <v>24</v>
      </c>
      <c r="AT2" s="142"/>
      <c r="AU2" s="142"/>
      <c r="AV2" s="142"/>
      <c r="AW2" s="142"/>
      <c r="AX2" s="142"/>
      <c r="AY2" s="142"/>
      <c r="AZ2" s="142"/>
      <c r="BA2" s="142"/>
      <c r="BB2" s="142"/>
      <c r="BC2" s="142" t="s">
        <v>27</v>
      </c>
      <c r="BD2" s="142"/>
      <c r="BE2" s="142"/>
      <c r="BF2" s="142"/>
      <c r="BG2" s="142"/>
      <c r="BH2" s="142"/>
      <c r="BI2" s="142"/>
      <c r="BJ2" s="142"/>
      <c r="BK2" s="142"/>
      <c r="BL2" s="142"/>
      <c r="BM2" s="39" t="s">
        <v>30</v>
      </c>
      <c r="BN2" s="10" t="s">
        <v>33</v>
      </c>
      <c r="BO2" s="10" t="s">
        <v>36</v>
      </c>
      <c r="BP2" s="10" t="s">
        <v>39</v>
      </c>
      <c r="BQ2" s="10" t="s">
        <v>42</v>
      </c>
      <c r="BR2" s="10" t="s">
        <v>45</v>
      </c>
      <c r="BS2" s="10" t="s">
        <v>48</v>
      </c>
      <c r="BT2" s="10" t="s">
        <v>51</v>
      </c>
      <c r="BU2" s="10" t="s">
        <v>54</v>
      </c>
      <c r="BV2" s="10"/>
      <c r="BW2" s="10"/>
      <c r="BX2" s="10"/>
      <c r="BY2" s="10"/>
      <c r="BZ2" s="10"/>
      <c r="CA2" s="10"/>
      <c r="CB2" s="40" t="s">
        <v>57</v>
      </c>
      <c r="CC2" s="40" t="s">
        <v>58</v>
      </c>
      <c r="CD2" s="41" t="s">
        <v>79</v>
      </c>
      <c r="CE2" s="40" t="s">
        <v>123</v>
      </c>
      <c r="CF2" s="42"/>
      <c r="CG2" s="43"/>
      <c r="CH2" s="44"/>
      <c r="CI2" s="43"/>
      <c r="CJ2" s="43"/>
      <c r="CK2" s="44"/>
      <c r="CM2" s="44"/>
      <c r="CO2" s="44"/>
    </row>
    <row r="3" spans="1:94" s="20" customFormat="1" ht="89.25" x14ac:dyDescent="0.25">
      <c r="A3" s="23" t="s">
        <v>0</v>
      </c>
      <c r="B3" s="23" t="str">
        <f>Sheet1!B1</f>
        <v>Base Date</v>
      </c>
      <c r="C3" s="23" t="s">
        <v>1</v>
      </c>
      <c r="D3" s="23" t="s">
        <v>2</v>
      </c>
      <c r="E3" s="5" t="s">
        <v>70</v>
      </c>
      <c r="F3" s="15" t="s">
        <v>71</v>
      </c>
      <c r="G3" s="15" t="s">
        <v>72</v>
      </c>
      <c r="H3" s="6" t="s">
        <v>73</v>
      </c>
      <c r="I3" s="15" t="s">
        <v>74</v>
      </c>
      <c r="J3" s="15" t="s">
        <v>75</v>
      </c>
      <c r="K3" s="15" t="s">
        <v>76</v>
      </c>
      <c r="L3" s="15" t="s">
        <v>77</v>
      </c>
      <c r="M3" s="15" t="s">
        <v>78</v>
      </c>
      <c r="N3" s="24" t="s">
        <v>80</v>
      </c>
      <c r="O3" s="24" t="s">
        <v>85</v>
      </c>
      <c r="P3" s="24" t="s">
        <v>82</v>
      </c>
      <c r="Q3" s="24" t="s">
        <v>83</v>
      </c>
      <c r="R3" s="24" t="s">
        <v>84</v>
      </c>
      <c r="S3" s="24" t="s">
        <v>80</v>
      </c>
      <c r="T3" s="24" t="s">
        <v>85</v>
      </c>
      <c r="U3" s="25" t="s">
        <v>92</v>
      </c>
      <c r="V3" s="25" t="s">
        <v>96</v>
      </c>
      <c r="W3" s="25" t="s">
        <v>99</v>
      </c>
      <c r="X3" s="25" t="s">
        <v>104</v>
      </c>
      <c r="Y3" s="25" t="s">
        <v>108</v>
      </c>
      <c r="Z3" s="25" t="s">
        <v>112</v>
      </c>
      <c r="AA3" s="25" t="s">
        <v>115</v>
      </c>
      <c r="AB3" s="25" t="s">
        <v>117</v>
      </c>
      <c r="AC3" s="25" t="s">
        <v>91</v>
      </c>
      <c r="AD3" s="25" t="s">
        <v>95</v>
      </c>
      <c r="AE3" s="25" t="s">
        <v>90</v>
      </c>
      <c r="AF3" s="25" t="s">
        <v>86</v>
      </c>
      <c r="AG3" s="25" t="s">
        <v>98</v>
      </c>
      <c r="AH3" s="25" t="s">
        <v>103</v>
      </c>
      <c r="AI3" s="25" t="s">
        <v>107</v>
      </c>
      <c r="AJ3" s="25" t="s">
        <v>111</v>
      </c>
      <c r="AK3" s="21" t="s">
        <v>18</v>
      </c>
      <c r="AL3" s="25" t="s">
        <v>93</v>
      </c>
      <c r="AM3" s="25" t="s">
        <v>97</v>
      </c>
      <c r="AN3" s="25" t="s">
        <v>100</v>
      </c>
      <c r="AO3" s="25" t="s">
        <v>105</v>
      </c>
      <c r="AP3" s="25" t="s">
        <v>109</v>
      </c>
      <c r="AQ3" s="25" t="s">
        <v>87</v>
      </c>
      <c r="AR3" s="25" t="s">
        <v>116</v>
      </c>
      <c r="AS3" s="25" t="s">
        <v>94</v>
      </c>
      <c r="AT3" s="25" t="s">
        <v>81</v>
      </c>
      <c r="AU3" s="25" t="s">
        <v>101</v>
      </c>
      <c r="AV3" s="25" t="s">
        <v>106</v>
      </c>
      <c r="AW3" s="25" t="s">
        <v>113</v>
      </c>
      <c r="AX3" s="25" t="s">
        <v>88</v>
      </c>
      <c r="AY3" s="25" t="s">
        <v>118</v>
      </c>
      <c r="AZ3" s="25" t="s">
        <v>119</v>
      </c>
      <c r="BA3" s="25" t="s">
        <v>120</v>
      </c>
      <c r="BB3" s="25" t="s">
        <v>122</v>
      </c>
      <c r="BC3" s="25" t="s">
        <v>93</v>
      </c>
      <c r="BD3" s="25" t="s">
        <v>97</v>
      </c>
      <c r="BE3" s="25" t="s">
        <v>102</v>
      </c>
      <c r="BF3" s="25" t="s">
        <v>100</v>
      </c>
      <c r="BG3" s="25" t="s">
        <v>110</v>
      </c>
      <c r="BH3" s="25" t="s">
        <v>114</v>
      </c>
      <c r="BI3" s="25" t="s">
        <v>105</v>
      </c>
      <c r="BJ3" s="25" t="s">
        <v>87</v>
      </c>
      <c r="BK3" s="25" t="s">
        <v>116</v>
      </c>
      <c r="BL3" s="25" t="s">
        <v>121</v>
      </c>
      <c r="BM3" s="21" t="s">
        <v>30</v>
      </c>
      <c r="BN3" s="21" t="s">
        <v>89</v>
      </c>
      <c r="BO3" s="22" t="s">
        <v>36</v>
      </c>
      <c r="BP3" s="26" t="s">
        <v>39</v>
      </c>
      <c r="BQ3" s="22" t="s">
        <v>42</v>
      </c>
      <c r="BR3" s="22" t="s">
        <v>45</v>
      </c>
      <c r="BS3" s="22" t="s">
        <v>48</v>
      </c>
      <c r="BT3" s="26" t="s">
        <v>51</v>
      </c>
      <c r="BU3" s="22" t="s">
        <v>54</v>
      </c>
      <c r="BV3" s="22" t="str">
        <f>Sheet1!E1</f>
        <v>PROPOSE DRUM TYPE</v>
      </c>
      <c r="BW3" s="22"/>
      <c r="BX3" s="46" t="str">
        <f>Sheet1!CX1</f>
        <v>DRUM CODE</v>
      </c>
      <c r="BY3" s="46" t="str">
        <f>Sheet1!CY1</f>
        <v>DRUM SIZE (FxbXtx Ft)</v>
      </c>
      <c r="BZ3" s="52" t="s">
        <v>168</v>
      </c>
      <c r="CA3" s="46" t="str">
        <f>Sheet1!CZ1</f>
        <v xml:space="preserve">PARTY STANDARD LENGTH (MTR) </v>
      </c>
      <c r="CB3" s="135" t="s">
        <v>235</v>
      </c>
      <c r="CC3" s="30"/>
      <c r="CD3" s="27"/>
      <c r="CE3" s="30"/>
      <c r="CF3" s="13" t="s">
        <v>61</v>
      </c>
      <c r="CG3" s="5" t="s">
        <v>62</v>
      </c>
      <c r="CH3" s="6" t="s">
        <v>63</v>
      </c>
      <c r="CI3" s="5" t="s">
        <v>64</v>
      </c>
      <c r="CJ3" s="5" t="s">
        <v>65</v>
      </c>
      <c r="CK3" s="6" t="s">
        <v>66</v>
      </c>
      <c r="CL3" s="15" t="s">
        <v>67</v>
      </c>
      <c r="CM3" s="6" t="s">
        <v>68</v>
      </c>
      <c r="CN3" s="15" t="s">
        <v>69</v>
      </c>
      <c r="CO3" s="6" t="str">
        <f>Sheet1!CM1</f>
        <v>TTR CHARGES%</v>
      </c>
      <c r="CP3" s="15" t="str">
        <f>Sheet1!CN1</f>
        <v>TTR VALUE</v>
      </c>
    </row>
    <row r="4" spans="1:94" s="30" customFormat="1" x14ac:dyDescent="0.25">
      <c r="A4" s="32"/>
      <c r="B4" s="32"/>
      <c r="C4" s="32"/>
      <c r="D4" s="32"/>
      <c r="E4" s="5"/>
      <c r="F4" s="5"/>
      <c r="G4" s="5"/>
      <c r="H4" s="5"/>
      <c r="I4" s="5"/>
      <c r="J4" s="5"/>
      <c r="K4" s="5"/>
      <c r="L4" s="5"/>
      <c r="M4" s="5"/>
      <c r="N4" s="33">
        <v>235</v>
      </c>
      <c r="O4" s="33">
        <f>+IFERROR(VLOOKUP($O$3,Sheet1!J:L,2,0),0)</f>
        <v>0</v>
      </c>
      <c r="P4" s="33">
        <f>+IFERROR(VLOOKUP($P$3,Sheet1!J:M,2,0),0)</f>
        <v>0</v>
      </c>
      <c r="Q4" s="33">
        <f>+IFERROR(VLOOKUP($Q$3,Sheet1!J:M,2,0),0)</f>
        <v>0</v>
      </c>
      <c r="R4" s="33">
        <f>+IFERROR(VLOOKUP($R$3,Sheet1!J:M,2,0),0)</f>
        <v>0</v>
      </c>
      <c r="S4" s="33">
        <f>+IFERROR(VLOOKUP($S$3,Sheet1!N:Q,2,0),0)</f>
        <v>0</v>
      </c>
      <c r="T4" s="33">
        <f>+IFERROR(VLOOKUP($T$3,Sheet1!N:O,2,0),0)</f>
        <v>0</v>
      </c>
      <c r="U4" s="34">
        <f>+IFERROR(VLOOKUP($U$3,Sheet1!F:I,2,0),0)</f>
        <v>0</v>
      </c>
      <c r="V4" s="34">
        <f>+IFERROR(VLOOKUP($V$3,Sheet1!F:I,2,0),0)</f>
        <v>0</v>
      </c>
      <c r="W4" s="34">
        <f>+IFERROR(VLOOKUP($W$3,Sheet1!F:I,2,0),0)</f>
        <v>0</v>
      </c>
      <c r="X4" s="34">
        <f>+IFERROR(VLOOKUP($X$3,Sheet1!F:I,2,0),0)</f>
        <v>0</v>
      </c>
      <c r="Y4" s="34">
        <f>+IFERROR(VLOOKUP($Y$3,Sheet1!F:I,2,0),0)</f>
        <v>0</v>
      </c>
      <c r="Z4" s="34">
        <f>+IFERROR(VLOOKUP($Z$3,Sheet1!F:I,2,0),0)</f>
        <v>0</v>
      </c>
      <c r="AA4" s="34">
        <f>+IFERROR(VLOOKUP($AA$3,Sheet1!F:I,2,0),0)</f>
        <v>0</v>
      </c>
      <c r="AB4" s="34">
        <f>+IFERROR(VLOOKUP($AB$3,Sheet1!F:I,2,0),0)</f>
        <v>0</v>
      </c>
      <c r="AC4" s="34">
        <f>+IFERROR(VLOOKUP($AC$3,Sheet1!R:U,2,0),0)</f>
        <v>0</v>
      </c>
      <c r="AD4" s="34">
        <f>+IFERROR(VLOOKUP($AD$3,Sheet1!R:U,2,0),0)</f>
        <v>0</v>
      </c>
      <c r="AE4" s="34">
        <f>+IFERROR(VLOOKUP($AE$3,Sheet1!V:Y,2,0),0)</f>
        <v>0</v>
      </c>
      <c r="AF4" s="34">
        <f>+IFERROR(VLOOKUP($AF$3,Sheet1!V:Y,2,0),0)</f>
        <v>0</v>
      </c>
      <c r="AG4" s="34">
        <f>+IFERROR(VLOOKUP($AG$3,Sheet1!V:Y,2,0),0)</f>
        <v>0</v>
      </c>
      <c r="AH4" s="34">
        <f>+IFERROR(VLOOKUP($AH$3,Sheet1!V:Y,2,0),0)</f>
        <v>0</v>
      </c>
      <c r="AI4" s="34">
        <f>+IFERROR(VLOOKUP($AI$3,Sheet1!V:Y,2,0),0)</f>
        <v>0</v>
      </c>
      <c r="AJ4" s="34">
        <f>+IFERROR(VLOOKUP($AJ$3,Sheet1!V:Y,2,0),0)</f>
        <v>0</v>
      </c>
      <c r="AK4" s="35">
        <f>+IFERROR(VLOOKUP($AK$3,Sheet1!Z2:AA840,2,0),0)</f>
        <v>0</v>
      </c>
      <c r="AL4" s="34">
        <f>+IFERROR(VLOOKUP($AL$3,Sheet1!AD2:AG840,2,0),0)</f>
        <v>0</v>
      </c>
      <c r="AM4" s="34">
        <f>+IFERROR(VLOOKUP($AM$3,Sheet1!AD2:AG840,2,0),0)</f>
        <v>0</v>
      </c>
      <c r="AN4" s="34">
        <f>+IFERROR(VLOOKUP($AN$3,Sheet1!AD2:AG840,2,0),0)</f>
        <v>0</v>
      </c>
      <c r="AO4" s="34">
        <f>+IFERROR(VLOOKUP($AO$3,Sheet1!AD2:AG840,2,0),0)</f>
        <v>0</v>
      </c>
      <c r="AP4" s="34">
        <f>+IFERROR(VLOOKUP($AP$3,Sheet1!AD2:AG840,2,0),0)</f>
        <v>0</v>
      </c>
      <c r="AQ4" s="34">
        <f>+IFERROR(VLOOKUP($AQ$3,Sheet1!AD2:AG840,2,0),0)</f>
        <v>0</v>
      </c>
      <c r="AR4" s="34">
        <f>+IFERROR(VLOOKUP($AR$3,Sheet1!AD2:AG840,2,0),0)</f>
        <v>0</v>
      </c>
      <c r="AS4" s="34">
        <v>73</v>
      </c>
      <c r="AT4" s="34">
        <f>+IFERROR(VLOOKUP($AT$3,Sheet1!AH2:AK840,2,0),0)</f>
        <v>0</v>
      </c>
      <c r="AU4" s="34">
        <f>+IFERROR(VLOOKUP($AU$3,Sheet1!AH2:AK840,2,0),0)</f>
        <v>0</v>
      </c>
      <c r="AV4" s="34">
        <f>+IFERROR(VLOOKUP($AV$3,Sheet1!AH2:AK840,2,0),0)</f>
        <v>0</v>
      </c>
      <c r="AW4" s="34">
        <f>+IFERROR(VLOOKUP($AW$3,Sheet1!AH2:AK840,2,0),0)</f>
        <v>0</v>
      </c>
      <c r="AX4" s="34">
        <f>+IFERROR(VLOOKUP($AX$3,Sheet1!AH2:AK840,2,0),0)</f>
        <v>0</v>
      </c>
      <c r="AY4" s="34">
        <f>+IFERROR(VLOOKUP($AY$3,Sheet1!AH2:AK840,2,0),0)</f>
        <v>0</v>
      </c>
      <c r="AZ4" s="34">
        <f>+IFERROR(VLOOKUP($AZ$3,Sheet1!AH2:AK840,2,0),0)</f>
        <v>0</v>
      </c>
      <c r="BA4" s="34">
        <f>+IFERROR(VLOOKUP($BA$3,Sheet1!AH2:AK840,2,0),0)</f>
        <v>0</v>
      </c>
      <c r="BB4" s="34">
        <f>+IFERROR(VLOOKUP($BB$3,Sheet1!AH2:AK840,2,0),0)</f>
        <v>0</v>
      </c>
      <c r="BC4" s="34">
        <f>+IFERROR(VLOOKUP($BC$3,Sheet1!AL2:AO840,2,0),0)</f>
        <v>0</v>
      </c>
      <c r="BD4" s="34">
        <f>+IFERROR(VLOOKUP($BD$3,Sheet1!AL2:AO840,2,0),0)</f>
        <v>0</v>
      </c>
      <c r="BE4" s="34">
        <f>+IFERROR(VLOOKUP($BE$3,Sheet1!AL2:AO840,2,0),0)</f>
        <v>0</v>
      </c>
      <c r="BF4" s="34">
        <f>+IFERROR(VLOOKUP($BF$3,Sheet1!AL2:AO840,2,0),0)</f>
        <v>0</v>
      </c>
      <c r="BG4" s="34">
        <f>+IFERROR(VLOOKUP($BG$3,Sheet1!AL2:AO840,2,0),0)</f>
        <v>0</v>
      </c>
      <c r="BH4" s="34">
        <f>+IFERROR(VLOOKUP($BH$3,Sheet1!AL2:AO840,2,0),0)</f>
        <v>0</v>
      </c>
      <c r="BI4" s="34">
        <f>+IFERROR(VLOOKUP($BI$3,Sheet1!AL2:AO840,2,0),0)</f>
        <v>0</v>
      </c>
      <c r="BJ4" s="34">
        <f>+IFERROR(VLOOKUP($BJ$3,Sheet1!AL2:AO840,2,0),0)</f>
        <v>0</v>
      </c>
      <c r="BK4" s="34">
        <f>+IFERROR(VLOOKUP($BK$3,Sheet1!AL2:AO840,2,0),0)</f>
        <v>0</v>
      </c>
      <c r="BL4" s="34">
        <f>+IFERROR(VLOOKUP($BL$3,Sheet1!AL2:AO840,2,0),0)</f>
        <v>0</v>
      </c>
      <c r="BM4" s="35">
        <f>+IFERROR(VLOOKUP($BM$3,Sheet1!AP2:AS840,2,0),0)</f>
        <v>0</v>
      </c>
      <c r="BN4" s="35">
        <f>+IFERROR(VLOOKUP($BN$3,Sheet1!AT2:AW840,2,0),0)</f>
        <v>0</v>
      </c>
      <c r="BO4" s="36">
        <f>+IFERROR(VLOOKUP($BO$3,Sheet1!AX2:BA840,2,0),0)</f>
        <v>0</v>
      </c>
      <c r="BP4" s="37">
        <f>+IFERROR(VLOOKUP($BP$3,Sheet1!BB2:BE840,2,0),0)</f>
        <v>0</v>
      </c>
      <c r="BQ4" s="36">
        <f>+IFERROR(VLOOKUP($BQ$3,Sheet1!BF2:BI840,2,0),0)</f>
        <v>0</v>
      </c>
      <c r="BR4" s="36">
        <f>+IFERROR(VLOOKUP($BR$3,Sheet1!BJ2:BM840,2,0),0)</f>
        <v>0</v>
      </c>
      <c r="BS4" s="36">
        <f>+IFERROR(VLOOKUP($BS$3,Sheet1!BN2:BQ840,2,0),0)</f>
        <v>0</v>
      </c>
      <c r="BT4" s="37">
        <f>+IFERROR(VLOOKUP($BT$3,Sheet1!BR2:BU840,2,0),0)</f>
        <v>0</v>
      </c>
      <c r="BU4" s="36">
        <f>+IFERROR(VLOOKUP($BU$3,Sheet1!BV2:BY840,2,0),0)</f>
        <v>0</v>
      </c>
      <c r="BV4" s="45"/>
      <c r="BW4" s="45"/>
      <c r="BX4" s="45"/>
      <c r="BY4" s="45"/>
      <c r="BZ4" s="45"/>
      <c r="CA4" s="45"/>
      <c r="CF4" s="5"/>
      <c r="CG4" s="5"/>
      <c r="CH4" s="5"/>
      <c r="CI4" s="5"/>
      <c r="CJ4" s="5"/>
      <c r="CK4" s="5"/>
      <c r="CL4" s="5"/>
      <c r="CM4" s="5"/>
      <c r="CN4" s="5"/>
      <c r="CO4" s="5"/>
      <c r="CP4" s="5"/>
    </row>
    <row r="5" spans="1:94" ht="30" x14ac:dyDescent="0.25">
      <c r="A5" s="1" t="str">
        <f>Sheet1!A5</f>
        <v>ENQ-13581-22-23</v>
      </c>
      <c r="B5" s="50">
        <f>Sheet1!B5</f>
        <v>45474</v>
      </c>
      <c r="C5" s="1" t="str">
        <f>Sheet1!C5</f>
        <v>FC6100002</v>
      </c>
      <c r="D5" s="1" t="str">
        <f>Sheet1!D5</f>
        <v>ACSR : MOOSE CONDUCTOR - 520 SQ. MM. (54/7/3.53)</v>
      </c>
      <c r="E5" s="3">
        <f>CJ5+CL5+CN5</f>
        <v>410043.59760000004</v>
      </c>
      <c r="F5" s="58">
        <f>ROUNDUP(M14,0)</f>
        <v>6320</v>
      </c>
      <c r="G5" s="9">
        <f>E5+F5</f>
        <v>416363.59760000004</v>
      </c>
      <c r="H5" s="7">
        <f>Sheet1!CR5</f>
        <v>0.18</v>
      </c>
      <c r="I5" s="9">
        <f>G5*H5</f>
        <v>74945.447568000003</v>
      </c>
      <c r="J5" s="9">
        <f>G5+I5</f>
        <v>491309.04516800004</v>
      </c>
      <c r="K5" s="1">
        <f>Sheet1!CU5</f>
        <v>750</v>
      </c>
      <c r="L5" s="1" t="str">
        <f>Sheet1!CV5</f>
        <v>KMS</v>
      </c>
      <c r="M5" s="3">
        <f>J5*K5</f>
        <v>368481783.87600005</v>
      </c>
      <c r="N5" s="2">
        <f>+IFERROR(VLOOKUP($N$3,Sheet1!J5:L5,3,0),0)</f>
        <v>1467</v>
      </c>
      <c r="O5" s="2">
        <f>+IFERROR(VLOOKUP($O$3,Sheet1!J5:L5,3,0),0)</f>
        <v>0</v>
      </c>
      <c r="P5" s="2">
        <f>+IFERROR(VLOOKUP($P$3,Sheet1!J5:M5,3,0),0)</f>
        <v>0</v>
      </c>
      <c r="Q5" s="2">
        <f>+IFERROR(VLOOKUP($Q$3,Sheet1!J5:M5,3,0),0)</f>
        <v>0</v>
      </c>
      <c r="R5" s="2">
        <f>+IFERROR(VLOOKUP($R$3,Sheet1!J5:M5,3,0),0)</f>
        <v>0</v>
      </c>
      <c r="S5" s="2">
        <f>+IFERROR(VLOOKUP($S$3,Sheet1!N5:Q5,3,0),0)</f>
        <v>0</v>
      </c>
      <c r="T5" s="2">
        <f>+IFERROR(VLOOKUP($T$3,Sheet1!N5:Q5,3,0),0)</f>
        <v>0</v>
      </c>
      <c r="U5" s="2">
        <f>+IFERROR(VLOOKUP($U$3,Sheet1!F5:I5,3,0),0)</f>
        <v>0</v>
      </c>
      <c r="V5" s="2">
        <f>+IFERROR(VLOOKUP($V$3,Sheet1!F5:I5,3,0),0)</f>
        <v>0</v>
      </c>
      <c r="W5" s="2">
        <f>+IFERROR(VLOOKUP($W$3,Sheet1!F5:I5,3,0),0)</f>
        <v>0</v>
      </c>
      <c r="X5" s="2">
        <f>+IFERROR(VLOOKUP($X$3,Sheet1!F5:I5,3,0),0)</f>
        <v>0</v>
      </c>
      <c r="Y5" s="2">
        <f>+IFERROR(VLOOKUP($Y$3,Sheet1!F5:I5,3,0),0)</f>
        <v>0</v>
      </c>
      <c r="Z5" s="2">
        <f>+IFERROR(VLOOKUP($Z$3,Sheet1!F5:I5,3,0),0)</f>
        <v>0</v>
      </c>
      <c r="AA5" s="2">
        <f>+IFERROR(VLOOKUP($AA$3,Sheet1!F5:I5,3,0),0)</f>
        <v>0</v>
      </c>
      <c r="AB5" s="2">
        <f>+IFERROR(VLOOKUP($AB$3,Sheet1!F5:I5,3,0),0)</f>
        <v>0</v>
      </c>
      <c r="AC5" s="2">
        <f>+IFERROR(VLOOKUP($AC$3,Sheet1!R5:U5,3,0),0)</f>
        <v>0</v>
      </c>
      <c r="AD5" s="15">
        <f>+IFERROR(VLOOKUP($AD$3,Sheet1!R5:U5,3,0),0)</f>
        <v>0</v>
      </c>
      <c r="AE5" s="2">
        <f>+IFERROR(VLOOKUP($AE$3,Sheet1!V5:Y5,3,0),0)</f>
        <v>0</v>
      </c>
      <c r="AF5" s="15">
        <f>+IFERROR(VLOOKUP($AF$3,Sheet1!V5:Y5,3,0),0)</f>
        <v>0</v>
      </c>
      <c r="AG5" s="15">
        <f>+IFERROR(VLOOKUP($AG$3,Sheet1!V5:Y5,3,0),0)</f>
        <v>0</v>
      </c>
      <c r="AH5" s="15">
        <f>+IFERROR(VLOOKUP($AH$3,Sheet1!V5:Y5,3,0),0)</f>
        <v>0</v>
      </c>
      <c r="AI5" s="15">
        <f>+IFERROR(VLOOKUP($AI$3,Sheet1!V5:Y5,3,0),0)</f>
        <v>0</v>
      </c>
      <c r="AJ5" s="15">
        <f>+IFERROR(VLOOKUP($AJ$3,Sheet1!V5:Y5,3,0),0)</f>
        <v>0</v>
      </c>
      <c r="AK5" s="15">
        <f>+IFERROR(VLOOKUP($AK$3,Sheet1!Z5:AB5,3,0),0)</f>
        <v>0</v>
      </c>
      <c r="AL5" s="15">
        <f>+IFERROR(VLOOKUP($AL$3,Sheet1!AD5:AG5,3,0),0)</f>
        <v>0</v>
      </c>
      <c r="AM5" s="15">
        <f>+IFERROR(VLOOKUP($AM$3,Sheet1!AD5:AG5,3,0),0)</f>
        <v>0</v>
      </c>
      <c r="AN5" s="15">
        <f>+IFERROR(VLOOKUP($AN$3,Sheet1!AD5:AG5,3,0),0)</f>
        <v>0</v>
      </c>
      <c r="AO5" s="15">
        <f>+IFERROR(VLOOKUP($AO$3,Sheet1!AD5:AG5,3,0),0)</f>
        <v>0</v>
      </c>
      <c r="AP5" s="15">
        <f>+IFERROR(VLOOKUP($AP$3,Sheet1!AD5:AG5,3,0),0)</f>
        <v>0</v>
      </c>
      <c r="AQ5" s="15">
        <f>+IFERROR(VLOOKUP($AQ$3,Sheet1!AD5:AG5,3,0),0)</f>
        <v>0</v>
      </c>
      <c r="AR5" s="15">
        <f>+IFERROR(VLOOKUP($AR$3,Sheet1!AD5:AG5,3,0),0)</f>
        <v>0</v>
      </c>
      <c r="AS5" s="15">
        <f>+IFERROR(VLOOKUP($AS$3,Sheet1!AH5:AK5,3,0),0)</f>
        <v>537</v>
      </c>
      <c r="AT5" s="15">
        <f>+IFERROR(VLOOKUP($AT$3,Sheet1!AH5:AK5,3,0),0)</f>
        <v>0</v>
      </c>
      <c r="AU5" s="15">
        <f>+IFERROR(VLOOKUP($AU$3,Sheet1!AH5:AK5,3,0),0)</f>
        <v>0</v>
      </c>
      <c r="AV5" s="15">
        <f>+IFERROR(VLOOKUP($AV$3,Sheet1!AH5:AK5,3,0),0)</f>
        <v>0</v>
      </c>
      <c r="AW5" s="15">
        <f>+IFERROR(VLOOKUP($AW$3,Sheet1!AH5:AK5,3,0),0)</f>
        <v>0</v>
      </c>
      <c r="AX5" s="15">
        <f>+IFERROR(VLOOKUP($AX$3,Sheet1!AH5:AK5,3,0),0)</f>
        <v>0</v>
      </c>
      <c r="AY5" s="15">
        <f>+IFERROR(VLOOKUP($AY$3,Sheet1!AH5:AK5,3,0),0)</f>
        <v>0</v>
      </c>
      <c r="AZ5" s="15">
        <f>+IFERROR(VLOOKUP($AZ$3,Sheet1!AH5:AK5,3,0),0)</f>
        <v>0</v>
      </c>
      <c r="BA5" s="15">
        <f>+IFERROR(VLOOKUP($BA$3,Sheet1!AH5:AK5,3,0),0)</f>
        <v>0</v>
      </c>
      <c r="BB5" s="15">
        <f>+IFERROR(VLOOKUP($BB$3,Sheet1!AH5:AK5,3,0),0)</f>
        <v>0</v>
      </c>
      <c r="BC5" s="15">
        <f>+IFERROR(VLOOKUP($BC$3,Sheet1!AL5:AO5,3,0),0)</f>
        <v>0</v>
      </c>
      <c r="BD5" s="15">
        <f>+IFERROR(VLOOKUP($BD$3,Sheet1!AL5:AO5,3,0),0)</f>
        <v>0</v>
      </c>
      <c r="BE5" s="15">
        <f>+IFERROR(VLOOKUP($BE$3,Sheet1!AL5:AO5,3,0),0)</f>
        <v>0</v>
      </c>
      <c r="BF5" s="15">
        <f>+IFERROR(VLOOKUP($BF$3,Sheet1!AL5:AO5,3,0),0)</f>
        <v>0</v>
      </c>
      <c r="BG5" s="15">
        <f>+IFERROR(VLOOKUP($BG$3,Sheet1!AL5:AO5,3,0),0)</f>
        <v>0</v>
      </c>
      <c r="BH5" s="15">
        <f>+IFERROR(VLOOKUP($BH$3,Sheet1!AL5:AO5,3,0),0)</f>
        <v>0</v>
      </c>
      <c r="BI5" s="15">
        <f>+IFERROR(VLOOKUP($BI$3,Sheet1!AL5:AO5,3,0),0)</f>
        <v>0</v>
      </c>
      <c r="BJ5" s="15">
        <f>+IFERROR(VLOOKUP($BJ$3,Sheet1!AL5:AO5,3,0),0)</f>
        <v>0</v>
      </c>
      <c r="BK5" s="15">
        <f>+IFERROR(VLOOKUP($BK$3,Sheet1!AL5:AO5,3,0),0)</f>
        <v>0</v>
      </c>
      <c r="BL5" s="15">
        <f>+IFERROR(VLOOKUP($BL$3,Sheet1!AL5:AO5,3,0),0)</f>
        <v>0</v>
      </c>
      <c r="BM5" s="15">
        <f>+IFERROR(VLOOKUP($BM$3,Sheet1!AP5:AS5,3,0),0)</f>
        <v>0</v>
      </c>
      <c r="BN5" s="15">
        <f>+IFERROR(VLOOKUP($BN$3,Sheet1!AT5:AW5,3,0),0)</f>
        <v>0</v>
      </c>
      <c r="BO5" s="15">
        <f>+IFERROR(VLOOKUP($BO$3,Sheet1!AX5:BA5,3,0),0)</f>
        <v>0</v>
      </c>
      <c r="BP5" s="15">
        <f>+IFERROR(VLOOKUP($BP$3,Sheet1!BB5:BE5,3,0),0)</f>
        <v>0</v>
      </c>
      <c r="BQ5" s="15">
        <f>+IFERROR(VLOOKUP($BQ$3,Sheet1!BF5:BI5,3,0),0)</f>
        <v>0</v>
      </c>
      <c r="BR5" s="15">
        <f>+IFERROR(VLOOKUP($BR$3,Sheet1!BJ5:BM5,3,0),0)</f>
        <v>0</v>
      </c>
      <c r="BS5" s="15">
        <f>+IFERROR(VLOOKUP($BS$3,Sheet1!BN5:BQ5,3,0),0)</f>
        <v>0</v>
      </c>
      <c r="BT5" s="15">
        <f>+IFERROR(VLOOKUP($BT$3,Sheet1!BR5:BU5,3,0),0)</f>
        <v>0</v>
      </c>
      <c r="BU5" s="15">
        <f>+IFERROR(VLOOKUP($BU$3,Sheet1!BV5:BY5,3,0),0)</f>
        <v>0</v>
      </c>
      <c r="BV5" s="15" t="str">
        <f>Sheet1!E5</f>
        <v>STEEL</v>
      </c>
      <c r="BW5" s="15">
        <f>SUM(N5:AS5)</f>
        <v>2004</v>
      </c>
      <c r="BX5" s="15"/>
      <c r="BY5" s="15" t="s">
        <v>166</v>
      </c>
      <c r="BZ5" s="15">
        <v>480</v>
      </c>
      <c r="CA5" s="15">
        <f>Sheet1!CZ5</f>
        <v>2400</v>
      </c>
      <c r="CB5" s="3">
        <f>(((BZ5*90)/(CA5/1000))/2)/2</f>
        <v>4500</v>
      </c>
      <c r="CC5" s="3">
        <f>SUMPRODUCT($N$4:$BU$4,N5:BU5)+CB5</f>
        <v>388446</v>
      </c>
      <c r="CD5" s="28">
        <f>Sheet1!CB5</f>
        <v>0</v>
      </c>
      <c r="CE5" s="3">
        <f>CC5*CD5</f>
        <v>0</v>
      </c>
      <c r="CF5" s="51">
        <v>0.04</v>
      </c>
      <c r="CG5" s="3">
        <f>CC5*CF5</f>
        <v>15537.84</v>
      </c>
      <c r="CH5" s="51">
        <f>Sheet1!CF5</f>
        <v>0</v>
      </c>
      <c r="CI5" s="3">
        <f>CC5*CH5</f>
        <v>0</v>
      </c>
      <c r="CJ5" s="3">
        <f>CC5+CE5+CG5+CI5</f>
        <v>403983.84</v>
      </c>
      <c r="CK5" s="51">
        <v>0.01</v>
      </c>
      <c r="CL5" s="1">
        <f>CJ5*CK5</f>
        <v>4039.8384000000005</v>
      </c>
      <c r="CM5" s="51">
        <v>5.0000000000000001E-3</v>
      </c>
      <c r="CN5" s="1">
        <f>CJ5*CM5</f>
        <v>2019.9192000000003</v>
      </c>
      <c r="CO5" s="51">
        <f>Sheet1!CM5</f>
        <v>0</v>
      </c>
      <c r="CP5" s="9">
        <f>CJ5*CO5</f>
        <v>0</v>
      </c>
    </row>
    <row r="6" spans="1:94" ht="30" x14ac:dyDescent="0.25">
      <c r="A6" s="1" t="str">
        <f>Sheet1!A2</f>
        <v>ENQ-13581-22-23</v>
      </c>
      <c r="B6" s="50">
        <f>Sheet1!B2</f>
        <v>45474</v>
      </c>
      <c r="C6" s="1" t="str">
        <f>Sheet1!C2</f>
        <v>FC4900001</v>
      </c>
      <c r="D6" s="1" t="str">
        <f>Sheet1!D2</f>
        <v>ACSR : BERSIMIS CONDUCTOR - 690 SQ. MM. (42/4.57/7/2.54)</v>
      </c>
      <c r="E6" s="3">
        <f>CJ6+CL6+CN6+CP6</f>
        <v>499896.1188</v>
      </c>
      <c r="F6" s="58">
        <f>ROUNDUP(M15,0)</f>
        <v>7200</v>
      </c>
      <c r="G6" s="9">
        <f>E6+F6</f>
        <v>507096.1188</v>
      </c>
      <c r="H6" s="7">
        <f>Sheet1!CR2</f>
        <v>0.18</v>
      </c>
      <c r="I6" s="9">
        <f>G6*H6</f>
        <v>91277.301383999991</v>
      </c>
      <c r="J6" s="9">
        <f>G6+I6</f>
        <v>598373.42018399993</v>
      </c>
      <c r="K6" s="1">
        <f>Sheet1!CU2</f>
        <v>150</v>
      </c>
      <c r="L6" s="1" t="str">
        <f>Sheet1!CV2</f>
        <v>KMS</v>
      </c>
      <c r="M6" s="3">
        <f>J6*K6</f>
        <v>89756013.02759999</v>
      </c>
      <c r="N6" s="2">
        <f>+IFERROR(VLOOKUP($N$3,Sheet1!J2:L2,3,0),0)</f>
        <v>1906</v>
      </c>
      <c r="O6" s="2">
        <f>+IFERROR(VLOOKUP($O$3,Sheet1!J2:L2,3,0),0)</f>
        <v>0</v>
      </c>
      <c r="P6" s="2">
        <f>+IFERROR(VLOOKUP($P$3,Sheet1!J2:M2,3,0),0)</f>
        <v>0</v>
      </c>
      <c r="Q6" s="2">
        <f>+IFERROR(VLOOKUP($Q$3,Sheet1!J2:M2,3,0),0)</f>
        <v>0</v>
      </c>
      <c r="R6" s="2">
        <f>+IFERROR(VLOOKUP($R$3,Sheet1!J2:M2,3,0),0)</f>
        <v>0</v>
      </c>
      <c r="S6" s="2">
        <f>+IFERROR(VLOOKUP($S$3,Sheet1!N2:Q2,3,0),0)</f>
        <v>0</v>
      </c>
      <c r="T6" s="2">
        <f>+IFERROR(VLOOKUP($T$3,Sheet1!N2:Q2,3,0),0)</f>
        <v>0</v>
      </c>
      <c r="U6" s="2">
        <f>+IFERROR(VLOOKUP($U$3,Sheet1!F2:I2,3,0),0)</f>
        <v>0</v>
      </c>
      <c r="V6" s="2">
        <f>+IFERROR(VLOOKUP($V$3,Sheet1!F2:I2,3,0),0)</f>
        <v>0</v>
      </c>
      <c r="W6" s="2">
        <f>+IFERROR(VLOOKUP($W$3,Sheet1!F2:I2,3,0),0)</f>
        <v>0</v>
      </c>
      <c r="X6" s="2">
        <f>+IFERROR(VLOOKUP($X$3,Sheet1!F2:I2,3,0),0)</f>
        <v>0</v>
      </c>
      <c r="Y6" s="2">
        <f>+IFERROR(VLOOKUP($Y$3,Sheet1!F2:I2,3,0),0)</f>
        <v>0</v>
      </c>
      <c r="Z6" s="2">
        <f>+IFERROR(VLOOKUP($Z$3,Sheet1!F2:I2,3,0),0)</f>
        <v>0</v>
      </c>
      <c r="AA6" s="2">
        <f>+IFERROR(VLOOKUP($AA$3,Sheet1!F2:I2,3,0),0)</f>
        <v>0</v>
      </c>
      <c r="AB6" s="2">
        <f>+IFERROR(VLOOKUP($AB$3,Sheet1!F2:I2,3,0),0)</f>
        <v>0</v>
      </c>
      <c r="AC6" s="2">
        <f>+IFERROR(VLOOKUP($AC$3,Sheet1!R2:U2,3,0),0)</f>
        <v>0</v>
      </c>
      <c r="AD6" s="15">
        <f>+IFERROR(VLOOKUP($AD$3,Sheet1!R2:U2,3,0),0)</f>
        <v>0</v>
      </c>
      <c r="AE6" s="2">
        <f>+IFERROR(VLOOKUP($AE$3,Sheet1!V2:Y2,3,0),0)</f>
        <v>0</v>
      </c>
      <c r="AF6" s="15">
        <f>+IFERROR(VLOOKUP($AF$3,Sheet1!V2:Y2,3,0),0)</f>
        <v>0</v>
      </c>
      <c r="AG6" s="15">
        <f>+IFERROR(VLOOKUP($AG$3,Sheet1!V2:Y2,3,0),0)</f>
        <v>0</v>
      </c>
      <c r="AH6" s="15">
        <f>+IFERROR(VLOOKUP($AH$3,Sheet1!V2:Y2,3,0),0)</f>
        <v>0</v>
      </c>
      <c r="AI6" s="15">
        <f>+IFERROR(VLOOKUP($AI$3,Sheet1!V2:Y2,3,0),0)</f>
        <v>0</v>
      </c>
      <c r="AJ6" s="15">
        <f>+IFERROR(VLOOKUP($AJ$3,Sheet1!V2:Y2,3,0),0)</f>
        <v>0</v>
      </c>
      <c r="AK6" s="15">
        <f>+IFERROR(VLOOKUP($AK$3,Sheet1!Z2:AB2,3,0),0)</f>
        <v>0</v>
      </c>
      <c r="AL6" s="15">
        <f>+IFERROR(VLOOKUP($AL$3,Sheet1!AD2:AG2,3,0),0)</f>
        <v>0</v>
      </c>
      <c r="AM6" s="15">
        <f>+IFERROR(VLOOKUP($AM$3,Sheet1!AD2:AG2,3,0),0)</f>
        <v>0</v>
      </c>
      <c r="AN6" s="15">
        <f>+IFERROR(VLOOKUP($AN$3,Sheet1!AD2:AG2,3,0),0)</f>
        <v>0</v>
      </c>
      <c r="AO6" s="15">
        <f>+IFERROR(VLOOKUP($AO$3,Sheet1!AD2:AG2,3,0),0)</f>
        <v>0</v>
      </c>
      <c r="AP6" s="15">
        <f>+IFERROR(VLOOKUP($AP$3,Sheet1!AD2:AG2,3,0),0)</f>
        <v>0</v>
      </c>
      <c r="AQ6" s="15">
        <f>+IFERROR(VLOOKUP($AQ$3,Sheet1!AD2:AG2,3,0),0)</f>
        <v>0</v>
      </c>
      <c r="AR6" s="15">
        <f>+IFERROR(VLOOKUP($AR$3,Sheet1!AD2:AG2,3,0),0)</f>
        <v>0</v>
      </c>
      <c r="AS6" s="15">
        <f>+IFERROR(VLOOKUP($AS$3,Sheet1!AH2:AK2,3,0),0)</f>
        <v>281</v>
      </c>
      <c r="AT6" s="15">
        <f>+IFERROR(VLOOKUP($AT$3,Sheet1!AH2:AK2,3,0),0)</f>
        <v>0</v>
      </c>
      <c r="AU6" s="15">
        <f>+IFERROR(VLOOKUP($AU$3,Sheet1!AH2:AK2,3,0),0)</f>
        <v>0</v>
      </c>
      <c r="AV6" s="15">
        <f>+IFERROR(VLOOKUP($AV$3,Sheet1!AH2:AK2,3,0),0)</f>
        <v>0</v>
      </c>
      <c r="AW6" s="15">
        <f>+IFERROR(VLOOKUP($AW$3,Sheet1!AH2:AK2,3,0),0)</f>
        <v>0</v>
      </c>
      <c r="AX6" s="15">
        <f>+IFERROR(VLOOKUP($AX$3,Sheet1!AH2:AK2,3,0),0)</f>
        <v>0</v>
      </c>
      <c r="AY6" s="15">
        <f>+IFERROR(VLOOKUP($AY$3,Sheet1!AH2:AK2,3,0),0)</f>
        <v>0</v>
      </c>
      <c r="AZ6" s="15">
        <f>+IFERROR(VLOOKUP($AZ$3,Sheet1!AH2:AK2,3,0),0)</f>
        <v>0</v>
      </c>
      <c r="BA6" s="15">
        <f>+IFERROR(VLOOKUP($BA$3,Sheet1!AH2:AK2,3,0),0)</f>
        <v>0</v>
      </c>
      <c r="BB6" s="15">
        <f>+IFERROR(VLOOKUP($BB$3,Sheet1!AH2:AK2,3,0),0)</f>
        <v>0</v>
      </c>
      <c r="BC6" s="15">
        <f>+IFERROR(VLOOKUP($BC$3,Sheet1!AL2:AO2,3,0),0)</f>
        <v>0</v>
      </c>
      <c r="BD6" s="15">
        <f>+IFERROR(VLOOKUP($BD$3,Sheet1!AL2:AO2,3,0),0)</f>
        <v>0</v>
      </c>
      <c r="BE6" s="15">
        <f>+IFERROR(VLOOKUP($BE$3,Sheet1!AL2:AO2,3,0),0)</f>
        <v>0</v>
      </c>
      <c r="BF6" s="15">
        <f>+IFERROR(VLOOKUP($BF$3,Sheet1!AL2:AO2,3,0),0)</f>
        <v>0</v>
      </c>
      <c r="BG6" s="15">
        <f>+IFERROR(VLOOKUP($BG$3,Sheet1!AL2:AO2,3,0),0)</f>
        <v>0</v>
      </c>
      <c r="BH6" s="15">
        <f>+IFERROR(VLOOKUP($BH$3,Sheet1!AL2:AO2,3,0),0)</f>
        <v>0</v>
      </c>
      <c r="BI6" s="15">
        <f>+IFERROR(VLOOKUP($BI$3,Sheet1!AL2:AO2,3,0),0)</f>
        <v>0</v>
      </c>
      <c r="BJ6" s="15">
        <f>+IFERROR(VLOOKUP($BJ$3,Sheet1!AL2:AO2,3,0),0)</f>
        <v>0</v>
      </c>
      <c r="BK6" s="15">
        <f>+IFERROR(VLOOKUP($BK$3,Sheet1!AL2:AO2,3,0),0)</f>
        <v>0</v>
      </c>
      <c r="BL6" s="15">
        <f>+IFERROR(VLOOKUP($BL$3,Sheet1!AL2:AO2,3,0),0)</f>
        <v>0</v>
      </c>
      <c r="BM6" s="15">
        <f>+IFERROR(VLOOKUP($BM$3,Sheet1!AP2:AS2,3,0),0)</f>
        <v>0</v>
      </c>
      <c r="BN6" s="15">
        <f>+IFERROR(VLOOKUP($BN$3,Sheet1!AT2:AW2,3,0),0)</f>
        <v>0</v>
      </c>
      <c r="BO6" s="15">
        <f>+IFERROR(VLOOKUP($BO$3,Sheet1!AX2:BA2,3,0),0)</f>
        <v>0</v>
      </c>
      <c r="BP6" s="15">
        <f>+IFERROR(VLOOKUP($BP$3,Sheet1!BB2:BE2,3,0),0)</f>
        <v>0</v>
      </c>
      <c r="BQ6" s="15">
        <f>+IFERROR(VLOOKUP($BQ$3,Sheet1!BF2:BI2,3,0),0)</f>
        <v>0</v>
      </c>
      <c r="BR6" s="15">
        <f>+IFERROR(VLOOKUP($BR$3,Sheet1!BJ2:BM2,3,0),0)</f>
        <v>0</v>
      </c>
      <c r="BS6" s="15">
        <f>+IFERROR(VLOOKUP($BS$3,Sheet1!BN2:BQ2,3,0),0)</f>
        <v>0</v>
      </c>
      <c r="BT6" s="15">
        <f>+IFERROR(VLOOKUP($BT$3,Sheet1!BR2:BU2,3,0),0)</f>
        <v>0</v>
      </c>
      <c r="BU6" s="15">
        <f>+IFERROR(VLOOKUP($BU$3,Sheet1!BV2:BY2,3,0),0)</f>
        <v>0</v>
      </c>
      <c r="BV6" s="15" t="str">
        <f>Sheet1!E2</f>
        <v>STEEL</v>
      </c>
      <c r="BW6" s="15">
        <f>SUM(N6:AS6)</f>
        <v>2187</v>
      </c>
      <c r="BX6" s="15"/>
      <c r="BY6" s="15" t="s">
        <v>166</v>
      </c>
      <c r="BZ6" s="15">
        <v>480</v>
      </c>
      <c r="CA6" s="15">
        <f>Sheet1!CZ2</f>
        <v>2100</v>
      </c>
      <c r="CB6" s="3">
        <f>(((BZ6*90)/(CA6/1000))/2)/2</f>
        <v>5142.8571428571422</v>
      </c>
      <c r="CC6" s="3">
        <f>SUMPRODUCT($N$4:$BU$4,N6:BU6)+CB6</f>
        <v>473565.85714285716</v>
      </c>
      <c r="CD6" s="28">
        <f>Sheet1!CB2</f>
        <v>0</v>
      </c>
      <c r="CE6" s="3">
        <f>CC6*CD6</f>
        <v>0</v>
      </c>
      <c r="CF6" s="51">
        <v>0.04</v>
      </c>
      <c r="CG6" s="3">
        <f>CC6*CF6</f>
        <v>18942.634285714288</v>
      </c>
      <c r="CH6" s="51">
        <f>Sheet1!CF2</f>
        <v>0</v>
      </c>
      <c r="CI6" s="3">
        <f>CC6*CH6</f>
        <v>0</v>
      </c>
      <c r="CJ6" s="3">
        <f>CC6+CE6+CG6+CI6</f>
        <v>492508.49142857146</v>
      </c>
      <c r="CK6" s="51">
        <v>0.01</v>
      </c>
      <c r="CL6" s="1">
        <f>CJ6*CK6</f>
        <v>4925.0849142857151</v>
      </c>
      <c r="CM6" s="51">
        <v>5.0000000000000001E-3</v>
      </c>
      <c r="CN6" s="1">
        <f>CJ6*CM6</f>
        <v>2462.5424571428575</v>
      </c>
      <c r="CO6" s="51">
        <f>Sheet1!CM2</f>
        <v>0</v>
      </c>
      <c r="CP6" s="9">
        <f>CJ6*CO6</f>
        <v>0</v>
      </c>
    </row>
    <row r="7" spans="1:94" ht="30" x14ac:dyDescent="0.25">
      <c r="A7" s="1" t="str">
        <f>Sheet1!A3</f>
        <v>ENQ-13581-22-23</v>
      </c>
      <c r="B7" s="50">
        <f>Sheet1!B3</f>
        <v>45474</v>
      </c>
      <c r="C7" s="1" t="str">
        <f>Sheet1!C3</f>
        <v>FC6400002</v>
      </c>
      <c r="D7" s="1" t="str">
        <f>Sheet1!D3</f>
        <v>ACSR : LAPWING CONDUCTOR - 804.1 SQ. MM. (45/4.77//7/3.18)</v>
      </c>
      <c r="E7" s="3">
        <f>CJ7+CL7+CN7</f>
        <v>593024.46840000001</v>
      </c>
      <c r="F7" s="58">
        <f>ROUNDUP(M16,0)</f>
        <v>8400</v>
      </c>
      <c r="G7" s="9">
        <f>E7+F7</f>
        <v>601424.46840000001</v>
      </c>
      <c r="H7" s="7">
        <f>Sheet1!CR3</f>
        <v>0.18</v>
      </c>
      <c r="I7" s="9">
        <f>G7*H7</f>
        <v>108256.404312</v>
      </c>
      <c r="J7" s="9">
        <f>G7+I7</f>
        <v>709680.87271200004</v>
      </c>
      <c r="K7" s="1">
        <f>Sheet1!CU3</f>
        <v>150</v>
      </c>
      <c r="L7" s="1" t="str">
        <f>Sheet1!CV3</f>
        <v>KMS</v>
      </c>
      <c r="M7" s="3">
        <f>J7*K7</f>
        <v>106452130.9068</v>
      </c>
      <c r="N7" s="2">
        <v>2229</v>
      </c>
      <c r="O7" s="2">
        <f>+IFERROR(VLOOKUP($O$3,Sheet1!J3:L3,3,0),0)</f>
        <v>0</v>
      </c>
      <c r="P7" s="2">
        <f>+IFERROR(VLOOKUP($P$3,Sheet1!J3:M3,3,0),0)</f>
        <v>0</v>
      </c>
      <c r="Q7" s="2">
        <f>+IFERROR(VLOOKUP($Q$3,Sheet1!J3:M3,3,0),0)</f>
        <v>0</v>
      </c>
      <c r="R7" s="2">
        <f>+IFERROR(VLOOKUP($R$3,Sheet1!J3:M3,3,0),0)</f>
        <v>0</v>
      </c>
      <c r="S7" s="2">
        <f>+IFERROR(VLOOKUP($S$3,Sheet1!N3:Q3,3,0),0)</f>
        <v>0</v>
      </c>
      <c r="T7" s="2">
        <f>+IFERROR(VLOOKUP($T$3,Sheet1!N3:Q3,3,0),0)</f>
        <v>0</v>
      </c>
      <c r="U7" s="2">
        <f>+IFERROR(VLOOKUP($U$3,Sheet1!F3:I3,3,0),0)</f>
        <v>0</v>
      </c>
      <c r="V7" s="2">
        <f>+IFERROR(VLOOKUP($V$3,Sheet1!F3:I3,3,0),0)</f>
        <v>0</v>
      </c>
      <c r="W7" s="2">
        <f>+IFERROR(VLOOKUP($W$3,Sheet1!F3:I3,3,0),0)</f>
        <v>0</v>
      </c>
      <c r="X7" s="2">
        <f>+IFERROR(VLOOKUP($X$3,Sheet1!F3:I3,3,0),0)</f>
        <v>0</v>
      </c>
      <c r="Y7" s="2">
        <f>+IFERROR(VLOOKUP($Y$3,Sheet1!F3:I3,3,0),0)</f>
        <v>0</v>
      </c>
      <c r="Z7" s="2">
        <f>+IFERROR(VLOOKUP($Z$3,Sheet1!F3:I3,3,0),0)</f>
        <v>0</v>
      </c>
      <c r="AA7" s="2">
        <f>+IFERROR(VLOOKUP($AA$3,Sheet1!F3:I3,3,0),0)</f>
        <v>0</v>
      </c>
      <c r="AB7" s="2">
        <f>+IFERROR(VLOOKUP($AB$3,Sheet1!F3:I3,3,0),0)</f>
        <v>0</v>
      </c>
      <c r="AC7" s="2">
        <f>+IFERROR(VLOOKUP($AC$3,Sheet1!R3:U3,3,0),0)</f>
        <v>0</v>
      </c>
      <c r="AD7" s="15">
        <f>+IFERROR(VLOOKUP($AD$3,Sheet1!R3:U3,3,0),0)</f>
        <v>0</v>
      </c>
      <c r="AE7" s="2">
        <f>+IFERROR(VLOOKUP($AE$3,Sheet1!V3:Y3,3,0),0)</f>
        <v>0</v>
      </c>
      <c r="AF7" s="15">
        <f>+IFERROR(VLOOKUP($AF$3,Sheet1!V3:Y3,3,0),0)</f>
        <v>0</v>
      </c>
      <c r="AG7" s="15">
        <f>+IFERROR(VLOOKUP($AG$3,Sheet1!V3:Y3,3,0),0)</f>
        <v>0</v>
      </c>
      <c r="AH7" s="15">
        <f>+IFERROR(VLOOKUP($AH$3,Sheet1!V3:Y3,3,0),0)</f>
        <v>0</v>
      </c>
      <c r="AI7" s="15">
        <f>+IFERROR(VLOOKUP($AI$3,Sheet1!V3:Y3,3,0),0)</f>
        <v>0</v>
      </c>
      <c r="AJ7" s="15">
        <f>+IFERROR(VLOOKUP($AJ$3,Sheet1!V3:Y3,3,0),0)</f>
        <v>0</v>
      </c>
      <c r="AK7" s="15">
        <f>+IFERROR(VLOOKUP($AK$3,Sheet1!Z3:AB3,3,0),0)</f>
        <v>0</v>
      </c>
      <c r="AL7" s="15">
        <f>+IFERROR(VLOOKUP($AL$3,Sheet1!AD3:AG3,3,0),0)</f>
        <v>0</v>
      </c>
      <c r="AM7" s="15">
        <f>+IFERROR(VLOOKUP($AM$3,Sheet1!AD3:AG3,3,0),0)</f>
        <v>0</v>
      </c>
      <c r="AN7" s="15">
        <f>+IFERROR(VLOOKUP($AN$3,Sheet1!AD3:AG3,3,0),0)</f>
        <v>0</v>
      </c>
      <c r="AO7" s="15">
        <f>+IFERROR(VLOOKUP($AO$3,Sheet1!AD3:AG3,3,0),0)</f>
        <v>0</v>
      </c>
      <c r="AP7" s="15">
        <f>+IFERROR(VLOOKUP($AP$3,Sheet1!AD3:AG3,3,0),0)</f>
        <v>0</v>
      </c>
      <c r="AQ7" s="15">
        <f>+IFERROR(VLOOKUP($AQ$3,Sheet1!AD3:AG3,3,0),0)</f>
        <v>0</v>
      </c>
      <c r="AR7" s="15">
        <f>+IFERROR(VLOOKUP($AR$3,Sheet1!AD3:AG3,3,0),0)</f>
        <v>0</v>
      </c>
      <c r="AS7" s="15">
        <v>438</v>
      </c>
      <c r="AT7" s="15">
        <f>+IFERROR(VLOOKUP($AT$3,Sheet1!AH3:AK3,3,0),0)</f>
        <v>0</v>
      </c>
      <c r="AU7" s="15">
        <f>+IFERROR(VLOOKUP($AU$3,Sheet1!AH3:AK3,3,0),0)</f>
        <v>0</v>
      </c>
      <c r="AV7" s="15">
        <f>+IFERROR(VLOOKUP($AV$3,Sheet1!AH3:AK3,3,0),0)</f>
        <v>0</v>
      </c>
      <c r="AW7" s="15">
        <f>+IFERROR(VLOOKUP($AW$3,Sheet1!AH3:AK3,3,0),0)</f>
        <v>0</v>
      </c>
      <c r="AX7" s="15">
        <f>+IFERROR(VLOOKUP($AX$3,Sheet1!AH3:AK3,3,0),0)</f>
        <v>0</v>
      </c>
      <c r="AY7" s="15">
        <f>+IFERROR(VLOOKUP($AY$3,Sheet1!AH3:AK3,3,0),0)</f>
        <v>0</v>
      </c>
      <c r="AZ7" s="15">
        <f>+IFERROR(VLOOKUP($AZ$3,Sheet1!AH3:AK3,3,0),0)</f>
        <v>0</v>
      </c>
      <c r="BA7" s="15">
        <f>+IFERROR(VLOOKUP($BA$3,Sheet1!AH3:AK3,3,0),0)</f>
        <v>0</v>
      </c>
      <c r="BB7" s="15">
        <f>+IFERROR(VLOOKUP($BB$3,Sheet1!AH3:AK3,3,0),0)</f>
        <v>0</v>
      </c>
      <c r="BC7" s="15">
        <f>+IFERROR(VLOOKUP($BC$3,Sheet1!AL3:AO3,3,0),0)</f>
        <v>0</v>
      </c>
      <c r="BD7" s="15">
        <f>+IFERROR(VLOOKUP($BD$3,Sheet1!AL3:AO3,3,0),0)</f>
        <v>0</v>
      </c>
      <c r="BE7" s="15">
        <f>+IFERROR(VLOOKUP($BE$3,Sheet1!AL3:AO3,3,0),0)</f>
        <v>0</v>
      </c>
      <c r="BF7" s="15">
        <f>+IFERROR(VLOOKUP($BF$3,Sheet1!AL3:AO3,3,0),0)</f>
        <v>0</v>
      </c>
      <c r="BG7" s="15">
        <f>+IFERROR(VLOOKUP($BG$3,Sheet1!AL3:AO3,3,0),0)</f>
        <v>0</v>
      </c>
      <c r="BH7" s="15">
        <f>+IFERROR(VLOOKUP($BH$3,Sheet1!AL3:AO3,3,0),0)</f>
        <v>0</v>
      </c>
      <c r="BI7" s="15">
        <f>+IFERROR(VLOOKUP($BI$3,Sheet1!AL3:AO3,3,0),0)</f>
        <v>0</v>
      </c>
      <c r="BJ7" s="15">
        <f>+IFERROR(VLOOKUP($BJ$3,Sheet1!AL3:AO3,3,0),0)</f>
        <v>0</v>
      </c>
      <c r="BK7" s="15">
        <f>+IFERROR(VLOOKUP($BK$3,Sheet1!AL3:AO3,3,0),0)</f>
        <v>0</v>
      </c>
      <c r="BL7" s="15">
        <f>+IFERROR(VLOOKUP($BL$3,Sheet1!AL3:AO3,3,0),0)</f>
        <v>0</v>
      </c>
      <c r="BM7" s="15">
        <f>+IFERROR(VLOOKUP($BM$3,Sheet1!AP3:AS3,3,0),0)</f>
        <v>0</v>
      </c>
      <c r="BN7" s="15">
        <f>+IFERROR(VLOOKUP($BN$3,Sheet1!AT3:AW3,3,0),0)</f>
        <v>0</v>
      </c>
      <c r="BO7" s="15">
        <f>+IFERROR(VLOOKUP($BO$3,Sheet1!AX3:BA3,3,0),0)</f>
        <v>0</v>
      </c>
      <c r="BP7" s="15">
        <f>+IFERROR(VLOOKUP($BP$3,Sheet1!BB3:BE3,3,0),0)</f>
        <v>0</v>
      </c>
      <c r="BQ7" s="15">
        <f>+IFERROR(VLOOKUP($BQ$3,Sheet1!BF3:BI3,3,0),0)</f>
        <v>0</v>
      </c>
      <c r="BR7" s="15">
        <f>+IFERROR(VLOOKUP($BR$3,Sheet1!BJ3:BM3,3,0),0)</f>
        <v>0</v>
      </c>
      <c r="BS7" s="15">
        <f>+IFERROR(VLOOKUP($BS$3,Sheet1!BN3:BQ3,3,0),0)</f>
        <v>0</v>
      </c>
      <c r="BT7" s="15">
        <f>+IFERROR(VLOOKUP($BT$3,Sheet1!BR3:BU3,3,0),0)</f>
        <v>0</v>
      </c>
      <c r="BU7" s="15">
        <f>+IFERROR(VLOOKUP($BU$3,Sheet1!BV3:BY3,3,0),0)</f>
        <v>0</v>
      </c>
      <c r="BV7" s="15" t="str">
        <f>Sheet1!E3</f>
        <v>STEEL</v>
      </c>
      <c r="BW7" s="15">
        <f>SUM(N7:AS7)</f>
        <v>2667</v>
      </c>
      <c r="BX7" s="15"/>
      <c r="BY7" s="15" t="s">
        <v>166</v>
      </c>
      <c r="BZ7" s="15">
        <v>480</v>
      </c>
      <c r="CA7" s="15">
        <f>Sheet1!CZ3</f>
        <v>1800</v>
      </c>
      <c r="CB7" s="3">
        <f>(((BZ7*90)/(CA7/1000))/2)/2</f>
        <v>6000</v>
      </c>
      <c r="CC7" s="3">
        <f>SUMPRODUCT($N$4:$BU$4,N7:BU7)+CB7</f>
        <v>561789</v>
      </c>
      <c r="CD7" s="28">
        <f>Sheet1!CB3</f>
        <v>0</v>
      </c>
      <c r="CE7" s="3">
        <f>CC7*CD7</f>
        <v>0</v>
      </c>
      <c r="CF7" s="51">
        <v>0.04</v>
      </c>
      <c r="CG7" s="3">
        <f>CC7*CF7</f>
        <v>22471.56</v>
      </c>
      <c r="CH7" s="51">
        <f>Sheet1!CF3</f>
        <v>0</v>
      </c>
      <c r="CI7" s="3">
        <f>CC7*CH7</f>
        <v>0</v>
      </c>
      <c r="CJ7" s="3">
        <f>CC7+CE7+CG7+CI7</f>
        <v>584260.56000000006</v>
      </c>
      <c r="CK7" s="51">
        <v>0.01</v>
      </c>
      <c r="CL7" s="1">
        <f>CJ7*CK7</f>
        <v>5842.6056000000008</v>
      </c>
      <c r="CM7" s="51">
        <v>5.0000000000000001E-3</v>
      </c>
      <c r="CN7" s="1">
        <f>CJ7*CM7</f>
        <v>2921.3028000000004</v>
      </c>
      <c r="CO7" s="51">
        <f>Sheet1!CM3</f>
        <v>0</v>
      </c>
      <c r="CP7" s="9">
        <f>CJ7*CO7</f>
        <v>0</v>
      </c>
    </row>
    <row r="8" spans="1:94" ht="30" x14ac:dyDescent="0.25">
      <c r="A8" s="1" t="str">
        <f>Sheet1!A4</f>
        <v>ENQ-13581-22-23</v>
      </c>
      <c r="B8" s="50">
        <f>Sheet1!B4</f>
        <v>45474</v>
      </c>
      <c r="C8" s="1" t="str">
        <f>Sheet1!C4</f>
        <v>FC6100001</v>
      </c>
      <c r="D8" s="1" t="str">
        <f>Sheet1!D4</f>
        <v>ACSR : ZEBRA CONDUCTOR - 420 SQ. MM. (54/7/3.18)</v>
      </c>
      <c r="E8" s="3">
        <f>CJ8+CL8+CN8</f>
        <v>331604.07280000002</v>
      </c>
      <c r="F8" s="58">
        <f>ROUNDUP(M17,0)</f>
        <v>5040</v>
      </c>
      <c r="G8" s="9">
        <f>E8+F8</f>
        <v>336644.07280000002</v>
      </c>
      <c r="H8" s="7">
        <f>Sheet1!CR4</f>
        <v>0.18</v>
      </c>
      <c r="I8" s="9">
        <f>G8*H8</f>
        <v>60595.933104000003</v>
      </c>
      <c r="J8" s="9">
        <f>G8+I8</f>
        <v>397240.00590400002</v>
      </c>
      <c r="K8" s="1">
        <f>Sheet1!CU4</f>
        <v>250</v>
      </c>
      <c r="L8" s="1" t="str">
        <f>Sheet1!CV4</f>
        <v>KMS</v>
      </c>
      <c r="M8" s="3">
        <f>J8*K8</f>
        <v>99310001.476000011</v>
      </c>
      <c r="N8" s="2">
        <f>+IFERROR(VLOOKUP($N$3,Sheet1!J4:L4,3,0),0)</f>
        <v>1186</v>
      </c>
      <c r="O8" s="2">
        <f>+IFERROR(VLOOKUP($O$3,Sheet1!J4:L4,3,0),0)</f>
        <v>0</v>
      </c>
      <c r="P8" s="2">
        <f>+IFERROR(VLOOKUP($P$3,Sheet1!J4:M4,3,0),0)</f>
        <v>0</v>
      </c>
      <c r="Q8" s="2">
        <f>+IFERROR(VLOOKUP($Q$3,Sheet1!J4:M4,3,0),0)</f>
        <v>0</v>
      </c>
      <c r="R8" s="2">
        <f>+IFERROR(VLOOKUP($R$3,Sheet1!J4:M4,3,0),0)</f>
        <v>0</v>
      </c>
      <c r="S8" s="2">
        <f>+IFERROR(VLOOKUP($S$3,Sheet1!N4:Q4,3,0),0)</f>
        <v>0</v>
      </c>
      <c r="T8" s="2">
        <f>+IFERROR(VLOOKUP($T$3,Sheet1!N4:Q4,3,0),0)</f>
        <v>0</v>
      </c>
      <c r="U8" s="2">
        <f>+IFERROR(VLOOKUP($U$3,Sheet1!F4:I4,3,0),0)</f>
        <v>0</v>
      </c>
      <c r="V8" s="2">
        <f>+IFERROR(VLOOKUP($V$3,Sheet1!F4:I4,3,0),0)</f>
        <v>0</v>
      </c>
      <c r="W8" s="2">
        <f>+IFERROR(VLOOKUP($W$3,Sheet1!F4:I4,3,0),0)</f>
        <v>0</v>
      </c>
      <c r="X8" s="2">
        <f>+IFERROR(VLOOKUP($X$3,Sheet1!F4:I4,3,0),0)</f>
        <v>0</v>
      </c>
      <c r="Y8" s="2">
        <f>+IFERROR(VLOOKUP($Y$3,Sheet1!F4:I4,3,0),0)</f>
        <v>0</v>
      </c>
      <c r="Z8" s="2">
        <f>+IFERROR(VLOOKUP($Z$3,Sheet1!F4:I4,3,0),0)</f>
        <v>0</v>
      </c>
      <c r="AA8" s="2">
        <f>+IFERROR(VLOOKUP($AA$3,Sheet1!F4:I4,3,0),0)</f>
        <v>0</v>
      </c>
      <c r="AB8" s="2">
        <f>+IFERROR(VLOOKUP($AB$3,Sheet1!F4:I4,3,0),0)</f>
        <v>0</v>
      </c>
      <c r="AC8" s="2">
        <f>+IFERROR(VLOOKUP($AC$3,Sheet1!R4:U4,3,0),0)</f>
        <v>0</v>
      </c>
      <c r="AD8" s="15">
        <f>+IFERROR(VLOOKUP($AD$3,Sheet1!R4:U4,3,0),0)</f>
        <v>0</v>
      </c>
      <c r="AE8" s="2">
        <f>+IFERROR(VLOOKUP($AE$3,Sheet1!V4:Y4,3,0),0)</f>
        <v>0</v>
      </c>
      <c r="AF8" s="15">
        <f>+IFERROR(VLOOKUP($AF$3,Sheet1!V4:Y4,3,0),0)</f>
        <v>0</v>
      </c>
      <c r="AG8" s="15">
        <f>+IFERROR(VLOOKUP($AG$3,Sheet1!V4:Y4,3,0),0)</f>
        <v>0</v>
      </c>
      <c r="AH8" s="15">
        <f>+IFERROR(VLOOKUP($AH$3,Sheet1!V4:Y4,3,0),0)</f>
        <v>0</v>
      </c>
      <c r="AI8" s="15">
        <f>+IFERROR(VLOOKUP($AI$3,Sheet1!V4:Y4,3,0),0)</f>
        <v>0</v>
      </c>
      <c r="AJ8" s="15">
        <f>+IFERROR(VLOOKUP($AJ$3,Sheet1!V4:Y4,3,0),0)</f>
        <v>0</v>
      </c>
      <c r="AK8" s="15">
        <f>+IFERROR(VLOOKUP($AK$3,Sheet1!Z4:AB4,3,0),0)</f>
        <v>0</v>
      </c>
      <c r="AL8" s="15">
        <f>+IFERROR(VLOOKUP($AL$3,Sheet1!AD4:AG4,3,0),0)</f>
        <v>0</v>
      </c>
      <c r="AM8" s="15">
        <f>+IFERROR(VLOOKUP($AM$3,Sheet1!AD4:AG4,3,0),0)</f>
        <v>0</v>
      </c>
      <c r="AN8" s="15">
        <f>+IFERROR(VLOOKUP($AN$3,Sheet1!AD4:AG4,3,0),0)</f>
        <v>0</v>
      </c>
      <c r="AO8" s="15">
        <f>+IFERROR(VLOOKUP($AO$3,Sheet1!AD4:AG4,3,0),0)</f>
        <v>0</v>
      </c>
      <c r="AP8" s="15">
        <f>+IFERROR(VLOOKUP($AP$3,Sheet1!AD4:AG4,3,0),0)</f>
        <v>0</v>
      </c>
      <c r="AQ8" s="15">
        <f>+IFERROR(VLOOKUP($AQ$3,Sheet1!AD4:AG4,3,0),0)</f>
        <v>0</v>
      </c>
      <c r="AR8" s="15">
        <f>+IFERROR(VLOOKUP($AR$3,Sheet1!AD4:AG4,3,0),0)</f>
        <v>0</v>
      </c>
      <c r="AS8" s="15">
        <f>+IFERROR(VLOOKUP($AS$3,Sheet1!AH4:AK4,3,0),0)</f>
        <v>436</v>
      </c>
      <c r="AT8" s="15">
        <f>+IFERROR(VLOOKUP($AT$3,Sheet1!AH4:AK4,3,0),0)</f>
        <v>0</v>
      </c>
      <c r="AU8" s="15">
        <f>+IFERROR(VLOOKUP($AU$3,Sheet1!AH4:AK4,3,0),0)</f>
        <v>0</v>
      </c>
      <c r="AV8" s="15">
        <f>+IFERROR(VLOOKUP($AV$3,Sheet1!AH4:AK4,3,0),0)</f>
        <v>0</v>
      </c>
      <c r="AW8" s="15">
        <f>+IFERROR(VLOOKUP($AW$3,Sheet1!AH4:AK4,3,0),0)</f>
        <v>0</v>
      </c>
      <c r="AX8" s="15">
        <f>+IFERROR(VLOOKUP($AX$3,Sheet1!AH4:AK4,3,0),0)</f>
        <v>0</v>
      </c>
      <c r="AY8" s="15">
        <f>+IFERROR(VLOOKUP($AY$3,Sheet1!AH4:AK4,3,0),0)</f>
        <v>0</v>
      </c>
      <c r="AZ8" s="15">
        <f>+IFERROR(VLOOKUP($AZ$3,Sheet1!AH4:AK4,3,0),0)</f>
        <v>0</v>
      </c>
      <c r="BA8" s="15">
        <f>+IFERROR(VLOOKUP($BA$3,Sheet1!AH4:AK4,3,0),0)</f>
        <v>0</v>
      </c>
      <c r="BB8" s="15">
        <f>+IFERROR(VLOOKUP($BB$3,Sheet1!AH4:AK4,3,0),0)</f>
        <v>0</v>
      </c>
      <c r="BC8" s="15">
        <f>+IFERROR(VLOOKUP($BC$3,Sheet1!AL4:AO4,3,0),0)</f>
        <v>0</v>
      </c>
      <c r="BD8" s="15">
        <f>+IFERROR(VLOOKUP($BD$3,Sheet1!AL4:AO4,3,0),0)</f>
        <v>0</v>
      </c>
      <c r="BE8" s="15">
        <f>+IFERROR(VLOOKUP($BE$3,Sheet1!AL4:AO4,3,0),0)</f>
        <v>0</v>
      </c>
      <c r="BF8" s="15">
        <f>+IFERROR(VLOOKUP($BF$3,Sheet1!AL4:AO4,3,0),0)</f>
        <v>0</v>
      </c>
      <c r="BG8" s="15">
        <f>+IFERROR(VLOOKUP($BG$3,Sheet1!AL4:AO4,3,0),0)</f>
        <v>0</v>
      </c>
      <c r="BH8" s="15">
        <f>+IFERROR(VLOOKUP($BH$3,Sheet1!AL4:AO4,3,0),0)</f>
        <v>0</v>
      </c>
      <c r="BI8" s="15">
        <f>+IFERROR(VLOOKUP($BI$3,Sheet1!AL4:AO4,3,0),0)</f>
        <v>0</v>
      </c>
      <c r="BJ8" s="15">
        <f>+IFERROR(VLOOKUP($BJ$3,Sheet1!AL4:AO4,3,0),0)</f>
        <v>0</v>
      </c>
      <c r="BK8" s="15">
        <f>+IFERROR(VLOOKUP($BK$3,Sheet1!AL4:AO4,3,0),0)</f>
        <v>0</v>
      </c>
      <c r="BL8" s="15">
        <f>+IFERROR(VLOOKUP($BL$3,Sheet1!AL4:AO4,3,0),0)</f>
        <v>0</v>
      </c>
      <c r="BM8" s="15">
        <f>+IFERROR(VLOOKUP($BM$3,Sheet1!AP4:AS4,3,0),0)</f>
        <v>0</v>
      </c>
      <c r="BN8" s="15">
        <f>+IFERROR(VLOOKUP($BN$3,Sheet1!AT4:AW4,3,0),0)</f>
        <v>0</v>
      </c>
      <c r="BO8" s="15">
        <f>+IFERROR(VLOOKUP($BO$3,Sheet1!AX4:BA4,3,0),0)</f>
        <v>0</v>
      </c>
      <c r="BP8" s="15">
        <f>+IFERROR(VLOOKUP($BP$3,Sheet1!BB4:BE4,3,0),0)</f>
        <v>0</v>
      </c>
      <c r="BQ8" s="15">
        <f>+IFERROR(VLOOKUP($BQ$3,Sheet1!BF4:BI4,3,0),0)</f>
        <v>0</v>
      </c>
      <c r="BR8" s="15">
        <f>+IFERROR(VLOOKUP($BR$3,Sheet1!BJ4:BM4,3,0),0)</f>
        <v>0</v>
      </c>
      <c r="BS8" s="15">
        <f>+IFERROR(VLOOKUP($BS$3,Sheet1!BN4:BQ4,3,0),0)</f>
        <v>0</v>
      </c>
      <c r="BT8" s="15">
        <f>+IFERROR(VLOOKUP($BT$3,Sheet1!BR4:BU4,3,0),0)</f>
        <v>0</v>
      </c>
      <c r="BU8" s="15">
        <f>+IFERROR(VLOOKUP($BU$3,Sheet1!BV4:BY4,3,0),0)</f>
        <v>0</v>
      </c>
      <c r="BV8" s="15" t="str">
        <f>Sheet1!E4</f>
        <v>STEEL</v>
      </c>
      <c r="BW8" s="15">
        <f>SUM(N8:AS8)</f>
        <v>1622</v>
      </c>
      <c r="BX8" s="15"/>
      <c r="BY8" s="15" t="s">
        <v>166</v>
      </c>
      <c r="BZ8" s="15">
        <v>480</v>
      </c>
      <c r="CA8" s="15">
        <f>Sheet1!CZ4</f>
        <v>3000</v>
      </c>
      <c r="CB8" s="3">
        <f>(((BZ8*90)/(CA8/1000))/2)/2</f>
        <v>3600</v>
      </c>
      <c r="CC8" s="3">
        <f>SUMPRODUCT($N$4:$BU$4,N8:BU8)+CB8</f>
        <v>314138</v>
      </c>
      <c r="CD8" s="28">
        <f>Sheet1!CB4</f>
        <v>0</v>
      </c>
      <c r="CE8" s="3">
        <f>CC8*CD8</f>
        <v>0</v>
      </c>
      <c r="CF8" s="51">
        <v>0.04</v>
      </c>
      <c r="CG8" s="3">
        <f>CC8*CF8</f>
        <v>12565.52</v>
      </c>
      <c r="CH8" s="51">
        <f>Sheet1!CF4</f>
        <v>0</v>
      </c>
      <c r="CI8" s="3">
        <f>CC8*CH8</f>
        <v>0</v>
      </c>
      <c r="CJ8" s="3">
        <f>CC8+CE8+CG8+CI8</f>
        <v>326703.52</v>
      </c>
      <c r="CK8" s="51">
        <v>0.01</v>
      </c>
      <c r="CL8" s="1">
        <f>CJ8*CK8</f>
        <v>3267.0352000000003</v>
      </c>
      <c r="CM8" s="51">
        <v>5.0000000000000001E-3</v>
      </c>
      <c r="CN8" s="1">
        <f>CJ8*CM8</f>
        <v>1633.5176000000001</v>
      </c>
      <c r="CO8" s="51">
        <f>Sheet1!CM4</f>
        <v>0</v>
      </c>
      <c r="CP8" s="9">
        <f>CJ8*CO8</f>
        <v>0</v>
      </c>
    </row>
    <row r="9" spans="1:94" ht="30" x14ac:dyDescent="0.25">
      <c r="A9" s="1" t="str">
        <f>Sheet1!A6</f>
        <v>ENQ-13581-22-23</v>
      </c>
      <c r="B9" s="50">
        <f>Sheet1!B6</f>
        <v>45474</v>
      </c>
      <c r="C9" s="1" t="str">
        <f>Sheet1!C6</f>
        <v>FC3700003</v>
      </c>
      <c r="D9" s="1" t="str">
        <f>Sheet1!D6</f>
        <v>ACSR : PANTHER CONDUCTOR - 200 SQ. MM. (30/7/3.00)</v>
      </c>
      <c r="E9" s="3">
        <f>CJ9+CL9+CN9</f>
        <v>178328.61540000001</v>
      </c>
      <c r="F9" s="58">
        <f>ROUNDUP(M18,0)</f>
        <v>2900</v>
      </c>
      <c r="G9" s="9">
        <f>E9+F9</f>
        <v>181228.61540000001</v>
      </c>
      <c r="H9" s="7">
        <f>Sheet1!CR6</f>
        <v>0.18</v>
      </c>
      <c r="I9" s="9">
        <f>G9*H9</f>
        <v>32621.150772000001</v>
      </c>
      <c r="J9" s="9">
        <f>G9+I9</f>
        <v>213849.766172</v>
      </c>
      <c r="K9" s="1">
        <f>Sheet1!CU6</f>
        <v>1200</v>
      </c>
      <c r="L9" s="1" t="str">
        <f>Sheet1!CV6</f>
        <v>KMS</v>
      </c>
      <c r="M9" s="3">
        <f>J9*K9</f>
        <v>256619719.4064</v>
      </c>
      <c r="N9" s="2">
        <f>+IFERROR(VLOOKUP($N$3,Sheet1!J6:L6,3,0),0)</f>
        <v>588.5</v>
      </c>
      <c r="O9" s="2">
        <f>+IFERROR(VLOOKUP($O$3,Sheet1!J6:L6,3,0),0)</f>
        <v>0</v>
      </c>
      <c r="P9" s="2">
        <f>+IFERROR(VLOOKUP($P$3,Sheet1!J6:M6,3,0),0)</f>
        <v>0</v>
      </c>
      <c r="Q9" s="2">
        <f>+IFERROR(VLOOKUP($Q$3,Sheet1!J6:M6,3,0),0)</f>
        <v>0</v>
      </c>
      <c r="R9" s="2">
        <f>+IFERROR(VLOOKUP($R$3,Sheet1!J6:M6,3,0),0)</f>
        <v>0</v>
      </c>
      <c r="S9" s="2">
        <f>+IFERROR(VLOOKUP($S$3,Sheet1!N6:Q6,3,0),0)</f>
        <v>0</v>
      </c>
      <c r="T9" s="2">
        <f>+IFERROR(VLOOKUP($T$3,Sheet1!N6:Q6,3,0),0)</f>
        <v>0</v>
      </c>
      <c r="U9" s="2">
        <f>+IFERROR(VLOOKUP($U$3,Sheet1!F6:I6,3,0),0)</f>
        <v>0</v>
      </c>
      <c r="V9" s="2">
        <f>+IFERROR(VLOOKUP($V$3,Sheet1!F6:I6,3,0),0)</f>
        <v>0</v>
      </c>
      <c r="W9" s="2">
        <f>+IFERROR(VLOOKUP($W$3,Sheet1!F6:I6,3,0),0)</f>
        <v>0</v>
      </c>
      <c r="X9" s="2">
        <f>+IFERROR(VLOOKUP($X$3,Sheet1!F6:I6,3,0),0)</f>
        <v>0</v>
      </c>
      <c r="Y9" s="2">
        <f>+IFERROR(VLOOKUP($Y$3,Sheet1!F6:I6,3,0),0)</f>
        <v>0</v>
      </c>
      <c r="Z9" s="2">
        <f>+IFERROR(VLOOKUP($Z$3,Sheet1!F6:I6,3,0),0)</f>
        <v>0</v>
      </c>
      <c r="AA9" s="2">
        <f>+IFERROR(VLOOKUP($AA$3,Sheet1!F6:I6,3,0),0)</f>
        <v>0</v>
      </c>
      <c r="AB9" s="2">
        <f>+IFERROR(VLOOKUP($AB$3,Sheet1!F6:I6,3,0),0)</f>
        <v>0</v>
      </c>
      <c r="AC9" s="2">
        <f>+IFERROR(VLOOKUP($AC$3,Sheet1!R6:U6,3,0),0)</f>
        <v>0</v>
      </c>
      <c r="AD9" s="15">
        <f>+IFERROR(VLOOKUP($AD$3,Sheet1!R6:U6,3,0),0)</f>
        <v>0</v>
      </c>
      <c r="AE9" s="2">
        <f>+IFERROR(VLOOKUP($AE$3,Sheet1!V6:Y6,3,0),0)</f>
        <v>0</v>
      </c>
      <c r="AF9" s="15">
        <f>+IFERROR(VLOOKUP($AF$3,Sheet1!V6:Y6,3,0),0)</f>
        <v>0</v>
      </c>
      <c r="AG9" s="15">
        <f>+IFERROR(VLOOKUP($AG$3,Sheet1!V6:Y6,3,0),0)</f>
        <v>0</v>
      </c>
      <c r="AH9" s="15">
        <f>+IFERROR(VLOOKUP($AH$3,Sheet1!V6:Y6,3,0),0)</f>
        <v>0</v>
      </c>
      <c r="AI9" s="15">
        <f>+IFERROR(VLOOKUP($AI$3,Sheet1!V6:Y6,3,0),0)</f>
        <v>0</v>
      </c>
      <c r="AJ9" s="15">
        <f>+IFERROR(VLOOKUP($AJ$3,Sheet1!V6:Y6,3,0),0)</f>
        <v>0</v>
      </c>
      <c r="AK9" s="15">
        <f>+IFERROR(VLOOKUP($AK$3,Sheet1!Z6:AB6,3,0),0)</f>
        <v>0</v>
      </c>
      <c r="AL9" s="15">
        <f>+IFERROR(VLOOKUP($AL$3,Sheet1!AD6:AG6,3,0),0)</f>
        <v>0</v>
      </c>
      <c r="AM9" s="15">
        <f>+IFERROR(VLOOKUP($AM$3,Sheet1!AD6:AG6,3,0),0)</f>
        <v>0</v>
      </c>
      <c r="AN9" s="15">
        <f>+IFERROR(VLOOKUP($AN$3,Sheet1!AD6:AG6,3,0),0)</f>
        <v>0</v>
      </c>
      <c r="AO9" s="15">
        <f>+IFERROR(VLOOKUP($AO$3,Sheet1!AD6:AG6,3,0),0)</f>
        <v>0</v>
      </c>
      <c r="AP9" s="15">
        <f>+IFERROR(VLOOKUP($AP$3,Sheet1!AD6:AG6,3,0),0)</f>
        <v>0</v>
      </c>
      <c r="AQ9" s="15">
        <f>+IFERROR(VLOOKUP($AQ$3,Sheet1!AD6:AG6,3,0),0)</f>
        <v>0</v>
      </c>
      <c r="AR9" s="15">
        <f>+IFERROR(VLOOKUP($AR$3,Sheet1!AD6:AG6,3,0),0)</f>
        <v>0</v>
      </c>
      <c r="AS9" s="15">
        <f>+IFERROR(VLOOKUP($AS$3,Sheet1!AH6:AK6,3,0),0)</f>
        <v>388</v>
      </c>
      <c r="AT9" s="15">
        <f>+IFERROR(VLOOKUP($AT$3,Sheet1!AH6:AK6,3,0),0)</f>
        <v>0</v>
      </c>
      <c r="AU9" s="15">
        <f>+IFERROR(VLOOKUP($AU$3,Sheet1!AH6:AK6,3,0),0)</f>
        <v>0</v>
      </c>
      <c r="AV9" s="15">
        <f>+IFERROR(VLOOKUP($AV$3,Sheet1!AH6:AK6,3,0),0)</f>
        <v>0</v>
      </c>
      <c r="AW9" s="15">
        <f>+IFERROR(VLOOKUP($AW$3,Sheet1!AH6:AK6,3,0),0)</f>
        <v>0</v>
      </c>
      <c r="AX9" s="15">
        <f>+IFERROR(VLOOKUP($AX$3,Sheet1!AH6:AK6,3,0),0)</f>
        <v>0</v>
      </c>
      <c r="AY9" s="15">
        <f>+IFERROR(VLOOKUP($AY$3,Sheet1!AH6:AK6,3,0),0)</f>
        <v>0</v>
      </c>
      <c r="AZ9" s="15">
        <f>+IFERROR(VLOOKUP($AZ$3,Sheet1!AH6:AK6,3,0),0)</f>
        <v>0</v>
      </c>
      <c r="BA9" s="15">
        <f>+IFERROR(VLOOKUP($BA$3,Sheet1!AH6:AK6,3,0),0)</f>
        <v>0</v>
      </c>
      <c r="BB9" s="15">
        <f>+IFERROR(VLOOKUP($BB$3,Sheet1!AH6:AK6,3,0),0)</f>
        <v>0</v>
      </c>
      <c r="BC9" s="15">
        <f>+IFERROR(VLOOKUP($BC$3,Sheet1!AL6:AO6,3,0),0)</f>
        <v>0</v>
      </c>
      <c r="BD9" s="15">
        <f>+IFERROR(VLOOKUP($BD$3,Sheet1!AL6:AO6,3,0),0)</f>
        <v>0</v>
      </c>
      <c r="BE9" s="15">
        <f>+IFERROR(VLOOKUP($BE$3,Sheet1!AL6:AO6,3,0),0)</f>
        <v>0</v>
      </c>
      <c r="BF9" s="15">
        <f>+IFERROR(VLOOKUP($BF$3,Sheet1!AL6:AO6,3,0),0)</f>
        <v>0</v>
      </c>
      <c r="BG9" s="15">
        <f>+IFERROR(VLOOKUP($BG$3,Sheet1!AL6:AO6,3,0),0)</f>
        <v>0</v>
      </c>
      <c r="BH9" s="15">
        <f>+IFERROR(VLOOKUP($BH$3,Sheet1!AL6:AO6,3,0),0)</f>
        <v>0</v>
      </c>
      <c r="BI9" s="15">
        <f>+IFERROR(VLOOKUP($BI$3,Sheet1!AL6:AO6,3,0),0)</f>
        <v>0</v>
      </c>
      <c r="BJ9" s="15">
        <f>+IFERROR(VLOOKUP($BJ$3,Sheet1!AL6:AO6,3,0),0)</f>
        <v>0</v>
      </c>
      <c r="BK9" s="15">
        <f>+IFERROR(VLOOKUP($BK$3,Sheet1!AL6:AO6,3,0),0)</f>
        <v>0</v>
      </c>
      <c r="BL9" s="15">
        <f>+IFERROR(VLOOKUP($BL$3,Sheet1!AL6:AO6,3,0),0)</f>
        <v>0</v>
      </c>
      <c r="BM9" s="15">
        <f>+IFERROR(VLOOKUP($BM$3,Sheet1!AP6:AS6,3,0),0)</f>
        <v>0</v>
      </c>
      <c r="BN9" s="15">
        <f>+IFERROR(VLOOKUP($BN$3,Sheet1!AT6:AW6,3,0),0)</f>
        <v>0</v>
      </c>
      <c r="BO9" s="15">
        <f>+IFERROR(VLOOKUP($BO$3,Sheet1!AX6:BA6,3,0),0)</f>
        <v>0</v>
      </c>
      <c r="BP9" s="15">
        <f>+IFERROR(VLOOKUP($BP$3,Sheet1!BB6:BE6,3,0),0)</f>
        <v>0</v>
      </c>
      <c r="BQ9" s="15">
        <f>+IFERROR(VLOOKUP($BQ$3,Sheet1!BF6:BI6,3,0),0)</f>
        <v>0</v>
      </c>
      <c r="BR9" s="15">
        <f>+IFERROR(VLOOKUP($BR$3,Sheet1!BJ6:BM6,3,0),0)</f>
        <v>0</v>
      </c>
      <c r="BS9" s="15">
        <f>+IFERROR(VLOOKUP($BS$3,Sheet1!BN6:BQ6,3,0),0)</f>
        <v>0</v>
      </c>
      <c r="BT9" s="15">
        <f>+IFERROR(VLOOKUP($BT$3,Sheet1!BR6:BU6,3,0),0)</f>
        <v>0</v>
      </c>
      <c r="BU9" s="15">
        <f>+IFERROR(VLOOKUP($BU$3,Sheet1!BV6:BY6,3,0),0)</f>
        <v>0</v>
      </c>
      <c r="BV9" s="15" t="str">
        <f>Sheet1!E6</f>
        <v>WOOD</v>
      </c>
      <c r="BW9" s="15">
        <f>SUM(N9:AS9)</f>
        <v>976.5</v>
      </c>
      <c r="BX9" s="15"/>
      <c r="BY9" s="15" t="s">
        <v>167</v>
      </c>
      <c r="BZ9" s="15">
        <v>360</v>
      </c>
      <c r="CA9" s="15">
        <f>Sheet1!CZ6</f>
        <v>3500</v>
      </c>
      <c r="CB9" s="3">
        <f>(((BZ9*90)/(CA9/1000))/2)/2</f>
        <v>2314.2857142857142</v>
      </c>
      <c r="CC9" s="3">
        <f>SUMPRODUCT($N$4:$BU$4,N9:BU9)+CB9</f>
        <v>168935.78571428571</v>
      </c>
      <c r="CD9" s="28">
        <f>Sheet1!CB6</f>
        <v>0</v>
      </c>
      <c r="CE9" s="3">
        <f>CC9*CD9</f>
        <v>0</v>
      </c>
      <c r="CF9" s="51">
        <v>0.04</v>
      </c>
      <c r="CG9" s="3">
        <f>CC9*CF9</f>
        <v>6757.4314285714281</v>
      </c>
      <c r="CH9" s="51">
        <f>Sheet1!CF6</f>
        <v>0</v>
      </c>
      <c r="CI9" s="3">
        <f>CC9*CH9</f>
        <v>0</v>
      </c>
      <c r="CJ9" s="3">
        <f>CC9+CE9+CG9+CI9</f>
        <v>175693.21714285715</v>
      </c>
      <c r="CK9" s="51">
        <v>0.01</v>
      </c>
      <c r="CL9" s="1">
        <f>CJ9*CK9</f>
        <v>1756.9321714285716</v>
      </c>
      <c r="CM9" s="51">
        <v>5.0000000000000001E-3</v>
      </c>
      <c r="CN9" s="1">
        <f>CJ9*CM9</f>
        <v>878.46608571428578</v>
      </c>
      <c r="CO9" s="51">
        <f>Sheet1!CM6</f>
        <v>0</v>
      </c>
      <c r="CP9" s="9">
        <f>CJ9*CO9</f>
        <v>0</v>
      </c>
    </row>
    <row r="10" spans="1:94" x14ac:dyDescent="0.25">
      <c r="M10" s="194">
        <f>SUM(M5:M9)</f>
        <v>920619648.69280005</v>
      </c>
      <c r="CF10" s="14" t="s">
        <v>239</v>
      </c>
    </row>
    <row r="11" spans="1:94" x14ac:dyDescent="0.25">
      <c r="M11" s="139"/>
    </row>
    <row r="13" spans="1:94" ht="30" x14ac:dyDescent="0.25">
      <c r="E13" s="2" t="s">
        <v>169</v>
      </c>
      <c r="F13" s="2" t="s">
        <v>170</v>
      </c>
      <c r="G13" s="53" t="s">
        <v>171</v>
      </c>
      <c r="H13" s="2" t="s">
        <v>172</v>
      </c>
      <c r="I13" s="2" t="s">
        <v>173</v>
      </c>
      <c r="J13" s="2" t="s">
        <v>174</v>
      </c>
      <c r="K13" s="2" t="s">
        <v>175</v>
      </c>
      <c r="L13" s="2" t="s">
        <v>176</v>
      </c>
      <c r="M13" s="54" t="s">
        <v>177</v>
      </c>
      <c r="BY13" s="31" t="s">
        <v>240</v>
      </c>
      <c r="BZ13" s="31" t="s">
        <v>241</v>
      </c>
    </row>
    <row r="14" spans="1:94" ht="30" x14ac:dyDescent="0.25">
      <c r="D14" s="31" t="str">
        <f>D5</f>
        <v>ACSR : MOOSE CONDUCTOR - 520 SQ. MM. (54/7/3.53)</v>
      </c>
      <c r="E14" s="53">
        <f>K5</f>
        <v>750</v>
      </c>
      <c r="F14" s="55">
        <f>CA5/1000</f>
        <v>2.4</v>
      </c>
      <c r="G14" s="53" t="s">
        <v>178</v>
      </c>
      <c r="H14" s="56">
        <v>60000</v>
      </c>
      <c r="I14" s="55">
        <v>4</v>
      </c>
      <c r="J14" s="53">
        <f>F14*I14</f>
        <v>9.6</v>
      </c>
      <c r="K14" s="53">
        <f>ROUNDUP((E14/J14),0)</f>
        <v>79</v>
      </c>
      <c r="L14" s="53">
        <f>M14*E14</f>
        <v>4740000</v>
      </c>
      <c r="M14" s="57">
        <f>(H14*K14)/E14</f>
        <v>6320</v>
      </c>
      <c r="BY14" s="31">
        <f>(SUM(N5:AS5)*F14)+BZ5</f>
        <v>5289.5999999999995</v>
      </c>
      <c r="BZ14" s="31">
        <f>BY14*I14</f>
        <v>21158.399999999998</v>
      </c>
    </row>
    <row r="15" spans="1:94" ht="30" x14ac:dyDescent="0.25">
      <c r="D15" s="31" t="str">
        <f>D6</f>
        <v>ACSR : BERSIMIS CONDUCTOR - 690 SQ. MM. (42/4.57/7/2.54)</v>
      </c>
      <c r="E15" s="53">
        <f>K6</f>
        <v>150</v>
      </c>
      <c r="F15" s="55">
        <f>CA6/1000</f>
        <v>2.1</v>
      </c>
      <c r="G15" s="53" t="s">
        <v>178</v>
      </c>
      <c r="H15" s="56">
        <v>60000</v>
      </c>
      <c r="I15" s="55">
        <v>4</v>
      </c>
      <c r="J15" s="53">
        <f t="shared" ref="J15:J18" si="0">F15*I15</f>
        <v>8.4</v>
      </c>
      <c r="K15" s="53">
        <f t="shared" ref="K15:K18" si="1">ROUNDUP((E15/J15),0)</f>
        <v>18</v>
      </c>
      <c r="L15" s="53">
        <f t="shared" ref="L15:L18" si="2">M15*E15</f>
        <v>1080000</v>
      </c>
      <c r="M15" s="57">
        <f t="shared" ref="M15:M18" si="3">(H15*K15)/E15</f>
        <v>7200</v>
      </c>
      <c r="BY15" s="31">
        <f>(SUM(N6:AS6)*F15)+BZ6</f>
        <v>5072.7</v>
      </c>
      <c r="BZ15" s="31">
        <f t="shared" ref="BZ15:BZ18" si="4">BY15*I15</f>
        <v>20290.8</v>
      </c>
    </row>
    <row r="16" spans="1:94" ht="30" x14ac:dyDescent="0.25">
      <c r="D16" s="31" t="str">
        <f>D7</f>
        <v>ACSR : LAPWING CONDUCTOR - 804.1 SQ. MM. (45/4.77//7/3.18)</v>
      </c>
      <c r="E16" s="53">
        <f>K7</f>
        <v>150</v>
      </c>
      <c r="F16" s="55">
        <f>CA7/1000</f>
        <v>1.8</v>
      </c>
      <c r="G16" s="53" t="s">
        <v>178</v>
      </c>
      <c r="H16" s="56">
        <v>60000</v>
      </c>
      <c r="I16" s="55">
        <v>4</v>
      </c>
      <c r="J16" s="53">
        <f t="shared" si="0"/>
        <v>7.2</v>
      </c>
      <c r="K16" s="53">
        <f t="shared" si="1"/>
        <v>21</v>
      </c>
      <c r="L16" s="53">
        <f t="shared" si="2"/>
        <v>1260000</v>
      </c>
      <c r="M16" s="57">
        <f t="shared" si="3"/>
        <v>8400</v>
      </c>
      <c r="BY16" s="31">
        <f>(SUM(N7:AS7)*F16)+BZ7</f>
        <v>5280.6</v>
      </c>
      <c r="BZ16" s="31">
        <f t="shared" si="4"/>
        <v>21122.400000000001</v>
      </c>
    </row>
    <row r="17" spans="4:78" ht="30" x14ac:dyDescent="0.25">
      <c r="D17" s="31" t="str">
        <f>D8</f>
        <v>ACSR : ZEBRA CONDUCTOR - 420 SQ. MM. (54/7/3.18)</v>
      </c>
      <c r="E17" s="53">
        <f>K8</f>
        <v>250</v>
      </c>
      <c r="F17" s="55">
        <f>CA8/1000</f>
        <v>3</v>
      </c>
      <c r="G17" s="53" t="s">
        <v>178</v>
      </c>
      <c r="H17" s="56">
        <v>60000</v>
      </c>
      <c r="I17" s="55">
        <v>4</v>
      </c>
      <c r="J17" s="53">
        <f t="shared" si="0"/>
        <v>12</v>
      </c>
      <c r="K17" s="53">
        <f t="shared" si="1"/>
        <v>21</v>
      </c>
      <c r="L17" s="53">
        <f t="shared" si="2"/>
        <v>1260000</v>
      </c>
      <c r="M17" s="57">
        <f t="shared" si="3"/>
        <v>5040</v>
      </c>
      <c r="BY17" s="31">
        <f>(SUM(N8:AS8)*F17)+BZ8</f>
        <v>5346</v>
      </c>
      <c r="BZ17" s="31">
        <f t="shared" si="4"/>
        <v>21384</v>
      </c>
    </row>
    <row r="18" spans="4:78" ht="30" x14ac:dyDescent="0.25">
      <c r="D18" s="31" t="str">
        <f>D9</f>
        <v>ACSR : PANTHER CONDUCTOR - 200 SQ. MM. (30/7/3.00)</v>
      </c>
      <c r="E18" s="53">
        <f>K9</f>
        <v>1200</v>
      </c>
      <c r="F18" s="55">
        <f>CA9/1000</f>
        <v>3.5</v>
      </c>
      <c r="G18" s="53" t="s">
        <v>178</v>
      </c>
      <c r="H18" s="56">
        <v>60000</v>
      </c>
      <c r="I18" s="55">
        <v>6</v>
      </c>
      <c r="J18" s="53">
        <f t="shared" si="0"/>
        <v>21</v>
      </c>
      <c r="K18" s="53">
        <f t="shared" si="1"/>
        <v>58</v>
      </c>
      <c r="L18" s="53">
        <f t="shared" si="2"/>
        <v>3480000</v>
      </c>
      <c r="M18" s="57">
        <f t="shared" si="3"/>
        <v>2900</v>
      </c>
      <c r="BY18" s="31">
        <f>(SUM(N9:AS9)*F18)+BZ9</f>
        <v>3777.75</v>
      </c>
      <c r="BZ18" s="31">
        <f t="shared" si="4"/>
        <v>22666.5</v>
      </c>
    </row>
    <row r="21" spans="4:78" x14ac:dyDescent="0.25">
      <c r="D21" t="s">
        <v>255</v>
      </c>
    </row>
    <row r="22" spans="4:78" x14ac:dyDescent="0.25">
      <c r="D22" s="139" t="s">
        <v>256</v>
      </c>
    </row>
    <row r="23" spans="4:78" x14ac:dyDescent="0.25">
      <c r="D23" t="s">
        <v>242</v>
      </c>
    </row>
    <row r="24" spans="4:78" x14ac:dyDescent="0.25">
      <c r="D24" t="s">
        <v>243</v>
      </c>
    </row>
    <row r="25" spans="4:78" x14ac:dyDescent="0.25">
      <c r="D25" t="s">
        <v>244</v>
      </c>
    </row>
    <row r="26" spans="4:78" x14ac:dyDescent="0.25">
      <c r="D26" t="s">
        <v>245</v>
      </c>
    </row>
    <row r="27" spans="4:78" x14ac:dyDescent="0.25">
      <c r="D27" t="s">
        <v>246</v>
      </c>
    </row>
    <row r="28" spans="4:78" x14ac:dyDescent="0.25">
      <c r="D28" t="s">
        <v>247</v>
      </c>
    </row>
    <row r="29" spans="4:78" x14ac:dyDescent="0.25">
      <c r="D29" t="s">
        <v>248</v>
      </c>
    </row>
    <row r="30" spans="4:78" x14ac:dyDescent="0.25">
      <c r="D30" s="139" t="s">
        <v>249</v>
      </c>
    </row>
    <row r="31" spans="4:78" x14ac:dyDescent="0.25">
      <c r="D31" t="s">
        <v>250</v>
      </c>
    </row>
    <row r="32" spans="4:78" x14ac:dyDescent="0.25">
      <c r="D32" t="s">
        <v>251</v>
      </c>
    </row>
    <row r="33" spans="4:4" x14ac:dyDescent="0.25">
      <c r="D33" t="s">
        <v>252</v>
      </c>
    </row>
    <row r="34" spans="4:4" x14ac:dyDescent="0.25">
      <c r="D34" t="s">
        <v>253</v>
      </c>
    </row>
    <row r="35" spans="4:4" x14ac:dyDescent="0.25">
      <c r="D35" t="s">
        <v>254</v>
      </c>
    </row>
  </sheetData>
  <mergeCells count="8">
    <mergeCell ref="AL2:AR2"/>
    <mergeCell ref="AS2:BB2"/>
    <mergeCell ref="BC2:BL2"/>
    <mergeCell ref="N2:R2"/>
    <mergeCell ref="S2:T2"/>
    <mergeCell ref="U2:AB2"/>
    <mergeCell ref="AC2:AD2"/>
    <mergeCell ref="AE2:AJ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07A3-7148-4B0D-9313-E667B58DE8C0}">
  <sheetPr>
    <tabColor rgb="FFFF0000"/>
  </sheetPr>
  <dimension ref="B1:AK36"/>
  <sheetViews>
    <sheetView tabSelected="1" zoomScaleNormal="100" workbookViewId="0">
      <selection activeCell="K26" sqref="K26:N30"/>
    </sheetView>
  </sheetViews>
  <sheetFormatPr defaultRowHeight="12.75" x14ac:dyDescent="0.2"/>
  <cols>
    <col min="1" max="1" width="9.140625" style="65"/>
    <col min="2" max="2" width="41" style="65" customWidth="1"/>
    <col min="3" max="3" width="19.5703125" style="65" bestFit="1" customWidth="1"/>
    <col min="4" max="4" width="11.140625" style="65" customWidth="1"/>
    <col min="5" max="5" width="10.42578125" style="65" bestFit="1" customWidth="1"/>
    <col min="6" max="8" width="11.28515625" style="65" customWidth="1"/>
    <col min="9" max="9" width="11.140625" style="65" customWidth="1"/>
    <col min="10" max="10" width="10.42578125" style="65" bestFit="1" customWidth="1"/>
    <col min="11" max="11" width="8.42578125" style="65" bestFit="1" customWidth="1"/>
    <col min="12" max="13" width="8.42578125" style="65" customWidth="1"/>
    <col min="14" max="14" width="9.140625" style="65"/>
    <col min="15" max="15" width="8.42578125" style="65" bestFit="1" customWidth="1"/>
    <col min="16" max="17" width="8.42578125" style="65" customWidth="1"/>
    <col min="18" max="18" width="8.42578125" style="65" bestFit="1" customWidth="1"/>
    <col min="19" max="19" width="9.42578125" style="65" bestFit="1" customWidth="1"/>
    <col min="20" max="20" width="11" style="65" bestFit="1" customWidth="1"/>
    <col min="21" max="22" width="11" style="65" customWidth="1"/>
    <col min="23" max="23" width="10.42578125" style="65" bestFit="1" customWidth="1"/>
    <col min="24" max="24" width="19.28515625" style="65" customWidth="1"/>
    <col min="25" max="25" width="22.42578125" style="65" customWidth="1"/>
    <col min="26" max="26" width="13.28515625" style="65" bestFit="1" customWidth="1"/>
    <col min="27" max="27" width="9.42578125" style="65" bestFit="1" customWidth="1"/>
    <col min="28" max="28" width="12" style="65" customWidth="1"/>
    <col min="29" max="29" width="13.5703125" style="65" bestFit="1" customWidth="1"/>
    <col min="30" max="31" width="13.140625" style="65" customWidth="1"/>
    <col min="32" max="32" width="13.7109375" style="65" bestFit="1" customWidth="1"/>
    <col min="33" max="33" width="10.85546875" style="65" bestFit="1" customWidth="1"/>
    <col min="34" max="34" width="7.7109375" style="65" customWidth="1"/>
    <col min="35" max="35" width="6.28515625" style="65" bestFit="1" customWidth="1"/>
    <col min="36" max="36" width="7.28515625" style="65" bestFit="1" customWidth="1"/>
    <col min="37" max="37" width="11.85546875" style="65" bestFit="1" customWidth="1"/>
    <col min="38" max="38" width="9.5703125" style="65" bestFit="1" customWidth="1"/>
    <col min="39" max="40" width="10.140625" style="65" bestFit="1" customWidth="1"/>
    <col min="41" max="41" width="10.5703125" style="65" bestFit="1" customWidth="1"/>
    <col min="42" max="42" width="9.5703125" style="65" customWidth="1"/>
    <col min="43" max="43" width="9.5703125" style="65" bestFit="1" customWidth="1"/>
    <col min="44" max="44" width="10.5703125" style="65" bestFit="1" customWidth="1"/>
    <col min="45" max="45" width="12.5703125" style="65" bestFit="1" customWidth="1"/>
    <col min="46" max="46" width="18" style="65" bestFit="1" customWidth="1"/>
    <col min="47" max="48" width="9.140625" style="65"/>
    <col min="49" max="49" width="9.5703125" style="65" bestFit="1" customWidth="1"/>
    <col min="50" max="264" width="9.140625" style="65"/>
    <col min="265" max="265" width="41" style="65" customWidth="1"/>
    <col min="266" max="266" width="19.5703125" style="65" bestFit="1" customWidth="1"/>
    <col min="267" max="267" width="10.140625" style="65" customWidth="1"/>
    <col min="268" max="268" width="10.42578125" style="65" bestFit="1" customWidth="1"/>
    <col min="269" max="269" width="11.28515625" style="65" customWidth="1"/>
    <col min="270" max="270" width="9.42578125" style="65" customWidth="1"/>
    <col min="271" max="271" width="10.140625" style="65" bestFit="1" customWidth="1"/>
    <col min="272" max="273" width="9.140625" style="65"/>
    <col min="274" max="274" width="7.28515625" style="65" customWidth="1"/>
    <col min="275" max="280" width="7.42578125" style="65" customWidth="1"/>
    <col min="281" max="281" width="9.42578125" style="65" bestFit="1" customWidth="1"/>
    <col min="282" max="282" width="12" style="65" bestFit="1" customWidth="1"/>
    <col min="283" max="284" width="12" style="65" customWidth="1"/>
    <col min="285" max="285" width="13.140625" style="65" bestFit="1" customWidth="1"/>
    <col min="286" max="287" width="13.140625" style="65" customWidth="1"/>
    <col min="288" max="289" width="14.42578125" style="65" bestFit="1" customWidth="1"/>
    <col min="290" max="291" width="9.140625" style="65" customWidth="1"/>
    <col min="292" max="292" width="9.5703125" style="65" customWidth="1"/>
    <col min="293" max="294" width="9.5703125" style="65" bestFit="1" customWidth="1"/>
    <col min="295" max="296" width="10.140625" style="65" bestFit="1" customWidth="1"/>
    <col min="297" max="297" width="9.5703125" style="65" bestFit="1" customWidth="1"/>
    <col min="298" max="298" width="9.5703125" style="65" customWidth="1"/>
    <col min="299" max="299" width="9" style="65" customWidth="1"/>
    <col min="300" max="300" width="10.5703125" style="65" bestFit="1" customWidth="1"/>
    <col min="301" max="301" width="11.42578125" style="65" bestFit="1" customWidth="1"/>
    <col min="302" max="302" width="18" style="65" bestFit="1" customWidth="1"/>
    <col min="303" max="520" width="9.140625" style="65"/>
    <col min="521" max="521" width="41" style="65" customWidth="1"/>
    <col min="522" max="522" width="19.5703125" style="65" bestFit="1" customWidth="1"/>
    <col min="523" max="523" width="10.140625" style="65" customWidth="1"/>
    <col min="524" max="524" width="10.42578125" style="65" bestFit="1" customWidth="1"/>
    <col min="525" max="525" width="11.28515625" style="65" customWidth="1"/>
    <col min="526" max="526" width="9.42578125" style="65" customWidth="1"/>
    <col min="527" max="527" width="10.140625" style="65" bestFit="1" customWidth="1"/>
    <col min="528" max="529" width="9.140625" style="65"/>
    <col min="530" max="530" width="7.28515625" style="65" customWidth="1"/>
    <col min="531" max="536" width="7.42578125" style="65" customWidth="1"/>
    <col min="537" max="537" width="9.42578125" style="65" bestFit="1" customWidth="1"/>
    <col min="538" max="538" width="12" style="65" bestFit="1" customWidth="1"/>
    <col min="539" max="540" width="12" style="65" customWidth="1"/>
    <col min="541" max="541" width="13.140625" style="65" bestFit="1" customWidth="1"/>
    <col min="542" max="543" width="13.140625" style="65" customWidth="1"/>
    <col min="544" max="545" width="14.42578125" style="65" bestFit="1" customWidth="1"/>
    <col min="546" max="547" width="9.140625" style="65" customWidth="1"/>
    <col min="548" max="548" width="9.5703125" style="65" customWidth="1"/>
    <col min="549" max="550" width="9.5703125" style="65" bestFit="1" customWidth="1"/>
    <col min="551" max="552" width="10.140625" style="65" bestFit="1" customWidth="1"/>
    <col min="553" max="553" width="9.5703125" style="65" bestFit="1" customWidth="1"/>
    <col min="554" max="554" width="9.5703125" style="65" customWidth="1"/>
    <col min="555" max="555" width="9" style="65" customWidth="1"/>
    <col min="556" max="556" width="10.5703125" style="65" bestFit="1" customWidth="1"/>
    <col min="557" max="557" width="11.42578125" style="65" bestFit="1" customWidth="1"/>
    <col min="558" max="558" width="18" style="65" bestFit="1" customWidth="1"/>
    <col min="559" max="776" width="9.140625" style="65"/>
    <col min="777" max="777" width="41" style="65" customWidth="1"/>
    <col min="778" max="778" width="19.5703125" style="65" bestFit="1" customWidth="1"/>
    <col min="779" max="779" width="10.140625" style="65" customWidth="1"/>
    <col min="780" max="780" width="10.42578125" style="65" bestFit="1" customWidth="1"/>
    <col min="781" max="781" width="11.28515625" style="65" customWidth="1"/>
    <col min="782" max="782" width="9.42578125" style="65" customWidth="1"/>
    <col min="783" max="783" width="10.140625" style="65" bestFit="1" customWidth="1"/>
    <col min="784" max="785" width="9.140625" style="65"/>
    <col min="786" max="786" width="7.28515625" style="65" customWidth="1"/>
    <col min="787" max="792" width="7.42578125" style="65" customWidth="1"/>
    <col min="793" max="793" width="9.42578125" style="65" bestFit="1" customWidth="1"/>
    <col min="794" max="794" width="12" style="65" bestFit="1" customWidth="1"/>
    <col min="795" max="796" width="12" style="65" customWidth="1"/>
    <col min="797" max="797" width="13.140625" style="65" bestFit="1" customWidth="1"/>
    <col min="798" max="799" width="13.140625" style="65" customWidth="1"/>
    <col min="800" max="801" width="14.42578125" style="65" bestFit="1" customWidth="1"/>
    <col min="802" max="803" width="9.140625" style="65" customWidth="1"/>
    <col min="804" max="804" width="9.5703125" style="65" customWidth="1"/>
    <col min="805" max="806" width="9.5703125" style="65" bestFit="1" customWidth="1"/>
    <col min="807" max="808" width="10.140625" style="65" bestFit="1" customWidth="1"/>
    <col min="809" max="809" width="9.5703125" style="65" bestFit="1" customWidth="1"/>
    <col min="810" max="810" width="9.5703125" style="65" customWidth="1"/>
    <col min="811" max="811" width="9" style="65" customWidth="1"/>
    <col min="812" max="812" width="10.5703125" style="65" bestFit="1" customWidth="1"/>
    <col min="813" max="813" width="11.42578125" style="65" bestFit="1" customWidth="1"/>
    <col min="814" max="814" width="18" style="65" bestFit="1" customWidth="1"/>
    <col min="815" max="1032" width="9.140625" style="65"/>
    <col min="1033" max="1033" width="41" style="65" customWidth="1"/>
    <col min="1034" max="1034" width="19.5703125" style="65" bestFit="1" customWidth="1"/>
    <col min="1035" max="1035" width="10.140625" style="65" customWidth="1"/>
    <col min="1036" max="1036" width="10.42578125" style="65" bestFit="1" customWidth="1"/>
    <col min="1037" max="1037" width="11.28515625" style="65" customWidth="1"/>
    <col min="1038" max="1038" width="9.42578125" style="65" customWidth="1"/>
    <col min="1039" max="1039" width="10.140625" style="65" bestFit="1" customWidth="1"/>
    <col min="1040" max="1041" width="9.140625" style="65"/>
    <col min="1042" max="1042" width="7.28515625" style="65" customWidth="1"/>
    <col min="1043" max="1048" width="7.42578125" style="65" customWidth="1"/>
    <col min="1049" max="1049" width="9.42578125" style="65" bestFit="1" customWidth="1"/>
    <col min="1050" max="1050" width="12" style="65" bestFit="1" customWidth="1"/>
    <col min="1051" max="1052" width="12" style="65" customWidth="1"/>
    <col min="1053" max="1053" width="13.140625" style="65" bestFit="1" customWidth="1"/>
    <col min="1054" max="1055" width="13.140625" style="65" customWidth="1"/>
    <col min="1056" max="1057" width="14.42578125" style="65" bestFit="1" customWidth="1"/>
    <col min="1058" max="1059" width="9.140625" style="65" customWidth="1"/>
    <col min="1060" max="1060" width="9.5703125" style="65" customWidth="1"/>
    <col min="1061" max="1062" width="9.5703125" style="65" bestFit="1" customWidth="1"/>
    <col min="1063" max="1064" width="10.140625" style="65" bestFit="1" customWidth="1"/>
    <col min="1065" max="1065" width="9.5703125" style="65" bestFit="1" customWidth="1"/>
    <col min="1066" max="1066" width="9.5703125" style="65" customWidth="1"/>
    <col min="1067" max="1067" width="9" style="65" customWidth="1"/>
    <col min="1068" max="1068" width="10.5703125" style="65" bestFit="1" customWidth="1"/>
    <col min="1069" max="1069" width="11.42578125" style="65" bestFit="1" customWidth="1"/>
    <col min="1070" max="1070" width="18" style="65" bestFit="1" customWidth="1"/>
    <col min="1071" max="1288" width="9.140625" style="65"/>
    <col min="1289" max="1289" width="41" style="65" customWidth="1"/>
    <col min="1290" max="1290" width="19.5703125" style="65" bestFit="1" customWidth="1"/>
    <col min="1291" max="1291" width="10.140625" style="65" customWidth="1"/>
    <col min="1292" max="1292" width="10.42578125" style="65" bestFit="1" customWidth="1"/>
    <col min="1293" max="1293" width="11.28515625" style="65" customWidth="1"/>
    <col min="1294" max="1294" width="9.42578125" style="65" customWidth="1"/>
    <col min="1295" max="1295" width="10.140625" style="65" bestFit="1" customWidth="1"/>
    <col min="1296" max="1297" width="9.140625" style="65"/>
    <col min="1298" max="1298" width="7.28515625" style="65" customWidth="1"/>
    <col min="1299" max="1304" width="7.42578125" style="65" customWidth="1"/>
    <col min="1305" max="1305" width="9.42578125" style="65" bestFit="1" customWidth="1"/>
    <col min="1306" max="1306" width="12" style="65" bestFit="1" customWidth="1"/>
    <col min="1307" max="1308" width="12" style="65" customWidth="1"/>
    <col min="1309" max="1309" width="13.140625" style="65" bestFit="1" customWidth="1"/>
    <col min="1310" max="1311" width="13.140625" style="65" customWidth="1"/>
    <col min="1312" max="1313" width="14.42578125" style="65" bestFit="1" customWidth="1"/>
    <col min="1314" max="1315" width="9.140625" style="65" customWidth="1"/>
    <col min="1316" max="1316" width="9.5703125" style="65" customWidth="1"/>
    <col min="1317" max="1318" width="9.5703125" style="65" bestFit="1" customWidth="1"/>
    <col min="1319" max="1320" width="10.140625" style="65" bestFit="1" customWidth="1"/>
    <col min="1321" max="1321" width="9.5703125" style="65" bestFit="1" customWidth="1"/>
    <col min="1322" max="1322" width="9.5703125" style="65" customWidth="1"/>
    <col min="1323" max="1323" width="9" style="65" customWidth="1"/>
    <col min="1324" max="1324" width="10.5703125" style="65" bestFit="1" customWidth="1"/>
    <col min="1325" max="1325" width="11.42578125" style="65" bestFit="1" customWidth="1"/>
    <col min="1326" max="1326" width="18" style="65" bestFit="1" customWidth="1"/>
    <col min="1327" max="1544" width="9.140625" style="65"/>
    <col min="1545" max="1545" width="41" style="65" customWidth="1"/>
    <col min="1546" max="1546" width="19.5703125" style="65" bestFit="1" customWidth="1"/>
    <col min="1547" max="1547" width="10.140625" style="65" customWidth="1"/>
    <col min="1548" max="1548" width="10.42578125" style="65" bestFit="1" customWidth="1"/>
    <col min="1549" max="1549" width="11.28515625" style="65" customWidth="1"/>
    <col min="1550" max="1550" width="9.42578125" style="65" customWidth="1"/>
    <col min="1551" max="1551" width="10.140625" style="65" bestFit="1" customWidth="1"/>
    <col min="1552" max="1553" width="9.140625" style="65"/>
    <col min="1554" max="1554" width="7.28515625" style="65" customWidth="1"/>
    <col min="1555" max="1560" width="7.42578125" style="65" customWidth="1"/>
    <col min="1561" max="1561" width="9.42578125" style="65" bestFit="1" customWidth="1"/>
    <col min="1562" max="1562" width="12" style="65" bestFit="1" customWidth="1"/>
    <col min="1563" max="1564" width="12" style="65" customWidth="1"/>
    <col min="1565" max="1565" width="13.140625" style="65" bestFit="1" customWidth="1"/>
    <col min="1566" max="1567" width="13.140625" style="65" customWidth="1"/>
    <col min="1568" max="1569" width="14.42578125" style="65" bestFit="1" customWidth="1"/>
    <col min="1570" max="1571" width="9.140625" style="65" customWidth="1"/>
    <col min="1572" max="1572" width="9.5703125" style="65" customWidth="1"/>
    <col min="1573" max="1574" width="9.5703125" style="65" bestFit="1" customWidth="1"/>
    <col min="1575" max="1576" width="10.140625" style="65" bestFit="1" customWidth="1"/>
    <col min="1577" max="1577" width="9.5703125" style="65" bestFit="1" customWidth="1"/>
    <col min="1578" max="1578" width="9.5703125" style="65" customWidth="1"/>
    <col min="1579" max="1579" width="9" style="65" customWidth="1"/>
    <col min="1580" max="1580" width="10.5703125" style="65" bestFit="1" customWidth="1"/>
    <col min="1581" max="1581" width="11.42578125" style="65" bestFit="1" customWidth="1"/>
    <col min="1582" max="1582" width="18" style="65" bestFit="1" customWidth="1"/>
    <col min="1583" max="1800" width="9.140625" style="65"/>
    <col min="1801" max="1801" width="41" style="65" customWidth="1"/>
    <col min="1802" max="1802" width="19.5703125" style="65" bestFit="1" customWidth="1"/>
    <col min="1803" max="1803" width="10.140625" style="65" customWidth="1"/>
    <col min="1804" max="1804" width="10.42578125" style="65" bestFit="1" customWidth="1"/>
    <col min="1805" max="1805" width="11.28515625" style="65" customWidth="1"/>
    <col min="1806" max="1806" width="9.42578125" style="65" customWidth="1"/>
    <col min="1807" max="1807" width="10.140625" style="65" bestFit="1" customWidth="1"/>
    <col min="1808" max="1809" width="9.140625" style="65"/>
    <col min="1810" max="1810" width="7.28515625" style="65" customWidth="1"/>
    <col min="1811" max="1816" width="7.42578125" style="65" customWidth="1"/>
    <col min="1817" max="1817" width="9.42578125" style="65" bestFit="1" customWidth="1"/>
    <col min="1818" max="1818" width="12" style="65" bestFit="1" customWidth="1"/>
    <col min="1819" max="1820" width="12" style="65" customWidth="1"/>
    <col min="1821" max="1821" width="13.140625" style="65" bestFit="1" customWidth="1"/>
    <col min="1822" max="1823" width="13.140625" style="65" customWidth="1"/>
    <col min="1824" max="1825" width="14.42578125" style="65" bestFit="1" customWidth="1"/>
    <col min="1826" max="1827" width="9.140625" style="65" customWidth="1"/>
    <col min="1828" max="1828" width="9.5703125" style="65" customWidth="1"/>
    <col min="1829" max="1830" width="9.5703125" style="65" bestFit="1" customWidth="1"/>
    <col min="1831" max="1832" width="10.140625" style="65" bestFit="1" customWidth="1"/>
    <col min="1833" max="1833" width="9.5703125" style="65" bestFit="1" customWidth="1"/>
    <col min="1834" max="1834" width="9.5703125" style="65" customWidth="1"/>
    <col min="1835" max="1835" width="9" style="65" customWidth="1"/>
    <col min="1836" max="1836" width="10.5703125" style="65" bestFit="1" customWidth="1"/>
    <col min="1837" max="1837" width="11.42578125" style="65" bestFit="1" customWidth="1"/>
    <col min="1838" max="1838" width="18" style="65" bestFit="1" customWidth="1"/>
    <col min="1839" max="2056" width="9.140625" style="65"/>
    <col min="2057" max="2057" width="41" style="65" customWidth="1"/>
    <col min="2058" max="2058" width="19.5703125" style="65" bestFit="1" customWidth="1"/>
    <col min="2059" max="2059" width="10.140625" style="65" customWidth="1"/>
    <col min="2060" max="2060" width="10.42578125" style="65" bestFit="1" customWidth="1"/>
    <col min="2061" max="2061" width="11.28515625" style="65" customWidth="1"/>
    <col min="2062" max="2062" width="9.42578125" style="65" customWidth="1"/>
    <col min="2063" max="2063" width="10.140625" style="65" bestFit="1" customWidth="1"/>
    <col min="2064" max="2065" width="9.140625" style="65"/>
    <col min="2066" max="2066" width="7.28515625" style="65" customWidth="1"/>
    <col min="2067" max="2072" width="7.42578125" style="65" customWidth="1"/>
    <col min="2073" max="2073" width="9.42578125" style="65" bestFit="1" customWidth="1"/>
    <col min="2074" max="2074" width="12" style="65" bestFit="1" customWidth="1"/>
    <col min="2075" max="2076" width="12" style="65" customWidth="1"/>
    <col min="2077" max="2077" width="13.140625" style="65" bestFit="1" customWidth="1"/>
    <col min="2078" max="2079" width="13.140625" style="65" customWidth="1"/>
    <col min="2080" max="2081" width="14.42578125" style="65" bestFit="1" customWidth="1"/>
    <col min="2082" max="2083" width="9.140625" style="65" customWidth="1"/>
    <col min="2084" max="2084" width="9.5703125" style="65" customWidth="1"/>
    <col min="2085" max="2086" width="9.5703125" style="65" bestFit="1" customWidth="1"/>
    <col min="2087" max="2088" width="10.140625" style="65" bestFit="1" customWidth="1"/>
    <col min="2089" max="2089" width="9.5703125" style="65" bestFit="1" customWidth="1"/>
    <col min="2090" max="2090" width="9.5703125" style="65" customWidth="1"/>
    <col min="2091" max="2091" width="9" style="65" customWidth="1"/>
    <col min="2092" max="2092" width="10.5703125" style="65" bestFit="1" customWidth="1"/>
    <col min="2093" max="2093" width="11.42578125" style="65" bestFit="1" customWidth="1"/>
    <col min="2094" max="2094" width="18" style="65" bestFit="1" customWidth="1"/>
    <col min="2095" max="2312" width="9.140625" style="65"/>
    <col min="2313" max="2313" width="41" style="65" customWidth="1"/>
    <col min="2314" max="2314" width="19.5703125" style="65" bestFit="1" customWidth="1"/>
    <col min="2315" max="2315" width="10.140625" style="65" customWidth="1"/>
    <col min="2316" max="2316" width="10.42578125" style="65" bestFit="1" customWidth="1"/>
    <col min="2317" max="2317" width="11.28515625" style="65" customWidth="1"/>
    <col min="2318" max="2318" width="9.42578125" style="65" customWidth="1"/>
    <col min="2319" max="2319" width="10.140625" style="65" bestFit="1" customWidth="1"/>
    <col min="2320" max="2321" width="9.140625" style="65"/>
    <col min="2322" max="2322" width="7.28515625" style="65" customWidth="1"/>
    <col min="2323" max="2328" width="7.42578125" style="65" customWidth="1"/>
    <col min="2329" max="2329" width="9.42578125" style="65" bestFit="1" customWidth="1"/>
    <col min="2330" max="2330" width="12" style="65" bestFit="1" customWidth="1"/>
    <col min="2331" max="2332" width="12" style="65" customWidth="1"/>
    <col min="2333" max="2333" width="13.140625" style="65" bestFit="1" customWidth="1"/>
    <col min="2334" max="2335" width="13.140625" style="65" customWidth="1"/>
    <col min="2336" max="2337" width="14.42578125" style="65" bestFit="1" customWidth="1"/>
    <col min="2338" max="2339" width="9.140625" style="65" customWidth="1"/>
    <col min="2340" max="2340" width="9.5703125" style="65" customWidth="1"/>
    <col min="2341" max="2342" width="9.5703125" style="65" bestFit="1" customWidth="1"/>
    <col min="2343" max="2344" width="10.140625" style="65" bestFit="1" customWidth="1"/>
    <col min="2345" max="2345" width="9.5703125" style="65" bestFit="1" customWidth="1"/>
    <col min="2346" max="2346" width="9.5703125" style="65" customWidth="1"/>
    <col min="2347" max="2347" width="9" style="65" customWidth="1"/>
    <col min="2348" max="2348" width="10.5703125" style="65" bestFit="1" customWidth="1"/>
    <col min="2349" max="2349" width="11.42578125" style="65" bestFit="1" customWidth="1"/>
    <col min="2350" max="2350" width="18" style="65" bestFit="1" customWidth="1"/>
    <col min="2351" max="2568" width="9.140625" style="65"/>
    <col min="2569" max="2569" width="41" style="65" customWidth="1"/>
    <col min="2570" max="2570" width="19.5703125" style="65" bestFit="1" customWidth="1"/>
    <col min="2571" max="2571" width="10.140625" style="65" customWidth="1"/>
    <col min="2572" max="2572" width="10.42578125" style="65" bestFit="1" customWidth="1"/>
    <col min="2573" max="2573" width="11.28515625" style="65" customWidth="1"/>
    <col min="2574" max="2574" width="9.42578125" style="65" customWidth="1"/>
    <col min="2575" max="2575" width="10.140625" style="65" bestFit="1" customWidth="1"/>
    <col min="2576" max="2577" width="9.140625" style="65"/>
    <col min="2578" max="2578" width="7.28515625" style="65" customWidth="1"/>
    <col min="2579" max="2584" width="7.42578125" style="65" customWidth="1"/>
    <col min="2585" max="2585" width="9.42578125" style="65" bestFit="1" customWidth="1"/>
    <col min="2586" max="2586" width="12" style="65" bestFit="1" customWidth="1"/>
    <col min="2587" max="2588" width="12" style="65" customWidth="1"/>
    <col min="2589" max="2589" width="13.140625" style="65" bestFit="1" customWidth="1"/>
    <col min="2590" max="2591" width="13.140625" style="65" customWidth="1"/>
    <col min="2592" max="2593" width="14.42578125" style="65" bestFit="1" customWidth="1"/>
    <col min="2594" max="2595" width="9.140625" style="65" customWidth="1"/>
    <col min="2596" max="2596" width="9.5703125" style="65" customWidth="1"/>
    <col min="2597" max="2598" width="9.5703125" style="65" bestFit="1" customWidth="1"/>
    <col min="2599" max="2600" width="10.140625" style="65" bestFit="1" customWidth="1"/>
    <col min="2601" max="2601" width="9.5703125" style="65" bestFit="1" customWidth="1"/>
    <col min="2602" max="2602" width="9.5703125" style="65" customWidth="1"/>
    <col min="2603" max="2603" width="9" style="65" customWidth="1"/>
    <col min="2604" max="2604" width="10.5703125" style="65" bestFit="1" customWidth="1"/>
    <col min="2605" max="2605" width="11.42578125" style="65" bestFit="1" customWidth="1"/>
    <col min="2606" max="2606" width="18" style="65" bestFit="1" customWidth="1"/>
    <col min="2607" max="2824" width="9.140625" style="65"/>
    <col min="2825" max="2825" width="41" style="65" customWidth="1"/>
    <col min="2826" max="2826" width="19.5703125" style="65" bestFit="1" customWidth="1"/>
    <col min="2827" max="2827" width="10.140625" style="65" customWidth="1"/>
    <col min="2828" max="2828" width="10.42578125" style="65" bestFit="1" customWidth="1"/>
    <col min="2829" max="2829" width="11.28515625" style="65" customWidth="1"/>
    <col min="2830" max="2830" width="9.42578125" style="65" customWidth="1"/>
    <col min="2831" max="2831" width="10.140625" style="65" bestFit="1" customWidth="1"/>
    <col min="2832" max="2833" width="9.140625" style="65"/>
    <col min="2834" max="2834" width="7.28515625" style="65" customWidth="1"/>
    <col min="2835" max="2840" width="7.42578125" style="65" customWidth="1"/>
    <col min="2841" max="2841" width="9.42578125" style="65" bestFit="1" customWidth="1"/>
    <col min="2842" max="2842" width="12" style="65" bestFit="1" customWidth="1"/>
    <col min="2843" max="2844" width="12" style="65" customWidth="1"/>
    <col min="2845" max="2845" width="13.140625" style="65" bestFit="1" customWidth="1"/>
    <col min="2846" max="2847" width="13.140625" style="65" customWidth="1"/>
    <col min="2848" max="2849" width="14.42578125" style="65" bestFit="1" customWidth="1"/>
    <col min="2850" max="2851" width="9.140625" style="65" customWidth="1"/>
    <col min="2852" max="2852" width="9.5703125" style="65" customWidth="1"/>
    <col min="2853" max="2854" width="9.5703125" style="65" bestFit="1" customWidth="1"/>
    <col min="2855" max="2856" width="10.140625" style="65" bestFit="1" customWidth="1"/>
    <col min="2857" max="2857" width="9.5703125" style="65" bestFit="1" customWidth="1"/>
    <col min="2858" max="2858" width="9.5703125" style="65" customWidth="1"/>
    <col min="2859" max="2859" width="9" style="65" customWidth="1"/>
    <col min="2860" max="2860" width="10.5703125" style="65" bestFit="1" customWidth="1"/>
    <col min="2861" max="2861" width="11.42578125" style="65" bestFit="1" customWidth="1"/>
    <col min="2862" max="2862" width="18" style="65" bestFit="1" customWidth="1"/>
    <col min="2863" max="3080" width="9.140625" style="65"/>
    <col min="3081" max="3081" width="41" style="65" customWidth="1"/>
    <col min="3082" max="3082" width="19.5703125" style="65" bestFit="1" customWidth="1"/>
    <col min="3083" max="3083" width="10.140625" style="65" customWidth="1"/>
    <col min="3084" max="3084" width="10.42578125" style="65" bestFit="1" customWidth="1"/>
    <col min="3085" max="3085" width="11.28515625" style="65" customWidth="1"/>
    <col min="3086" max="3086" width="9.42578125" style="65" customWidth="1"/>
    <col min="3087" max="3087" width="10.140625" style="65" bestFit="1" customWidth="1"/>
    <col min="3088" max="3089" width="9.140625" style="65"/>
    <col min="3090" max="3090" width="7.28515625" style="65" customWidth="1"/>
    <col min="3091" max="3096" width="7.42578125" style="65" customWidth="1"/>
    <col min="3097" max="3097" width="9.42578125" style="65" bestFit="1" customWidth="1"/>
    <col min="3098" max="3098" width="12" style="65" bestFit="1" customWidth="1"/>
    <col min="3099" max="3100" width="12" style="65" customWidth="1"/>
    <col min="3101" max="3101" width="13.140625" style="65" bestFit="1" customWidth="1"/>
    <col min="3102" max="3103" width="13.140625" style="65" customWidth="1"/>
    <col min="3104" max="3105" width="14.42578125" style="65" bestFit="1" customWidth="1"/>
    <col min="3106" max="3107" width="9.140625" style="65" customWidth="1"/>
    <col min="3108" max="3108" width="9.5703125" style="65" customWidth="1"/>
    <col min="3109" max="3110" width="9.5703125" style="65" bestFit="1" customWidth="1"/>
    <col min="3111" max="3112" width="10.140625" style="65" bestFit="1" customWidth="1"/>
    <col min="3113" max="3113" width="9.5703125" style="65" bestFit="1" customWidth="1"/>
    <col min="3114" max="3114" width="9.5703125" style="65" customWidth="1"/>
    <col min="3115" max="3115" width="9" style="65" customWidth="1"/>
    <col min="3116" max="3116" width="10.5703125" style="65" bestFit="1" customWidth="1"/>
    <col min="3117" max="3117" width="11.42578125" style="65" bestFit="1" customWidth="1"/>
    <col min="3118" max="3118" width="18" style="65" bestFit="1" customWidth="1"/>
    <col min="3119" max="3336" width="9.140625" style="65"/>
    <col min="3337" max="3337" width="41" style="65" customWidth="1"/>
    <col min="3338" max="3338" width="19.5703125" style="65" bestFit="1" customWidth="1"/>
    <col min="3339" max="3339" width="10.140625" style="65" customWidth="1"/>
    <col min="3340" max="3340" width="10.42578125" style="65" bestFit="1" customWidth="1"/>
    <col min="3341" max="3341" width="11.28515625" style="65" customWidth="1"/>
    <col min="3342" max="3342" width="9.42578125" style="65" customWidth="1"/>
    <col min="3343" max="3343" width="10.140625" style="65" bestFit="1" customWidth="1"/>
    <col min="3344" max="3345" width="9.140625" style="65"/>
    <col min="3346" max="3346" width="7.28515625" style="65" customWidth="1"/>
    <col min="3347" max="3352" width="7.42578125" style="65" customWidth="1"/>
    <col min="3353" max="3353" width="9.42578125" style="65" bestFit="1" customWidth="1"/>
    <col min="3354" max="3354" width="12" style="65" bestFit="1" customWidth="1"/>
    <col min="3355" max="3356" width="12" style="65" customWidth="1"/>
    <col min="3357" max="3357" width="13.140625" style="65" bestFit="1" customWidth="1"/>
    <col min="3358" max="3359" width="13.140625" style="65" customWidth="1"/>
    <col min="3360" max="3361" width="14.42578125" style="65" bestFit="1" customWidth="1"/>
    <col min="3362" max="3363" width="9.140625" style="65" customWidth="1"/>
    <col min="3364" max="3364" width="9.5703125" style="65" customWidth="1"/>
    <col min="3365" max="3366" width="9.5703125" style="65" bestFit="1" customWidth="1"/>
    <col min="3367" max="3368" width="10.140625" style="65" bestFit="1" customWidth="1"/>
    <col min="3369" max="3369" width="9.5703125" style="65" bestFit="1" customWidth="1"/>
    <col min="3370" max="3370" width="9.5703125" style="65" customWidth="1"/>
    <col min="3371" max="3371" width="9" style="65" customWidth="1"/>
    <col min="3372" max="3372" width="10.5703125" style="65" bestFit="1" customWidth="1"/>
    <col min="3373" max="3373" width="11.42578125" style="65" bestFit="1" customWidth="1"/>
    <col min="3374" max="3374" width="18" style="65" bestFit="1" customWidth="1"/>
    <col min="3375" max="3592" width="9.140625" style="65"/>
    <col min="3593" max="3593" width="41" style="65" customWidth="1"/>
    <col min="3594" max="3594" width="19.5703125" style="65" bestFit="1" customWidth="1"/>
    <col min="3595" max="3595" width="10.140625" style="65" customWidth="1"/>
    <col min="3596" max="3596" width="10.42578125" style="65" bestFit="1" customWidth="1"/>
    <col min="3597" max="3597" width="11.28515625" style="65" customWidth="1"/>
    <col min="3598" max="3598" width="9.42578125" style="65" customWidth="1"/>
    <col min="3599" max="3599" width="10.140625" style="65" bestFit="1" customWidth="1"/>
    <col min="3600" max="3601" width="9.140625" style="65"/>
    <col min="3602" max="3602" width="7.28515625" style="65" customWidth="1"/>
    <col min="3603" max="3608" width="7.42578125" style="65" customWidth="1"/>
    <col min="3609" max="3609" width="9.42578125" style="65" bestFit="1" customWidth="1"/>
    <col min="3610" max="3610" width="12" style="65" bestFit="1" customWidth="1"/>
    <col min="3611" max="3612" width="12" style="65" customWidth="1"/>
    <col min="3613" max="3613" width="13.140625" style="65" bestFit="1" customWidth="1"/>
    <col min="3614" max="3615" width="13.140625" style="65" customWidth="1"/>
    <col min="3616" max="3617" width="14.42578125" style="65" bestFit="1" customWidth="1"/>
    <col min="3618" max="3619" width="9.140625" style="65" customWidth="1"/>
    <col min="3620" max="3620" width="9.5703125" style="65" customWidth="1"/>
    <col min="3621" max="3622" width="9.5703125" style="65" bestFit="1" customWidth="1"/>
    <col min="3623" max="3624" width="10.140625" style="65" bestFit="1" customWidth="1"/>
    <col min="3625" max="3625" width="9.5703125" style="65" bestFit="1" customWidth="1"/>
    <col min="3626" max="3626" width="9.5703125" style="65" customWidth="1"/>
    <col min="3627" max="3627" width="9" style="65" customWidth="1"/>
    <col min="3628" max="3628" width="10.5703125" style="65" bestFit="1" customWidth="1"/>
    <col min="3629" max="3629" width="11.42578125" style="65" bestFit="1" customWidth="1"/>
    <col min="3630" max="3630" width="18" style="65" bestFit="1" customWidth="1"/>
    <col min="3631" max="3848" width="9.140625" style="65"/>
    <col min="3849" max="3849" width="41" style="65" customWidth="1"/>
    <col min="3850" max="3850" width="19.5703125" style="65" bestFit="1" customWidth="1"/>
    <col min="3851" max="3851" width="10.140625" style="65" customWidth="1"/>
    <col min="3852" max="3852" width="10.42578125" style="65" bestFit="1" customWidth="1"/>
    <col min="3853" max="3853" width="11.28515625" style="65" customWidth="1"/>
    <col min="3854" max="3854" width="9.42578125" style="65" customWidth="1"/>
    <col min="3855" max="3855" width="10.140625" style="65" bestFit="1" customWidth="1"/>
    <col min="3856" max="3857" width="9.140625" style="65"/>
    <col min="3858" max="3858" width="7.28515625" style="65" customWidth="1"/>
    <col min="3859" max="3864" width="7.42578125" style="65" customWidth="1"/>
    <col min="3865" max="3865" width="9.42578125" style="65" bestFit="1" customWidth="1"/>
    <col min="3866" max="3866" width="12" style="65" bestFit="1" customWidth="1"/>
    <col min="3867" max="3868" width="12" style="65" customWidth="1"/>
    <col min="3869" max="3869" width="13.140625" style="65" bestFit="1" customWidth="1"/>
    <col min="3870" max="3871" width="13.140625" style="65" customWidth="1"/>
    <col min="3872" max="3873" width="14.42578125" style="65" bestFit="1" customWidth="1"/>
    <col min="3874" max="3875" width="9.140625" style="65" customWidth="1"/>
    <col min="3876" max="3876" width="9.5703125" style="65" customWidth="1"/>
    <col min="3877" max="3878" width="9.5703125" style="65" bestFit="1" customWidth="1"/>
    <col min="3879" max="3880" width="10.140625" style="65" bestFit="1" customWidth="1"/>
    <col min="3881" max="3881" width="9.5703125" style="65" bestFit="1" customWidth="1"/>
    <col min="3882" max="3882" width="9.5703125" style="65" customWidth="1"/>
    <col min="3883" max="3883" width="9" style="65" customWidth="1"/>
    <col min="3884" max="3884" width="10.5703125" style="65" bestFit="1" customWidth="1"/>
    <col min="3885" max="3885" width="11.42578125" style="65" bestFit="1" customWidth="1"/>
    <col min="3886" max="3886" width="18" style="65" bestFit="1" customWidth="1"/>
    <col min="3887" max="4104" width="9.140625" style="65"/>
    <col min="4105" max="4105" width="41" style="65" customWidth="1"/>
    <col min="4106" max="4106" width="19.5703125" style="65" bestFit="1" customWidth="1"/>
    <col min="4107" max="4107" width="10.140625" style="65" customWidth="1"/>
    <col min="4108" max="4108" width="10.42578125" style="65" bestFit="1" customWidth="1"/>
    <col min="4109" max="4109" width="11.28515625" style="65" customWidth="1"/>
    <col min="4110" max="4110" width="9.42578125" style="65" customWidth="1"/>
    <col min="4111" max="4111" width="10.140625" style="65" bestFit="1" customWidth="1"/>
    <col min="4112" max="4113" width="9.140625" style="65"/>
    <col min="4114" max="4114" width="7.28515625" style="65" customWidth="1"/>
    <col min="4115" max="4120" width="7.42578125" style="65" customWidth="1"/>
    <col min="4121" max="4121" width="9.42578125" style="65" bestFit="1" customWidth="1"/>
    <col min="4122" max="4122" width="12" style="65" bestFit="1" customWidth="1"/>
    <col min="4123" max="4124" width="12" style="65" customWidth="1"/>
    <col min="4125" max="4125" width="13.140625" style="65" bestFit="1" customWidth="1"/>
    <col min="4126" max="4127" width="13.140625" style="65" customWidth="1"/>
    <col min="4128" max="4129" width="14.42578125" style="65" bestFit="1" customWidth="1"/>
    <col min="4130" max="4131" width="9.140625" style="65" customWidth="1"/>
    <col min="4132" max="4132" width="9.5703125" style="65" customWidth="1"/>
    <col min="4133" max="4134" width="9.5703125" style="65" bestFit="1" customWidth="1"/>
    <col min="4135" max="4136" width="10.140625" style="65" bestFit="1" customWidth="1"/>
    <col min="4137" max="4137" width="9.5703125" style="65" bestFit="1" customWidth="1"/>
    <col min="4138" max="4138" width="9.5703125" style="65" customWidth="1"/>
    <col min="4139" max="4139" width="9" style="65" customWidth="1"/>
    <col min="4140" max="4140" width="10.5703125" style="65" bestFit="1" customWidth="1"/>
    <col min="4141" max="4141" width="11.42578125" style="65" bestFit="1" customWidth="1"/>
    <col min="4142" max="4142" width="18" style="65" bestFit="1" customWidth="1"/>
    <col min="4143" max="4360" width="9.140625" style="65"/>
    <col min="4361" max="4361" width="41" style="65" customWidth="1"/>
    <col min="4362" max="4362" width="19.5703125" style="65" bestFit="1" customWidth="1"/>
    <col min="4363" max="4363" width="10.140625" style="65" customWidth="1"/>
    <col min="4364" max="4364" width="10.42578125" style="65" bestFit="1" customWidth="1"/>
    <col min="4365" max="4365" width="11.28515625" style="65" customWidth="1"/>
    <col min="4366" max="4366" width="9.42578125" style="65" customWidth="1"/>
    <col min="4367" max="4367" width="10.140625" style="65" bestFit="1" customWidth="1"/>
    <col min="4368" max="4369" width="9.140625" style="65"/>
    <col min="4370" max="4370" width="7.28515625" style="65" customWidth="1"/>
    <col min="4371" max="4376" width="7.42578125" style="65" customWidth="1"/>
    <col min="4377" max="4377" width="9.42578125" style="65" bestFit="1" customWidth="1"/>
    <col min="4378" max="4378" width="12" style="65" bestFit="1" customWidth="1"/>
    <col min="4379" max="4380" width="12" style="65" customWidth="1"/>
    <col min="4381" max="4381" width="13.140625" style="65" bestFit="1" customWidth="1"/>
    <col min="4382" max="4383" width="13.140625" style="65" customWidth="1"/>
    <col min="4384" max="4385" width="14.42578125" style="65" bestFit="1" customWidth="1"/>
    <col min="4386" max="4387" width="9.140625" style="65" customWidth="1"/>
    <col min="4388" max="4388" width="9.5703125" style="65" customWidth="1"/>
    <col min="4389" max="4390" width="9.5703125" style="65" bestFit="1" customWidth="1"/>
    <col min="4391" max="4392" width="10.140625" style="65" bestFit="1" customWidth="1"/>
    <col min="4393" max="4393" width="9.5703125" style="65" bestFit="1" customWidth="1"/>
    <col min="4394" max="4394" width="9.5703125" style="65" customWidth="1"/>
    <col min="4395" max="4395" width="9" style="65" customWidth="1"/>
    <col min="4396" max="4396" width="10.5703125" style="65" bestFit="1" customWidth="1"/>
    <col min="4397" max="4397" width="11.42578125" style="65" bestFit="1" customWidth="1"/>
    <col min="4398" max="4398" width="18" style="65" bestFit="1" customWidth="1"/>
    <col min="4399" max="4616" width="9.140625" style="65"/>
    <col min="4617" max="4617" width="41" style="65" customWidth="1"/>
    <col min="4618" max="4618" width="19.5703125" style="65" bestFit="1" customWidth="1"/>
    <col min="4619" max="4619" width="10.140625" style="65" customWidth="1"/>
    <col min="4620" max="4620" width="10.42578125" style="65" bestFit="1" customWidth="1"/>
    <col min="4621" max="4621" width="11.28515625" style="65" customWidth="1"/>
    <col min="4622" max="4622" width="9.42578125" style="65" customWidth="1"/>
    <col min="4623" max="4623" width="10.140625" style="65" bestFit="1" customWidth="1"/>
    <col min="4624" max="4625" width="9.140625" style="65"/>
    <col min="4626" max="4626" width="7.28515625" style="65" customWidth="1"/>
    <col min="4627" max="4632" width="7.42578125" style="65" customWidth="1"/>
    <col min="4633" max="4633" width="9.42578125" style="65" bestFit="1" customWidth="1"/>
    <col min="4634" max="4634" width="12" style="65" bestFit="1" customWidth="1"/>
    <col min="4635" max="4636" width="12" style="65" customWidth="1"/>
    <col min="4637" max="4637" width="13.140625" style="65" bestFit="1" customWidth="1"/>
    <col min="4638" max="4639" width="13.140625" style="65" customWidth="1"/>
    <col min="4640" max="4641" width="14.42578125" style="65" bestFit="1" customWidth="1"/>
    <col min="4642" max="4643" width="9.140625" style="65" customWidth="1"/>
    <col min="4644" max="4644" width="9.5703125" style="65" customWidth="1"/>
    <col min="4645" max="4646" width="9.5703125" style="65" bestFit="1" customWidth="1"/>
    <col min="4647" max="4648" width="10.140625" style="65" bestFit="1" customWidth="1"/>
    <col min="4649" max="4649" width="9.5703125" style="65" bestFit="1" customWidth="1"/>
    <col min="4650" max="4650" width="9.5703125" style="65" customWidth="1"/>
    <col min="4651" max="4651" width="9" style="65" customWidth="1"/>
    <col min="4652" max="4652" width="10.5703125" style="65" bestFit="1" customWidth="1"/>
    <col min="4653" max="4653" width="11.42578125" style="65" bestFit="1" customWidth="1"/>
    <col min="4654" max="4654" width="18" style="65" bestFit="1" customWidth="1"/>
    <col min="4655" max="4872" width="9.140625" style="65"/>
    <col min="4873" max="4873" width="41" style="65" customWidth="1"/>
    <col min="4874" max="4874" width="19.5703125" style="65" bestFit="1" customWidth="1"/>
    <col min="4875" max="4875" width="10.140625" style="65" customWidth="1"/>
    <col min="4876" max="4876" width="10.42578125" style="65" bestFit="1" customWidth="1"/>
    <col min="4877" max="4877" width="11.28515625" style="65" customWidth="1"/>
    <col min="4878" max="4878" width="9.42578125" style="65" customWidth="1"/>
    <col min="4879" max="4879" width="10.140625" style="65" bestFit="1" customWidth="1"/>
    <col min="4880" max="4881" width="9.140625" style="65"/>
    <col min="4882" max="4882" width="7.28515625" style="65" customWidth="1"/>
    <col min="4883" max="4888" width="7.42578125" style="65" customWidth="1"/>
    <col min="4889" max="4889" width="9.42578125" style="65" bestFit="1" customWidth="1"/>
    <col min="4890" max="4890" width="12" style="65" bestFit="1" customWidth="1"/>
    <col min="4891" max="4892" width="12" style="65" customWidth="1"/>
    <col min="4893" max="4893" width="13.140625" style="65" bestFit="1" customWidth="1"/>
    <col min="4894" max="4895" width="13.140625" style="65" customWidth="1"/>
    <col min="4896" max="4897" width="14.42578125" style="65" bestFit="1" customWidth="1"/>
    <col min="4898" max="4899" width="9.140625" style="65" customWidth="1"/>
    <col min="4900" max="4900" width="9.5703125" style="65" customWidth="1"/>
    <col min="4901" max="4902" width="9.5703125" style="65" bestFit="1" customWidth="1"/>
    <col min="4903" max="4904" width="10.140625" style="65" bestFit="1" customWidth="1"/>
    <col min="4905" max="4905" width="9.5703125" style="65" bestFit="1" customWidth="1"/>
    <col min="4906" max="4906" width="9.5703125" style="65" customWidth="1"/>
    <col min="4907" max="4907" width="9" style="65" customWidth="1"/>
    <col min="4908" max="4908" width="10.5703125" style="65" bestFit="1" customWidth="1"/>
    <col min="4909" max="4909" width="11.42578125" style="65" bestFit="1" customWidth="1"/>
    <col min="4910" max="4910" width="18" style="65" bestFit="1" customWidth="1"/>
    <col min="4911" max="5128" width="9.140625" style="65"/>
    <col min="5129" max="5129" width="41" style="65" customWidth="1"/>
    <col min="5130" max="5130" width="19.5703125" style="65" bestFit="1" customWidth="1"/>
    <col min="5131" max="5131" width="10.140625" style="65" customWidth="1"/>
    <col min="5132" max="5132" width="10.42578125" style="65" bestFit="1" customWidth="1"/>
    <col min="5133" max="5133" width="11.28515625" style="65" customWidth="1"/>
    <col min="5134" max="5134" width="9.42578125" style="65" customWidth="1"/>
    <col min="5135" max="5135" width="10.140625" style="65" bestFit="1" customWidth="1"/>
    <col min="5136" max="5137" width="9.140625" style="65"/>
    <col min="5138" max="5138" width="7.28515625" style="65" customWidth="1"/>
    <col min="5139" max="5144" width="7.42578125" style="65" customWidth="1"/>
    <col min="5145" max="5145" width="9.42578125" style="65" bestFit="1" customWidth="1"/>
    <col min="5146" max="5146" width="12" style="65" bestFit="1" customWidth="1"/>
    <col min="5147" max="5148" width="12" style="65" customWidth="1"/>
    <col min="5149" max="5149" width="13.140625" style="65" bestFit="1" customWidth="1"/>
    <col min="5150" max="5151" width="13.140625" style="65" customWidth="1"/>
    <col min="5152" max="5153" width="14.42578125" style="65" bestFit="1" customWidth="1"/>
    <col min="5154" max="5155" width="9.140625" style="65" customWidth="1"/>
    <col min="5156" max="5156" width="9.5703125" style="65" customWidth="1"/>
    <col min="5157" max="5158" width="9.5703125" style="65" bestFit="1" customWidth="1"/>
    <col min="5159" max="5160" width="10.140625" style="65" bestFit="1" customWidth="1"/>
    <col min="5161" max="5161" width="9.5703125" style="65" bestFit="1" customWidth="1"/>
    <col min="5162" max="5162" width="9.5703125" style="65" customWidth="1"/>
    <col min="5163" max="5163" width="9" style="65" customWidth="1"/>
    <col min="5164" max="5164" width="10.5703125" style="65" bestFit="1" customWidth="1"/>
    <col min="5165" max="5165" width="11.42578125" style="65" bestFit="1" customWidth="1"/>
    <col min="5166" max="5166" width="18" style="65" bestFit="1" customWidth="1"/>
    <col min="5167" max="5384" width="9.140625" style="65"/>
    <col min="5385" max="5385" width="41" style="65" customWidth="1"/>
    <col min="5386" max="5386" width="19.5703125" style="65" bestFit="1" customWidth="1"/>
    <col min="5387" max="5387" width="10.140625" style="65" customWidth="1"/>
    <col min="5388" max="5388" width="10.42578125" style="65" bestFit="1" customWidth="1"/>
    <col min="5389" max="5389" width="11.28515625" style="65" customWidth="1"/>
    <col min="5390" max="5390" width="9.42578125" style="65" customWidth="1"/>
    <col min="5391" max="5391" width="10.140625" style="65" bestFit="1" customWidth="1"/>
    <col min="5392" max="5393" width="9.140625" style="65"/>
    <col min="5394" max="5394" width="7.28515625" style="65" customWidth="1"/>
    <col min="5395" max="5400" width="7.42578125" style="65" customWidth="1"/>
    <col min="5401" max="5401" width="9.42578125" style="65" bestFit="1" customWidth="1"/>
    <col min="5402" max="5402" width="12" style="65" bestFit="1" customWidth="1"/>
    <col min="5403" max="5404" width="12" style="65" customWidth="1"/>
    <col min="5405" max="5405" width="13.140625" style="65" bestFit="1" customWidth="1"/>
    <col min="5406" max="5407" width="13.140625" style="65" customWidth="1"/>
    <col min="5408" max="5409" width="14.42578125" style="65" bestFit="1" customWidth="1"/>
    <col min="5410" max="5411" width="9.140625" style="65" customWidth="1"/>
    <col min="5412" max="5412" width="9.5703125" style="65" customWidth="1"/>
    <col min="5413" max="5414" width="9.5703125" style="65" bestFit="1" customWidth="1"/>
    <col min="5415" max="5416" width="10.140625" style="65" bestFit="1" customWidth="1"/>
    <col min="5417" max="5417" width="9.5703125" style="65" bestFit="1" customWidth="1"/>
    <col min="5418" max="5418" width="9.5703125" style="65" customWidth="1"/>
    <col min="5419" max="5419" width="9" style="65" customWidth="1"/>
    <col min="5420" max="5420" width="10.5703125" style="65" bestFit="1" customWidth="1"/>
    <col min="5421" max="5421" width="11.42578125" style="65" bestFit="1" customWidth="1"/>
    <col min="5422" max="5422" width="18" style="65" bestFit="1" customWidth="1"/>
    <col min="5423" max="5640" width="9.140625" style="65"/>
    <col min="5641" max="5641" width="41" style="65" customWidth="1"/>
    <col min="5642" max="5642" width="19.5703125" style="65" bestFit="1" customWidth="1"/>
    <col min="5643" max="5643" width="10.140625" style="65" customWidth="1"/>
    <col min="5644" max="5644" width="10.42578125" style="65" bestFit="1" customWidth="1"/>
    <col min="5645" max="5645" width="11.28515625" style="65" customWidth="1"/>
    <col min="5646" max="5646" width="9.42578125" style="65" customWidth="1"/>
    <col min="5647" max="5647" width="10.140625" style="65" bestFit="1" customWidth="1"/>
    <col min="5648" max="5649" width="9.140625" style="65"/>
    <col min="5650" max="5650" width="7.28515625" style="65" customWidth="1"/>
    <col min="5651" max="5656" width="7.42578125" style="65" customWidth="1"/>
    <col min="5657" max="5657" width="9.42578125" style="65" bestFit="1" customWidth="1"/>
    <col min="5658" max="5658" width="12" style="65" bestFit="1" customWidth="1"/>
    <col min="5659" max="5660" width="12" style="65" customWidth="1"/>
    <col min="5661" max="5661" width="13.140625" style="65" bestFit="1" customWidth="1"/>
    <col min="5662" max="5663" width="13.140625" style="65" customWidth="1"/>
    <col min="5664" max="5665" width="14.42578125" style="65" bestFit="1" customWidth="1"/>
    <col min="5666" max="5667" width="9.140625" style="65" customWidth="1"/>
    <col min="5668" max="5668" width="9.5703125" style="65" customWidth="1"/>
    <col min="5669" max="5670" width="9.5703125" style="65" bestFit="1" customWidth="1"/>
    <col min="5671" max="5672" width="10.140625" style="65" bestFit="1" customWidth="1"/>
    <col min="5673" max="5673" width="9.5703125" style="65" bestFit="1" customWidth="1"/>
    <col min="5674" max="5674" width="9.5703125" style="65" customWidth="1"/>
    <col min="5675" max="5675" width="9" style="65" customWidth="1"/>
    <col min="5676" max="5676" width="10.5703125" style="65" bestFit="1" customWidth="1"/>
    <col min="5677" max="5677" width="11.42578125" style="65" bestFit="1" customWidth="1"/>
    <col min="5678" max="5678" width="18" style="65" bestFit="1" customWidth="1"/>
    <col min="5679" max="5896" width="9.140625" style="65"/>
    <col min="5897" max="5897" width="41" style="65" customWidth="1"/>
    <col min="5898" max="5898" width="19.5703125" style="65" bestFit="1" customWidth="1"/>
    <col min="5899" max="5899" width="10.140625" style="65" customWidth="1"/>
    <col min="5900" max="5900" width="10.42578125" style="65" bestFit="1" customWidth="1"/>
    <col min="5901" max="5901" width="11.28515625" style="65" customWidth="1"/>
    <col min="5902" max="5902" width="9.42578125" style="65" customWidth="1"/>
    <col min="5903" max="5903" width="10.140625" style="65" bestFit="1" customWidth="1"/>
    <col min="5904" max="5905" width="9.140625" style="65"/>
    <col min="5906" max="5906" width="7.28515625" style="65" customWidth="1"/>
    <col min="5907" max="5912" width="7.42578125" style="65" customWidth="1"/>
    <col min="5913" max="5913" width="9.42578125" style="65" bestFit="1" customWidth="1"/>
    <col min="5914" max="5914" width="12" style="65" bestFit="1" customWidth="1"/>
    <col min="5915" max="5916" width="12" style="65" customWidth="1"/>
    <col min="5917" max="5917" width="13.140625" style="65" bestFit="1" customWidth="1"/>
    <col min="5918" max="5919" width="13.140625" style="65" customWidth="1"/>
    <col min="5920" max="5921" width="14.42578125" style="65" bestFit="1" customWidth="1"/>
    <col min="5922" max="5923" width="9.140625" style="65" customWidth="1"/>
    <col min="5924" max="5924" width="9.5703125" style="65" customWidth="1"/>
    <col min="5925" max="5926" width="9.5703125" style="65" bestFit="1" customWidth="1"/>
    <col min="5927" max="5928" width="10.140625" style="65" bestFit="1" customWidth="1"/>
    <col min="5929" max="5929" width="9.5703125" style="65" bestFit="1" customWidth="1"/>
    <col min="5930" max="5930" width="9.5703125" style="65" customWidth="1"/>
    <col min="5931" max="5931" width="9" style="65" customWidth="1"/>
    <col min="5932" max="5932" width="10.5703125" style="65" bestFit="1" customWidth="1"/>
    <col min="5933" max="5933" width="11.42578125" style="65" bestFit="1" customWidth="1"/>
    <col min="5934" max="5934" width="18" style="65" bestFit="1" customWidth="1"/>
    <col min="5935" max="6152" width="9.140625" style="65"/>
    <col min="6153" max="6153" width="41" style="65" customWidth="1"/>
    <col min="6154" max="6154" width="19.5703125" style="65" bestFit="1" customWidth="1"/>
    <col min="6155" max="6155" width="10.140625" style="65" customWidth="1"/>
    <col min="6156" max="6156" width="10.42578125" style="65" bestFit="1" customWidth="1"/>
    <col min="6157" max="6157" width="11.28515625" style="65" customWidth="1"/>
    <col min="6158" max="6158" width="9.42578125" style="65" customWidth="1"/>
    <col min="6159" max="6159" width="10.140625" style="65" bestFit="1" customWidth="1"/>
    <col min="6160" max="6161" width="9.140625" style="65"/>
    <col min="6162" max="6162" width="7.28515625" style="65" customWidth="1"/>
    <col min="6163" max="6168" width="7.42578125" style="65" customWidth="1"/>
    <col min="6169" max="6169" width="9.42578125" style="65" bestFit="1" customWidth="1"/>
    <col min="6170" max="6170" width="12" style="65" bestFit="1" customWidth="1"/>
    <col min="6171" max="6172" width="12" style="65" customWidth="1"/>
    <col min="6173" max="6173" width="13.140625" style="65" bestFit="1" customWidth="1"/>
    <col min="6174" max="6175" width="13.140625" style="65" customWidth="1"/>
    <col min="6176" max="6177" width="14.42578125" style="65" bestFit="1" customWidth="1"/>
    <col min="6178" max="6179" width="9.140625" style="65" customWidth="1"/>
    <col min="6180" max="6180" width="9.5703125" style="65" customWidth="1"/>
    <col min="6181" max="6182" width="9.5703125" style="65" bestFit="1" customWidth="1"/>
    <col min="6183" max="6184" width="10.140625" style="65" bestFit="1" customWidth="1"/>
    <col min="6185" max="6185" width="9.5703125" style="65" bestFit="1" customWidth="1"/>
    <col min="6186" max="6186" width="9.5703125" style="65" customWidth="1"/>
    <col min="6187" max="6187" width="9" style="65" customWidth="1"/>
    <col min="6188" max="6188" width="10.5703125" style="65" bestFit="1" customWidth="1"/>
    <col min="6189" max="6189" width="11.42578125" style="65" bestFit="1" customWidth="1"/>
    <col min="6190" max="6190" width="18" style="65" bestFit="1" customWidth="1"/>
    <col min="6191" max="6408" width="9.140625" style="65"/>
    <col min="6409" max="6409" width="41" style="65" customWidth="1"/>
    <col min="6410" max="6410" width="19.5703125" style="65" bestFit="1" customWidth="1"/>
    <col min="6411" max="6411" width="10.140625" style="65" customWidth="1"/>
    <col min="6412" max="6412" width="10.42578125" style="65" bestFit="1" customWidth="1"/>
    <col min="6413" max="6413" width="11.28515625" style="65" customWidth="1"/>
    <col min="6414" max="6414" width="9.42578125" style="65" customWidth="1"/>
    <col min="6415" max="6415" width="10.140625" style="65" bestFit="1" customWidth="1"/>
    <col min="6416" max="6417" width="9.140625" style="65"/>
    <col min="6418" max="6418" width="7.28515625" style="65" customWidth="1"/>
    <col min="6419" max="6424" width="7.42578125" style="65" customWidth="1"/>
    <col min="6425" max="6425" width="9.42578125" style="65" bestFit="1" customWidth="1"/>
    <col min="6426" max="6426" width="12" style="65" bestFit="1" customWidth="1"/>
    <col min="6427" max="6428" width="12" style="65" customWidth="1"/>
    <col min="6429" max="6429" width="13.140625" style="65" bestFit="1" customWidth="1"/>
    <col min="6430" max="6431" width="13.140625" style="65" customWidth="1"/>
    <col min="6432" max="6433" width="14.42578125" style="65" bestFit="1" customWidth="1"/>
    <col min="6434" max="6435" width="9.140625" style="65" customWidth="1"/>
    <col min="6436" max="6436" width="9.5703125" style="65" customWidth="1"/>
    <col min="6437" max="6438" width="9.5703125" style="65" bestFit="1" customWidth="1"/>
    <col min="6439" max="6440" width="10.140625" style="65" bestFit="1" customWidth="1"/>
    <col min="6441" max="6441" width="9.5703125" style="65" bestFit="1" customWidth="1"/>
    <col min="6442" max="6442" width="9.5703125" style="65" customWidth="1"/>
    <col min="6443" max="6443" width="9" style="65" customWidth="1"/>
    <col min="6444" max="6444" width="10.5703125" style="65" bestFit="1" customWidth="1"/>
    <col min="6445" max="6445" width="11.42578125" style="65" bestFit="1" customWidth="1"/>
    <col min="6446" max="6446" width="18" style="65" bestFit="1" customWidth="1"/>
    <col min="6447" max="6664" width="9.140625" style="65"/>
    <col min="6665" max="6665" width="41" style="65" customWidth="1"/>
    <col min="6666" max="6666" width="19.5703125" style="65" bestFit="1" customWidth="1"/>
    <col min="6667" max="6667" width="10.140625" style="65" customWidth="1"/>
    <col min="6668" max="6668" width="10.42578125" style="65" bestFit="1" customWidth="1"/>
    <col min="6669" max="6669" width="11.28515625" style="65" customWidth="1"/>
    <col min="6670" max="6670" width="9.42578125" style="65" customWidth="1"/>
    <col min="6671" max="6671" width="10.140625" style="65" bestFit="1" customWidth="1"/>
    <col min="6672" max="6673" width="9.140625" style="65"/>
    <col min="6674" max="6674" width="7.28515625" style="65" customWidth="1"/>
    <col min="6675" max="6680" width="7.42578125" style="65" customWidth="1"/>
    <col min="6681" max="6681" width="9.42578125" style="65" bestFit="1" customWidth="1"/>
    <col min="6682" max="6682" width="12" style="65" bestFit="1" customWidth="1"/>
    <col min="6683" max="6684" width="12" style="65" customWidth="1"/>
    <col min="6685" max="6685" width="13.140625" style="65" bestFit="1" customWidth="1"/>
    <col min="6686" max="6687" width="13.140625" style="65" customWidth="1"/>
    <col min="6688" max="6689" width="14.42578125" style="65" bestFit="1" customWidth="1"/>
    <col min="6690" max="6691" width="9.140625" style="65" customWidth="1"/>
    <col min="6692" max="6692" width="9.5703125" style="65" customWidth="1"/>
    <col min="6693" max="6694" width="9.5703125" style="65" bestFit="1" customWidth="1"/>
    <col min="6695" max="6696" width="10.140625" style="65" bestFit="1" customWidth="1"/>
    <col min="6697" max="6697" width="9.5703125" style="65" bestFit="1" customWidth="1"/>
    <col min="6698" max="6698" width="9.5703125" style="65" customWidth="1"/>
    <col min="6699" max="6699" width="9" style="65" customWidth="1"/>
    <col min="6700" max="6700" width="10.5703125" style="65" bestFit="1" customWidth="1"/>
    <col min="6701" max="6701" width="11.42578125" style="65" bestFit="1" customWidth="1"/>
    <col min="6702" max="6702" width="18" style="65" bestFit="1" customWidth="1"/>
    <col min="6703" max="6920" width="9.140625" style="65"/>
    <col min="6921" max="6921" width="41" style="65" customWidth="1"/>
    <col min="6922" max="6922" width="19.5703125" style="65" bestFit="1" customWidth="1"/>
    <col min="6923" max="6923" width="10.140625" style="65" customWidth="1"/>
    <col min="6924" max="6924" width="10.42578125" style="65" bestFit="1" customWidth="1"/>
    <col min="6925" max="6925" width="11.28515625" style="65" customWidth="1"/>
    <col min="6926" max="6926" width="9.42578125" style="65" customWidth="1"/>
    <col min="6927" max="6927" width="10.140625" style="65" bestFit="1" customWidth="1"/>
    <col min="6928" max="6929" width="9.140625" style="65"/>
    <col min="6930" max="6930" width="7.28515625" style="65" customWidth="1"/>
    <col min="6931" max="6936" width="7.42578125" style="65" customWidth="1"/>
    <col min="6937" max="6937" width="9.42578125" style="65" bestFit="1" customWidth="1"/>
    <col min="6938" max="6938" width="12" style="65" bestFit="1" customWidth="1"/>
    <col min="6939" max="6940" width="12" style="65" customWidth="1"/>
    <col min="6941" max="6941" width="13.140625" style="65" bestFit="1" customWidth="1"/>
    <col min="6942" max="6943" width="13.140625" style="65" customWidth="1"/>
    <col min="6944" max="6945" width="14.42578125" style="65" bestFit="1" customWidth="1"/>
    <col min="6946" max="6947" width="9.140625" style="65" customWidth="1"/>
    <col min="6948" max="6948" width="9.5703125" style="65" customWidth="1"/>
    <col min="6949" max="6950" width="9.5703125" style="65" bestFit="1" customWidth="1"/>
    <col min="6951" max="6952" width="10.140625" style="65" bestFit="1" customWidth="1"/>
    <col min="6953" max="6953" width="9.5703125" style="65" bestFit="1" customWidth="1"/>
    <col min="6954" max="6954" width="9.5703125" style="65" customWidth="1"/>
    <col min="6955" max="6955" width="9" style="65" customWidth="1"/>
    <col min="6956" max="6956" width="10.5703125" style="65" bestFit="1" customWidth="1"/>
    <col min="6957" max="6957" width="11.42578125" style="65" bestFit="1" customWidth="1"/>
    <col min="6958" max="6958" width="18" style="65" bestFit="1" customWidth="1"/>
    <col min="6959" max="7176" width="9.140625" style="65"/>
    <col min="7177" max="7177" width="41" style="65" customWidth="1"/>
    <col min="7178" max="7178" width="19.5703125" style="65" bestFit="1" customWidth="1"/>
    <col min="7179" max="7179" width="10.140625" style="65" customWidth="1"/>
    <col min="7180" max="7180" width="10.42578125" style="65" bestFit="1" customWidth="1"/>
    <col min="7181" max="7181" width="11.28515625" style="65" customWidth="1"/>
    <col min="7182" max="7182" width="9.42578125" style="65" customWidth="1"/>
    <col min="7183" max="7183" width="10.140625" style="65" bestFit="1" customWidth="1"/>
    <col min="7184" max="7185" width="9.140625" style="65"/>
    <col min="7186" max="7186" width="7.28515625" style="65" customWidth="1"/>
    <col min="7187" max="7192" width="7.42578125" style="65" customWidth="1"/>
    <col min="7193" max="7193" width="9.42578125" style="65" bestFit="1" customWidth="1"/>
    <col min="7194" max="7194" width="12" style="65" bestFit="1" customWidth="1"/>
    <col min="7195" max="7196" width="12" style="65" customWidth="1"/>
    <col min="7197" max="7197" width="13.140625" style="65" bestFit="1" customWidth="1"/>
    <col min="7198" max="7199" width="13.140625" style="65" customWidth="1"/>
    <col min="7200" max="7201" width="14.42578125" style="65" bestFit="1" customWidth="1"/>
    <col min="7202" max="7203" width="9.140625" style="65" customWidth="1"/>
    <col min="7204" max="7204" width="9.5703125" style="65" customWidth="1"/>
    <col min="7205" max="7206" width="9.5703125" style="65" bestFit="1" customWidth="1"/>
    <col min="7207" max="7208" width="10.140625" style="65" bestFit="1" customWidth="1"/>
    <col min="7209" max="7209" width="9.5703125" style="65" bestFit="1" customWidth="1"/>
    <col min="7210" max="7210" width="9.5703125" style="65" customWidth="1"/>
    <col min="7211" max="7211" width="9" style="65" customWidth="1"/>
    <col min="7212" max="7212" width="10.5703125" style="65" bestFit="1" customWidth="1"/>
    <col min="7213" max="7213" width="11.42578125" style="65" bestFit="1" customWidth="1"/>
    <col min="7214" max="7214" width="18" style="65" bestFit="1" customWidth="1"/>
    <col min="7215" max="7432" width="9.140625" style="65"/>
    <col min="7433" max="7433" width="41" style="65" customWidth="1"/>
    <col min="7434" max="7434" width="19.5703125" style="65" bestFit="1" customWidth="1"/>
    <col min="7435" max="7435" width="10.140625" style="65" customWidth="1"/>
    <col min="7436" max="7436" width="10.42578125" style="65" bestFit="1" customWidth="1"/>
    <col min="7437" max="7437" width="11.28515625" style="65" customWidth="1"/>
    <col min="7438" max="7438" width="9.42578125" style="65" customWidth="1"/>
    <col min="7439" max="7439" width="10.140625" style="65" bestFit="1" customWidth="1"/>
    <col min="7440" max="7441" width="9.140625" style="65"/>
    <col min="7442" max="7442" width="7.28515625" style="65" customWidth="1"/>
    <col min="7443" max="7448" width="7.42578125" style="65" customWidth="1"/>
    <col min="7449" max="7449" width="9.42578125" style="65" bestFit="1" customWidth="1"/>
    <col min="7450" max="7450" width="12" style="65" bestFit="1" customWidth="1"/>
    <col min="7451" max="7452" width="12" style="65" customWidth="1"/>
    <col min="7453" max="7453" width="13.140625" style="65" bestFit="1" customWidth="1"/>
    <col min="7454" max="7455" width="13.140625" style="65" customWidth="1"/>
    <col min="7456" max="7457" width="14.42578125" style="65" bestFit="1" customWidth="1"/>
    <col min="7458" max="7459" width="9.140625" style="65" customWidth="1"/>
    <col min="7460" max="7460" width="9.5703125" style="65" customWidth="1"/>
    <col min="7461" max="7462" width="9.5703125" style="65" bestFit="1" customWidth="1"/>
    <col min="7463" max="7464" width="10.140625" style="65" bestFit="1" customWidth="1"/>
    <col min="7465" max="7465" width="9.5703125" style="65" bestFit="1" customWidth="1"/>
    <col min="7466" max="7466" width="9.5703125" style="65" customWidth="1"/>
    <col min="7467" max="7467" width="9" style="65" customWidth="1"/>
    <col min="7468" max="7468" width="10.5703125" style="65" bestFit="1" customWidth="1"/>
    <col min="7469" max="7469" width="11.42578125" style="65" bestFit="1" customWidth="1"/>
    <col min="7470" max="7470" width="18" style="65" bestFit="1" customWidth="1"/>
    <col min="7471" max="7688" width="9.140625" style="65"/>
    <col min="7689" max="7689" width="41" style="65" customWidth="1"/>
    <col min="7690" max="7690" width="19.5703125" style="65" bestFit="1" customWidth="1"/>
    <col min="7691" max="7691" width="10.140625" style="65" customWidth="1"/>
    <col min="7692" max="7692" width="10.42578125" style="65" bestFit="1" customWidth="1"/>
    <col min="7693" max="7693" width="11.28515625" style="65" customWidth="1"/>
    <col min="7694" max="7694" width="9.42578125" style="65" customWidth="1"/>
    <col min="7695" max="7695" width="10.140625" style="65" bestFit="1" customWidth="1"/>
    <col min="7696" max="7697" width="9.140625" style="65"/>
    <col min="7698" max="7698" width="7.28515625" style="65" customWidth="1"/>
    <col min="7699" max="7704" width="7.42578125" style="65" customWidth="1"/>
    <col min="7705" max="7705" width="9.42578125" style="65" bestFit="1" customWidth="1"/>
    <col min="7706" max="7706" width="12" style="65" bestFit="1" customWidth="1"/>
    <col min="7707" max="7708" width="12" style="65" customWidth="1"/>
    <col min="7709" max="7709" width="13.140625" style="65" bestFit="1" customWidth="1"/>
    <col min="7710" max="7711" width="13.140625" style="65" customWidth="1"/>
    <col min="7712" max="7713" width="14.42578125" style="65" bestFit="1" customWidth="1"/>
    <col min="7714" max="7715" width="9.140625" style="65" customWidth="1"/>
    <col min="7716" max="7716" width="9.5703125" style="65" customWidth="1"/>
    <col min="7717" max="7718" width="9.5703125" style="65" bestFit="1" customWidth="1"/>
    <col min="7719" max="7720" width="10.140625" style="65" bestFit="1" customWidth="1"/>
    <col min="7721" max="7721" width="9.5703125" style="65" bestFit="1" customWidth="1"/>
    <col min="7722" max="7722" width="9.5703125" style="65" customWidth="1"/>
    <col min="7723" max="7723" width="9" style="65" customWidth="1"/>
    <col min="7724" max="7724" width="10.5703125" style="65" bestFit="1" customWidth="1"/>
    <col min="7725" max="7725" width="11.42578125" style="65" bestFit="1" customWidth="1"/>
    <col min="7726" max="7726" width="18" style="65" bestFit="1" customWidth="1"/>
    <col min="7727" max="7944" width="9.140625" style="65"/>
    <col min="7945" max="7945" width="41" style="65" customWidth="1"/>
    <col min="7946" max="7946" width="19.5703125" style="65" bestFit="1" customWidth="1"/>
    <col min="7947" max="7947" width="10.140625" style="65" customWidth="1"/>
    <col min="7948" max="7948" width="10.42578125" style="65" bestFit="1" customWidth="1"/>
    <col min="7949" max="7949" width="11.28515625" style="65" customWidth="1"/>
    <col min="7950" max="7950" width="9.42578125" style="65" customWidth="1"/>
    <col min="7951" max="7951" width="10.140625" style="65" bestFit="1" customWidth="1"/>
    <col min="7952" max="7953" width="9.140625" style="65"/>
    <col min="7954" max="7954" width="7.28515625" style="65" customWidth="1"/>
    <col min="7955" max="7960" width="7.42578125" style="65" customWidth="1"/>
    <col min="7961" max="7961" width="9.42578125" style="65" bestFit="1" customWidth="1"/>
    <col min="7962" max="7962" width="12" style="65" bestFit="1" customWidth="1"/>
    <col min="7963" max="7964" width="12" style="65" customWidth="1"/>
    <col min="7965" max="7965" width="13.140625" style="65" bestFit="1" customWidth="1"/>
    <col min="7966" max="7967" width="13.140625" style="65" customWidth="1"/>
    <col min="7968" max="7969" width="14.42578125" style="65" bestFit="1" customWidth="1"/>
    <col min="7970" max="7971" width="9.140625" style="65" customWidth="1"/>
    <col min="7972" max="7972" width="9.5703125" style="65" customWidth="1"/>
    <col min="7973" max="7974" width="9.5703125" style="65" bestFit="1" customWidth="1"/>
    <col min="7975" max="7976" width="10.140625" style="65" bestFit="1" customWidth="1"/>
    <col min="7977" max="7977" width="9.5703125" style="65" bestFit="1" customWidth="1"/>
    <col min="7978" max="7978" width="9.5703125" style="65" customWidth="1"/>
    <col min="7979" max="7979" width="9" style="65" customWidth="1"/>
    <col min="7980" max="7980" width="10.5703125" style="65" bestFit="1" customWidth="1"/>
    <col min="7981" max="7981" width="11.42578125" style="65" bestFit="1" customWidth="1"/>
    <col min="7982" max="7982" width="18" style="65" bestFit="1" customWidth="1"/>
    <col min="7983" max="8200" width="9.140625" style="65"/>
    <col min="8201" max="8201" width="41" style="65" customWidth="1"/>
    <col min="8202" max="8202" width="19.5703125" style="65" bestFit="1" customWidth="1"/>
    <col min="8203" max="8203" width="10.140625" style="65" customWidth="1"/>
    <col min="8204" max="8204" width="10.42578125" style="65" bestFit="1" customWidth="1"/>
    <col min="8205" max="8205" width="11.28515625" style="65" customWidth="1"/>
    <col min="8206" max="8206" width="9.42578125" style="65" customWidth="1"/>
    <col min="8207" max="8207" width="10.140625" style="65" bestFit="1" customWidth="1"/>
    <col min="8208" max="8209" width="9.140625" style="65"/>
    <col min="8210" max="8210" width="7.28515625" style="65" customWidth="1"/>
    <col min="8211" max="8216" width="7.42578125" style="65" customWidth="1"/>
    <col min="8217" max="8217" width="9.42578125" style="65" bestFit="1" customWidth="1"/>
    <col min="8218" max="8218" width="12" style="65" bestFit="1" customWidth="1"/>
    <col min="8219" max="8220" width="12" style="65" customWidth="1"/>
    <col min="8221" max="8221" width="13.140625" style="65" bestFit="1" customWidth="1"/>
    <col min="8222" max="8223" width="13.140625" style="65" customWidth="1"/>
    <col min="8224" max="8225" width="14.42578125" style="65" bestFit="1" customWidth="1"/>
    <col min="8226" max="8227" width="9.140625" style="65" customWidth="1"/>
    <col min="8228" max="8228" width="9.5703125" style="65" customWidth="1"/>
    <col min="8229" max="8230" width="9.5703125" style="65" bestFit="1" customWidth="1"/>
    <col min="8231" max="8232" width="10.140625" style="65" bestFit="1" customWidth="1"/>
    <col min="8233" max="8233" width="9.5703125" style="65" bestFit="1" customWidth="1"/>
    <col min="8234" max="8234" width="9.5703125" style="65" customWidth="1"/>
    <col min="8235" max="8235" width="9" style="65" customWidth="1"/>
    <col min="8236" max="8236" width="10.5703125" style="65" bestFit="1" customWidth="1"/>
    <col min="8237" max="8237" width="11.42578125" style="65" bestFit="1" customWidth="1"/>
    <col min="8238" max="8238" width="18" style="65" bestFit="1" customWidth="1"/>
    <col min="8239" max="8456" width="9.140625" style="65"/>
    <col min="8457" max="8457" width="41" style="65" customWidth="1"/>
    <col min="8458" max="8458" width="19.5703125" style="65" bestFit="1" customWidth="1"/>
    <col min="8459" max="8459" width="10.140625" style="65" customWidth="1"/>
    <col min="8460" max="8460" width="10.42578125" style="65" bestFit="1" customWidth="1"/>
    <col min="8461" max="8461" width="11.28515625" style="65" customWidth="1"/>
    <col min="8462" max="8462" width="9.42578125" style="65" customWidth="1"/>
    <col min="8463" max="8463" width="10.140625" style="65" bestFit="1" customWidth="1"/>
    <col min="8464" max="8465" width="9.140625" style="65"/>
    <col min="8466" max="8466" width="7.28515625" style="65" customWidth="1"/>
    <col min="8467" max="8472" width="7.42578125" style="65" customWidth="1"/>
    <col min="8473" max="8473" width="9.42578125" style="65" bestFit="1" customWidth="1"/>
    <col min="8474" max="8474" width="12" style="65" bestFit="1" customWidth="1"/>
    <col min="8475" max="8476" width="12" style="65" customWidth="1"/>
    <col min="8477" max="8477" width="13.140625" style="65" bestFit="1" customWidth="1"/>
    <col min="8478" max="8479" width="13.140625" style="65" customWidth="1"/>
    <col min="8480" max="8481" width="14.42578125" style="65" bestFit="1" customWidth="1"/>
    <col min="8482" max="8483" width="9.140625" style="65" customWidth="1"/>
    <col min="8484" max="8484" width="9.5703125" style="65" customWidth="1"/>
    <col min="8485" max="8486" width="9.5703125" style="65" bestFit="1" customWidth="1"/>
    <col min="8487" max="8488" width="10.140625" style="65" bestFit="1" customWidth="1"/>
    <col min="8489" max="8489" width="9.5703125" style="65" bestFit="1" customWidth="1"/>
    <col min="8490" max="8490" width="9.5703125" style="65" customWidth="1"/>
    <col min="8491" max="8491" width="9" style="65" customWidth="1"/>
    <col min="8492" max="8492" width="10.5703125" style="65" bestFit="1" customWidth="1"/>
    <col min="8493" max="8493" width="11.42578125" style="65" bestFit="1" customWidth="1"/>
    <col min="8494" max="8494" width="18" style="65" bestFit="1" customWidth="1"/>
    <col min="8495" max="8712" width="9.140625" style="65"/>
    <col min="8713" max="8713" width="41" style="65" customWidth="1"/>
    <col min="8714" max="8714" width="19.5703125" style="65" bestFit="1" customWidth="1"/>
    <col min="8715" max="8715" width="10.140625" style="65" customWidth="1"/>
    <col min="8716" max="8716" width="10.42578125" style="65" bestFit="1" customWidth="1"/>
    <col min="8717" max="8717" width="11.28515625" style="65" customWidth="1"/>
    <col min="8718" max="8718" width="9.42578125" style="65" customWidth="1"/>
    <col min="8719" max="8719" width="10.140625" style="65" bestFit="1" customWidth="1"/>
    <col min="8720" max="8721" width="9.140625" style="65"/>
    <col min="8722" max="8722" width="7.28515625" style="65" customWidth="1"/>
    <col min="8723" max="8728" width="7.42578125" style="65" customWidth="1"/>
    <col min="8729" max="8729" width="9.42578125" style="65" bestFit="1" customWidth="1"/>
    <col min="8730" max="8730" width="12" style="65" bestFit="1" customWidth="1"/>
    <col min="8731" max="8732" width="12" style="65" customWidth="1"/>
    <col min="8733" max="8733" width="13.140625" style="65" bestFit="1" customWidth="1"/>
    <col min="8734" max="8735" width="13.140625" style="65" customWidth="1"/>
    <col min="8736" max="8737" width="14.42578125" style="65" bestFit="1" customWidth="1"/>
    <col min="8738" max="8739" width="9.140625" style="65" customWidth="1"/>
    <col min="8740" max="8740" width="9.5703125" style="65" customWidth="1"/>
    <col min="8741" max="8742" width="9.5703125" style="65" bestFit="1" customWidth="1"/>
    <col min="8743" max="8744" width="10.140625" style="65" bestFit="1" customWidth="1"/>
    <col min="8745" max="8745" width="9.5703125" style="65" bestFit="1" customWidth="1"/>
    <col min="8746" max="8746" width="9.5703125" style="65" customWidth="1"/>
    <col min="8747" max="8747" width="9" style="65" customWidth="1"/>
    <col min="8748" max="8748" width="10.5703125" style="65" bestFit="1" customWidth="1"/>
    <col min="8749" max="8749" width="11.42578125" style="65" bestFit="1" customWidth="1"/>
    <col min="8750" max="8750" width="18" style="65" bestFit="1" customWidth="1"/>
    <col min="8751" max="8968" width="9.140625" style="65"/>
    <col min="8969" max="8969" width="41" style="65" customWidth="1"/>
    <col min="8970" max="8970" width="19.5703125" style="65" bestFit="1" customWidth="1"/>
    <col min="8971" max="8971" width="10.140625" style="65" customWidth="1"/>
    <col min="8972" max="8972" width="10.42578125" style="65" bestFit="1" customWidth="1"/>
    <col min="8973" max="8973" width="11.28515625" style="65" customWidth="1"/>
    <col min="8974" max="8974" width="9.42578125" style="65" customWidth="1"/>
    <col min="8975" max="8975" width="10.140625" style="65" bestFit="1" customWidth="1"/>
    <col min="8976" max="8977" width="9.140625" style="65"/>
    <col min="8978" max="8978" width="7.28515625" style="65" customWidth="1"/>
    <col min="8979" max="8984" width="7.42578125" style="65" customWidth="1"/>
    <col min="8985" max="8985" width="9.42578125" style="65" bestFit="1" customWidth="1"/>
    <col min="8986" max="8986" width="12" style="65" bestFit="1" customWidth="1"/>
    <col min="8987" max="8988" width="12" style="65" customWidth="1"/>
    <col min="8989" max="8989" width="13.140625" style="65" bestFit="1" customWidth="1"/>
    <col min="8990" max="8991" width="13.140625" style="65" customWidth="1"/>
    <col min="8992" max="8993" width="14.42578125" style="65" bestFit="1" customWidth="1"/>
    <col min="8994" max="8995" width="9.140625" style="65" customWidth="1"/>
    <col min="8996" max="8996" width="9.5703125" style="65" customWidth="1"/>
    <col min="8997" max="8998" width="9.5703125" style="65" bestFit="1" customWidth="1"/>
    <col min="8999" max="9000" width="10.140625" style="65" bestFit="1" customWidth="1"/>
    <col min="9001" max="9001" width="9.5703125" style="65" bestFit="1" customWidth="1"/>
    <col min="9002" max="9002" width="9.5703125" style="65" customWidth="1"/>
    <col min="9003" max="9003" width="9" style="65" customWidth="1"/>
    <col min="9004" max="9004" width="10.5703125" style="65" bestFit="1" customWidth="1"/>
    <col min="9005" max="9005" width="11.42578125" style="65" bestFit="1" customWidth="1"/>
    <col min="9006" max="9006" width="18" style="65" bestFit="1" customWidth="1"/>
    <col min="9007" max="9224" width="9.140625" style="65"/>
    <col min="9225" max="9225" width="41" style="65" customWidth="1"/>
    <col min="9226" max="9226" width="19.5703125" style="65" bestFit="1" customWidth="1"/>
    <col min="9227" max="9227" width="10.140625" style="65" customWidth="1"/>
    <col min="9228" max="9228" width="10.42578125" style="65" bestFit="1" customWidth="1"/>
    <col min="9229" max="9229" width="11.28515625" style="65" customWidth="1"/>
    <col min="9230" max="9230" width="9.42578125" style="65" customWidth="1"/>
    <col min="9231" max="9231" width="10.140625" style="65" bestFit="1" customWidth="1"/>
    <col min="9232" max="9233" width="9.140625" style="65"/>
    <col min="9234" max="9234" width="7.28515625" style="65" customWidth="1"/>
    <col min="9235" max="9240" width="7.42578125" style="65" customWidth="1"/>
    <col min="9241" max="9241" width="9.42578125" style="65" bestFit="1" customWidth="1"/>
    <col min="9242" max="9242" width="12" style="65" bestFit="1" customWidth="1"/>
    <col min="9243" max="9244" width="12" style="65" customWidth="1"/>
    <col min="9245" max="9245" width="13.140625" style="65" bestFit="1" customWidth="1"/>
    <col min="9246" max="9247" width="13.140625" style="65" customWidth="1"/>
    <col min="9248" max="9249" width="14.42578125" style="65" bestFit="1" customWidth="1"/>
    <col min="9250" max="9251" width="9.140625" style="65" customWidth="1"/>
    <col min="9252" max="9252" width="9.5703125" style="65" customWidth="1"/>
    <col min="9253" max="9254" width="9.5703125" style="65" bestFit="1" customWidth="1"/>
    <col min="9255" max="9256" width="10.140625" style="65" bestFit="1" customWidth="1"/>
    <col min="9257" max="9257" width="9.5703125" style="65" bestFit="1" customWidth="1"/>
    <col min="9258" max="9258" width="9.5703125" style="65" customWidth="1"/>
    <col min="9259" max="9259" width="9" style="65" customWidth="1"/>
    <col min="9260" max="9260" width="10.5703125" style="65" bestFit="1" customWidth="1"/>
    <col min="9261" max="9261" width="11.42578125" style="65" bestFit="1" customWidth="1"/>
    <col min="9262" max="9262" width="18" style="65" bestFit="1" customWidth="1"/>
    <col min="9263" max="9480" width="9.140625" style="65"/>
    <col min="9481" max="9481" width="41" style="65" customWidth="1"/>
    <col min="9482" max="9482" width="19.5703125" style="65" bestFit="1" customWidth="1"/>
    <col min="9483" max="9483" width="10.140625" style="65" customWidth="1"/>
    <col min="9484" max="9484" width="10.42578125" style="65" bestFit="1" customWidth="1"/>
    <col min="9485" max="9485" width="11.28515625" style="65" customWidth="1"/>
    <col min="9486" max="9486" width="9.42578125" style="65" customWidth="1"/>
    <col min="9487" max="9487" width="10.140625" style="65" bestFit="1" customWidth="1"/>
    <col min="9488" max="9489" width="9.140625" style="65"/>
    <col min="9490" max="9490" width="7.28515625" style="65" customWidth="1"/>
    <col min="9491" max="9496" width="7.42578125" style="65" customWidth="1"/>
    <col min="9497" max="9497" width="9.42578125" style="65" bestFit="1" customWidth="1"/>
    <col min="9498" max="9498" width="12" style="65" bestFit="1" customWidth="1"/>
    <col min="9499" max="9500" width="12" style="65" customWidth="1"/>
    <col min="9501" max="9501" width="13.140625" style="65" bestFit="1" customWidth="1"/>
    <col min="9502" max="9503" width="13.140625" style="65" customWidth="1"/>
    <col min="9504" max="9505" width="14.42578125" style="65" bestFit="1" customWidth="1"/>
    <col min="9506" max="9507" width="9.140625" style="65" customWidth="1"/>
    <col min="9508" max="9508" width="9.5703125" style="65" customWidth="1"/>
    <col min="9509" max="9510" width="9.5703125" style="65" bestFit="1" customWidth="1"/>
    <col min="9511" max="9512" width="10.140625" style="65" bestFit="1" customWidth="1"/>
    <col min="9513" max="9513" width="9.5703125" style="65" bestFit="1" customWidth="1"/>
    <col min="9514" max="9514" width="9.5703125" style="65" customWidth="1"/>
    <col min="9515" max="9515" width="9" style="65" customWidth="1"/>
    <col min="9516" max="9516" width="10.5703125" style="65" bestFit="1" customWidth="1"/>
    <col min="9517" max="9517" width="11.42578125" style="65" bestFit="1" customWidth="1"/>
    <col min="9518" max="9518" width="18" style="65" bestFit="1" customWidth="1"/>
    <col min="9519" max="9736" width="9.140625" style="65"/>
    <col min="9737" max="9737" width="41" style="65" customWidth="1"/>
    <col min="9738" max="9738" width="19.5703125" style="65" bestFit="1" customWidth="1"/>
    <col min="9739" max="9739" width="10.140625" style="65" customWidth="1"/>
    <col min="9740" max="9740" width="10.42578125" style="65" bestFit="1" customWidth="1"/>
    <col min="9741" max="9741" width="11.28515625" style="65" customWidth="1"/>
    <col min="9742" max="9742" width="9.42578125" style="65" customWidth="1"/>
    <col min="9743" max="9743" width="10.140625" style="65" bestFit="1" customWidth="1"/>
    <col min="9744" max="9745" width="9.140625" style="65"/>
    <col min="9746" max="9746" width="7.28515625" style="65" customWidth="1"/>
    <col min="9747" max="9752" width="7.42578125" style="65" customWidth="1"/>
    <col min="9753" max="9753" width="9.42578125" style="65" bestFit="1" customWidth="1"/>
    <col min="9754" max="9754" width="12" style="65" bestFit="1" customWidth="1"/>
    <col min="9755" max="9756" width="12" style="65" customWidth="1"/>
    <col min="9757" max="9757" width="13.140625" style="65" bestFit="1" customWidth="1"/>
    <col min="9758" max="9759" width="13.140625" style="65" customWidth="1"/>
    <col min="9760" max="9761" width="14.42578125" style="65" bestFit="1" customWidth="1"/>
    <col min="9762" max="9763" width="9.140625" style="65" customWidth="1"/>
    <col min="9764" max="9764" width="9.5703125" style="65" customWidth="1"/>
    <col min="9765" max="9766" width="9.5703125" style="65" bestFit="1" customWidth="1"/>
    <col min="9767" max="9768" width="10.140625" style="65" bestFit="1" customWidth="1"/>
    <col min="9769" max="9769" width="9.5703125" style="65" bestFit="1" customWidth="1"/>
    <col min="9770" max="9770" width="9.5703125" style="65" customWidth="1"/>
    <col min="9771" max="9771" width="9" style="65" customWidth="1"/>
    <col min="9772" max="9772" width="10.5703125" style="65" bestFit="1" customWidth="1"/>
    <col min="9773" max="9773" width="11.42578125" style="65" bestFit="1" customWidth="1"/>
    <col min="9774" max="9774" width="18" style="65" bestFit="1" customWidth="1"/>
    <col min="9775" max="9992" width="9.140625" style="65"/>
    <col min="9993" max="9993" width="41" style="65" customWidth="1"/>
    <col min="9994" max="9994" width="19.5703125" style="65" bestFit="1" customWidth="1"/>
    <col min="9995" max="9995" width="10.140625" style="65" customWidth="1"/>
    <col min="9996" max="9996" width="10.42578125" style="65" bestFit="1" customWidth="1"/>
    <col min="9997" max="9997" width="11.28515625" style="65" customWidth="1"/>
    <col min="9998" max="9998" width="9.42578125" style="65" customWidth="1"/>
    <col min="9999" max="9999" width="10.140625" style="65" bestFit="1" customWidth="1"/>
    <col min="10000" max="10001" width="9.140625" style="65"/>
    <col min="10002" max="10002" width="7.28515625" style="65" customWidth="1"/>
    <col min="10003" max="10008" width="7.42578125" style="65" customWidth="1"/>
    <col min="10009" max="10009" width="9.42578125" style="65" bestFit="1" customWidth="1"/>
    <col min="10010" max="10010" width="12" style="65" bestFit="1" customWidth="1"/>
    <col min="10011" max="10012" width="12" style="65" customWidth="1"/>
    <col min="10013" max="10013" width="13.140625" style="65" bestFit="1" customWidth="1"/>
    <col min="10014" max="10015" width="13.140625" style="65" customWidth="1"/>
    <col min="10016" max="10017" width="14.42578125" style="65" bestFit="1" customWidth="1"/>
    <col min="10018" max="10019" width="9.140625" style="65" customWidth="1"/>
    <col min="10020" max="10020" width="9.5703125" style="65" customWidth="1"/>
    <col min="10021" max="10022" width="9.5703125" style="65" bestFit="1" customWidth="1"/>
    <col min="10023" max="10024" width="10.140625" style="65" bestFit="1" customWidth="1"/>
    <col min="10025" max="10025" width="9.5703125" style="65" bestFit="1" customWidth="1"/>
    <col min="10026" max="10026" width="9.5703125" style="65" customWidth="1"/>
    <col min="10027" max="10027" width="9" style="65" customWidth="1"/>
    <col min="10028" max="10028" width="10.5703125" style="65" bestFit="1" customWidth="1"/>
    <col min="10029" max="10029" width="11.42578125" style="65" bestFit="1" customWidth="1"/>
    <col min="10030" max="10030" width="18" style="65" bestFit="1" customWidth="1"/>
    <col min="10031" max="10248" width="9.140625" style="65"/>
    <col min="10249" max="10249" width="41" style="65" customWidth="1"/>
    <col min="10250" max="10250" width="19.5703125" style="65" bestFit="1" customWidth="1"/>
    <col min="10251" max="10251" width="10.140625" style="65" customWidth="1"/>
    <col min="10252" max="10252" width="10.42578125" style="65" bestFit="1" customWidth="1"/>
    <col min="10253" max="10253" width="11.28515625" style="65" customWidth="1"/>
    <col min="10254" max="10254" width="9.42578125" style="65" customWidth="1"/>
    <col min="10255" max="10255" width="10.140625" style="65" bestFit="1" customWidth="1"/>
    <col min="10256" max="10257" width="9.140625" style="65"/>
    <col min="10258" max="10258" width="7.28515625" style="65" customWidth="1"/>
    <col min="10259" max="10264" width="7.42578125" style="65" customWidth="1"/>
    <col min="10265" max="10265" width="9.42578125" style="65" bestFit="1" customWidth="1"/>
    <col min="10266" max="10266" width="12" style="65" bestFit="1" customWidth="1"/>
    <col min="10267" max="10268" width="12" style="65" customWidth="1"/>
    <col min="10269" max="10269" width="13.140625" style="65" bestFit="1" customWidth="1"/>
    <col min="10270" max="10271" width="13.140625" style="65" customWidth="1"/>
    <col min="10272" max="10273" width="14.42578125" style="65" bestFit="1" customWidth="1"/>
    <col min="10274" max="10275" width="9.140625" style="65" customWidth="1"/>
    <col min="10276" max="10276" width="9.5703125" style="65" customWidth="1"/>
    <col min="10277" max="10278" width="9.5703125" style="65" bestFit="1" customWidth="1"/>
    <col min="10279" max="10280" width="10.140625" style="65" bestFit="1" customWidth="1"/>
    <col min="10281" max="10281" width="9.5703125" style="65" bestFit="1" customWidth="1"/>
    <col min="10282" max="10282" width="9.5703125" style="65" customWidth="1"/>
    <col min="10283" max="10283" width="9" style="65" customWidth="1"/>
    <col min="10284" max="10284" width="10.5703125" style="65" bestFit="1" customWidth="1"/>
    <col min="10285" max="10285" width="11.42578125" style="65" bestFit="1" customWidth="1"/>
    <col min="10286" max="10286" width="18" style="65" bestFit="1" customWidth="1"/>
    <col min="10287" max="10504" width="9.140625" style="65"/>
    <col min="10505" max="10505" width="41" style="65" customWidth="1"/>
    <col min="10506" max="10506" width="19.5703125" style="65" bestFit="1" customWidth="1"/>
    <col min="10507" max="10507" width="10.140625" style="65" customWidth="1"/>
    <col min="10508" max="10508" width="10.42578125" style="65" bestFit="1" customWidth="1"/>
    <col min="10509" max="10509" width="11.28515625" style="65" customWidth="1"/>
    <col min="10510" max="10510" width="9.42578125" style="65" customWidth="1"/>
    <col min="10511" max="10511" width="10.140625" style="65" bestFit="1" customWidth="1"/>
    <col min="10512" max="10513" width="9.140625" style="65"/>
    <col min="10514" max="10514" width="7.28515625" style="65" customWidth="1"/>
    <col min="10515" max="10520" width="7.42578125" style="65" customWidth="1"/>
    <col min="10521" max="10521" width="9.42578125" style="65" bestFit="1" customWidth="1"/>
    <col min="10522" max="10522" width="12" style="65" bestFit="1" customWidth="1"/>
    <col min="10523" max="10524" width="12" style="65" customWidth="1"/>
    <col min="10525" max="10525" width="13.140625" style="65" bestFit="1" customWidth="1"/>
    <col min="10526" max="10527" width="13.140625" style="65" customWidth="1"/>
    <col min="10528" max="10529" width="14.42578125" style="65" bestFit="1" customWidth="1"/>
    <col min="10530" max="10531" width="9.140625" style="65" customWidth="1"/>
    <col min="10532" max="10532" width="9.5703125" style="65" customWidth="1"/>
    <col min="10533" max="10534" width="9.5703125" style="65" bestFit="1" customWidth="1"/>
    <col min="10535" max="10536" width="10.140625" style="65" bestFit="1" customWidth="1"/>
    <col min="10537" max="10537" width="9.5703125" style="65" bestFit="1" customWidth="1"/>
    <col min="10538" max="10538" width="9.5703125" style="65" customWidth="1"/>
    <col min="10539" max="10539" width="9" style="65" customWidth="1"/>
    <col min="10540" max="10540" width="10.5703125" style="65" bestFit="1" customWidth="1"/>
    <col min="10541" max="10541" width="11.42578125" style="65" bestFit="1" customWidth="1"/>
    <col min="10542" max="10542" width="18" style="65" bestFit="1" customWidth="1"/>
    <col min="10543" max="10760" width="9.140625" style="65"/>
    <col min="10761" max="10761" width="41" style="65" customWidth="1"/>
    <col min="10762" max="10762" width="19.5703125" style="65" bestFit="1" customWidth="1"/>
    <col min="10763" max="10763" width="10.140625" style="65" customWidth="1"/>
    <col min="10764" max="10764" width="10.42578125" style="65" bestFit="1" customWidth="1"/>
    <col min="10765" max="10765" width="11.28515625" style="65" customWidth="1"/>
    <col min="10766" max="10766" width="9.42578125" style="65" customWidth="1"/>
    <col min="10767" max="10767" width="10.140625" style="65" bestFit="1" customWidth="1"/>
    <col min="10768" max="10769" width="9.140625" style="65"/>
    <col min="10770" max="10770" width="7.28515625" style="65" customWidth="1"/>
    <col min="10771" max="10776" width="7.42578125" style="65" customWidth="1"/>
    <col min="10777" max="10777" width="9.42578125" style="65" bestFit="1" customWidth="1"/>
    <col min="10778" max="10778" width="12" style="65" bestFit="1" customWidth="1"/>
    <col min="10779" max="10780" width="12" style="65" customWidth="1"/>
    <col min="10781" max="10781" width="13.140625" style="65" bestFit="1" customWidth="1"/>
    <col min="10782" max="10783" width="13.140625" style="65" customWidth="1"/>
    <col min="10784" max="10785" width="14.42578125" style="65" bestFit="1" customWidth="1"/>
    <col min="10786" max="10787" width="9.140625" style="65" customWidth="1"/>
    <col min="10788" max="10788" width="9.5703125" style="65" customWidth="1"/>
    <col min="10789" max="10790" width="9.5703125" style="65" bestFit="1" customWidth="1"/>
    <col min="10791" max="10792" width="10.140625" style="65" bestFit="1" customWidth="1"/>
    <col min="10793" max="10793" width="9.5703125" style="65" bestFit="1" customWidth="1"/>
    <col min="10794" max="10794" width="9.5703125" style="65" customWidth="1"/>
    <col min="10795" max="10795" width="9" style="65" customWidth="1"/>
    <col min="10796" max="10796" width="10.5703125" style="65" bestFit="1" customWidth="1"/>
    <col min="10797" max="10797" width="11.42578125" style="65" bestFit="1" customWidth="1"/>
    <col min="10798" max="10798" width="18" style="65" bestFit="1" customWidth="1"/>
    <col min="10799" max="11016" width="9.140625" style="65"/>
    <col min="11017" max="11017" width="41" style="65" customWidth="1"/>
    <col min="11018" max="11018" width="19.5703125" style="65" bestFit="1" customWidth="1"/>
    <col min="11019" max="11019" width="10.140625" style="65" customWidth="1"/>
    <col min="11020" max="11020" width="10.42578125" style="65" bestFit="1" customWidth="1"/>
    <col min="11021" max="11021" width="11.28515625" style="65" customWidth="1"/>
    <col min="11022" max="11022" width="9.42578125" style="65" customWidth="1"/>
    <col min="11023" max="11023" width="10.140625" style="65" bestFit="1" customWidth="1"/>
    <col min="11024" max="11025" width="9.140625" style="65"/>
    <col min="11026" max="11026" width="7.28515625" style="65" customWidth="1"/>
    <col min="11027" max="11032" width="7.42578125" style="65" customWidth="1"/>
    <col min="11033" max="11033" width="9.42578125" style="65" bestFit="1" customWidth="1"/>
    <col min="11034" max="11034" width="12" style="65" bestFit="1" customWidth="1"/>
    <col min="11035" max="11036" width="12" style="65" customWidth="1"/>
    <col min="11037" max="11037" width="13.140625" style="65" bestFit="1" customWidth="1"/>
    <col min="11038" max="11039" width="13.140625" style="65" customWidth="1"/>
    <col min="11040" max="11041" width="14.42578125" style="65" bestFit="1" customWidth="1"/>
    <col min="11042" max="11043" width="9.140625" style="65" customWidth="1"/>
    <col min="11044" max="11044" width="9.5703125" style="65" customWidth="1"/>
    <col min="11045" max="11046" width="9.5703125" style="65" bestFit="1" customWidth="1"/>
    <col min="11047" max="11048" width="10.140625" style="65" bestFit="1" customWidth="1"/>
    <col min="11049" max="11049" width="9.5703125" style="65" bestFit="1" customWidth="1"/>
    <col min="11050" max="11050" width="9.5703125" style="65" customWidth="1"/>
    <col min="11051" max="11051" width="9" style="65" customWidth="1"/>
    <col min="11052" max="11052" width="10.5703125" style="65" bestFit="1" customWidth="1"/>
    <col min="11053" max="11053" width="11.42578125" style="65" bestFit="1" customWidth="1"/>
    <col min="11054" max="11054" width="18" style="65" bestFit="1" customWidth="1"/>
    <col min="11055" max="11272" width="9.140625" style="65"/>
    <col min="11273" max="11273" width="41" style="65" customWidth="1"/>
    <col min="11274" max="11274" width="19.5703125" style="65" bestFit="1" customWidth="1"/>
    <col min="11275" max="11275" width="10.140625" style="65" customWidth="1"/>
    <col min="11276" max="11276" width="10.42578125" style="65" bestFit="1" customWidth="1"/>
    <col min="11277" max="11277" width="11.28515625" style="65" customWidth="1"/>
    <col min="11278" max="11278" width="9.42578125" style="65" customWidth="1"/>
    <col min="11279" max="11279" width="10.140625" style="65" bestFit="1" customWidth="1"/>
    <col min="11280" max="11281" width="9.140625" style="65"/>
    <col min="11282" max="11282" width="7.28515625" style="65" customWidth="1"/>
    <col min="11283" max="11288" width="7.42578125" style="65" customWidth="1"/>
    <col min="11289" max="11289" width="9.42578125" style="65" bestFit="1" customWidth="1"/>
    <col min="11290" max="11290" width="12" style="65" bestFit="1" customWidth="1"/>
    <col min="11291" max="11292" width="12" style="65" customWidth="1"/>
    <col min="11293" max="11293" width="13.140625" style="65" bestFit="1" customWidth="1"/>
    <col min="11294" max="11295" width="13.140625" style="65" customWidth="1"/>
    <col min="11296" max="11297" width="14.42578125" style="65" bestFit="1" customWidth="1"/>
    <col min="11298" max="11299" width="9.140625" style="65" customWidth="1"/>
    <col min="11300" max="11300" width="9.5703125" style="65" customWidth="1"/>
    <col min="11301" max="11302" width="9.5703125" style="65" bestFit="1" customWidth="1"/>
    <col min="11303" max="11304" width="10.140625" style="65" bestFit="1" customWidth="1"/>
    <col min="11305" max="11305" width="9.5703125" style="65" bestFit="1" customWidth="1"/>
    <col min="11306" max="11306" width="9.5703125" style="65" customWidth="1"/>
    <col min="11307" max="11307" width="9" style="65" customWidth="1"/>
    <col min="11308" max="11308" width="10.5703125" style="65" bestFit="1" customWidth="1"/>
    <col min="11309" max="11309" width="11.42578125" style="65" bestFit="1" customWidth="1"/>
    <col min="11310" max="11310" width="18" style="65" bestFit="1" customWidth="1"/>
    <col min="11311" max="11528" width="9.140625" style="65"/>
    <col min="11529" max="11529" width="41" style="65" customWidth="1"/>
    <col min="11530" max="11530" width="19.5703125" style="65" bestFit="1" customWidth="1"/>
    <col min="11531" max="11531" width="10.140625" style="65" customWidth="1"/>
    <col min="11532" max="11532" width="10.42578125" style="65" bestFit="1" customWidth="1"/>
    <col min="11533" max="11533" width="11.28515625" style="65" customWidth="1"/>
    <col min="11534" max="11534" width="9.42578125" style="65" customWidth="1"/>
    <col min="11535" max="11535" width="10.140625" style="65" bestFit="1" customWidth="1"/>
    <col min="11536" max="11537" width="9.140625" style="65"/>
    <col min="11538" max="11538" width="7.28515625" style="65" customWidth="1"/>
    <col min="11539" max="11544" width="7.42578125" style="65" customWidth="1"/>
    <col min="11545" max="11545" width="9.42578125" style="65" bestFit="1" customWidth="1"/>
    <col min="11546" max="11546" width="12" style="65" bestFit="1" customWidth="1"/>
    <col min="11547" max="11548" width="12" style="65" customWidth="1"/>
    <col min="11549" max="11549" width="13.140625" style="65" bestFit="1" customWidth="1"/>
    <col min="11550" max="11551" width="13.140625" style="65" customWidth="1"/>
    <col min="11552" max="11553" width="14.42578125" style="65" bestFit="1" customWidth="1"/>
    <col min="11554" max="11555" width="9.140625" style="65" customWidth="1"/>
    <col min="11556" max="11556" width="9.5703125" style="65" customWidth="1"/>
    <col min="11557" max="11558" width="9.5703125" style="65" bestFit="1" customWidth="1"/>
    <col min="11559" max="11560" width="10.140625" style="65" bestFit="1" customWidth="1"/>
    <col min="11561" max="11561" width="9.5703125" style="65" bestFit="1" customWidth="1"/>
    <col min="11562" max="11562" width="9.5703125" style="65" customWidth="1"/>
    <col min="11563" max="11563" width="9" style="65" customWidth="1"/>
    <col min="11564" max="11564" width="10.5703125" style="65" bestFit="1" customWidth="1"/>
    <col min="11565" max="11565" width="11.42578125" style="65" bestFit="1" customWidth="1"/>
    <col min="11566" max="11566" width="18" style="65" bestFit="1" customWidth="1"/>
    <col min="11567" max="11784" width="9.140625" style="65"/>
    <col min="11785" max="11785" width="41" style="65" customWidth="1"/>
    <col min="11786" max="11786" width="19.5703125" style="65" bestFit="1" customWidth="1"/>
    <col min="11787" max="11787" width="10.140625" style="65" customWidth="1"/>
    <col min="11788" max="11788" width="10.42578125" style="65" bestFit="1" customWidth="1"/>
    <col min="11789" max="11789" width="11.28515625" style="65" customWidth="1"/>
    <col min="11790" max="11790" width="9.42578125" style="65" customWidth="1"/>
    <col min="11791" max="11791" width="10.140625" style="65" bestFit="1" customWidth="1"/>
    <col min="11792" max="11793" width="9.140625" style="65"/>
    <col min="11794" max="11794" width="7.28515625" style="65" customWidth="1"/>
    <col min="11795" max="11800" width="7.42578125" style="65" customWidth="1"/>
    <col min="11801" max="11801" width="9.42578125" style="65" bestFit="1" customWidth="1"/>
    <col min="11802" max="11802" width="12" style="65" bestFit="1" customWidth="1"/>
    <col min="11803" max="11804" width="12" style="65" customWidth="1"/>
    <col min="11805" max="11805" width="13.140625" style="65" bestFit="1" customWidth="1"/>
    <col min="11806" max="11807" width="13.140625" style="65" customWidth="1"/>
    <col min="11808" max="11809" width="14.42578125" style="65" bestFit="1" customWidth="1"/>
    <col min="11810" max="11811" width="9.140625" style="65" customWidth="1"/>
    <col min="11812" max="11812" width="9.5703125" style="65" customWidth="1"/>
    <col min="11813" max="11814" width="9.5703125" style="65" bestFit="1" customWidth="1"/>
    <col min="11815" max="11816" width="10.140625" style="65" bestFit="1" customWidth="1"/>
    <col min="11817" max="11817" width="9.5703125" style="65" bestFit="1" customWidth="1"/>
    <col min="11818" max="11818" width="9.5703125" style="65" customWidth="1"/>
    <col min="11819" max="11819" width="9" style="65" customWidth="1"/>
    <col min="11820" max="11820" width="10.5703125" style="65" bestFit="1" customWidth="1"/>
    <col min="11821" max="11821" width="11.42578125" style="65" bestFit="1" customWidth="1"/>
    <col min="11822" max="11822" width="18" style="65" bestFit="1" customWidth="1"/>
    <col min="11823" max="12040" width="9.140625" style="65"/>
    <col min="12041" max="12041" width="41" style="65" customWidth="1"/>
    <col min="12042" max="12042" width="19.5703125" style="65" bestFit="1" customWidth="1"/>
    <col min="12043" max="12043" width="10.140625" style="65" customWidth="1"/>
    <col min="12044" max="12044" width="10.42578125" style="65" bestFit="1" customWidth="1"/>
    <col min="12045" max="12045" width="11.28515625" style="65" customWidth="1"/>
    <col min="12046" max="12046" width="9.42578125" style="65" customWidth="1"/>
    <col min="12047" max="12047" width="10.140625" style="65" bestFit="1" customWidth="1"/>
    <col min="12048" max="12049" width="9.140625" style="65"/>
    <col min="12050" max="12050" width="7.28515625" style="65" customWidth="1"/>
    <col min="12051" max="12056" width="7.42578125" style="65" customWidth="1"/>
    <col min="12057" max="12057" width="9.42578125" style="65" bestFit="1" customWidth="1"/>
    <col min="12058" max="12058" width="12" style="65" bestFit="1" customWidth="1"/>
    <col min="12059" max="12060" width="12" style="65" customWidth="1"/>
    <col min="12061" max="12061" width="13.140625" style="65" bestFit="1" customWidth="1"/>
    <col min="12062" max="12063" width="13.140625" style="65" customWidth="1"/>
    <col min="12064" max="12065" width="14.42578125" style="65" bestFit="1" customWidth="1"/>
    <col min="12066" max="12067" width="9.140625" style="65" customWidth="1"/>
    <col min="12068" max="12068" width="9.5703125" style="65" customWidth="1"/>
    <col min="12069" max="12070" width="9.5703125" style="65" bestFit="1" customWidth="1"/>
    <col min="12071" max="12072" width="10.140625" style="65" bestFit="1" customWidth="1"/>
    <col min="12073" max="12073" width="9.5703125" style="65" bestFit="1" customWidth="1"/>
    <col min="12074" max="12074" width="9.5703125" style="65" customWidth="1"/>
    <col min="12075" max="12075" width="9" style="65" customWidth="1"/>
    <col min="12076" max="12076" width="10.5703125" style="65" bestFit="1" customWidth="1"/>
    <col min="12077" max="12077" width="11.42578125" style="65" bestFit="1" customWidth="1"/>
    <col min="12078" max="12078" width="18" style="65" bestFit="1" customWidth="1"/>
    <col min="12079" max="12296" width="9.140625" style="65"/>
    <col min="12297" max="12297" width="41" style="65" customWidth="1"/>
    <col min="12298" max="12298" width="19.5703125" style="65" bestFit="1" customWidth="1"/>
    <col min="12299" max="12299" width="10.140625" style="65" customWidth="1"/>
    <col min="12300" max="12300" width="10.42578125" style="65" bestFit="1" customWidth="1"/>
    <col min="12301" max="12301" width="11.28515625" style="65" customWidth="1"/>
    <col min="12302" max="12302" width="9.42578125" style="65" customWidth="1"/>
    <col min="12303" max="12303" width="10.140625" style="65" bestFit="1" customWidth="1"/>
    <col min="12304" max="12305" width="9.140625" style="65"/>
    <col min="12306" max="12306" width="7.28515625" style="65" customWidth="1"/>
    <col min="12307" max="12312" width="7.42578125" style="65" customWidth="1"/>
    <col min="12313" max="12313" width="9.42578125" style="65" bestFit="1" customWidth="1"/>
    <col min="12314" max="12314" width="12" style="65" bestFit="1" customWidth="1"/>
    <col min="12315" max="12316" width="12" style="65" customWidth="1"/>
    <col min="12317" max="12317" width="13.140625" style="65" bestFit="1" customWidth="1"/>
    <col min="12318" max="12319" width="13.140625" style="65" customWidth="1"/>
    <col min="12320" max="12321" width="14.42578125" style="65" bestFit="1" customWidth="1"/>
    <col min="12322" max="12323" width="9.140625" style="65" customWidth="1"/>
    <col min="12324" max="12324" width="9.5703125" style="65" customWidth="1"/>
    <col min="12325" max="12326" width="9.5703125" style="65" bestFit="1" customWidth="1"/>
    <col min="12327" max="12328" width="10.140625" style="65" bestFit="1" customWidth="1"/>
    <col min="12329" max="12329" width="9.5703125" style="65" bestFit="1" customWidth="1"/>
    <col min="12330" max="12330" width="9.5703125" style="65" customWidth="1"/>
    <col min="12331" max="12331" width="9" style="65" customWidth="1"/>
    <col min="12332" max="12332" width="10.5703125" style="65" bestFit="1" customWidth="1"/>
    <col min="12333" max="12333" width="11.42578125" style="65" bestFit="1" customWidth="1"/>
    <col min="12334" max="12334" width="18" style="65" bestFit="1" customWidth="1"/>
    <col min="12335" max="12552" width="9.140625" style="65"/>
    <col min="12553" max="12553" width="41" style="65" customWidth="1"/>
    <col min="12554" max="12554" width="19.5703125" style="65" bestFit="1" customWidth="1"/>
    <col min="12555" max="12555" width="10.140625" style="65" customWidth="1"/>
    <col min="12556" max="12556" width="10.42578125" style="65" bestFit="1" customWidth="1"/>
    <col min="12557" max="12557" width="11.28515625" style="65" customWidth="1"/>
    <col min="12558" max="12558" width="9.42578125" style="65" customWidth="1"/>
    <col min="12559" max="12559" width="10.140625" style="65" bestFit="1" customWidth="1"/>
    <col min="12560" max="12561" width="9.140625" style="65"/>
    <col min="12562" max="12562" width="7.28515625" style="65" customWidth="1"/>
    <col min="12563" max="12568" width="7.42578125" style="65" customWidth="1"/>
    <col min="12569" max="12569" width="9.42578125" style="65" bestFit="1" customWidth="1"/>
    <col min="12570" max="12570" width="12" style="65" bestFit="1" customWidth="1"/>
    <col min="12571" max="12572" width="12" style="65" customWidth="1"/>
    <col min="12573" max="12573" width="13.140625" style="65" bestFit="1" customWidth="1"/>
    <col min="12574" max="12575" width="13.140625" style="65" customWidth="1"/>
    <col min="12576" max="12577" width="14.42578125" style="65" bestFit="1" customWidth="1"/>
    <col min="12578" max="12579" width="9.140625" style="65" customWidth="1"/>
    <col min="12580" max="12580" width="9.5703125" style="65" customWidth="1"/>
    <col min="12581" max="12582" width="9.5703125" style="65" bestFit="1" customWidth="1"/>
    <col min="12583" max="12584" width="10.140625" style="65" bestFit="1" customWidth="1"/>
    <col min="12585" max="12585" width="9.5703125" style="65" bestFit="1" customWidth="1"/>
    <col min="12586" max="12586" width="9.5703125" style="65" customWidth="1"/>
    <col min="12587" max="12587" width="9" style="65" customWidth="1"/>
    <col min="12588" max="12588" width="10.5703125" style="65" bestFit="1" customWidth="1"/>
    <col min="12589" max="12589" width="11.42578125" style="65" bestFit="1" customWidth="1"/>
    <col min="12590" max="12590" width="18" style="65" bestFit="1" customWidth="1"/>
    <col min="12591" max="12808" width="9.140625" style="65"/>
    <col min="12809" max="12809" width="41" style="65" customWidth="1"/>
    <col min="12810" max="12810" width="19.5703125" style="65" bestFit="1" customWidth="1"/>
    <col min="12811" max="12811" width="10.140625" style="65" customWidth="1"/>
    <col min="12812" max="12812" width="10.42578125" style="65" bestFit="1" customWidth="1"/>
    <col min="12813" max="12813" width="11.28515625" style="65" customWidth="1"/>
    <col min="12814" max="12814" width="9.42578125" style="65" customWidth="1"/>
    <col min="12815" max="12815" width="10.140625" style="65" bestFit="1" customWidth="1"/>
    <col min="12816" max="12817" width="9.140625" style="65"/>
    <col min="12818" max="12818" width="7.28515625" style="65" customWidth="1"/>
    <col min="12819" max="12824" width="7.42578125" style="65" customWidth="1"/>
    <col min="12825" max="12825" width="9.42578125" style="65" bestFit="1" customWidth="1"/>
    <col min="12826" max="12826" width="12" style="65" bestFit="1" customWidth="1"/>
    <col min="12827" max="12828" width="12" style="65" customWidth="1"/>
    <col min="12829" max="12829" width="13.140625" style="65" bestFit="1" customWidth="1"/>
    <col min="12830" max="12831" width="13.140625" style="65" customWidth="1"/>
    <col min="12832" max="12833" width="14.42578125" style="65" bestFit="1" customWidth="1"/>
    <col min="12834" max="12835" width="9.140625" style="65" customWidth="1"/>
    <col min="12836" max="12836" width="9.5703125" style="65" customWidth="1"/>
    <col min="12837" max="12838" width="9.5703125" style="65" bestFit="1" customWidth="1"/>
    <col min="12839" max="12840" width="10.140625" style="65" bestFit="1" customWidth="1"/>
    <col min="12841" max="12841" width="9.5703125" style="65" bestFit="1" customWidth="1"/>
    <col min="12842" max="12842" width="9.5703125" style="65" customWidth="1"/>
    <col min="12843" max="12843" width="9" style="65" customWidth="1"/>
    <col min="12844" max="12844" width="10.5703125" style="65" bestFit="1" customWidth="1"/>
    <col min="12845" max="12845" width="11.42578125" style="65" bestFit="1" customWidth="1"/>
    <col min="12846" max="12846" width="18" style="65" bestFit="1" customWidth="1"/>
    <col min="12847" max="13064" width="9.140625" style="65"/>
    <col min="13065" max="13065" width="41" style="65" customWidth="1"/>
    <col min="13066" max="13066" width="19.5703125" style="65" bestFit="1" customWidth="1"/>
    <col min="13067" max="13067" width="10.140625" style="65" customWidth="1"/>
    <col min="13068" max="13068" width="10.42578125" style="65" bestFit="1" customWidth="1"/>
    <col min="13069" max="13069" width="11.28515625" style="65" customWidth="1"/>
    <col min="13070" max="13070" width="9.42578125" style="65" customWidth="1"/>
    <col min="13071" max="13071" width="10.140625" style="65" bestFit="1" customWidth="1"/>
    <col min="13072" max="13073" width="9.140625" style="65"/>
    <col min="13074" max="13074" width="7.28515625" style="65" customWidth="1"/>
    <col min="13075" max="13080" width="7.42578125" style="65" customWidth="1"/>
    <col min="13081" max="13081" width="9.42578125" style="65" bestFit="1" customWidth="1"/>
    <col min="13082" max="13082" width="12" style="65" bestFit="1" customWidth="1"/>
    <col min="13083" max="13084" width="12" style="65" customWidth="1"/>
    <col min="13085" max="13085" width="13.140625" style="65" bestFit="1" customWidth="1"/>
    <col min="13086" max="13087" width="13.140625" style="65" customWidth="1"/>
    <col min="13088" max="13089" width="14.42578125" style="65" bestFit="1" customWidth="1"/>
    <col min="13090" max="13091" width="9.140625" style="65" customWidth="1"/>
    <col min="13092" max="13092" width="9.5703125" style="65" customWidth="1"/>
    <col min="13093" max="13094" width="9.5703125" style="65" bestFit="1" customWidth="1"/>
    <col min="13095" max="13096" width="10.140625" style="65" bestFit="1" customWidth="1"/>
    <col min="13097" max="13097" width="9.5703125" style="65" bestFit="1" customWidth="1"/>
    <col min="13098" max="13098" width="9.5703125" style="65" customWidth="1"/>
    <col min="13099" max="13099" width="9" style="65" customWidth="1"/>
    <col min="13100" max="13100" width="10.5703125" style="65" bestFit="1" customWidth="1"/>
    <col min="13101" max="13101" width="11.42578125" style="65" bestFit="1" customWidth="1"/>
    <col min="13102" max="13102" width="18" style="65" bestFit="1" customWidth="1"/>
    <col min="13103" max="13320" width="9.140625" style="65"/>
    <col min="13321" max="13321" width="41" style="65" customWidth="1"/>
    <col min="13322" max="13322" width="19.5703125" style="65" bestFit="1" customWidth="1"/>
    <col min="13323" max="13323" width="10.140625" style="65" customWidth="1"/>
    <col min="13324" max="13324" width="10.42578125" style="65" bestFit="1" customWidth="1"/>
    <col min="13325" max="13325" width="11.28515625" style="65" customWidth="1"/>
    <col min="13326" max="13326" width="9.42578125" style="65" customWidth="1"/>
    <col min="13327" max="13327" width="10.140625" style="65" bestFit="1" customWidth="1"/>
    <col min="13328" max="13329" width="9.140625" style="65"/>
    <col min="13330" max="13330" width="7.28515625" style="65" customWidth="1"/>
    <col min="13331" max="13336" width="7.42578125" style="65" customWidth="1"/>
    <col min="13337" max="13337" width="9.42578125" style="65" bestFit="1" customWidth="1"/>
    <col min="13338" max="13338" width="12" style="65" bestFit="1" customWidth="1"/>
    <col min="13339" max="13340" width="12" style="65" customWidth="1"/>
    <col min="13341" max="13341" width="13.140625" style="65" bestFit="1" customWidth="1"/>
    <col min="13342" max="13343" width="13.140625" style="65" customWidth="1"/>
    <col min="13344" max="13345" width="14.42578125" style="65" bestFit="1" customWidth="1"/>
    <col min="13346" max="13347" width="9.140625" style="65" customWidth="1"/>
    <col min="13348" max="13348" width="9.5703125" style="65" customWidth="1"/>
    <col min="13349" max="13350" width="9.5703125" style="65" bestFit="1" customWidth="1"/>
    <col min="13351" max="13352" width="10.140625" style="65" bestFit="1" customWidth="1"/>
    <col min="13353" max="13353" width="9.5703125" style="65" bestFit="1" customWidth="1"/>
    <col min="13354" max="13354" width="9.5703125" style="65" customWidth="1"/>
    <col min="13355" max="13355" width="9" style="65" customWidth="1"/>
    <col min="13356" max="13356" width="10.5703125" style="65" bestFit="1" customWidth="1"/>
    <col min="13357" max="13357" width="11.42578125" style="65" bestFit="1" customWidth="1"/>
    <col min="13358" max="13358" width="18" style="65" bestFit="1" customWidth="1"/>
    <col min="13359" max="13576" width="9.140625" style="65"/>
    <col min="13577" max="13577" width="41" style="65" customWidth="1"/>
    <col min="13578" max="13578" width="19.5703125" style="65" bestFit="1" customWidth="1"/>
    <col min="13579" max="13579" width="10.140625" style="65" customWidth="1"/>
    <col min="13580" max="13580" width="10.42578125" style="65" bestFit="1" customWidth="1"/>
    <col min="13581" max="13581" width="11.28515625" style="65" customWidth="1"/>
    <col min="13582" max="13582" width="9.42578125" style="65" customWidth="1"/>
    <col min="13583" max="13583" width="10.140625" style="65" bestFit="1" customWidth="1"/>
    <col min="13584" max="13585" width="9.140625" style="65"/>
    <col min="13586" max="13586" width="7.28515625" style="65" customWidth="1"/>
    <col min="13587" max="13592" width="7.42578125" style="65" customWidth="1"/>
    <col min="13593" max="13593" width="9.42578125" style="65" bestFit="1" customWidth="1"/>
    <col min="13594" max="13594" width="12" style="65" bestFit="1" customWidth="1"/>
    <col min="13595" max="13596" width="12" style="65" customWidth="1"/>
    <col min="13597" max="13597" width="13.140625" style="65" bestFit="1" customWidth="1"/>
    <col min="13598" max="13599" width="13.140625" style="65" customWidth="1"/>
    <col min="13600" max="13601" width="14.42578125" style="65" bestFit="1" customWidth="1"/>
    <col min="13602" max="13603" width="9.140625" style="65" customWidth="1"/>
    <col min="13604" max="13604" width="9.5703125" style="65" customWidth="1"/>
    <col min="13605" max="13606" width="9.5703125" style="65" bestFit="1" customWidth="1"/>
    <col min="13607" max="13608" width="10.140625" style="65" bestFit="1" customWidth="1"/>
    <col min="13609" max="13609" width="9.5703125" style="65" bestFit="1" customWidth="1"/>
    <col min="13610" max="13610" width="9.5703125" style="65" customWidth="1"/>
    <col min="13611" max="13611" width="9" style="65" customWidth="1"/>
    <col min="13612" max="13612" width="10.5703125" style="65" bestFit="1" customWidth="1"/>
    <col min="13613" max="13613" width="11.42578125" style="65" bestFit="1" customWidth="1"/>
    <col min="13614" max="13614" width="18" style="65" bestFit="1" customWidth="1"/>
    <col min="13615" max="13832" width="9.140625" style="65"/>
    <col min="13833" max="13833" width="41" style="65" customWidth="1"/>
    <col min="13834" max="13834" width="19.5703125" style="65" bestFit="1" customWidth="1"/>
    <col min="13835" max="13835" width="10.140625" style="65" customWidth="1"/>
    <col min="13836" max="13836" width="10.42578125" style="65" bestFit="1" customWidth="1"/>
    <col min="13837" max="13837" width="11.28515625" style="65" customWidth="1"/>
    <col min="13838" max="13838" width="9.42578125" style="65" customWidth="1"/>
    <col min="13839" max="13839" width="10.140625" style="65" bestFit="1" customWidth="1"/>
    <col min="13840" max="13841" width="9.140625" style="65"/>
    <col min="13842" max="13842" width="7.28515625" style="65" customWidth="1"/>
    <col min="13843" max="13848" width="7.42578125" style="65" customWidth="1"/>
    <col min="13849" max="13849" width="9.42578125" style="65" bestFit="1" customWidth="1"/>
    <col min="13850" max="13850" width="12" style="65" bestFit="1" customWidth="1"/>
    <col min="13851" max="13852" width="12" style="65" customWidth="1"/>
    <col min="13853" max="13853" width="13.140625" style="65" bestFit="1" customWidth="1"/>
    <col min="13854" max="13855" width="13.140625" style="65" customWidth="1"/>
    <col min="13856" max="13857" width="14.42578125" style="65" bestFit="1" customWidth="1"/>
    <col min="13858" max="13859" width="9.140625" style="65" customWidth="1"/>
    <col min="13860" max="13860" width="9.5703125" style="65" customWidth="1"/>
    <col min="13861" max="13862" width="9.5703125" style="65" bestFit="1" customWidth="1"/>
    <col min="13863" max="13864" width="10.140625" style="65" bestFit="1" customWidth="1"/>
    <col min="13865" max="13865" width="9.5703125" style="65" bestFit="1" customWidth="1"/>
    <col min="13866" max="13866" width="9.5703125" style="65" customWidth="1"/>
    <col min="13867" max="13867" width="9" style="65" customWidth="1"/>
    <col min="13868" max="13868" width="10.5703125" style="65" bestFit="1" customWidth="1"/>
    <col min="13869" max="13869" width="11.42578125" style="65" bestFit="1" customWidth="1"/>
    <col min="13870" max="13870" width="18" style="65" bestFit="1" customWidth="1"/>
    <col min="13871" max="14088" width="9.140625" style="65"/>
    <col min="14089" max="14089" width="41" style="65" customWidth="1"/>
    <col min="14090" max="14090" width="19.5703125" style="65" bestFit="1" customWidth="1"/>
    <col min="14091" max="14091" width="10.140625" style="65" customWidth="1"/>
    <col min="14092" max="14092" width="10.42578125" style="65" bestFit="1" customWidth="1"/>
    <col min="14093" max="14093" width="11.28515625" style="65" customWidth="1"/>
    <col min="14094" max="14094" width="9.42578125" style="65" customWidth="1"/>
    <col min="14095" max="14095" width="10.140625" style="65" bestFit="1" customWidth="1"/>
    <col min="14096" max="14097" width="9.140625" style="65"/>
    <col min="14098" max="14098" width="7.28515625" style="65" customWidth="1"/>
    <col min="14099" max="14104" width="7.42578125" style="65" customWidth="1"/>
    <col min="14105" max="14105" width="9.42578125" style="65" bestFit="1" customWidth="1"/>
    <col min="14106" max="14106" width="12" style="65" bestFit="1" customWidth="1"/>
    <col min="14107" max="14108" width="12" style="65" customWidth="1"/>
    <col min="14109" max="14109" width="13.140625" style="65" bestFit="1" customWidth="1"/>
    <col min="14110" max="14111" width="13.140625" style="65" customWidth="1"/>
    <col min="14112" max="14113" width="14.42578125" style="65" bestFit="1" customWidth="1"/>
    <col min="14114" max="14115" width="9.140625" style="65" customWidth="1"/>
    <col min="14116" max="14116" width="9.5703125" style="65" customWidth="1"/>
    <col min="14117" max="14118" width="9.5703125" style="65" bestFit="1" customWidth="1"/>
    <col min="14119" max="14120" width="10.140625" style="65" bestFit="1" customWidth="1"/>
    <col min="14121" max="14121" width="9.5703125" style="65" bestFit="1" customWidth="1"/>
    <col min="14122" max="14122" width="9.5703125" style="65" customWidth="1"/>
    <col min="14123" max="14123" width="9" style="65" customWidth="1"/>
    <col min="14124" max="14124" width="10.5703125" style="65" bestFit="1" customWidth="1"/>
    <col min="14125" max="14125" width="11.42578125" style="65" bestFit="1" customWidth="1"/>
    <col min="14126" max="14126" width="18" style="65" bestFit="1" customWidth="1"/>
    <col min="14127" max="14344" width="9.140625" style="65"/>
    <col min="14345" max="14345" width="41" style="65" customWidth="1"/>
    <col min="14346" max="14346" width="19.5703125" style="65" bestFit="1" customWidth="1"/>
    <col min="14347" max="14347" width="10.140625" style="65" customWidth="1"/>
    <col min="14348" max="14348" width="10.42578125" style="65" bestFit="1" customWidth="1"/>
    <col min="14349" max="14349" width="11.28515625" style="65" customWidth="1"/>
    <col min="14350" max="14350" width="9.42578125" style="65" customWidth="1"/>
    <col min="14351" max="14351" width="10.140625" style="65" bestFit="1" customWidth="1"/>
    <col min="14352" max="14353" width="9.140625" style="65"/>
    <col min="14354" max="14354" width="7.28515625" style="65" customWidth="1"/>
    <col min="14355" max="14360" width="7.42578125" style="65" customWidth="1"/>
    <col min="14361" max="14361" width="9.42578125" style="65" bestFit="1" customWidth="1"/>
    <col min="14362" max="14362" width="12" style="65" bestFit="1" customWidth="1"/>
    <col min="14363" max="14364" width="12" style="65" customWidth="1"/>
    <col min="14365" max="14365" width="13.140625" style="65" bestFit="1" customWidth="1"/>
    <col min="14366" max="14367" width="13.140625" style="65" customWidth="1"/>
    <col min="14368" max="14369" width="14.42578125" style="65" bestFit="1" customWidth="1"/>
    <col min="14370" max="14371" width="9.140625" style="65" customWidth="1"/>
    <col min="14372" max="14372" width="9.5703125" style="65" customWidth="1"/>
    <col min="14373" max="14374" width="9.5703125" style="65" bestFit="1" customWidth="1"/>
    <col min="14375" max="14376" width="10.140625" style="65" bestFit="1" customWidth="1"/>
    <col min="14377" max="14377" width="9.5703125" style="65" bestFit="1" customWidth="1"/>
    <col min="14378" max="14378" width="9.5703125" style="65" customWidth="1"/>
    <col min="14379" max="14379" width="9" style="65" customWidth="1"/>
    <col min="14380" max="14380" width="10.5703125" style="65" bestFit="1" customWidth="1"/>
    <col min="14381" max="14381" width="11.42578125" style="65" bestFit="1" customWidth="1"/>
    <col min="14382" max="14382" width="18" style="65" bestFit="1" customWidth="1"/>
    <col min="14383" max="14600" width="9.140625" style="65"/>
    <col min="14601" max="14601" width="41" style="65" customWidth="1"/>
    <col min="14602" max="14602" width="19.5703125" style="65" bestFit="1" customWidth="1"/>
    <col min="14603" max="14603" width="10.140625" style="65" customWidth="1"/>
    <col min="14604" max="14604" width="10.42578125" style="65" bestFit="1" customWidth="1"/>
    <col min="14605" max="14605" width="11.28515625" style="65" customWidth="1"/>
    <col min="14606" max="14606" width="9.42578125" style="65" customWidth="1"/>
    <col min="14607" max="14607" width="10.140625" style="65" bestFit="1" customWidth="1"/>
    <col min="14608" max="14609" width="9.140625" style="65"/>
    <col min="14610" max="14610" width="7.28515625" style="65" customWidth="1"/>
    <col min="14611" max="14616" width="7.42578125" style="65" customWidth="1"/>
    <col min="14617" max="14617" width="9.42578125" style="65" bestFit="1" customWidth="1"/>
    <col min="14618" max="14618" width="12" style="65" bestFit="1" customWidth="1"/>
    <col min="14619" max="14620" width="12" style="65" customWidth="1"/>
    <col min="14621" max="14621" width="13.140625" style="65" bestFit="1" customWidth="1"/>
    <col min="14622" max="14623" width="13.140625" style="65" customWidth="1"/>
    <col min="14624" max="14625" width="14.42578125" style="65" bestFit="1" customWidth="1"/>
    <col min="14626" max="14627" width="9.140625" style="65" customWidth="1"/>
    <col min="14628" max="14628" width="9.5703125" style="65" customWidth="1"/>
    <col min="14629" max="14630" width="9.5703125" style="65" bestFit="1" customWidth="1"/>
    <col min="14631" max="14632" width="10.140625" style="65" bestFit="1" customWidth="1"/>
    <col min="14633" max="14633" width="9.5703125" style="65" bestFit="1" customWidth="1"/>
    <col min="14634" max="14634" width="9.5703125" style="65" customWidth="1"/>
    <col min="14635" max="14635" width="9" style="65" customWidth="1"/>
    <col min="14636" max="14636" width="10.5703125" style="65" bestFit="1" customWidth="1"/>
    <col min="14637" max="14637" width="11.42578125" style="65" bestFit="1" customWidth="1"/>
    <col min="14638" max="14638" width="18" style="65" bestFit="1" customWidth="1"/>
    <col min="14639" max="14856" width="9.140625" style="65"/>
    <col min="14857" max="14857" width="41" style="65" customWidth="1"/>
    <col min="14858" max="14858" width="19.5703125" style="65" bestFit="1" customWidth="1"/>
    <col min="14859" max="14859" width="10.140625" style="65" customWidth="1"/>
    <col min="14860" max="14860" width="10.42578125" style="65" bestFit="1" customWidth="1"/>
    <col min="14861" max="14861" width="11.28515625" style="65" customWidth="1"/>
    <col min="14862" max="14862" width="9.42578125" style="65" customWidth="1"/>
    <col min="14863" max="14863" width="10.140625" style="65" bestFit="1" customWidth="1"/>
    <col min="14864" max="14865" width="9.140625" style="65"/>
    <col min="14866" max="14866" width="7.28515625" style="65" customWidth="1"/>
    <col min="14867" max="14872" width="7.42578125" style="65" customWidth="1"/>
    <col min="14873" max="14873" width="9.42578125" style="65" bestFit="1" customWidth="1"/>
    <col min="14874" max="14874" width="12" style="65" bestFit="1" customWidth="1"/>
    <col min="14875" max="14876" width="12" style="65" customWidth="1"/>
    <col min="14877" max="14877" width="13.140625" style="65" bestFit="1" customWidth="1"/>
    <col min="14878" max="14879" width="13.140625" style="65" customWidth="1"/>
    <col min="14880" max="14881" width="14.42578125" style="65" bestFit="1" customWidth="1"/>
    <col min="14882" max="14883" width="9.140625" style="65" customWidth="1"/>
    <col min="14884" max="14884" width="9.5703125" style="65" customWidth="1"/>
    <col min="14885" max="14886" width="9.5703125" style="65" bestFit="1" customWidth="1"/>
    <col min="14887" max="14888" width="10.140625" style="65" bestFit="1" customWidth="1"/>
    <col min="14889" max="14889" width="9.5703125" style="65" bestFit="1" customWidth="1"/>
    <col min="14890" max="14890" width="9.5703125" style="65" customWidth="1"/>
    <col min="14891" max="14891" width="9" style="65" customWidth="1"/>
    <col min="14892" max="14892" width="10.5703125" style="65" bestFit="1" customWidth="1"/>
    <col min="14893" max="14893" width="11.42578125" style="65" bestFit="1" customWidth="1"/>
    <col min="14894" max="14894" width="18" style="65" bestFit="1" customWidth="1"/>
    <col min="14895" max="15112" width="9.140625" style="65"/>
    <col min="15113" max="15113" width="41" style="65" customWidth="1"/>
    <col min="15114" max="15114" width="19.5703125" style="65" bestFit="1" customWidth="1"/>
    <col min="15115" max="15115" width="10.140625" style="65" customWidth="1"/>
    <col min="15116" max="15116" width="10.42578125" style="65" bestFit="1" customWidth="1"/>
    <col min="15117" max="15117" width="11.28515625" style="65" customWidth="1"/>
    <col min="15118" max="15118" width="9.42578125" style="65" customWidth="1"/>
    <col min="15119" max="15119" width="10.140625" style="65" bestFit="1" customWidth="1"/>
    <col min="15120" max="15121" width="9.140625" style="65"/>
    <col min="15122" max="15122" width="7.28515625" style="65" customWidth="1"/>
    <col min="15123" max="15128" width="7.42578125" style="65" customWidth="1"/>
    <col min="15129" max="15129" width="9.42578125" style="65" bestFit="1" customWidth="1"/>
    <col min="15130" max="15130" width="12" style="65" bestFit="1" customWidth="1"/>
    <col min="15131" max="15132" width="12" style="65" customWidth="1"/>
    <col min="15133" max="15133" width="13.140625" style="65" bestFit="1" customWidth="1"/>
    <col min="15134" max="15135" width="13.140625" style="65" customWidth="1"/>
    <col min="15136" max="15137" width="14.42578125" style="65" bestFit="1" customWidth="1"/>
    <col min="15138" max="15139" width="9.140625" style="65" customWidth="1"/>
    <col min="15140" max="15140" width="9.5703125" style="65" customWidth="1"/>
    <col min="15141" max="15142" width="9.5703125" style="65" bestFit="1" customWidth="1"/>
    <col min="15143" max="15144" width="10.140625" style="65" bestFit="1" customWidth="1"/>
    <col min="15145" max="15145" width="9.5703125" style="65" bestFit="1" customWidth="1"/>
    <col min="15146" max="15146" width="9.5703125" style="65" customWidth="1"/>
    <col min="15147" max="15147" width="9" style="65" customWidth="1"/>
    <col min="15148" max="15148" width="10.5703125" style="65" bestFit="1" customWidth="1"/>
    <col min="15149" max="15149" width="11.42578125" style="65" bestFit="1" customWidth="1"/>
    <col min="15150" max="15150" width="18" style="65" bestFit="1" customWidth="1"/>
    <col min="15151" max="15368" width="9.140625" style="65"/>
    <col min="15369" max="15369" width="41" style="65" customWidth="1"/>
    <col min="15370" max="15370" width="19.5703125" style="65" bestFit="1" customWidth="1"/>
    <col min="15371" max="15371" width="10.140625" style="65" customWidth="1"/>
    <col min="15372" max="15372" width="10.42578125" style="65" bestFit="1" customWidth="1"/>
    <col min="15373" max="15373" width="11.28515625" style="65" customWidth="1"/>
    <col min="15374" max="15374" width="9.42578125" style="65" customWidth="1"/>
    <col min="15375" max="15375" width="10.140625" style="65" bestFit="1" customWidth="1"/>
    <col min="15376" max="15377" width="9.140625" style="65"/>
    <col min="15378" max="15378" width="7.28515625" style="65" customWidth="1"/>
    <col min="15379" max="15384" width="7.42578125" style="65" customWidth="1"/>
    <col min="15385" max="15385" width="9.42578125" style="65" bestFit="1" customWidth="1"/>
    <col min="15386" max="15386" width="12" style="65" bestFit="1" customWidth="1"/>
    <col min="15387" max="15388" width="12" style="65" customWidth="1"/>
    <col min="15389" max="15389" width="13.140625" style="65" bestFit="1" customWidth="1"/>
    <col min="15390" max="15391" width="13.140625" style="65" customWidth="1"/>
    <col min="15392" max="15393" width="14.42578125" style="65" bestFit="1" customWidth="1"/>
    <col min="15394" max="15395" width="9.140625" style="65" customWidth="1"/>
    <col min="15396" max="15396" width="9.5703125" style="65" customWidth="1"/>
    <col min="15397" max="15398" width="9.5703125" style="65" bestFit="1" customWidth="1"/>
    <col min="15399" max="15400" width="10.140625" style="65" bestFit="1" customWidth="1"/>
    <col min="15401" max="15401" width="9.5703125" style="65" bestFit="1" customWidth="1"/>
    <col min="15402" max="15402" width="9.5703125" style="65" customWidth="1"/>
    <col min="15403" max="15403" width="9" style="65" customWidth="1"/>
    <col min="15404" max="15404" width="10.5703125" style="65" bestFit="1" customWidth="1"/>
    <col min="15405" max="15405" width="11.42578125" style="65" bestFit="1" customWidth="1"/>
    <col min="15406" max="15406" width="18" style="65" bestFit="1" customWidth="1"/>
    <col min="15407" max="15624" width="9.140625" style="65"/>
    <col min="15625" max="15625" width="41" style="65" customWidth="1"/>
    <col min="15626" max="15626" width="19.5703125" style="65" bestFit="1" customWidth="1"/>
    <col min="15627" max="15627" width="10.140625" style="65" customWidth="1"/>
    <col min="15628" max="15628" width="10.42578125" style="65" bestFit="1" customWidth="1"/>
    <col min="15629" max="15629" width="11.28515625" style="65" customWidth="1"/>
    <col min="15630" max="15630" width="9.42578125" style="65" customWidth="1"/>
    <col min="15631" max="15631" width="10.140625" style="65" bestFit="1" customWidth="1"/>
    <col min="15632" max="15633" width="9.140625" style="65"/>
    <col min="15634" max="15634" width="7.28515625" style="65" customWidth="1"/>
    <col min="15635" max="15640" width="7.42578125" style="65" customWidth="1"/>
    <col min="15641" max="15641" width="9.42578125" style="65" bestFit="1" customWidth="1"/>
    <col min="15642" max="15642" width="12" style="65" bestFit="1" customWidth="1"/>
    <col min="15643" max="15644" width="12" style="65" customWidth="1"/>
    <col min="15645" max="15645" width="13.140625" style="65" bestFit="1" customWidth="1"/>
    <col min="15646" max="15647" width="13.140625" style="65" customWidth="1"/>
    <col min="15648" max="15649" width="14.42578125" style="65" bestFit="1" customWidth="1"/>
    <col min="15650" max="15651" width="9.140625" style="65" customWidth="1"/>
    <col min="15652" max="15652" width="9.5703125" style="65" customWidth="1"/>
    <col min="15653" max="15654" width="9.5703125" style="65" bestFit="1" customWidth="1"/>
    <col min="15655" max="15656" width="10.140625" style="65" bestFit="1" customWidth="1"/>
    <col min="15657" max="15657" width="9.5703125" style="65" bestFit="1" customWidth="1"/>
    <col min="15658" max="15658" width="9.5703125" style="65" customWidth="1"/>
    <col min="15659" max="15659" width="9" style="65" customWidth="1"/>
    <col min="15660" max="15660" width="10.5703125" style="65" bestFit="1" customWidth="1"/>
    <col min="15661" max="15661" width="11.42578125" style="65" bestFit="1" customWidth="1"/>
    <col min="15662" max="15662" width="18" style="65" bestFit="1" customWidth="1"/>
    <col min="15663" max="15880" width="9.140625" style="65"/>
    <col min="15881" max="15881" width="41" style="65" customWidth="1"/>
    <col min="15882" max="15882" width="19.5703125" style="65" bestFit="1" customWidth="1"/>
    <col min="15883" max="15883" width="10.140625" style="65" customWidth="1"/>
    <col min="15884" max="15884" width="10.42578125" style="65" bestFit="1" customWidth="1"/>
    <col min="15885" max="15885" width="11.28515625" style="65" customWidth="1"/>
    <col min="15886" max="15886" width="9.42578125" style="65" customWidth="1"/>
    <col min="15887" max="15887" width="10.140625" style="65" bestFit="1" customWidth="1"/>
    <col min="15888" max="15889" width="9.140625" style="65"/>
    <col min="15890" max="15890" width="7.28515625" style="65" customWidth="1"/>
    <col min="15891" max="15896" width="7.42578125" style="65" customWidth="1"/>
    <col min="15897" max="15897" width="9.42578125" style="65" bestFit="1" customWidth="1"/>
    <col min="15898" max="15898" width="12" style="65" bestFit="1" customWidth="1"/>
    <col min="15899" max="15900" width="12" style="65" customWidth="1"/>
    <col min="15901" max="15901" width="13.140625" style="65" bestFit="1" customWidth="1"/>
    <col min="15902" max="15903" width="13.140625" style="65" customWidth="1"/>
    <col min="15904" max="15905" width="14.42578125" style="65" bestFit="1" customWidth="1"/>
    <col min="15906" max="15907" width="9.140625" style="65" customWidth="1"/>
    <col min="15908" max="15908" width="9.5703125" style="65" customWidth="1"/>
    <col min="15909" max="15910" width="9.5703125" style="65" bestFit="1" customWidth="1"/>
    <col min="15911" max="15912" width="10.140625" style="65" bestFit="1" customWidth="1"/>
    <col min="15913" max="15913" width="9.5703125" style="65" bestFit="1" customWidth="1"/>
    <col min="15914" max="15914" width="9.5703125" style="65" customWidth="1"/>
    <col min="15915" max="15915" width="9" style="65" customWidth="1"/>
    <col min="15916" max="15916" width="10.5703125" style="65" bestFit="1" customWidth="1"/>
    <col min="15917" max="15917" width="11.42578125" style="65" bestFit="1" customWidth="1"/>
    <col min="15918" max="15918" width="18" style="65" bestFit="1" customWidth="1"/>
    <col min="15919" max="16136" width="9.140625" style="65"/>
    <col min="16137" max="16137" width="41" style="65" customWidth="1"/>
    <col min="16138" max="16138" width="19.5703125" style="65" bestFit="1" customWidth="1"/>
    <col min="16139" max="16139" width="10.140625" style="65" customWidth="1"/>
    <col min="16140" max="16140" width="10.42578125" style="65" bestFit="1" customWidth="1"/>
    <col min="16141" max="16141" width="11.28515625" style="65" customWidth="1"/>
    <col min="16142" max="16142" width="9.42578125" style="65" customWidth="1"/>
    <col min="16143" max="16143" width="10.140625" style="65" bestFit="1" customWidth="1"/>
    <col min="16144" max="16145" width="9.140625" style="65"/>
    <col min="16146" max="16146" width="7.28515625" style="65" customWidth="1"/>
    <col min="16147" max="16152" width="7.42578125" style="65" customWidth="1"/>
    <col min="16153" max="16153" width="9.42578125" style="65" bestFit="1" customWidth="1"/>
    <col min="16154" max="16154" width="12" style="65" bestFit="1" customWidth="1"/>
    <col min="16155" max="16156" width="12" style="65" customWidth="1"/>
    <col min="16157" max="16157" width="13.140625" style="65" bestFit="1" customWidth="1"/>
    <col min="16158" max="16159" width="13.140625" style="65" customWidth="1"/>
    <col min="16160" max="16161" width="14.42578125" style="65" bestFit="1" customWidth="1"/>
    <col min="16162" max="16163" width="9.140625" style="65" customWidth="1"/>
    <col min="16164" max="16164" width="9.5703125" style="65" customWidth="1"/>
    <col min="16165" max="16166" width="9.5703125" style="65" bestFit="1" customWidth="1"/>
    <col min="16167" max="16168" width="10.140625" style="65" bestFit="1" customWidth="1"/>
    <col min="16169" max="16169" width="9.5703125" style="65" bestFit="1" customWidth="1"/>
    <col min="16170" max="16170" width="9.5703125" style="65" customWidth="1"/>
    <col min="16171" max="16171" width="9" style="65" customWidth="1"/>
    <col min="16172" max="16172" width="10.5703125" style="65" bestFit="1" customWidth="1"/>
    <col min="16173" max="16173" width="11.42578125" style="65" bestFit="1" customWidth="1"/>
    <col min="16174" max="16174" width="18" style="65" bestFit="1" customWidth="1"/>
    <col min="16175" max="16384" width="9.140625" style="65"/>
  </cols>
  <sheetData>
    <row r="1" spans="2:32" ht="24" customHeight="1" x14ac:dyDescent="0.2">
      <c r="B1" s="59" t="s">
        <v>179</v>
      </c>
      <c r="C1" s="186">
        <v>45509</v>
      </c>
      <c r="D1" s="187"/>
      <c r="E1" s="187"/>
      <c r="F1" s="187"/>
      <c r="G1" s="187"/>
      <c r="H1" s="187"/>
      <c r="I1" s="187"/>
      <c r="J1" s="187"/>
      <c r="K1" s="187"/>
      <c r="L1" s="61"/>
      <c r="M1" s="61"/>
      <c r="N1" s="62"/>
      <c r="O1" s="63"/>
      <c r="P1" s="63"/>
      <c r="Q1" s="63"/>
      <c r="R1" s="63"/>
      <c r="S1" s="63"/>
      <c r="T1" s="63"/>
      <c r="U1" s="63"/>
      <c r="V1" s="63"/>
      <c r="W1" s="63"/>
      <c r="X1" s="63"/>
      <c r="Y1" s="63"/>
      <c r="Z1" s="63"/>
      <c r="AA1" s="63"/>
      <c r="AB1" s="63"/>
      <c r="AC1" s="64"/>
      <c r="AD1" s="64"/>
      <c r="AE1" s="64"/>
      <c r="AF1" s="64"/>
    </row>
    <row r="2" spans="2:32" ht="24.75" customHeight="1" x14ac:dyDescent="0.2">
      <c r="B2" s="60" t="s">
        <v>124</v>
      </c>
      <c r="C2" s="188">
        <v>45478</v>
      </c>
      <c r="D2" s="189"/>
      <c r="E2" s="189"/>
      <c r="F2" s="189"/>
      <c r="G2" s="189"/>
      <c r="H2" s="189"/>
      <c r="I2" s="189"/>
      <c r="J2" s="189"/>
      <c r="K2" s="189"/>
      <c r="L2" s="61"/>
      <c r="M2" s="61"/>
      <c r="N2" s="66"/>
      <c r="O2" s="67"/>
      <c r="P2" s="67"/>
      <c r="Q2" s="67"/>
      <c r="R2" s="67"/>
      <c r="S2" s="67"/>
      <c r="T2" s="67"/>
      <c r="U2" s="67"/>
      <c r="V2" s="67"/>
      <c r="W2" s="67"/>
      <c r="X2" s="67"/>
      <c r="Y2" s="67"/>
      <c r="Z2" s="67"/>
      <c r="AA2" s="67"/>
      <c r="AB2" s="67"/>
      <c r="AC2" s="64"/>
      <c r="AD2" s="64"/>
      <c r="AE2" s="64"/>
      <c r="AF2" s="64"/>
    </row>
    <row r="3" spans="2:32" ht="61.5" customHeight="1" x14ac:dyDescent="0.2">
      <c r="B3" s="68" t="s">
        <v>180</v>
      </c>
      <c r="C3" s="190" t="s">
        <v>181</v>
      </c>
      <c r="D3" s="191"/>
      <c r="E3" s="191"/>
      <c r="F3" s="191"/>
      <c r="G3" s="191"/>
      <c r="H3" s="191"/>
      <c r="I3" s="191"/>
      <c r="J3" s="191"/>
      <c r="K3" s="191"/>
      <c r="L3" s="69"/>
      <c r="M3" s="69"/>
      <c r="N3" s="70"/>
      <c r="O3" s="70"/>
      <c r="P3" s="70"/>
      <c r="Q3" s="70"/>
      <c r="R3" s="70"/>
      <c r="S3" s="70"/>
      <c r="T3" s="70"/>
      <c r="U3" s="70"/>
      <c r="V3" s="70"/>
      <c r="W3" s="70"/>
      <c r="X3" s="70"/>
      <c r="Y3" s="70"/>
      <c r="Z3" s="70"/>
      <c r="AA3" s="70"/>
      <c r="AB3" s="63"/>
      <c r="AC3" s="64"/>
      <c r="AD3" s="64"/>
      <c r="AE3" s="64"/>
      <c r="AF3" s="64"/>
    </row>
    <row r="4" spans="2:32" ht="18.75" customHeight="1" x14ac:dyDescent="0.2">
      <c r="B4" s="192" t="s">
        <v>182</v>
      </c>
      <c r="C4" s="192"/>
      <c r="D4" s="192"/>
      <c r="E4" s="192"/>
      <c r="F4" s="192"/>
      <c r="G4" s="192"/>
      <c r="H4" s="192"/>
      <c r="I4" s="192"/>
      <c r="J4" s="192"/>
      <c r="K4" s="192"/>
      <c r="L4" s="71"/>
      <c r="M4" s="71"/>
      <c r="N4" s="70"/>
      <c r="O4" s="70"/>
      <c r="P4" s="70"/>
      <c r="Q4" s="70"/>
      <c r="R4" s="70"/>
      <c r="S4" s="70"/>
      <c r="T4" s="70"/>
      <c r="U4" s="70"/>
      <c r="V4" s="70"/>
      <c r="W4" s="70"/>
      <c r="X4" s="70"/>
      <c r="Y4" s="70"/>
      <c r="Z4" s="70"/>
      <c r="AA4" s="70"/>
    </row>
    <row r="5" spans="2:32" s="73" customFormat="1" ht="12.75" customHeight="1" x14ac:dyDescent="0.2">
      <c r="B5" s="193" t="s">
        <v>183</v>
      </c>
      <c r="C5" s="192"/>
      <c r="D5" s="192"/>
      <c r="E5" s="192"/>
      <c r="F5" s="192"/>
      <c r="G5" s="192"/>
      <c r="H5" s="192"/>
      <c r="I5" s="192"/>
      <c r="J5" s="192"/>
      <c r="K5" s="192"/>
      <c r="L5" s="71"/>
      <c r="M5" s="71"/>
      <c r="N5" s="70"/>
      <c r="O5" s="70"/>
      <c r="P5" s="70"/>
      <c r="Q5" s="70"/>
      <c r="R5" s="70"/>
      <c r="S5" s="70"/>
      <c r="T5" s="70"/>
      <c r="U5" s="70"/>
      <c r="V5" s="70"/>
      <c r="W5" s="70"/>
      <c r="X5" s="70"/>
      <c r="Y5" s="70"/>
      <c r="Z5" s="70"/>
      <c r="AA5" s="70"/>
      <c r="AB5" s="71"/>
      <c r="AC5" s="72"/>
      <c r="AD5" s="72"/>
      <c r="AE5" s="72"/>
      <c r="AF5" s="72"/>
    </row>
    <row r="6" spans="2:32" s="73" customFormat="1" ht="18.75" customHeight="1" x14ac:dyDescent="0.2">
      <c r="B6" s="192"/>
      <c r="C6" s="192"/>
      <c r="D6" s="192"/>
      <c r="E6" s="192"/>
      <c r="F6" s="192"/>
      <c r="G6" s="192"/>
      <c r="H6" s="192"/>
      <c r="I6" s="192"/>
      <c r="J6" s="192"/>
      <c r="K6" s="192"/>
      <c r="L6" s="71"/>
      <c r="M6" s="71"/>
      <c r="N6" s="71"/>
      <c r="O6" s="71"/>
      <c r="P6" s="71"/>
      <c r="Q6" s="71"/>
      <c r="R6" s="71"/>
      <c r="S6" s="71"/>
      <c r="T6" s="71"/>
      <c r="U6" s="71"/>
      <c r="V6" s="71"/>
      <c r="W6" s="71"/>
      <c r="X6" s="71"/>
      <c r="Y6" s="71"/>
      <c r="Z6" s="71"/>
      <c r="AA6" s="71"/>
      <c r="AB6" s="71"/>
      <c r="AC6" s="185"/>
      <c r="AD6" s="185"/>
      <c r="AE6" s="185"/>
      <c r="AF6" s="185"/>
    </row>
    <row r="7" spans="2:32" ht="15" x14ac:dyDescent="0.2">
      <c r="B7" s="74"/>
      <c r="C7" s="75"/>
      <c r="D7" s="76"/>
      <c r="E7" s="77"/>
      <c r="F7" s="77"/>
      <c r="G7" s="77"/>
      <c r="H7" s="77"/>
      <c r="I7" s="77"/>
      <c r="J7" s="77"/>
      <c r="K7" s="77"/>
      <c r="L7" s="77"/>
      <c r="M7" s="77"/>
      <c r="N7" s="77"/>
      <c r="O7" s="77"/>
      <c r="P7" s="77"/>
      <c r="Q7" s="77"/>
      <c r="R7" s="77"/>
      <c r="S7" s="77"/>
      <c r="T7" s="77"/>
      <c r="U7" s="77"/>
      <c r="V7" s="77"/>
      <c r="W7" s="78"/>
      <c r="X7" s="78"/>
      <c r="Y7" s="78"/>
      <c r="Z7" s="78"/>
      <c r="AA7" s="78"/>
      <c r="AB7" s="78"/>
      <c r="AC7" s="73"/>
      <c r="AD7" s="73"/>
      <c r="AE7" s="73"/>
      <c r="AF7" s="73"/>
    </row>
    <row r="8" spans="2:32" ht="28.5" customHeight="1" x14ac:dyDescent="0.2">
      <c r="B8" s="172" t="s">
        <v>184</v>
      </c>
      <c r="C8" s="172"/>
      <c r="D8" s="172"/>
      <c r="E8" s="172"/>
      <c r="F8" s="172"/>
      <c r="G8" s="172"/>
      <c r="H8" s="172"/>
      <c r="I8" s="172"/>
      <c r="J8" s="172"/>
      <c r="K8" s="172"/>
      <c r="L8" s="79"/>
      <c r="M8" s="79"/>
      <c r="N8" s="77"/>
      <c r="O8" s="77"/>
      <c r="P8" s="77"/>
      <c r="Q8" s="77"/>
      <c r="R8" s="77"/>
      <c r="S8" s="77"/>
      <c r="T8" s="77"/>
      <c r="U8" s="77"/>
      <c r="V8" s="77"/>
      <c r="W8" s="78"/>
      <c r="X8" s="78"/>
      <c r="Y8" s="78"/>
      <c r="Z8" s="78"/>
      <c r="AA8" s="78"/>
      <c r="AB8" s="78"/>
      <c r="AC8" s="73"/>
      <c r="AD8" s="73"/>
      <c r="AE8" s="73"/>
      <c r="AF8" s="73"/>
    </row>
    <row r="9" spans="2:32" ht="15" x14ac:dyDescent="0.2">
      <c r="B9" s="172" t="s">
        <v>185</v>
      </c>
      <c r="C9" s="172"/>
      <c r="D9" s="172"/>
      <c r="E9" s="172"/>
      <c r="F9" s="172"/>
      <c r="G9" s="172"/>
      <c r="H9" s="172"/>
      <c r="I9" s="172"/>
      <c r="J9" s="172"/>
      <c r="K9" s="172"/>
      <c r="L9" s="79"/>
      <c r="M9" s="79"/>
      <c r="N9" s="77"/>
      <c r="O9" s="77"/>
      <c r="P9" s="77"/>
      <c r="Q9" s="77"/>
      <c r="R9" s="77"/>
      <c r="S9" s="77"/>
      <c r="T9" s="77"/>
      <c r="U9" s="77"/>
      <c r="V9" s="77"/>
      <c r="W9" s="78"/>
      <c r="X9" s="78"/>
      <c r="Y9" s="78"/>
      <c r="Z9" s="78"/>
      <c r="AA9" s="78"/>
      <c r="AB9" s="78"/>
      <c r="AC9" s="73"/>
      <c r="AD9" s="73"/>
      <c r="AE9" s="73"/>
      <c r="AF9" s="73"/>
    </row>
    <row r="10" spans="2:32" ht="34.5" customHeight="1" x14ac:dyDescent="0.2">
      <c r="B10" s="172" t="s">
        <v>186</v>
      </c>
      <c r="C10" s="172"/>
      <c r="D10" s="172"/>
      <c r="E10" s="172"/>
      <c r="F10" s="172"/>
      <c r="G10" s="172"/>
      <c r="H10" s="172"/>
      <c r="I10" s="172"/>
      <c r="J10" s="172"/>
      <c r="K10" s="172"/>
      <c r="L10" s="79"/>
      <c r="M10" s="79"/>
      <c r="N10" s="77"/>
      <c r="O10" s="77"/>
      <c r="P10" s="77"/>
      <c r="Q10" s="77"/>
      <c r="R10" s="77"/>
      <c r="S10" s="77"/>
      <c r="T10" s="77"/>
      <c r="U10" s="77"/>
      <c r="V10" s="77"/>
      <c r="W10" s="78"/>
      <c r="X10" s="78"/>
      <c r="Y10" s="78"/>
      <c r="Z10" s="78"/>
      <c r="AA10" s="78"/>
      <c r="AB10" s="78"/>
      <c r="AC10" s="73"/>
      <c r="AD10" s="73"/>
      <c r="AE10" s="73"/>
      <c r="AF10" s="73"/>
    </row>
    <row r="11" spans="2:32" ht="66.75" customHeight="1" x14ac:dyDescent="0.2">
      <c r="B11" s="172" t="s">
        <v>187</v>
      </c>
      <c r="C11" s="172"/>
      <c r="D11" s="172"/>
      <c r="E11" s="172"/>
      <c r="F11" s="172"/>
      <c r="G11" s="172"/>
      <c r="H11" s="172"/>
      <c r="I11" s="172"/>
      <c r="J11" s="172"/>
      <c r="K11" s="172"/>
      <c r="L11" s="79"/>
      <c r="M11" s="79"/>
      <c r="N11" s="77"/>
      <c r="O11" s="77"/>
      <c r="P11" s="77"/>
      <c r="Q11" s="77"/>
      <c r="R11" s="77"/>
      <c r="S11" s="77"/>
      <c r="T11" s="77"/>
      <c r="U11" s="77"/>
      <c r="V11" s="77"/>
      <c r="W11" s="78"/>
      <c r="X11" s="78"/>
      <c r="Y11" s="78"/>
      <c r="Z11" s="78"/>
      <c r="AA11" s="78"/>
      <c r="AB11" s="78"/>
      <c r="AC11" s="73"/>
      <c r="AD11" s="73"/>
      <c r="AE11" s="73"/>
      <c r="AF11" s="73"/>
    </row>
    <row r="12" spans="2:32" ht="15" x14ac:dyDescent="0.2">
      <c r="B12" s="172" t="s">
        <v>188</v>
      </c>
      <c r="C12" s="172"/>
      <c r="D12" s="172"/>
      <c r="E12" s="172"/>
      <c r="F12" s="172"/>
      <c r="G12" s="172"/>
      <c r="H12" s="172"/>
      <c r="I12" s="172"/>
      <c r="J12" s="172"/>
      <c r="K12" s="172"/>
      <c r="L12" s="79"/>
      <c r="M12" s="79"/>
      <c r="N12" s="77"/>
      <c r="O12" s="77"/>
      <c r="P12" s="77"/>
      <c r="Q12" s="77"/>
      <c r="R12" s="77"/>
      <c r="S12" s="77"/>
      <c r="T12" s="77"/>
      <c r="U12" s="77"/>
      <c r="V12" s="77"/>
      <c r="W12" s="78"/>
      <c r="X12" s="78"/>
      <c r="Y12" s="78"/>
      <c r="Z12" s="78"/>
      <c r="AA12" s="78"/>
      <c r="AB12" s="78"/>
      <c r="AC12" s="73"/>
      <c r="AD12" s="73"/>
      <c r="AE12" s="73"/>
      <c r="AF12" s="73"/>
    </row>
    <row r="13" spans="2:32" ht="30.75" customHeight="1" x14ac:dyDescent="0.2">
      <c r="B13" s="172" t="s">
        <v>189</v>
      </c>
      <c r="C13" s="172"/>
      <c r="D13" s="172"/>
      <c r="E13" s="172"/>
      <c r="F13" s="172"/>
      <c r="G13" s="172"/>
      <c r="H13" s="172"/>
      <c r="I13" s="172"/>
      <c r="J13" s="172"/>
      <c r="K13" s="172"/>
      <c r="L13" s="79"/>
      <c r="M13" s="79"/>
      <c r="N13" s="77"/>
      <c r="O13" s="77"/>
      <c r="P13" s="77"/>
      <c r="Q13" s="77"/>
      <c r="R13" s="77"/>
      <c r="S13" s="77"/>
      <c r="T13" s="77"/>
      <c r="U13" s="77"/>
      <c r="V13" s="77"/>
      <c r="W13" s="78"/>
      <c r="X13" s="78"/>
      <c r="Y13" s="78"/>
      <c r="Z13" s="78"/>
      <c r="AA13" s="78"/>
      <c r="AB13" s="78"/>
      <c r="AC13" s="73"/>
      <c r="AD13" s="73"/>
      <c r="AE13" s="73"/>
      <c r="AF13" s="73"/>
    </row>
    <row r="14" spans="2:32" ht="15" x14ac:dyDescent="0.2">
      <c r="B14" s="74"/>
      <c r="C14" s="75"/>
      <c r="D14" s="76"/>
      <c r="E14" s="77"/>
      <c r="F14" s="77"/>
      <c r="G14" s="77"/>
      <c r="H14" s="77"/>
      <c r="I14" s="77"/>
      <c r="J14" s="77"/>
      <c r="K14" s="77"/>
      <c r="L14" s="77"/>
      <c r="M14" s="77"/>
      <c r="N14" s="77"/>
      <c r="O14" s="77"/>
      <c r="P14" s="77"/>
      <c r="Q14" s="77"/>
      <c r="R14" s="77"/>
      <c r="S14" s="77"/>
      <c r="T14" s="77"/>
      <c r="U14" s="77"/>
      <c r="V14" s="77"/>
      <c r="W14" s="78"/>
      <c r="X14" s="78"/>
      <c r="Y14" s="78"/>
      <c r="Z14" s="78"/>
      <c r="AA14" s="78"/>
      <c r="AB14" s="78"/>
      <c r="AC14" s="73"/>
      <c r="AD14" s="73"/>
      <c r="AE14" s="73"/>
      <c r="AF14" s="73"/>
    </row>
    <row r="15" spans="2:32" ht="15" x14ac:dyDescent="0.2">
      <c r="B15" s="172" t="s">
        <v>190</v>
      </c>
      <c r="C15" s="172"/>
      <c r="D15" s="172"/>
      <c r="E15" s="172"/>
      <c r="F15" s="172"/>
      <c r="G15" s="172"/>
      <c r="H15" s="172"/>
      <c r="I15" s="172"/>
      <c r="J15" s="172"/>
      <c r="K15" s="172"/>
      <c r="L15" s="79"/>
      <c r="M15" s="79"/>
      <c r="N15" s="77"/>
      <c r="O15" s="77"/>
      <c r="P15" s="77"/>
      <c r="Q15" s="77"/>
      <c r="R15" s="77"/>
      <c r="S15" s="77"/>
      <c r="T15" s="77"/>
      <c r="U15" s="77"/>
      <c r="V15" s="77"/>
      <c r="W15" s="78"/>
      <c r="X15" s="78"/>
      <c r="Y15" s="78"/>
      <c r="Z15" s="78"/>
      <c r="AA15" s="78"/>
      <c r="AB15" s="78"/>
      <c r="AC15" s="73"/>
      <c r="AD15" s="73"/>
      <c r="AE15" s="73"/>
      <c r="AF15" s="73"/>
    </row>
    <row r="16" spans="2:32" ht="15" x14ac:dyDescent="0.2">
      <c r="B16" s="172" t="s">
        <v>191</v>
      </c>
      <c r="C16" s="172"/>
      <c r="D16" s="172"/>
      <c r="E16" s="172"/>
      <c r="F16" s="172"/>
      <c r="G16" s="172"/>
      <c r="H16" s="172"/>
      <c r="I16" s="172"/>
      <c r="J16" s="172"/>
      <c r="K16" s="172"/>
      <c r="L16" s="79"/>
      <c r="M16" s="79"/>
      <c r="N16" s="77"/>
      <c r="O16" s="77"/>
      <c r="P16" s="77"/>
      <c r="Q16" s="77"/>
      <c r="R16" s="77"/>
      <c r="S16" s="77"/>
      <c r="T16" s="77"/>
      <c r="U16" s="77"/>
      <c r="V16" s="77"/>
      <c r="W16" s="78"/>
      <c r="X16" s="78"/>
      <c r="Y16" s="78"/>
      <c r="Z16" s="78"/>
      <c r="AA16" s="78"/>
      <c r="AB16" s="78"/>
      <c r="AC16" s="73"/>
      <c r="AD16" s="73"/>
      <c r="AE16" s="73"/>
      <c r="AF16" s="73"/>
    </row>
    <row r="17" spans="2:37" ht="15" x14ac:dyDescent="0.2">
      <c r="B17" s="172" t="s">
        <v>192</v>
      </c>
      <c r="C17" s="172"/>
      <c r="D17" s="172"/>
      <c r="E17" s="172"/>
      <c r="F17" s="172"/>
      <c r="G17" s="172"/>
      <c r="H17" s="172"/>
      <c r="I17" s="172"/>
      <c r="J17" s="172"/>
      <c r="K17" s="172"/>
      <c r="L17" s="79"/>
      <c r="M17" s="79"/>
      <c r="N17" s="77"/>
      <c r="O17" s="77"/>
      <c r="P17" s="77"/>
      <c r="Q17" s="77"/>
      <c r="R17" s="77"/>
      <c r="S17" s="77"/>
      <c r="T17" s="77"/>
      <c r="U17" s="77"/>
      <c r="V17" s="77"/>
      <c r="W17" s="78"/>
      <c r="X17" s="78"/>
      <c r="Y17" s="78"/>
      <c r="Z17" s="78"/>
      <c r="AA17" s="78"/>
      <c r="AB17" s="78"/>
      <c r="AC17" s="73"/>
      <c r="AD17" s="73"/>
      <c r="AE17" s="73"/>
      <c r="AF17" s="73"/>
    </row>
    <row r="18" spans="2:37" ht="15" x14ac:dyDescent="0.2">
      <c r="B18" s="172" t="s">
        <v>193</v>
      </c>
      <c r="C18" s="172"/>
      <c r="D18" s="172"/>
      <c r="E18" s="172"/>
      <c r="F18" s="172"/>
      <c r="G18" s="172"/>
      <c r="H18" s="172"/>
      <c r="I18" s="172"/>
      <c r="J18" s="172"/>
      <c r="K18" s="172"/>
      <c r="L18" s="79"/>
      <c r="M18" s="79"/>
      <c r="N18" s="77"/>
      <c r="O18" s="77"/>
      <c r="P18" s="77"/>
      <c r="Q18" s="77"/>
      <c r="R18" s="77"/>
      <c r="S18" s="77"/>
      <c r="T18" s="77"/>
      <c r="U18" s="77"/>
      <c r="V18" s="77"/>
      <c r="W18" s="78"/>
      <c r="X18" s="78"/>
      <c r="Y18" s="78"/>
      <c r="Z18" s="78"/>
      <c r="AA18" s="78"/>
      <c r="AB18" s="78"/>
      <c r="AC18" s="73"/>
      <c r="AD18" s="73"/>
      <c r="AE18" s="73"/>
      <c r="AF18" s="73"/>
    </row>
    <row r="19" spans="2:37" ht="38.25" customHeight="1" x14ac:dyDescent="0.2">
      <c r="B19" s="172" t="s">
        <v>194</v>
      </c>
      <c r="C19" s="172"/>
      <c r="D19" s="172"/>
      <c r="E19" s="172"/>
      <c r="F19" s="172"/>
      <c r="G19" s="172"/>
      <c r="H19" s="172"/>
      <c r="I19" s="172"/>
      <c r="J19" s="172"/>
      <c r="K19" s="172"/>
      <c r="L19" s="79"/>
      <c r="M19" s="79"/>
      <c r="N19" s="77"/>
      <c r="O19" s="77"/>
      <c r="P19" s="77"/>
      <c r="Q19" s="77"/>
      <c r="R19" s="77"/>
      <c r="S19" s="77"/>
      <c r="T19" s="77"/>
      <c r="U19" s="77"/>
      <c r="V19" s="77"/>
      <c r="W19" s="78"/>
      <c r="X19" s="78"/>
      <c r="Y19" s="78"/>
      <c r="Z19" s="78"/>
      <c r="AA19" s="78"/>
      <c r="AB19" s="78"/>
      <c r="AC19" s="73"/>
      <c r="AD19" s="73"/>
      <c r="AE19" s="73"/>
      <c r="AF19" s="73"/>
    </row>
    <row r="20" spans="2:37" ht="15" x14ac:dyDescent="0.2">
      <c r="B20" s="74"/>
      <c r="C20" s="75"/>
      <c r="D20" s="76"/>
      <c r="E20" s="77"/>
      <c r="F20" s="77"/>
      <c r="G20" s="77"/>
      <c r="H20" s="77"/>
      <c r="I20" s="77"/>
      <c r="J20" s="77"/>
      <c r="K20" s="77"/>
      <c r="L20" s="77"/>
      <c r="M20" s="77"/>
      <c r="N20" s="77"/>
      <c r="O20" s="77"/>
      <c r="P20" s="77"/>
      <c r="Q20" s="77"/>
      <c r="R20" s="77"/>
      <c r="S20" s="77"/>
      <c r="T20" s="77"/>
      <c r="U20" s="77"/>
      <c r="V20" s="77"/>
      <c r="W20" s="78"/>
      <c r="X20" s="78"/>
      <c r="Y20" s="78"/>
      <c r="Z20" s="78"/>
      <c r="AA20" s="78"/>
      <c r="AB20" s="78"/>
      <c r="AC20" s="73"/>
      <c r="AD20" s="73"/>
      <c r="AE20" s="73"/>
      <c r="AF20" s="73"/>
    </row>
    <row r="21" spans="2:37" ht="13.5" thickBot="1" x14ac:dyDescent="0.25">
      <c r="F21" s="80"/>
      <c r="G21" s="80"/>
      <c r="H21" s="80"/>
    </row>
    <row r="22" spans="2:37" ht="15" customHeight="1" x14ac:dyDescent="0.2">
      <c r="B22" s="173" t="s">
        <v>195</v>
      </c>
      <c r="C22" s="176" t="s">
        <v>196</v>
      </c>
      <c r="D22" s="163" t="s">
        <v>197</v>
      </c>
      <c r="E22" s="180" t="s">
        <v>198</v>
      </c>
      <c r="F22" s="181"/>
      <c r="G22" s="181"/>
      <c r="H22" s="181"/>
      <c r="I22" s="182"/>
      <c r="J22" s="180" t="s">
        <v>199</v>
      </c>
      <c r="K22" s="181"/>
      <c r="L22" s="181"/>
      <c r="M22" s="181"/>
      <c r="N22" s="182"/>
      <c r="O22" s="161" t="s">
        <v>200</v>
      </c>
      <c r="P22" s="162"/>
      <c r="Q22" s="162"/>
      <c r="R22" s="163"/>
      <c r="S22" s="167" t="s">
        <v>201</v>
      </c>
      <c r="T22" s="143" t="s">
        <v>202</v>
      </c>
      <c r="U22" s="143" t="s">
        <v>203</v>
      </c>
      <c r="V22" s="143" t="s">
        <v>204</v>
      </c>
      <c r="W22" s="143" t="s">
        <v>205</v>
      </c>
      <c r="X22" s="143" t="s">
        <v>206</v>
      </c>
      <c r="Y22" s="149" t="s">
        <v>207</v>
      </c>
      <c r="Z22" s="152" t="s">
        <v>208</v>
      </c>
      <c r="AA22" s="155" t="s">
        <v>209</v>
      </c>
      <c r="AB22" s="156"/>
      <c r="AC22" s="156"/>
      <c r="AD22" s="156"/>
      <c r="AE22" s="156"/>
      <c r="AF22" s="156"/>
      <c r="AG22" s="156"/>
      <c r="AH22" s="156"/>
      <c r="AI22" s="156"/>
      <c r="AJ22" s="156"/>
      <c r="AK22" s="157"/>
    </row>
    <row r="23" spans="2:37" ht="15.75" customHeight="1" thickBot="1" x14ac:dyDescent="0.25">
      <c r="B23" s="174"/>
      <c r="C23" s="177"/>
      <c r="D23" s="178"/>
      <c r="E23" s="170" t="s">
        <v>210</v>
      </c>
      <c r="F23" s="171" t="s">
        <v>211</v>
      </c>
      <c r="G23" s="171" t="s">
        <v>212</v>
      </c>
      <c r="H23" s="171" t="s">
        <v>213</v>
      </c>
      <c r="I23" s="171" t="s">
        <v>214</v>
      </c>
      <c r="J23" s="183" t="s">
        <v>210</v>
      </c>
      <c r="K23" s="171" t="s">
        <v>215</v>
      </c>
      <c r="L23" s="171" t="s">
        <v>216</v>
      </c>
      <c r="M23" s="171" t="s">
        <v>217</v>
      </c>
      <c r="N23" s="171" t="s">
        <v>218</v>
      </c>
      <c r="O23" s="164"/>
      <c r="P23" s="165"/>
      <c r="Q23" s="165"/>
      <c r="R23" s="166"/>
      <c r="S23" s="168"/>
      <c r="T23" s="144"/>
      <c r="U23" s="144"/>
      <c r="V23" s="144"/>
      <c r="W23" s="144"/>
      <c r="X23" s="144"/>
      <c r="Y23" s="150"/>
      <c r="Z23" s="153"/>
      <c r="AA23" s="158"/>
      <c r="AB23" s="159"/>
      <c r="AC23" s="159"/>
      <c r="AD23" s="159"/>
      <c r="AE23" s="159"/>
      <c r="AF23" s="159"/>
      <c r="AG23" s="159"/>
      <c r="AH23" s="159"/>
      <c r="AI23" s="159"/>
      <c r="AJ23" s="159"/>
      <c r="AK23" s="160"/>
    </row>
    <row r="24" spans="2:37" ht="15.75" customHeight="1" thickBot="1" x14ac:dyDescent="0.25">
      <c r="B24" s="175"/>
      <c r="C24" s="177"/>
      <c r="D24" s="179"/>
      <c r="E24" s="170"/>
      <c r="F24" s="171"/>
      <c r="G24" s="171"/>
      <c r="H24" s="171"/>
      <c r="I24" s="171"/>
      <c r="J24" s="184"/>
      <c r="K24" s="171"/>
      <c r="L24" s="171"/>
      <c r="M24" s="171"/>
      <c r="N24" s="171"/>
      <c r="O24" s="81" t="s">
        <v>219</v>
      </c>
      <c r="P24" s="81" t="s">
        <v>220</v>
      </c>
      <c r="Q24" s="81" t="s">
        <v>221</v>
      </c>
      <c r="R24" s="81" t="s">
        <v>222</v>
      </c>
      <c r="S24" s="169"/>
      <c r="T24" s="145"/>
      <c r="U24" s="145"/>
      <c r="V24" s="145"/>
      <c r="W24" s="145"/>
      <c r="X24" s="145"/>
      <c r="Y24" s="151"/>
      <c r="Z24" s="154"/>
      <c r="AA24" s="82" t="s">
        <v>223</v>
      </c>
      <c r="AB24" s="82" t="s">
        <v>224</v>
      </c>
      <c r="AC24" s="83" t="s">
        <v>225</v>
      </c>
      <c r="AD24" s="83" t="s">
        <v>226</v>
      </c>
      <c r="AE24" s="83" t="s">
        <v>227</v>
      </c>
      <c r="AF24" s="83" t="s">
        <v>228</v>
      </c>
      <c r="AG24" s="82" t="s">
        <v>229</v>
      </c>
      <c r="AH24" s="84" t="s">
        <v>230</v>
      </c>
      <c r="AI24" s="84" t="s">
        <v>231</v>
      </c>
      <c r="AJ24" s="84" t="s">
        <v>232</v>
      </c>
      <c r="AK24" s="85" t="s">
        <v>233</v>
      </c>
    </row>
    <row r="25" spans="2:37" ht="15" customHeight="1" x14ac:dyDescent="0.2">
      <c r="B25" s="86"/>
      <c r="C25" s="87"/>
      <c r="D25" s="88"/>
      <c r="E25" s="89"/>
      <c r="F25" s="90"/>
      <c r="G25" s="90"/>
      <c r="H25" s="90"/>
      <c r="I25" s="90"/>
      <c r="J25" s="91"/>
      <c r="K25" s="92"/>
      <c r="L25" s="92"/>
      <c r="M25" s="92"/>
      <c r="N25" s="92"/>
      <c r="O25" s="93"/>
      <c r="P25" s="93"/>
      <c r="Q25" s="93"/>
      <c r="R25" s="93"/>
      <c r="S25" s="93"/>
      <c r="T25" s="94"/>
      <c r="U25" s="94"/>
      <c r="V25" s="94"/>
      <c r="W25" s="94"/>
      <c r="X25" s="95"/>
      <c r="Y25" s="95"/>
      <c r="Z25" s="96"/>
      <c r="AA25" s="97">
        <v>243</v>
      </c>
      <c r="AB25" s="98">
        <v>73</v>
      </c>
      <c r="AC25" s="99"/>
      <c r="AD25" s="99"/>
      <c r="AE25" s="99"/>
      <c r="AF25" s="99"/>
      <c r="AG25" s="100"/>
      <c r="AH25" s="101"/>
      <c r="AI25" s="102"/>
      <c r="AJ25" s="101"/>
      <c r="AK25" s="103"/>
    </row>
    <row r="26" spans="2:37" ht="27" customHeight="1" thickBot="1" x14ac:dyDescent="0.25">
      <c r="B26" s="136" t="s">
        <v>162</v>
      </c>
      <c r="C26" s="86"/>
      <c r="D26" s="104" t="s">
        <v>234</v>
      </c>
      <c r="E26" s="105">
        <v>45503</v>
      </c>
      <c r="F26" s="106"/>
      <c r="G26" s="107"/>
      <c r="H26" s="107"/>
      <c r="I26" s="107"/>
      <c r="J26" s="108">
        <v>45478</v>
      </c>
      <c r="K26" s="107"/>
      <c r="L26" s="107"/>
      <c r="M26" s="107"/>
      <c r="N26" s="107"/>
      <c r="O26" s="109">
        <v>0.65</v>
      </c>
      <c r="P26" s="109">
        <v>0.13</v>
      </c>
      <c r="Q26" s="109">
        <v>0.02</v>
      </c>
      <c r="R26" s="109">
        <v>0.05</v>
      </c>
      <c r="S26" s="110">
        <f>'AUTO CALCULATION SHEET (2)'!E5</f>
        <v>410043.59760000004</v>
      </c>
      <c r="T26" s="111" t="e">
        <f t="shared" ref="T26:U30" si="0">O26*(F26/K26)</f>
        <v>#DIV/0!</v>
      </c>
      <c r="U26" s="111" t="e">
        <f t="shared" si="0"/>
        <v>#DIV/0!</v>
      </c>
      <c r="V26" s="111"/>
      <c r="W26" s="111" t="e">
        <f>R26*(I26/N26)</f>
        <v>#DIV/0!</v>
      </c>
      <c r="X26" s="112" t="e">
        <f>0.15+T26+U26+V26+W26</f>
        <v>#DIV/0!</v>
      </c>
      <c r="Y26" s="113" t="e">
        <f>(S26*X26)-S26</f>
        <v>#DIV/0!</v>
      </c>
      <c r="Z26" s="114" t="e">
        <f>S26+Y26</f>
        <v>#DIV/0!</v>
      </c>
      <c r="AA26" s="115">
        <f>'AUTO CALCULATION SHEET (2)'!N5</f>
        <v>1467</v>
      </c>
      <c r="AB26" s="116">
        <f>'AUTO CALCULATION SHEET (2)'!AS5</f>
        <v>537</v>
      </c>
      <c r="AC26" s="117">
        <f>SUMPRODUCT($AA$25:$AB$25,AA26:AB26)</f>
        <v>395682</v>
      </c>
      <c r="AD26" s="118">
        <f>'AUTO CALCULATION SHEET (2)'!CB5</f>
        <v>4500</v>
      </c>
      <c r="AE26" s="117">
        <f>AC26+AD26</f>
        <v>400182</v>
      </c>
      <c r="AF26" s="118" t="e">
        <f>+Z26-AE26</f>
        <v>#DIV/0!</v>
      </c>
      <c r="AG26" s="119" t="e">
        <f>AF26/AE26*100%</f>
        <v>#DIV/0!</v>
      </c>
      <c r="AH26" s="120"/>
      <c r="AI26" s="120">
        <v>0.03</v>
      </c>
      <c r="AJ26" s="120">
        <v>0.01</v>
      </c>
      <c r="AK26" s="121" t="e">
        <f>AG26-SUM(AH26:AJ26)</f>
        <v>#DIV/0!</v>
      </c>
    </row>
    <row r="27" spans="2:37" ht="27" customHeight="1" thickBot="1" x14ac:dyDescent="0.25">
      <c r="B27" s="136" t="s">
        <v>150</v>
      </c>
      <c r="C27" s="86"/>
      <c r="D27" s="104" t="s">
        <v>234</v>
      </c>
      <c r="E27" s="105">
        <v>45503</v>
      </c>
      <c r="F27" s="106"/>
      <c r="G27" s="107"/>
      <c r="H27" s="107"/>
      <c r="I27" s="107"/>
      <c r="J27" s="108">
        <v>45478</v>
      </c>
      <c r="K27" s="107"/>
      <c r="L27" s="107"/>
      <c r="M27" s="107"/>
      <c r="N27" s="107"/>
      <c r="O27" s="109">
        <v>0.65</v>
      </c>
      <c r="P27" s="109">
        <v>0.13</v>
      </c>
      <c r="Q27" s="109">
        <v>0.02</v>
      </c>
      <c r="R27" s="109">
        <v>0.05</v>
      </c>
      <c r="S27" s="110">
        <f>'AUTO CALCULATION SHEET (2)'!E6</f>
        <v>499896.1188</v>
      </c>
      <c r="T27" s="111" t="e">
        <f t="shared" si="0"/>
        <v>#DIV/0!</v>
      </c>
      <c r="U27" s="111" t="e">
        <f t="shared" si="0"/>
        <v>#DIV/0!</v>
      </c>
      <c r="V27" s="111"/>
      <c r="W27" s="111" t="e">
        <f>R27*(I27/N27)</f>
        <v>#DIV/0!</v>
      </c>
      <c r="X27" s="112" t="e">
        <f>0.15+T27+U27+V27+W27</f>
        <v>#DIV/0!</v>
      </c>
      <c r="Y27" s="113" t="e">
        <f>(S27*X27)-S27</f>
        <v>#DIV/0!</v>
      </c>
      <c r="Z27" s="114" t="e">
        <f>S27+Y27</f>
        <v>#DIV/0!</v>
      </c>
      <c r="AA27" s="115">
        <f>'AUTO CALCULATION SHEET (2)'!N6</f>
        <v>1906</v>
      </c>
      <c r="AB27" s="116">
        <f>'AUTO CALCULATION SHEET (2)'!AS6</f>
        <v>281</v>
      </c>
      <c r="AC27" s="117">
        <f>SUMPRODUCT($AA$25:$AB$25,AA27:AB27)</f>
        <v>483671</v>
      </c>
      <c r="AD27" s="118">
        <f>'AUTO CALCULATION SHEET (2)'!CB6</f>
        <v>5142.8571428571422</v>
      </c>
      <c r="AE27" s="117">
        <f>AC27+AD27</f>
        <v>488813.85714285716</v>
      </c>
      <c r="AF27" s="118" t="e">
        <f>+Z27-AE27</f>
        <v>#DIV/0!</v>
      </c>
      <c r="AG27" s="119" t="e">
        <f>AF27/AE27*100%</f>
        <v>#DIV/0!</v>
      </c>
      <c r="AH27" s="120"/>
      <c r="AI27" s="120">
        <v>0.03</v>
      </c>
      <c r="AJ27" s="120">
        <v>0.01</v>
      </c>
      <c r="AK27" s="121" t="e">
        <f t="shared" ref="AK27:AK30" si="1">AG27-SUM(AH27:AJ27)</f>
        <v>#DIV/0!</v>
      </c>
    </row>
    <row r="28" spans="2:37" ht="27" customHeight="1" thickBot="1" x14ac:dyDescent="0.25">
      <c r="B28" s="136" t="s">
        <v>156</v>
      </c>
      <c r="C28" s="86"/>
      <c r="D28" s="104" t="s">
        <v>234</v>
      </c>
      <c r="E28" s="105">
        <v>45503</v>
      </c>
      <c r="F28" s="106"/>
      <c r="G28" s="107"/>
      <c r="H28" s="107"/>
      <c r="I28" s="107"/>
      <c r="J28" s="108">
        <v>45478</v>
      </c>
      <c r="K28" s="107"/>
      <c r="L28" s="107"/>
      <c r="M28" s="107"/>
      <c r="N28" s="107"/>
      <c r="O28" s="109">
        <v>0.65</v>
      </c>
      <c r="P28" s="109">
        <v>0.13</v>
      </c>
      <c r="Q28" s="109">
        <v>0.02</v>
      </c>
      <c r="R28" s="109">
        <v>0.05</v>
      </c>
      <c r="S28" s="110">
        <f>'AUTO CALCULATION SHEET (2)'!E7</f>
        <v>593024.46840000001</v>
      </c>
      <c r="T28" s="111" t="e">
        <f t="shared" si="0"/>
        <v>#DIV/0!</v>
      </c>
      <c r="U28" s="111" t="e">
        <f t="shared" si="0"/>
        <v>#DIV/0!</v>
      </c>
      <c r="V28" s="111"/>
      <c r="W28" s="111" t="e">
        <f>R28*(I28/N28)</f>
        <v>#DIV/0!</v>
      </c>
      <c r="X28" s="112" t="e">
        <f>0.15+T28+U28+V28+W28</f>
        <v>#DIV/0!</v>
      </c>
      <c r="Y28" s="113" t="e">
        <f>(S28*X28)-S28</f>
        <v>#DIV/0!</v>
      </c>
      <c r="Z28" s="114" t="e">
        <f>S28+Y28</f>
        <v>#DIV/0!</v>
      </c>
      <c r="AA28" s="115">
        <f>'AUTO CALCULATION SHEET (2)'!N7</f>
        <v>2229</v>
      </c>
      <c r="AB28" s="116">
        <f>'AUTO CALCULATION SHEET (2)'!AS7</f>
        <v>438</v>
      </c>
      <c r="AC28" s="117">
        <f>SUMPRODUCT($AA$25:$AB$25,AA28:AB28)</f>
        <v>573621</v>
      </c>
      <c r="AD28" s="118">
        <f>'AUTO CALCULATION SHEET (2)'!CB7</f>
        <v>6000</v>
      </c>
      <c r="AE28" s="117">
        <f>AC28+AD28</f>
        <v>579621</v>
      </c>
      <c r="AF28" s="118" t="e">
        <f>+Z28-AE28</f>
        <v>#DIV/0!</v>
      </c>
      <c r="AG28" s="119" t="e">
        <f>AF28/AE28*100%</f>
        <v>#DIV/0!</v>
      </c>
      <c r="AH28" s="120"/>
      <c r="AI28" s="120">
        <v>0.03</v>
      </c>
      <c r="AJ28" s="120">
        <v>0.01</v>
      </c>
      <c r="AK28" s="121" t="e">
        <f t="shared" si="1"/>
        <v>#DIV/0!</v>
      </c>
    </row>
    <row r="29" spans="2:37" ht="27" customHeight="1" thickBot="1" x14ac:dyDescent="0.25">
      <c r="B29" s="136" t="s">
        <v>160</v>
      </c>
      <c r="C29" s="86"/>
      <c r="D29" s="104" t="s">
        <v>234</v>
      </c>
      <c r="E29" s="105">
        <v>45503</v>
      </c>
      <c r="F29" s="106"/>
      <c r="G29" s="107"/>
      <c r="H29" s="107"/>
      <c r="I29" s="107"/>
      <c r="J29" s="108">
        <v>45478</v>
      </c>
      <c r="K29" s="107"/>
      <c r="L29" s="107"/>
      <c r="M29" s="107"/>
      <c r="N29" s="107"/>
      <c r="O29" s="109">
        <v>0.65</v>
      </c>
      <c r="P29" s="109">
        <v>0.13</v>
      </c>
      <c r="Q29" s="109">
        <v>0.02</v>
      </c>
      <c r="R29" s="109">
        <v>0.05</v>
      </c>
      <c r="S29" s="110">
        <f>'AUTO CALCULATION SHEET (2)'!E8</f>
        <v>331604.07280000002</v>
      </c>
      <c r="T29" s="111" t="e">
        <f t="shared" si="0"/>
        <v>#DIV/0!</v>
      </c>
      <c r="U29" s="111" t="e">
        <f t="shared" si="0"/>
        <v>#DIV/0!</v>
      </c>
      <c r="V29" s="111"/>
      <c r="W29" s="111" t="e">
        <f>R29*(I29/N29)</f>
        <v>#DIV/0!</v>
      </c>
      <c r="X29" s="112" t="e">
        <f>0.15+T29+U29+V29+W29</f>
        <v>#DIV/0!</v>
      </c>
      <c r="Y29" s="113" t="e">
        <f>(S29*X29)-S29</f>
        <v>#DIV/0!</v>
      </c>
      <c r="Z29" s="114" t="e">
        <f>S29+Y29</f>
        <v>#DIV/0!</v>
      </c>
      <c r="AA29" s="115">
        <f>'AUTO CALCULATION SHEET (2)'!N8</f>
        <v>1186</v>
      </c>
      <c r="AB29" s="116">
        <f>'AUTO CALCULATION SHEET (2)'!AS8</f>
        <v>436</v>
      </c>
      <c r="AC29" s="117">
        <f>SUMPRODUCT($AA$25:$AB$25,AA29:AB29)</f>
        <v>320026</v>
      </c>
      <c r="AD29" s="118">
        <f>'AUTO CALCULATION SHEET (2)'!CB8</f>
        <v>3600</v>
      </c>
      <c r="AE29" s="117">
        <f>AC29+AD29</f>
        <v>323626</v>
      </c>
      <c r="AF29" s="118" t="e">
        <f>+Z29-AE29</f>
        <v>#DIV/0!</v>
      </c>
      <c r="AG29" s="119" t="e">
        <f>AF29/AE29*100%</f>
        <v>#DIV/0!</v>
      </c>
      <c r="AH29" s="120"/>
      <c r="AI29" s="120">
        <v>0.03</v>
      </c>
      <c r="AJ29" s="120">
        <v>0.01</v>
      </c>
      <c r="AK29" s="121" t="e">
        <f t="shared" si="1"/>
        <v>#DIV/0!</v>
      </c>
    </row>
    <row r="30" spans="2:37" ht="27" customHeight="1" thickBot="1" x14ac:dyDescent="0.25">
      <c r="B30" s="137" t="s">
        <v>164</v>
      </c>
      <c r="C30" s="86"/>
      <c r="D30" s="104" t="s">
        <v>234</v>
      </c>
      <c r="E30" s="105">
        <v>45503</v>
      </c>
      <c r="F30" s="106"/>
      <c r="G30" s="107"/>
      <c r="H30" s="107"/>
      <c r="I30" s="107"/>
      <c r="J30" s="108">
        <v>45478</v>
      </c>
      <c r="K30" s="107"/>
      <c r="L30" s="107"/>
      <c r="M30" s="107"/>
      <c r="N30" s="107"/>
      <c r="O30" s="109">
        <v>0.65</v>
      </c>
      <c r="P30" s="109">
        <v>0.13</v>
      </c>
      <c r="Q30" s="109">
        <v>0.02</v>
      </c>
      <c r="R30" s="109">
        <v>0.05</v>
      </c>
      <c r="S30" s="110">
        <f>'AUTO CALCULATION SHEET (2)'!E9</f>
        <v>178328.61540000001</v>
      </c>
      <c r="T30" s="111" t="e">
        <f t="shared" si="0"/>
        <v>#DIV/0!</v>
      </c>
      <c r="U30" s="111" t="e">
        <f t="shared" si="0"/>
        <v>#DIV/0!</v>
      </c>
      <c r="V30" s="111"/>
      <c r="W30" s="111" t="e">
        <f>R30*(I30/N30)</f>
        <v>#DIV/0!</v>
      </c>
      <c r="X30" s="112" t="e">
        <f>0.15+T30+U30+V30+W30</f>
        <v>#DIV/0!</v>
      </c>
      <c r="Y30" s="113" t="e">
        <f>(S30*X30)-S30</f>
        <v>#DIV/0!</v>
      </c>
      <c r="Z30" s="114" t="e">
        <f>S30+Y30</f>
        <v>#DIV/0!</v>
      </c>
      <c r="AA30" s="115">
        <f>'AUTO CALCULATION SHEET (2)'!N9</f>
        <v>588.5</v>
      </c>
      <c r="AB30" s="116">
        <f>'AUTO CALCULATION SHEET (2)'!AS9</f>
        <v>388</v>
      </c>
      <c r="AC30" s="117">
        <f>SUMPRODUCT($AA$25:$AB$25,AA30:AB30)</f>
        <v>171329.5</v>
      </c>
      <c r="AD30" s="118">
        <f>'AUTO CALCULATION SHEET (2)'!CB9</f>
        <v>2314.2857142857142</v>
      </c>
      <c r="AE30" s="117">
        <f>AC30+AD30</f>
        <v>173643.78571428571</v>
      </c>
      <c r="AF30" s="118" t="e">
        <f>+Z30-AE30</f>
        <v>#DIV/0!</v>
      </c>
      <c r="AG30" s="119" t="e">
        <f>AF30/AE30*100%</f>
        <v>#DIV/0!</v>
      </c>
      <c r="AH30" s="120"/>
      <c r="AI30" s="120">
        <v>0.03</v>
      </c>
      <c r="AJ30" s="120">
        <v>0.01</v>
      </c>
      <c r="AK30" s="121" t="e">
        <f t="shared" si="1"/>
        <v>#DIV/0!</v>
      </c>
    </row>
    <row r="31" spans="2:37" ht="15.75" customHeight="1" thickBot="1" x14ac:dyDescent="0.25">
      <c r="B31" s="122"/>
      <c r="C31" s="123"/>
      <c r="D31" s="124"/>
      <c r="E31" s="125"/>
      <c r="F31" s="126"/>
      <c r="G31" s="127"/>
      <c r="H31" s="127"/>
      <c r="I31" s="127"/>
      <c r="J31" s="128"/>
      <c r="K31" s="129"/>
      <c r="L31" s="129"/>
      <c r="M31" s="129"/>
      <c r="N31" s="129"/>
      <c r="O31" s="128"/>
      <c r="P31" s="128"/>
      <c r="Q31" s="128"/>
      <c r="R31" s="128"/>
      <c r="S31" s="128"/>
      <c r="T31" s="130"/>
      <c r="U31" s="130"/>
      <c r="V31" s="130"/>
      <c r="W31" s="130"/>
      <c r="X31" s="130"/>
      <c r="Y31" s="131"/>
      <c r="Z31" s="132"/>
      <c r="AA31" s="146"/>
      <c r="AB31" s="147"/>
      <c r="AC31" s="147"/>
      <c r="AD31" s="147"/>
      <c r="AE31" s="147"/>
      <c r="AF31" s="147"/>
      <c r="AG31" s="147"/>
      <c r="AH31" s="147"/>
      <c r="AI31" s="147"/>
      <c r="AJ31" s="147"/>
      <c r="AK31" s="148"/>
    </row>
    <row r="34" spans="5:25" x14ac:dyDescent="0.2">
      <c r="Y34" s="133"/>
    </row>
    <row r="35" spans="5:25" x14ac:dyDescent="0.2">
      <c r="E35" s="134"/>
    </row>
    <row r="36" spans="5:25" x14ac:dyDescent="0.2">
      <c r="E36" s="134"/>
    </row>
  </sheetData>
  <mergeCells count="43">
    <mergeCell ref="AC6:AF6"/>
    <mergeCell ref="B13:K13"/>
    <mergeCell ref="C1:K1"/>
    <mergeCell ref="C2:K2"/>
    <mergeCell ref="C3:K3"/>
    <mergeCell ref="B4:K4"/>
    <mergeCell ref="B5:K6"/>
    <mergeCell ref="B8:K8"/>
    <mergeCell ref="B9:K9"/>
    <mergeCell ref="B10:K10"/>
    <mergeCell ref="B11:K11"/>
    <mergeCell ref="B12:K12"/>
    <mergeCell ref="B22:B24"/>
    <mergeCell ref="C22:C24"/>
    <mergeCell ref="D22:D24"/>
    <mergeCell ref="E22:I22"/>
    <mergeCell ref="J22:N22"/>
    <mergeCell ref="J23:J24"/>
    <mergeCell ref="B15:K15"/>
    <mergeCell ref="B16:K16"/>
    <mergeCell ref="B17:K17"/>
    <mergeCell ref="B18:K18"/>
    <mergeCell ref="B19:K19"/>
    <mergeCell ref="O22:R23"/>
    <mergeCell ref="S22:S24"/>
    <mergeCell ref="T22:T24"/>
    <mergeCell ref="U22:U24"/>
    <mergeCell ref="E23:E24"/>
    <mergeCell ref="F23:F24"/>
    <mergeCell ref="G23:G24"/>
    <mergeCell ref="H23:H24"/>
    <mergeCell ref="I23:I24"/>
    <mergeCell ref="K23:K24"/>
    <mergeCell ref="L23:L24"/>
    <mergeCell ref="M23:M24"/>
    <mergeCell ref="N23:N24"/>
    <mergeCell ref="V22:V24"/>
    <mergeCell ref="W22:W24"/>
    <mergeCell ref="AA31:AK31"/>
    <mergeCell ref="X22:X24"/>
    <mergeCell ref="Y22:Y24"/>
    <mergeCell ref="Z22:Z24"/>
    <mergeCell ref="AA22:AK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2024-08-02T12:00:27Z</dcterms:modified>
</cp:coreProperties>
</file>