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nder Regular products\AEGCL\Price\"/>
    </mc:Choice>
  </mc:AlternateContent>
  <xr:revisionPtr revIDLastSave="0" documentId="13_ncr:1_{F1F8ADBA-8C70-4F67-9D10-1658664DA95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state="hidden" r:id="rId1"/>
    <sheet name="BOQ1" sheetId="4" r:id="rId2"/>
    <sheet name="terms" sheetId="5" state="hidden" r:id="rId3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4" i="4"/>
  <c r="A16" i="4"/>
  <c r="B16" i="4"/>
  <c r="C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CA16" i="4"/>
  <c r="CB16" i="4"/>
  <c r="CC16" i="4"/>
  <c r="CD16" i="4"/>
  <c r="CE16" i="4"/>
  <c r="CF16" i="4"/>
  <c r="CG16" i="4"/>
  <c r="CH16" i="4"/>
  <c r="CI16" i="4"/>
  <c r="CJ16" i="4"/>
  <c r="CK16" i="4"/>
  <c r="CL16" i="4"/>
  <c r="CM16" i="4"/>
  <c r="CS16" i="4"/>
  <c r="CZ16" i="4"/>
  <c r="A17" i="4"/>
  <c r="B17" i="4"/>
  <c r="C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CA17" i="4"/>
  <c r="CB17" i="4"/>
  <c r="CC17" i="4"/>
  <c r="CD17" i="4"/>
  <c r="CE17" i="4"/>
  <c r="CF17" i="4"/>
  <c r="CG17" i="4"/>
  <c r="CH17" i="4"/>
  <c r="CI17" i="4"/>
  <c r="CJ17" i="4"/>
  <c r="CK17" i="4"/>
  <c r="CL17" i="4"/>
  <c r="CM17" i="4"/>
  <c r="CS17" i="4"/>
  <c r="CZ17" i="4"/>
  <c r="A18" i="4"/>
  <c r="B18" i="4"/>
  <c r="C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CA18" i="4"/>
  <c r="CB18" i="4"/>
  <c r="CC18" i="4"/>
  <c r="CD18" i="4"/>
  <c r="CE18" i="4"/>
  <c r="CF18" i="4"/>
  <c r="CG18" i="4"/>
  <c r="CH18" i="4"/>
  <c r="CI18" i="4"/>
  <c r="CJ18" i="4"/>
  <c r="CK18" i="4"/>
  <c r="CL18" i="4"/>
  <c r="CM18" i="4"/>
  <c r="CS18" i="4"/>
  <c r="CZ18" i="4"/>
  <c r="A19" i="4"/>
  <c r="B19" i="4"/>
  <c r="C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CA19" i="4"/>
  <c r="CB19" i="4"/>
  <c r="CC19" i="4"/>
  <c r="CD19" i="4"/>
  <c r="CE19" i="4"/>
  <c r="CF19" i="4"/>
  <c r="CG19" i="4"/>
  <c r="CH19" i="4"/>
  <c r="CI19" i="4"/>
  <c r="CJ19" i="4"/>
  <c r="CK19" i="4"/>
  <c r="CL19" i="4"/>
  <c r="CM19" i="4"/>
  <c r="CS19" i="4"/>
  <c r="CZ19" i="4"/>
  <c r="A20" i="4"/>
  <c r="B20" i="4"/>
  <c r="C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CA20" i="4"/>
  <c r="CB20" i="4"/>
  <c r="CC20" i="4"/>
  <c r="CD20" i="4"/>
  <c r="CE20" i="4"/>
  <c r="CF20" i="4"/>
  <c r="CG20" i="4"/>
  <c r="CH20" i="4"/>
  <c r="CI20" i="4"/>
  <c r="CJ20" i="4"/>
  <c r="CK20" i="4"/>
  <c r="CL20" i="4"/>
  <c r="CM20" i="4"/>
  <c r="CS20" i="4"/>
  <c r="CZ20" i="4"/>
  <c r="A21" i="4"/>
  <c r="B21" i="4"/>
  <c r="C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CA21" i="4"/>
  <c r="CB21" i="4"/>
  <c r="CC21" i="4"/>
  <c r="CD21" i="4"/>
  <c r="CE21" i="4"/>
  <c r="CF21" i="4"/>
  <c r="CG21" i="4"/>
  <c r="CH21" i="4"/>
  <c r="CI21" i="4"/>
  <c r="CJ21" i="4"/>
  <c r="CK21" i="4"/>
  <c r="CL21" i="4"/>
  <c r="CM21" i="4"/>
  <c r="CS21" i="4"/>
  <c r="CZ21" i="4"/>
  <c r="A22" i="4"/>
  <c r="B22" i="4"/>
  <c r="C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CA22" i="4"/>
  <c r="CB22" i="4"/>
  <c r="CC22" i="4"/>
  <c r="CD22" i="4"/>
  <c r="CE22" i="4"/>
  <c r="CF22" i="4"/>
  <c r="CG22" i="4"/>
  <c r="CH22" i="4"/>
  <c r="CI22" i="4"/>
  <c r="CJ22" i="4"/>
  <c r="CK22" i="4"/>
  <c r="CL22" i="4"/>
  <c r="CM22" i="4"/>
  <c r="CS22" i="4"/>
  <c r="CZ22" i="4"/>
  <c r="A23" i="4"/>
  <c r="B23" i="4"/>
  <c r="C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CS23" i="4"/>
  <c r="CZ23" i="4"/>
  <c r="BC28" i="4"/>
  <c r="CM4" i="4" l="1"/>
  <c r="CJ6" i="4" l="1"/>
  <c r="CK6" i="4"/>
  <c r="CL6" i="4"/>
  <c r="CJ7" i="4"/>
  <c r="CK7" i="4"/>
  <c r="CL7" i="4"/>
  <c r="CJ9" i="4"/>
  <c r="CK9" i="4"/>
  <c r="CL9" i="4"/>
  <c r="CJ10" i="4"/>
  <c r="CK10" i="4"/>
  <c r="CL10" i="4"/>
  <c r="CJ11" i="4"/>
  <c r="CK11" i="4"/>
  <c r="CL11" i="4"/>
  <c r="CJ12" i="4"/>
  <c r="CK12" i="4"/>
  <c r="CL12" i="4"/>
  <c r="CJ13" i="4"/>
  <c r="CK13" i="4"/>
  <c r="CL13" i="4"/>
  <c r="CJ14" i="4"/>
  <c r="CK14" i="4"/>
  <c r="CL14" i="4"/>
  <c r="CJ15" i="4"/>
  <c r="CK15" i="4"/>
  <c r="CL15" i="4"/>
  <c r="F28" i="4"/>
  <c r="K28" i="4" s="1"/>
  <c r="CK4" i="4"/>
  <c r="CJ4" i="4"/>
  <c r="CZ15" i="4" l="1"/>
  <c r="CS15" i="4"/>
  <c r="CM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C15" i="4"/>
  <c r="B15" i="4"/>
  <c r="A15" i="4"/>
  <c r="CZ14" i="4"/>
  <c r="CS14" i="4"/>
  <c r="CM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C14" i="4"/>
  <c r="B14" i="4"/>
  <c r="A14" i="4"/>
  <c r="CZ13" i="4"/>
  <c r="CS13" i="4"/>
  <c r="CM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C13" i="4"/>
  <c r="B13" i="4"/>
  <c r="A13" i="4"/>
  <c r="CZ12" i="4"/>
  <c r="CS12" i="4"/>
  <c r="CM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C12" i="4"/>
  <c r="B12" i="4"/>
  <c r="A12" i="4"/>
  <c r="CZ11" i="4"/>
  <c r="CS11" i="4"/>
  <c r="CM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C11" i="4"/>
  <c r="B11" i="4"/>
  <c r="A11" i="4"/>
  <c r="CZ10" i="4"/>
  <c r="CS10" i="4"/>
  <c r="CM10" i="4"/>
  <c r="CI10" i="4"/>
  <c r="CH10" i="4"/>
  <c r="CG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C10" i="4"/>
  <c r="B10" i="4"/>
  <c r="A10" i="4"/>
  <c r="CZ9" i="4"/>
  <c r="CS9" i="4"/>
  <c r="CM9" i="4"/>
  <c r="CI9" i="4"/>
  <c r="CH9" i="4"/>
  <c r="CG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C9" i="4"/>
  <c r="B9" i="4"/>
  <c r="A9" i="4"/>
  <c r="C8" i="4"/>
  <c r="B8" i="4"/>
  <c r="A8" i="4"/>
  <c r="CZ7" i="4"/>
  <c r="CS7" i="4"/>
  <c r="CM7" i="4"/>
  <c r="CI7" i="4"/>
  <c r="CH7" i="4"/>
  <c r="CG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C7" i="4"/>
  <c r="B7" i="4"/>
  <c r="A7" i="4"/>
  <c r="CZ6" i="4"/>
  <c r="CS6" i="4"/>
  <c r="CM6" i="4"/>
  <c r="CI6" i="4"/>
  <c r="CH6" i="4"/>
  <c r="CG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C6" i="4"/>
  <c r="B6" i="4"/>
  <c r="A6" i="4"/>
  <c r="C5" i="4"/>
  <c r="B5" i="4"/>
  <c r="A5" i="4"/>
  <c r="U4" i="4"/>
  <c r="U3" i="4"/>
  <c r="T4" i="4"/>
  <c r="T3" i="4"/>
  <c r="AV4" i="4"/>
  <c r="AV3" i="4"/>
  <c r="S4" i="4"/>
  <c r="S3" i="4"/>
  <c r="BW4" i="4"/>
  <c r="BW3" i="4"/>
  <c r="BA4" i="4"/>
  <c r="BA3" i="4"/>
  <c r="M4" i="4"/>
  <c r="L4" i="4"/>
  <c r="E28" i="4" s="1"/>
  <c r="L28" i="4" s="1"/>
  <c r="M28" i="4" s="1"/>
  <c r="N28" i="4" s="1"/>
  <c r="F4" i="4" s="1"/>
  <c r="I4" i="4"/>
  <c r="CZ4" i="4"/>
  <c r="BR4" i="4" l="1"/>
  <c r="BR3" i="4"/>
  <c r="BG4" i="4" l="1"/>
  <c r="BG3" i="4"/>
  <c r="AP4" i="4" l="1"/>
  <c r="AP3" i="4"/>
  <c r="AO4" i="4"/>
  <c r="AO3" i="4"/>
  <c r="AQ4" i="4"/>
  <c r="AQ3" i="4"/>
  <c r="CI4" i="4" l="1"/>
  <c r="AI4" i="4" l="1"/>
  <c r="CO4" i="4" l="1"/>
  <c r="A4" i="4" l="1"/>
  <c r="Y3" i="4" l="1"/>
  <c r="X3" i="4"/>
  <c r="AG4" i="4" l="1"/>
  <c r="AF4" i="4"/>
  <c r="AE4" i="4"/>
  <c r="AD4" i="4"/>
  <c r="AC4" i="4"/>
  <c r="AB4" i="4"/>
  <c r="AA4" i="4"/>
  <c r="Z4" i="4"/>
  <c r="Y4" i="4"/>
  <c r="X4" i="4"/>
  <c r="CH4" i="4"/>
  <c r="CG4" i="4"/>
  <c r="CF4" i="4"/>
  <c r="CE4" i="4"/>
  <c r="CD4" i="4"/>
  <c r="CC4" i="4"/>
  <c r="CB4" i="4"/>
  <c r="CA4" i="4"/>
  <c r="CF3" i="4"/>
  <c r="CG3" i="4"/>
  <c r="CH3" i="4"/>
  <c r="CE3" i="4"/>
  <c r="CD3" i="4"/>
  <c r="CC3" i="4"/>
  <c r="CA3" i="4"/>
  <c r="CB3" i="4"/>
  <c r="BZ3" i="4"/>
  <c r="BZ4" i="4"/>
  <c r="BY4" i="4"/>
  <c r="BX4" i="4"/>
  <c r="BV4" i="4"/>
  <c r="BU4" i="4"/>
  <c r="BT4" i="4"/>
  <c r="BS4" i="4"/>
  <c r="BQ4" i="4"/>
  <c r="BP4" i="4"/>
  <c r="BO4" i="4"/>
  <c r="BN4" i="4"/>
  <c r="BY3" i="4"/>
  <c r="BX3" i="4"/>
  <c r="BV3" i="4"/>
  <c r="BU3" i="4"/>
  <c r="BT3" i="4"/>
  <c r="BS3" i="4"/>
  <c r="BQ3" i="4"/>
  <c r="BP3" i="4"/>
  <c r="BO3" i="4"/>
  <c r="BN3" i="4"/>
  <c r="BM4" i="4"/>
  <c r="BL4" i="4"/>
  <c r="BK4" i="4"/>
  <c r="BJ4" i="4"/>
  <c r="BI4" i="4"/>
  <c r="BH4" i="4"/>
  <c r="BF4" i="4"/>
  <c r="BE4" i="4"/>
  <c r="BD4" i="4"/>
  <c r="BC4" i="4"/>
  <c r="BM3" i="4"/>
  <c r="BL3" i="4"/>
  <c r="BK3" i="4"/>
  <c r="BJ3" i="4"/>
  <c r="BI3" i="4"/>
  <c r="BH3" i="4"/>
  <c r="BF3" i="4"/>
  <c r="BE3" i="4"/>
  <c r="BD3" i="4"/>
  <c r="BB3" i="4"/>
  <c r="BB4" i="4"/>
  <c r="AZ4" i="4"/>
  <c r="AY4" i="4"/>
  <c r="AX4" i="4"/>
  <c r="AW4" i="4"/>
  <c r="AU4" i="4"/>
  <c r="AT4" i="4"/>
  <c r="AZ3" i="4"/>
  <c r="AY3" i="4"/>
  <c r="AX3" i="4"/>
  <c r="AW3" i="4"/>
  <c r="AU3" i="4"/>
  <c r="AT3" i="4"/>
  <c r="AS3" i="4"/>
  <c r="AS4" i="4"/>
  <c r="AR4" i="4"/>
  <c r="AN4" i="4"/>
  <c r="AM4" i="4"/>
  <c r="AL4" i="4"/>
  <c r="AK4" i="4"/>
  <c r="AJ4" i="4"/>
  <c r="AR3" i="4"/>
  <c r="AN3" i="4"/>
  <c r="AM3" i="4"/>
  <c r="AJ3" i="4"/>
  <c r="AL3" i="4"/>
  <c r="AK3" i="4"/>
  <c r="AI3" i="4"/>
  <c r="AH4" i="4"/>
  <c r="AH3" i="4"/>
  <c r="AG3" i="4" l="1"/>
  <c r="AF3" i="4"/>
  <c r="AE3" i="4"/>
  <c r="AD3" i="4"/>
  <c r="AC3" i="4"/>
  <c r="AB3" i="4"/>
  <c r="AA3" i="4"/>
  <c r="Z3" i="4"/>
  <c r="W3" i="4" l="1"/>
  <c r="V3" i="4"/>
  <c r="R3" i="4"/>
  <c r="Q3" i="4"/>
  <c r="P4" i="4"/>
  <c r="W4" i="4"/>
  <c r="V4" i="4"/>
  <c r="R4" i="4"/>
  <c r="Q4" i="4"/>
  <c r="D4" i="4"/>
  <c r="C4" i="4"/>
  <c r="P28" i="4" l="1"/>
  <c r="CI28" i="4" s="1"/>
  <c r="CJ28" i="4" s="1"/>
  <c r="CN4" i="4"/>
  <c r="CP23" i="4" l="1"/>
  <c r="CT23" i="4"/>
  <c r="CR23" i="4"/>
  <c r="CP17" i="4"/>
  <c r="CT17" i="4"/>
  <c r="CR17" i="4"/>
  <c r="CP22" i="4"/>
  <c r="CR22" i="4"/>
  <c r="CT22" i="4"/>
  <c r="CP18" i="4"/>
  <c r="CR18" i="4"/>
  <c r="CT18" i="4"/>
  <c r="CR19" i="4"/>
  <c r="CP19" i="4"/>
  <c r="CT19" i="4"/>
  <c r="CP21" i="4"/>
  <c r="CT21" i="4"/>
  <c r="CR21" i="4"/>
  <c r="CP20" i="4"/>
  <c r="CR20" i="4"/>
  <c r="CT20" i="4"/>
  <c r="CP16" i="4"/>
  <c r="CR16" i="4"/>
  <c r="CT16" i="4"/>
  <c r="CP9" i="4"/>
  <c r="CR9" i="4"/>
  <c r="CT9" i="4"/>
  <c r="CP11" i="4"/>
  <c r="CR11" i="4"/>
  <c r="CT11" i="4"/>
  <c r="CR10" i="4"/>
  <c r="CP10" i="4"/>
  <c r="CT10" i="4"/>
  <c r="CP7" i="4"/>
  <c r="CT7" i="4"/>
  <c r="CR7" i="4"/>
  <c r="CP15" i="4"/>
  <c r="CT15" i="4"/>
  <c r="CR15" i="4"/>
  <c r="CP12" i="4"/>
  <c r="CT12" i="4"/>
  <c r="CR12" i="4"/>
  <c r="CT13" i="4"/>
  <c r="CP13" i="4"/>
  <c r="CR13" i="4"/>
  <c r="CP14" i="4"/>
  <c r="CR14" i="4"/>
  <c r="CT14" i="4"/>
  <c r="CP6" i="4"/>
  <c r="CT6" i="4"/>
  <c r="CR6" i="4"/>
  <c r="CP4" i="4"/>
  <c r="CR4" i="4"/>
  <c r="CT4" i="4"/>
  <c r="CU22" i="4" l="1"/>
  <c r="DA22" i="4" s="1"/>
  <c r="CU21" i="4"/>
  <c r="CY21" i="4" s="1"/>
  <c r="CU20" i="4"/>
  <c r="DA20" i="4" s="1"/>
  <c r="CU19" i="4"/>
  <c r="CY19" i="4" s="1"/>
  <c r="CU18" i="4"/>
  <c r="CW18" i="4" s="1"/>
  <c r="CU17" i="4"/>
  <c r="CY17" i="4" s="1"/>
  <c r="CU16" i="4"/>
  <c r="DA16" i="4" s="1"/>
  <c r="CY18" i="4"/>
  <c r="CW17" i="4"/>
  <c r="CW20" i="4"/>
  <c r="CY20" i="4"/>
  <c r="CW19" i="4"/>
  <c r="CY22" i="4"/>
  <c r="CW22" i="4"/>
  <c r="CU23" i="4"/>
  <c r="CU7" i="4"/>
  <c r="CY7" i="4" s="1"/>
  <c r="CU11" i="4"/>
  <c r="DA11" i="4" s="1"/>
  <c r="CU10" i="4"/>
  <c r="CY10" i="4" s="1"/>
  <c r="CU9" i="4"/>
  <c r="CY9" i="4" s="1"/>
  <c r="CU12" i="4"/>
  <c r="DA12" i="4" s="1"/>
  <c r="CU14" i="4"/>
  <c r="CW14" i="4" s="1"/>
  <c r="CU13" i="4"/>
  <c r="DA13" i="4" s="1"/>
  <c r="CU15" i="4"/>
  <c r="DA15" i="4" s="1"/>
  <c r="CU6" i="4"/>
  <c r="DA6" i="4" s="1"/>
  <c r="CU4" i="4"/>
  <c r="CY13" i="4" l="1"/>
  <c r="DA9" i="4"/>
  <c r="CY16" i="4"/>
  <c r="CW11" i="4"/>
  <c r="CW21" i="4"/>
  <c r="DA19" i="4"/>
  <c r="DA17" i="4"/>
  <c r="E17" i="4" s="1"/>
  <c r="G17" i="4" s="1"/>
  <c r="J17" i="4" s="1"/>
  <c r="K17" i="4" s="1"/>
  <c r="N17" i="4" s="1"/>
  <c r="DA10" i="4"/>
  <c r="DA7" i="4"/>
  <c r="DA21" i="4"/>
  <c r="DA18" i="4"/>
  <c r="E18" i="4" s="1"/>
  <c r="G18" i="4" s="1"/>
  <c r="CW16" i="4"/>
  <c r="CY15" i="4"/>
  <c r="CY14" i="4"/>
  <c r="CW23" i="4"/>
  <c r="DA23" i="4"/>
  <c r="CY23" i="4"/>
  <c r="CY11" i="4"/>
  <c r="CW9" i="4"/>
  <c r="E9" i="4" s="1"/>
  <c r="G9" i="4" s="1"/>
  <c r="J9" i="4" s="1"/>
  <c r="K9" i="4" s="1"/>
  <c r="N9" i="4" s="1"/>
  <c r="E22" i="4"/>
  <c r="G22" i="4" s="1"/>
  <c r="E19" i="4"/>
  <c r="G19" i="4" s="1"/>
  <c r="J19" i="4" s="1"/>
  <c r="K19" i="4" s="1"/>
  <c r="N19" i="4" s="1"/>
  <c r="E20" i="4"/>
  <c r="G20" i="4" s="1"/>
  <c r="CW15" i="4"/>
  <c r="CW7" i="4"/>
  <c r="E7" i="4" s="1"/>
  <c r="CW10" i="4"/>
  <c r="E10" i="4" s="1"/>
  <c r="DA14" i="4"/>
  <c r="CW12" i="4"/>
  <c r="CW13" i="4"/>
  <c r="CY12" i="4"/>
  <c r="E12" i="4" s="1"/>
  <c r="CY6" i="4"/>
  <c r="CW6" i="4"/>
  <c r="DA4" i="4"/>
  <c r="CW4" i="4"/>
  <c r="CY4" i="4"/>
  <c r="E21" i="4" l="1"/>
  <c r="G21" i="4" s="1"/>
  <c r="J21" i="4" s="1"/>
  <c r="K21" i="4" s="1"/>
  <c r="N21" i="4" s="1"/>
  <c r="E13" i="4"/>
  <c r="G13" i="4" s="1"/>
  <c r="J13" i="4" s="1"/>
  <c r="K13" i="4" s="1"/>
  <c r="N13" i="4" s="1"/>
  <c r="E15" i="4"/>
  <c r="G15" i="4" s="1"/>
  <c r="J15" i="4" s="1"/>
  <c r="K15" i="4" s="1"/>
  <c r="N15" i="4" s="1"/>
  <c r="E16" i="4"/>
  <c r="G16" i="4" s="1"/>
  <c r="J16" i="4" s="1"/>
  <c r="K16" i="4" s="1"/>
  <c r="N16" i="4" s="1"/>
  <c r="E14" i="4"/>
  <c r="G14" i="4" s="1"/>
  <c r="J14" i="4" s="1"/>
  <c r="K14" i="4" s="1"/>
  <c r="N14" i="4" s="1"/>
  <c r="E11" i="4"/>
  <c r="G11" i="4" s="1"/>
  <c r="J11" i="4" s="1"/>
  <c r="K11" i="4" s="1"/>
  <c r="N11" i="4" s="1"/>
  <c r="J18" i="4"/>
  <c r="K18" i="4" s="1"/>
  <c r="N18" i="4" s="1"/>
  <c r="J20" i="4"/>
  <c r="K20" i="4" s="1"/>
  <c r="N20" i="4" s="1"/>
  <c r="J22" i="4"/>
  <c r="K22" i="4" s="1"/>
  <c r="N22" i="4" s="1"/>
  <c r="E23" i="4"/>
  <c r="G23" i="4" s="1"/>
  <c r="J23" i="4" s="1"/>
  <c r="K23" i="4" s="1"/>
  <c r="N23" i="4" s="1"/>
  <c r="G10" i="4"/>
  <c r="J10" i="4" s="1"/>
  <c r="K10" i="4" s="1"/>
  <c r="N10" i="4" s="1"/>
  <c r="G7" i="4"/>
  <c r="J7" i="4" s="1"/>
  <c r="K7" i="4" s="1"/>
  <c r="N7" i="4" s="1"/>
  <c r="G12" i="4"/>
  <c r="J12" i="4" s="1"/>
  <c r="K12" i="4" s="1"/>
  <c r="N12" i="4" s="1"/>
  <c r="E6" i="4"/>
  <c r="E4" i="4"/>
  <c r="G4" i="4" s="1"/>
  <c r="G6" i="4" l="1"/>
  <c r="J6" i="4" s="1"/>
  <c r="K6" i="4" s="1"/>
  <c r="N6" i="4" s="1"/>
  <c r="J4" i="4"/>
  <c r="K4" i="4" s="1"/>
  <c r="N4" i="4" s="1"/>
  <c r="N2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7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<sst xmlns="http://schemas.openxmlformats.org/spreadsheetml/2006/main" count="313" uniqueCount="257">
  <si>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</si>
  <si>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</si>
  <si>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</si>
  <si>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</si>
  <si>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</si>
  <si>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</si>
  <si>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</si>
  <si>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</si>
  <si>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</si>
  <si>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</si>
  <si>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</si>
  <si>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</si>
  <si>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</si>
  <si>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</si>
  <si>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</si>
  <si>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</si>
  <si>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</si>
  <si>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</si>
  <si>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</si>
  <si>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</si>
  <si>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</si>
  <si>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</si>
  <si>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</si>
  <si>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</si>
  <si>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</si>
  <si>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</si>
  <si>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</si>
  <si>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</si>
  <si>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</si>
  <si>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</si>
  <si>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</si>
  <si>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</si>
  <si>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</si>
  <si>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</si>
  <si>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</si>
  <si>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</si>
  <si>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</si>
  <si>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</si>
  <si>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</si>
  <si>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</si>
  <si>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</si>
  <si>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</si>
  <si>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</si>
  <si>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</si>
  <si>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</si>
  <si>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</si>
  <si>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</si>
  <si>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</si>
  <si>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</si>
  <si>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</si>
  <si>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</si>
  <si>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</si>
  <si>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</si>
  <si>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</si>
  <si>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</si>
  <si>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</si>
  <si>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</si>
  <si>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</si>
  <si>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</si>
  <si>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</si>
  <si>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</si>
  <si>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</si>
  <si>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</si>
  <si>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</si>
  <si>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</si>
  <si>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</si>
  <si>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</si>
  <si>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</si>
  <si>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</si>
  <si>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</si>
  <si>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</si>
  <si>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</si>
  <si>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</si>
  <si>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</si>
  <si>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</si>
  <si>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</si>
  <si>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</si>
  <si>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</si>
  <si>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</si>
  <si>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</si>
  <si>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</si>
  <si>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</si>
  <si>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</si>
  <si>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</si>
  <si>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</si>
  <si>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</si>
  <si>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</si>
  <si>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</si>
  <si>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</si>
  <si>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</si>
  <si>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</si>
  <si>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</si>
  <si>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</si>
  <si>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</si>
  <si>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</si>
  <si>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</si>
  <si>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</si>
  <si>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</si>
  <si>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</si>
  <si>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</si>
  <si>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</si>
  <si>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</si>
  <si>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</si>
  <si>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</si>
  <si>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</si>
  <si>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</si>
  <si>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</si>
  <si>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</si>
  <si>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</si>
  <si>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</si>
  <si>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</si>
  <si>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</si>
  <si>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</si>
  <si>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</si>
  <si>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</si>
  <si>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</si>
  <si>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</si>
  <si>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</si>
  <si>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</si>
  <si>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</si>
  <si>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</si>
  <si>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</si>
  <si>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</si>
  <si>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</si>
  <si>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</si>
  <si>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</si>
  <si>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</si>
  <si>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</si>
  <si>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</si>
  <si>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</si>
  <si>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</si>
  <si>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</si>
  <si>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</si>
  <si>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</si>
  <si>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</si>
  <si>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</si>
  <si>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</si>
  <si>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</si>
  <si>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</si>
  <si>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</si>
  <si>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</si>
  <si>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</si>
  <si>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</si>
  <si>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</si>
  <si>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</si>
  <si>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</si>
  <si>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</si>
  <si>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</si>
  <si>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</si>
  <si>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</si>
  <si>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</si>
  <si>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</si>
  <si>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</si>
  <si>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</si>
  <si>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</si>
  <si>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</si>
  <si>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</si>
  <si>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</si>
  <si>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</si>
  <si>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</si>
  <si>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</si>
  <si>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</si>
  <si>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</si>
  <si>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</si>
  <si>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</si>
  <si>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</si>
  <si>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</si>
  <si>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</si>
  <si>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</si>
  <si>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</si>
  <si>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</si>
  <si>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</si>
  <si>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</si>
  <si>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</si>
  <si>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</si>
  <si>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</si>
  <si>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</si>
  <si>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</si>
  <si>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</si>
  <si>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</si>
  <si>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</si>
  <si>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</si>
  <si>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</si>
  <si>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</si>
  <si>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</si>
  <si>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</si>
  <si>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</si>
  <si>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</si>
  <si>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</si>
  <si>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</si>
  <si>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</si>
  <si>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</si>
  <si>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</si>
  <si>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</si>
  <si>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</si>
  <si>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</si>
  <si>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</si>
  <si>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</si>
  <si>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</si>
  <si>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</si>
  <si>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</si>
  <si>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</si>
  <si>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</si>
  <si>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</si>
  <si>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</si>
  <si>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</si>
  <si>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</si>
  <si>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</si>
  <si>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</si>
  <si>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</si>
  <si>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</si>
  <si>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</si>
  <si>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</si>
  <si>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</si>
  <si>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</si>
  <si>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</si>
  <si>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</si>
  <si>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</si>
  <si>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</si>
  <si>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</si>
  <si>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ENQ-19953-25-26</t>
  </si>
  <si>
    <t>FC3700003</t>
  </si>
  <si>
    <t>ACSR : PANTHER CONDUCTOR - 200 SQ. MM. (30/7/3.00)</t>
  </si>
  <si>
    <t>WOOD</t>
  </si>
  <si>
    <t>KMS</t>
  </si>
  <si>
    <t>MD0100061</t>
  </si>
  <si>
    <t>DRUM - 56 X 24 X 32 X 3</t>
  </si>
  <si>
    <t>NON CHAIN BOM ID</t>
  </si>
  <si>
    <t>IS</t>
  </si>
  <si>
    <t>16 MT</t>
  </si>
  <si>
    <t>CONDUCTOR+DURM WEIGHT</t>
  </si>
  <si>
    <t>CONDUCTOR WEIGHT KG/KM</t>
  </si>
  <si>
    <t>DRUM WEIGHT</t>
  </si>
  <si>
    <t>TRUCK WEIGHT</t>
  </si>
  <si>
    <t>Supply of Insulator</t>
  </si>
  <si>
    <t xml:space="preserve"> 11KV Antifog Porcelain Insulator 70 KN Disc Insulator</t>
  </si>
  <si>
    <t xml:space="preserve"> 11KV Antifog Porcelain Insulator 90 KN Disc Insulator</t>
  </si>
  <si>
    <t>Power Conductor Accessories suitable for ACSR Panther Conductor as per specification</t>
  </si>
  <si>
    <t>Single Tension Hardware Fittings for ACSR panther</t>
  </si>
  <si>
    <t>Double Tension Hardware Fittings for ACSR panther</t>
  </si>
  <si>
    <t>Single Suspension Hardware Fitting for ACSR panther</t>
  </si>
  <si>
    <t>Double Suspension Hardware Fitting for ACSR panther</t>
  </si>
  <si>
    <t>Vibration Damper</t>
  </si>
  <si>
    <t>Preformed Armour Rod</t>
  </si>
  <si>
    <t>Bird Guard (Set of Three)</t>
  </si>
  <si>
    <t>Danger Plate</t>
  </si>
  <si>
    <t>Phase Plate</t>
  </si>
  <si>
    <t>Number Plate</t>
  </si>
  <si>
    <t>Supply of anti climbing Device</t>
  </si>
  <si>
    <t>Compression Type T Connector to suit ACSR Panther conductor</t>
  </si>
  <si>
    <t>Jumper Socket</t>
  </si>
  <si>
    <t>Midspan Joint</t>
  </si>
  <si>
    <t>Repair Sleeve</t>
  </si>
  <si>
    <t>Nos</t>
  </si>
  <si>
    <t>Set</t>
  </si>
  <si>
    <t>FREIGHT CHARGES FOR INSULATOR &amp; ACCESSORIES</t>
  </si>
  <si>
    <t>TOTAL PRICE WITHOUT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</si>
</sst>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16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3" fontId="0" fillId="0" borderId="0" xfId="1" applyFont="1"/>
    <xf numFmtId="43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0" fillId="0" borderId="0" xfId="2" applyNumberFormat="1" applyFont="1"/>
    <xf numFmtId="43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43" fontId="3" fillId="3" borderId="1" xfId="1" applyFont="1" applyFill="1" applyBorder="1" applyAlignment="1">
      <alignment vertical="center" wrapText="1"/>
    </xf>
    <xf numFmtId="43" fontId="5" fillId="3" borderId="1" xfId="1" applyFont="1" applyFill="1" applyBorder="1" applyAlignment="1">
      <alignment vertical="center" wrapText="1"/>
    </xf>
    <xf numFmtId="43" fontId="7" fillId="2" borderId="1" xfId="1" applyFont="1" applyFill="1" applyBorder="1" applyAlignment="1">
      <alignment vertical="center" wrapText="1"/>
    </xf>
    <xf numFmtId="43" fontId="8" fillId="4" borderId="1" xfId="1" applyFont="1" applyFill="1" applyBorder="1" applyAlignment="1">
      <alignment vertical="center" wrapText="1"/>
    </xf>
    <xf numFmtId="43" fontId="8" fillId="3" borderId="1" xfId="1" applyFont="1" applyFill="1" applyBorder="1" applyAlignment="1">
      <alignment vertical="center" wrapText="1"/>
    </xf>
    <xf numFmtId="43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3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43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43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43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0" fillId="0" borderId="4" xfId="1" applyFont="1" applyBorder="1" applyAlignment="1">
      <alignment horizontal="center" vertical="center" wrapText="1"/>
    </xf>
    <xf numFmtId="43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0" borderId="1" xfId="0" applyNumberFormat="1" applyBorder="1" applyAlignment="1">
      <alignment vertical="center" wrapText="1"/>
    </xf>
    <xf numFmtId="2" fontId="2" fillId="0" borderId="0" xfId="5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43" fontId="3" fillId="8" borderId="1" xfId="1" applyFont="1" applyFill="1" applyBorder="1" applyAlignment="1">
      <alignment horizontal="center" vertical="center" wrapText="1"/>
    </xf>
    <xf numFmtId="43" fontId="0" fillId="8" borderId="1" xfId="1" applyFont="1" applyFill="1" applyBorder="1" applyAlignment="1">
      <alignment horizontal="center" vertical="center" wrapText="1"/>
    </xf>
    <xf numFmtId="43" fontId="0" fillId="0" borderId="1" xfId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3" fontId="0" fillId="0" borderId="0" xfId="0" applyNumberFormat="1"/>
    <xf numFmtId="10" fontId="3" fillId="0" borderId="0" xfId="2" applyNumberFormat="1" applyFont="1" applyAlignment="1">
      <alignment horizontal="center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6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sqref="A1:CZ2"/>
    </sheetView>
  </sheetViews>
  <sheetFormatPr defaultColWidth="9.109375" defaultRowHeight="18" customHeight="1" x14ac:dyDescent="0.3"/>
  <cols>
    <col min="1" max="1" width="15.109375" style="14" bestFit="1" customWidth="1"/>
    <col min="2" max="2" width="10.44140625" style="14" bestFit="1" customWidth="1"/>
    <col min="3" max="3" width="10.6640625" style="14" bestFit="1" customWidth="1"/>
    <col min="4" max="4" width="56.88671875" style="14" bestFit="1" customWidth="1"/>
    <col min="5" max="5" width="20.44140625" style="14" bestFit="1" customWidth="1"/>
    <col min="6" max="6" width="28.6640625" style="14" bestFit="1" customWidth="1"/>
    <col min="7" max="7" width="45.5546875" style="14" bestFit="1" customWidth="1"/>
    <col min="8" max="8" width="37.44140625" style="14" bestFit="1" customWidth="1"/>
    <col min="9" max="9" width="35" style="14" bestFit="1" customWidth="1"/>
    <col min="10" max="10" width="16.5546875" style="14" bestFit="1" customWidth="1"/>
    <col min="11" max="11" width="26.5546875" style="14" bestFit="1" customWidth="1"/>
    <col min="12" max="12" width="19.109375" style="14" bestFit="1" customWidth="1"/>
    <col min="13" max="13" width="16.33203125" style="14" bestFit="1" customWidth="1"/>
    <col min="14" max="14" width="9.109375" style="14" bestFit="1" customWidth="1"/>
    <col min="15" max="15" width="25.33203125" style="14" bestFit="1" customWidth="1"/>
    <col min="16" max="16" width="18" style="14" bestFit="1" customWidth="1"/>
    <col min="17" max="17" width="15.109375" style="14" bestFit="1" customWidth="1"/>
    <col min="18" max="18" width="33.88671875" style="14" bestFit="1" customWidth="1"/>
    <col min="19" max="19" width="49.6640625" style="14" bestFit="1" customWidth="1"/>
    <col min="20" max="20" width="42.44140625" style="14" bestFit="1" customWidth="1"/>
    <col min="21" max="21" width="39.5546875" style="14" bestFit="1" customWidth="1"/>
    <col min="22" max="22" width="9.88671875" style="14" bestFit="1" customWidth="1"/>
    <col min="23" max="23" width="26.33203125" style="14" bestFit="1" customWidth="1"/>
    <col min="24" max="24" width="18.88671875" style="14" bestFit="1" customWidth="1"/>
    <col min="25" max="25" width="16" style="14" bestFit="1" customWidth="1"/>
    <col min="26" max="26" width="10.44140625" style="14" bestFit="1" customWidth="1"/>
    <col min="27" max="27" width="26.44140625" style="14" bestFit="1" customWidth="1"/>
    <col min="28" max="28" width="19" style="14" bestFit="1" customWidth="1"/>
    <col min="29" max="29" width="15.6640625" style="14" bestFit="1" customWidth="1"/>
    <col min="30" max="30" width="20.44140625" style="14" bestFit="1" customWidth="1"/>
    <col min="31" max="31" width="28.6640625" style="14" bestFit="1" customWidth="1"/>
    <col min="32" max="32" width="21.44140625" style="14" bestFit="1" customWidth="1"/>
    <col min="33" max="33" width="18.5546875" style="14" bestFit="1" customWidth="1"/>
    <col min="34" max="34" width="24.5546875" style="14" bestFit="1" customWidth="1"/>
    <col min="35" max="35" width="26.88671875" style="14" bestFit="1" customWidth="1"/>
    <col min="36" max="36" width="19.44140625" style="14" bestFit="1" customWidth="1"/>
    <col min="37" max="37" width="16.5546875" style="14" bestFit="1" customWidth="1"/>
    <col min="38" max="38" width="24.33203125" style="14" bestFit="1" customWidth="1"/>
    <col min="39" max="39" width="29.109375" style="14" bestFit="1" customWidth="1"/>
    <col min="40" max="40" width="21.88671875" style="14" bestFit="1" customWidth="1"/>
    <col min="41" max="41" width="19" style="14" bestFit="1" customWidth="1"/>
    <col min="42" max="42" width="6.44140625" style="14" bestFit="1" customWidth="1"/>
    <col min="43" max="43" width="21.88671875" style="14" bestFit="1" customWidth="1"/>
    <col min="44" max="44" width="14.44140625" style="14" bestFit="1" customWidth="1"/>
    <col min="45" max="45" width="11.5546875" style="14" bestFit="1" customWidth="1"/>
    <col min="46" max="46" width="7.88671875" style="14" bestFit="1" customWidth="1"/>
    <col min="47" max="47" width="23.5546875" style="14" bestFit="1" customWidth="1"/>
    <col min="48" max="48" width="16.109375" style="14" bestFit="1" customWidth="1"/>
    <col min="49" max="49" width="13.44140625" style="14" bestFit="1" customWidth="1"/>
    <col min="50" max="50" width="20.5546875" style="14" bestFit="1" customWidth="1"/>
    <col min="51" max="51" width="37" style="14" bestFit="1" customWidth="1"/>
    <col min="52" max="52" width="29.6640625" style="14" bestFit="1" customWidth="1"/>
    <col min="53" max="53" width="26.88671875" style="14" bestFit="1" customWidth="1"/>
    <col min="54" max="54" width="36" style="14" bestFit="1" customWidth="1"/>
    <col min="55" max="55" width="52.44140625" style="14" bestFit="1" customWidth="1"/>
    <col min="56" max="56" width="45" style="14" bestFit="1" customWidth="1"/>
    <col min="57" max="57" width="42.33203125" style="14" bestFit="1" customWidth="1"/>
    <col min="58" max="58" width="14.44140625" style="14" bestFit="1" customWidth="1"/>
    <col min="59" max="59" width="30.88671875" style="14" bestFit="1" customWidth="1"/>
    <col min="60" max="60" width="23.44140625" style="14" bestFit="1" customWidth="1"/>
    <col min="61" max="61" width="20.5546875" style="14" bestFit="1" customWidth="1"/>
    <col min="62" max="62" width="16.88671875" style="14" bestFit="1" customWidth="1"/>
    <col min="63" max="63" width="33.33203125" style="14" bestFit="1" customWidth="1"/>
    <col min="64" max="64" width="26" style="14" bestFit="1" customWidth="1"/>
    <col min="65" max="65" width="23.109375" style="14" bestFit="1" customWidth="1"/>
    <col min="66" max="66" width="20.5546875" style="14" bestFit="1" customWidth="1"/>
    <col min="67" max="67" width="37" style="14" bestFit="1" customWidth="1"/>
    <col min="68" max="68" width="29.6640625" style="14" bestFit="1" customWidth="1"/>
    <col min="69" max="69" width="26.88671875" style="14" bestFit="1" customWidth="1"/>
    <col min="70" max="70" width="25" style="14" bestFit="1" customWidth="1"/>
    <col min="71" max="71" width="41.44140625" style="14" bestFit="1" customWidth="1"/>
    <col min="72" max="72" width="34.109375" style="14" bestFit="1" customWidth="1"/>
    <col min="73" max="73" width="31.33203125" style="14" bestFit="1" customWidth="1"/>
    <col min="74" max="74" width="22" style="14" bestFit="1" customWidth="1"/>
    <col min="75" max="75" width="38.44140625" style="14" bestFit="1" customWidth="1"/>
    <col min="76" max="76" width="31" style="14" bestFit="1" customWidth="1"/>
    <col min="77" max="77" width="28.109375" style="14" bestFit="1" customWidth="1"/>
    <col min="78" max="78" width="19.109375" style="14" bestFit="1" customWidth="1"/>
    <col min="79" max="79" width="15.109375" style="14" bestFit="1" customWidth="1"/>
    <col min="80" max="80" width="7.5546875" style="14" bestFit="1" customWidth="1"/>
    <col min="81" max="81" width="11.88671875" style="14" bestFit="1" customWidth="1"/>
    <col min="82" max="82" width="7.109375" style="14" bestFit="1" customWidth="1"/>
    <col min="83" max="83" width="11.5546875" style="14" bestFit="1" customWidth="1"/>
    <col min="84" max="84" width="7.33203125" style="14" bestFit="1" customWidth="1"/>
    <col min="85" max="85" width="13.6640625" style="14" bestFit="1" customWidth="1"/>
    <col min="86" max="86" width="14.109375" style="14" bestFit="1" customWidth="1"/>
    <col min="87" max="87" width="6.109375" style="14" bestFit="1" customWidth="1"/>
    <col min="88" max="88" width="11.33203125" style="14" bestFit="1" customWidth="1"/>
    <col min="89" max="89" width="6.33203125" style="14" bestFit="1" customWidth="1"/>
    <col min="90" max="90" width="11.44140625" style="14" bestFit="1" customWidth="1"/>
    <col min="91" max="91" width="19.44140625" style="50" bestFit="1" customWidth="1"/>
    <col min="92" max="92" width="15.6640625" style="14" bestFit="1" customWidth="1"/>
    <col min="93" max="93" width="33.88671875" style="14" bestFit="1" customWidth="1"/>
    <col min="94" max="94" width="7.109375" style="14" bestFit="1" customWidth="1"/>
    <col min="95" max="95" width="10.6640625" style="14" bestFit="1" customWidth="1"/>
    <col min="96" max="96" width="39.88671875" style="14" bestFit="1" customWidth="1"/>
    <col min="97" max="98" width="5" style="14" bestFit="1" customWidth="1"/>
    <col min="99" max="99" width="49.44140625" style="14" bestFit="1" customWidth="1"/>
    <col min="100" max="100" width="12" style="14" bestFit="1" customWidth="1"/>
    <col min="101" max="101" width="56" style="14" bestFit="1" customWidth="1"/>
    <col min="102" max="102" width="30.88671875" style="14" bestFit="1" customWidth="1"/>
    <col min="103" max="16384" width="9.109375" style="14"/>
  </cols>
  <sheetData>
    <row r="1" spans="1:104" s="10" customFormat="1" ht="18" customHeight="1" x14ac:dyDescent="0.3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7" t="s">
        <v>138</v>
      </c>
      <c r="G1" s="57" t="s">
        <v>139</v>
      </c>
      <c r="H1" s="57" t="s">
        <v>140</v>
      </c>
      <c r="I1" s="57" t="s">
        <v>141</v>
      </c>
      <c r="J1" s="52" t="s">
        <v>82</v>
      </c>
      <c r="K1" s="52" t="s">
        <v>142</v>
      </c>
      <c r="L1" s="52" t="s">
        <v>143</v>
      </c>
      <c r="M1" s="52" t="s">
        <v>144</v>
      </c>
      <c r="N1" s="51" t="s">
        <v>4</v>
      </c>
      <c r="O1" s="51" t="s">
        <v>145</v>
      </c>
      <c r="P1" s="51" t="s">
        <v>146</v>
      </c>
      <c r="Q1" s="51" t="s">
        <v>147</v>
      </c>
      <c r="R1" s="55" t="s">
        <v>148</v>
      </c>
      <c r="S1" s="55" t="s">
        <v>149</v>
      </c>
      <c r="T1" s="55" t="s">
        <v>150</v>
      </c>
      <c r="U1" s="55" t="s">
        <v>151</v>
      </c>
      <c r="V1" s="54" t="s">
        <v>6</v>
      </c>
      <c r="W1" s="54" t="s">
        <v>152</v>
      </c>
      <c r="X1" s="54" t="s">
        <v>153</v>
      </c>
      <c r="Y1" s="54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3" t="s">
        <v>8</v>
      </c>
      <c r="AE1" s="53" t="s">
        <v>159</v>
      </c>
      <c r="AF1" s="53" t="s">
        <v>160</v>
      </c>
      <c r="AG1" s="53" t="s">
        <v>161</v>
      </c>
      <c r="AH1" s="54" t="s">
        <v>9</v>
      </c>
      <c r="AI1" s="54" t="s">
        <v>162</v>
      </c>
      <c r="AJ1" s="54" t="s">
        <v>163</v>
      </c>
      <c r="AK1" s="54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6" t="s">
        <v>168</v>
      </c>
      <c r="AQ1" s="56" t="s">
        <v>169</v>
      </c>
      <c r="AR1" s="56" t="s">
        <v>170</v>
      </c>
      <c r="AS1" s="56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3">
      <c r="A2" s="6" t="s">
        <v>220</v>
      </c>
      <c r="B2" s="62"/>
      <c r="C2" s="1" t="s">
        <v>221</v>
      </c>
      <c r="D2" s="1" t="s">
        <v>222</v>
      </c>
      <c r="E2" s="1" t="s">
        <v>223</v>
      </c>
      <c r="F2" s="57"/>
      <c r="G2" s="57"/>
      <c r="H2" s="57">
        <v>0</v>
      </c>
      <c r="I2" s="57"/>
      <c r="J2" s="52" t="s">
        <v>41</v>
      </c>
      <c r="K2" s="52"/>
      <c r="L2" s="52">
        <v>588</v>
      </c>
      <c r="M2" s="52"/>
      <c r="N2" s="51"/>
      <c r="O2" s="51"/>
      <c r="P2" s="51">
        <v>0</v>
      </c>
      <c r="Q2" s="51"/>
      <c r="R2" s="55"/>
      <c r="S2" s="55"/>
      <c r="T2" s="55">
        <v>0</v>
      </c>
      <c r="U2" s="55"/>
      <c r="V2" s="54"/>
      <c r="W2" s="54"/>
      <c r="X2" s="54">
        <v>0</v>
      </c>
      <c r="Y2" s="54"/>
      <c r="Z2" s="1"/>
      <c r="AA2" s="1"/>
      <c r="AB2" s="1">
        <v>0</v>
      </c>
      <c r="AC2" s="1"/>
      <c r="AD2" s="53"/>
      <c r="AE2" s="53"/>
      <c r="AF2" s="53">
        <v>0</v>
      </c>
      <c r="AG2" s="53"/>
      <c r="AH2" s="54" t="s">
        <v>55</v>
      </c>
      <c r="AI2" s="54"/>
      <c r="AJ2" s="54">
        <v>388</v>
      </c>
      <c r="AK2" s="54"/>
      <c r="AL2" s="1"/>
      <c r="AM2" s="1"/>
      <c r="AN2" s="1">
        <v>0</v>
      </c>
      <c r="AO2" s="1"/>
      <c r="AP2" s="56"/>
      <c r="AQ2" s="56"/>
      <c r="AR2" s="56">
        <v>0</v>
      </c>
      <c r="AS2" s="56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69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3956</v>
      </c>
      <c r="CA2" s="1">
        <v>3956</v>
      </c>
      <c r="CB2" s="59"/>
      <c r="CC2" s="1"/>
      <c r="CD2" s="59"/>
      <c r="CE2" s="1"/>
      <c r="CF2" s="59"/>
      <c r="CG2" s="1"/>
      <c r="CH2" s="1">
        <v>3956</v>
      </c>
      <c r="CI2" s="59"/>
      <c r="CJ2" s="1"/>
      <c r="CK2" s="59"/>
      <c r="CL2" s="1"/>
      <c r="CM2" s="1"/>
      <c r="CN2" s="1"/>
      <c r="CO2" s="1">
        <v>3956</v>
      </c>
      <c r="CP2" s="59"/>
      <c r="CQ2" s="1">
        <v>3956</v>
      </c>
      <c r="CR2" s="59">
        <v>0.18</v>
      </c>
      <c r="CS2" s="1">
        <v>712.08</v>
      </c>
      <c r="CT2" s="1">
        <v>4668.08</v>
      </c>
      <c r="CU2" s="58">
        <v>80</v>
      </c>
      <c r="CV2" s="58" t="s">
        <v>224</v>
      </c>
      <c r="CW2" s="58">
        <v>373446</v>
      </c>
      <c r="CX2" s="1"/>
      <c r="CY2" s="10" t="s">
        <v>225</v>
      </c>
      <c r="CZ2" s="10" t="s">
        <v>226</v>
      </c>
    </row>
    <row r="3" spans="1:104" s="10" customFormat="1" ht="18" customHeight="1" x14ac:dyDescent="0.3">
      <c r="A3" s="6"/>
      <c r="B3" s="62"/>
      <c r="C3" s="1"/>
      <c r="D3" s="1"/>
      <c r="E3" s="1"/>
      <c r="F3" s="57"/>
      <c r="G3" s="57"/>
      <c r="H3" s="57"/>
      <c r="I3" s="57"/>
      <c r="J3" s="52"/>
      <c r="K3" s="52"/>
      <c r="L3" s="52"/>
      <c r="M3" s="52"/>
      <c r="N3" s="51"/>
      <c r="O3" s="51"/>
      <c r="P3" s="51"/>
      <c r="Q3" s="51"/>
      <c r="R3" s="55"/>
      <c r="S3" s="55"/>
      <c r="T3" s="55"/>
      <c r="U3" s="55"/>
      <c r="V3" s="54"/>
      <c r="W3" s="54"/>
      <c r="X3" s="54"/>
      <c r="Y3" s="54"/>
      <c r="Z3" s="1"/>
      <c r="AA3" s="1"/>
      <c r="AB3" s="1"/>
      <c r="AC3" s="1"/>
      <c r="AD3" s="53"/>
      <c r="AE3" s="53"/>
      <c r="AF3" s="53"/>
      <c r="AG3" s="53"/>
      <c r="AH3" s="54"/>
      <c r="AI3" s="54"/>
      <c r="AJ3" s="54"/>
      <c r="AK3" s="54"/>
      <c r="AL3" s="1"/>
      <c r="AM3" s="1"/>
      <c r="AN3" s="1"/>
      <c r="AO3" s="1"/>
      <c r="AP3" s="56"/>
      <c r="AQ3" s="56"/>
      <c r="AR3" s="56"/>
      <c r="AS3" s="56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69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59"/>
      <c r="CC3" s="1"/>
      <c r="CD3" s="59"/>
      <c r="CE3" s="1"/>
      <c r="CF3" s="59"/>
      <c r="CG3" s="1"/>
      <c r="CH3" s="1"/>
      <c r="CI3" s="59"/>
      <c r="CJ3" s="1"/>
      <c r="CK3" s="59"/>
      <c r="CL3" s="1"/>
      <c r="CM3" s="1"/>
      <c r="CN3" s="1"/>
      <c r="CO3" s="1"/>
      <c r="CP3" s="59"/>
      <c r="CQ3" s="1"/>
      <c r="CR3" s="59"/>
      <c r="CS3" s="1"/>
      <c r="CT3" s="1"/>
      <c r="CU3" s="58"/>
      <c r="CV3" s="58"/>
      <c r="CW3" s="58"/>
      <c r="CX3" s="1"/>
    </row>
    <row r="4" spans="1:104" s="10" customFormat="1" ht="18" customHeight="1" x14ac:dyDescent="0.3">
      <c r="A4" s="6"/>
      <c r="B4" s="62"/>
      <c r="C4" s="1"/>
      <c r="D4" s="1"/>
      <c r="E4" s="1"/>
      <c r="F4" s="57"/>
      <c r="G4" s="57"/>
      <c r="H4" s="57"/>
      <c r="I4" s="57"/>
      <c r="J4" s="52"/>
      <c r="K4" s="52"/>
      <c r="L4" s="52"/>
      <c r="M4" s="52"/>
      <c r="N4" s="51"/>
      <c r="O4" s="51"/>
      <c r="P4" s="51"/>
      <c r="Q4" s="51"/>
      <c r="R4" s="55"/>
      <c r="S4" s="55"/>
      <c r="T4" s="55"/>
      <c r="U4" s="55"/>
      <c r="V4" s="54"/>
      <c r="W4" s="54"/>
      <c r="X4" s="54"/>
      <c r="Y4" s="54"/>
      <c r="Z4" s="1"/>
      <c r="AA4" s="1"/>
      <c r="AB4" s="1"/>
      <c r="AC4" s="1"/>
      <c r="AD4" s="53"/>
      <c r="AE4" s="53"/>
      <c r="AF4" s="53"/>
      <c r="AG4" s="53"/>
      <c r="AH4" s="54"/>
      <c r="AI4" s="54"/>
      <c r="AJ4" s="54"/>
      <c r="AK4" s="54"/>
      <c r="AL4" s="1"/>
      <c r="AM4" s="1"/>
      <c r="AN4" s="1"/>
      <c r="AO4" s="1"/>
      <c r="AP4" s="56"/>
      <c r="AQ4" s="56"/>
      <c r="AR4" s="56"/>
      <c r="AS4" s="56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69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59"/>
      <c r="CC4" s="1"/>
      <c r="CD4" s="59"/>
      <c r="CE4" s="1"/>
      <c r="CF4" s="59"/>
      <c r="CG4" s="1"/>
      <c r="CH4" s="1"/>
      <c r="CI4" s="59"/>
      <c r="CJ4" s="1"/>
      <c r="CK4" s="59"/>
      <c r="CL4" s="1"/>
      <c r="CM4" s="1"/>
      <c r="CN4" s="1"/>
      <c r="CO4" s="1"/>
      <c r="CP4" s="59"/>
      <c r="CQ4" s="1"/>
      <c r="CR4" s="59"/>
      <c r="CS4" s="1"/>
      <c r="CT4" s="1"/>
      <c r="CU4" s="58"/>
      <c r="CV4" s="58"/>
      <c r="CW4" s="58"/>
      <c r="CX4" s="1"/>
    </row>
    <row r="5" spans="1:104" s="10" customFormat="1" ht="18" customHeight="1" x14ac:dyDescent="0.3">
      <c r="A5" s="6"/>
      <c r="B5" s="62"/>
      <c r="C5" s="1"/>
      <c r="D5" s="1"/>
      <c r="E5" s="1"/>
      <c r="F5" s="57"/>
      <c r="G5" s="57"/>
      <c r="H5" s="57"/>
      <c r="I5" s="57"/>
      <c r="J5" s="52"/>
      <c r="K5" s="52"/>
      <c r="L5" s="52"/>
      <c r="M5" s="52"/>
      <c r="N5" s="51"/>
      <c r="O5" s="51"/>
      <c r="P5" s="51"/>
      <c r="Q5" s="51"/>
      <c r="R5" s="55"/>
      <c r="S5" s="55"/>
      <c r="T5" s="55"/>
      <c r="U5" s="55"/>
      <c r="V5" s="54"/>
      <c r="W5" s="54"/>
      <c r="X5" s="54"/>
      <c r="Y5" s="54"/>
      <c r="Z5" s="1"/>
      <c r="AA5" s="1"/>
      <c r="AB5" s="1"/>
      <c r="AC5" s="1"/>
      <c r="AD5" s="53"/>
      <c r="AE5" s="53"/>
      <c r="AF5" s="53"/>
      <c r="AG5" s="53"/>
      <c r="AH5" s="54"/>
      <c r="AI5" s="54"/>
      <c r="AJ5" s="54"/>
      <c r="AK5" s="54"/>
      <c r="AL5" s="1"/>
      <c r="AM5" s="1"/>
      <c r="AN5" s="1"/>
      <c r="AO5" s="1"/>
      <c r="AP5" s="56"/>
      <c r="AQ5" s="56"/>
      <c r="AR5" s="56"/>
      <c r="AS5" s="56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59"/>
      <c r="CC5" s="1"/>
      <c r="CD5" s="59"/>
      <c r="CE5" s="1"/>
      <c r="CF5" s="59"/>
      <c r="CG5" s="1"/>
      <c r="CH5" s="1"/>
      <c r="CI5" s="59"/>
      <c r="CJ5" s="1"/>
      <c r="CK5" s="59"/>
      <c r="CL5" s="1"/>
      <c r="CM5" s="1"/>
      <c r="CN5" s="1"/>
      <c r="CO5" s="1"/>
      <c r="CP5" s="59"/>
      <c r="CQ5" s="1"/>
      <c r="CR5" s="1"/>
      <c r="CS5" s="1"/>
      <c r="CT5" s="1"/>
      <c r="CU5" s="58"/>
      <c r="CV5" s="58"/>
      <c r="CW5" s="58"/>
      <c r="CX5" s="1"/>
    </row>
    <row r="6" spans="1:104" s="10" customFormat="1" ht="18" customHeight="1" x14ac:dyDescent="0.3">
      <c r="A6" s="6"/>
      <c r="B6" s="62"/>
      <c r="C6" s="1"/>
      <c r="D6" s="1"/>
      <c r="E6" s="1"/>
      <c r="F6" s="57"/>
      <c r="G6" s="57"/>
      <c r="H6" s="57"/>
      <c r="I6" s="57"/>
      <c r="J6" s="52"/>
      <c r="K6" s="52"/>
      <c r="L6" s="52"/>
      <c r="M6" s="52"/>
      <c r="N6" s="51"/>
      <c r="O6" s="51"/>
      <c r="P6" s="51"/>
      <c r="Q6" s="51"/>
      <c r="R6" s="55"/>
      <c r="S6" s="55"/>
      <c r="T6" s="55"/>
      <c r="U6" s="55"/>
      <c r="V6" s="54"/>
      <c r="W6" s="54"/>
      <c r="X6" s="54"/>
      <c r="Y6" s="54"/>
      <c r="Z6" s="1"/>
      <c r="AA6" s="1"/>
      <c r="AB6" s="1"/>
      <c r="AC6" s="1"/>
      <c r="AD6" s="53"/>
      <c r="AE6" s="53"/>
      <c r="AF6" s="53"/>
      <c r="AG6" s="53"/>
      <c r="AH6" s="54"/>
      <c r="AI6" s="54"/>
      <c r="AJ6" s="54"/>
      <c r="AK6" s="54"/>
      <c r="AL6" s="1"/>
      <c r="AM6" s="1"/>
      <c r="AN6" s="1"/>
      <c r="AO6" s="1"/>
      <c r="AP6" s="56"/>
      <c r="AQ6" s="56"/>
      <c r="AR6" s="56"/>
      <c r="AS6" s="56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59"/>
      <c r="CC6" s="1"/>
      <c r="CD6" s="59"/>
      <c r="CE6" s="1"/>
      <c r="CF6" s="59"/>
      <c r="CG6" s="1"/>
      <c r="CH6" s="1"/>
      <c r="CI6" s="59"/>
      <c r="CJ6" s="1"/>
      <c r="CK6" s="59"/>
      <c r="CL6" s="1"/>
      <c r="CM6" s="1"/>
      <c r="CN6" s="1"/>
      <c r="CO6" s="1"/>
      <c r="CP6" s="59"/>
      <c r="CQ6" s="1"/>
      <c r="CR6" s="1"/>
      <c r="CS6" s="1"/>
      <c r="CT6" s="1"/>
      <c r="CU6" s="58"/>
      <c r="CV6" s="58"/>
      <c r="CW6" s="58"/>
      <c r="CX6" s="1"/>
    </row>
    <row r="7" spans="1:104" s="10" customFormat="1" ht="18" customHeight="1" x14ac:dyDescent="0.3">
      <c r="A7" s="6"/>
      <c r="B7" s="62"/>
      <c r="C7" s="1"/>
      <c r="D7" s="1"/>
      <c r="E7" s="1"/>
      <c r="F7" s="57"/>
      <c r="G7" s="57"/>
      <c r="H7" s="57"/>
      <c r="I7" s="57"/>
      <c r="J7" s="52"/>
      <c r="K7" s="52"/>
      <c r="L7" s="52"/>
      <c r="M7" s="52"/>
      <c r="N7" s="51"/>
      <c r="O7" s="51"/>
      <c r="P7" s="51"/>
      <c r="Q7" s="51"/>
      <c r="R7" s="55"/>
      <c r="S7" s="55"/>
      <c r="T7" s="55"/>
      <c r="U7" s="55"/>
      <c r="V7" s="54"/>
      <c r="W7" s="54"/>
      <c r="X7" s="54"/>
      <c r="Y7" s="54"/>
      <c r="Z7" s="1"/>
      <c r="AA7" s="1"/>
      <c r="AB7" s="1"/>
      <c r="AC7" s="1"/>
      <c r="AD7" s="53"/>
      <c r="AE7" s="53"/>
      <c r="AF7" s="53"/>
      <c r="AG7" s="53"/>
      <c r="AH7" s="54"/>
      <c r="AI7" s="54"/>
      <c r="AJ7" s="54"/>
      <c r="AK7" s="54"/>
      <c r="AL7" s="1"/>
      <c r="AM7" s="1"/>
      <c r="AN7" s="1"/>
      <c r="AO7" s="1"/>
      <c r="AP7" s="56"/>
      <c r="AQ7" s="56"/>
      <c r="AR7" s="56"/>
      <c r="AS7" s="56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59"/>
      <c r="CC7" s="1"/>
      <c r="CD7" s="59"/>
      <c r="CE7" s="1"/>
      <c r="CF7" s="59"/>
      <c r="CG7" s="1"/>
      <c r="CH7" s="1"/>
      <c r="CI7" s="59"/>
      <c r="CJ7" s="1"/>
      <c r="CK7" s="59"/>
      <c r="CL7" s="1"/>
      <c r="CM7" s="1"/>
      <c r="CN7" s="1"/>
      <c r="CO7" s="1"/>
      <c r="CP7" s="59"/>
      <c r="CQ7" s="1"/>
      <c r="CR7" s="1"/>
      <c r="CS7" s="1"/>
      <c r="CT7" s="1"/>
      <c r="CU7" s="58"/>
      <c r="CV7" s="58"/>
      <c r="CW7" s="58"/>
      <c r="CX7" s="1"/>
    </row>
    <row r="8" spans="1:104" s="10" customFormat="1" ht="18" customHeight="1" x14ac:dyDescent="0.3">
      <c r="A8" s="6"/>
      <c r="B8" s="62"/>
      <c r="C8" s="1"/>
      <c r="D8" s="1"/>
      <c r="E8" s="1"/>
      <c r="F8" s="57"/>
      <c r="G8" s="57"/>
      <c r="H8" s="57"/>
      <c r="I8" s="57"/>
      <c r="J8" s="52"/>
      <c r="K8" s="52"/>
      <c r="L8" s="52"/>
      <c r="M8" s="52"/>
      <c r="N8" s="51"/>
      <c r="O8" s="51"/>
      <c r="P8" s="51"/>
      <c r="Q8" s="51"/>
      <c r="R8" s="55"/>
      <c r="S8" s="55"/>
      <c r="T8" s="55"/>
      <c r="U8" s="55"/>
      <c r="V8" s="54"/>
      <c r="W8" s="54"/>
      <c r="X8" s="54"/>
      <c r="Y8" s="54"/>
      <c r="Z8" s="1"/>
      <c r="AA8" s="1"/>
      <c r="AB8" s="1"/>
      <c r="AC8" s="1"/>
      <c r="AD8" s="53"/>
      <c r="AE8" s="53"/>
      <c r="AF8" s="53"/>
      <c r="AG8" s="53"/>
      <c r="AH8" s="54"/>
      <c r="AI8" s="54"/>
      <c r="AJ8" s="54"/>
      <c r="AK8" s="54"/>
      <c r="AL8" s="1"/>
      <c r="AM8" s="1"/>
      <c r="AN8" s="1"/>
      <c r="AO8" s="1"/>
      <c r="AP8" s="56"/>
      <c r="AQ8" s="56"/>
      <c r="AR8" s="56"/>
      <c r="AS8" s="56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59"/>
      <c r="CC8" s="1"/>
      <c r="CD8" s="59"/>
      <c r="CE8" s="1"/>
      <c r="CF8" s="59"/>
      <c r="CG8" s="1"/>
      <c r="CH8" s="1"/>
      <c r="CI8" s="59"/>
      <c r="CJ8" s="1"/>
      <c r="CK8" s="59"/>
      <c r="CL8" s="1"/>
      <c r="CM8" s="1"/>
      <c r="CN8" s="1"/>
      <c r="CO8" s="1"/>
      <c r="CP8" s="59"/>
      <c r="CQ8" s="1"/>
      <c r="CR8" s="1"/>
      <c r="CS8" s="1"/>
      <c r="CT8" s="1"/>
      <c r="CU8" s="58"/>
      <c r="CV8" s="58"/>
      <c r="CW8" s="58"/>
      <c r="CX8" s="1"/>
    </row>
    <row r="9" spans="1:104" s="10" customFormat="1" ht="18" customHeight="1" x14ac:dyDescent="0.3">
      <c r="A9" s="6"/>
      <c r="B9" s="62"/>
      <c r="C9" s="1"/>
      <c r="D9" s="1"/>
      <c r="E9" s="1"/>
      <c r="F9" s="57"/>
      <c r="G9" s="57"/>
      <c r="H9" s="57"/>
      <c r="I9" s="57"/>
      <c r="J9" s="52"/>
      <c r="K9" s="52"/>
      <c r="L9" s="52"/>
      <c r="M9" s="52"/>
      <c r="N9" s="51"/>
      <c r="O9" s="51"/>
      <c r="P9" s="51"/>
      <c r="Q9" s="51"/>
      <c r="R9" s="55"/>
      <c r="S9" s="55"/>
      <c r="T9" s="55"/>
      <c r="U9" s="55"/>
      <c r="V9" s="54"/>
      <c r="W9" s="54"/>
      <c r="X9" s="54"/>
      <c r="Y9" s="54"/>
      <c r="Z9" s="1"/>
      <c r="AA9" s="1"/>
      <c r="AB9" s="1"/>
      <c r="AC9" s="1"/>
      <c r="AD9" s="53"/>
      <c r="AE9" s="53"/>
      <c r="AF9" s="53"/>
      <c r="AG9" s="53"/>
      <c r="AH9" s="54"/>
      <c r="AI9" s="54"/>
      <c r="AJ9" s="54"/>
      <c r="AK9" s="54"/>
      <c r="AL9" s="1"/>
      <c r="AM9" s="1"/>
      <c r="AN9" s="1"/>
      <c r="AO9" s="1"/>
      <c r="AP9" s="56"/>
      <c r="AQ9" s="56"/>
      <c r="AR9" s="56"/>
      <c r="AS9" s="56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59"/>
      <c r="CC9" s="1"/>
      <c r="CD9" s="59"/>
      <c r="CE9" s="1"/>
      <c r="CF9" s="59"/>
      <c r="CG9" s="1"/>
      <c r="CH9" s="1"/>
      <c r="CI9" s="59"/>
      <c r="CJ9" s="1"/>
      <c r="CK9" s="59"/>
      <c r="CL9" s="1"/>
      <c r="CM9" s="1"/>
      <c r="CN9" s="1"/>
      <c r="CO9" s="1"/>
      <c r="CP9" s="59"/>
      <c r="CQ9" s="1"/>
      <c r="CR9" s="1"/>
      <c r="CS9" s="1"/>
      <c r="CT9" s="1"/>
      <c r="CU9" s="58"/>
      <c r="CV9" s="58"/>
      <c r="CW9" s="58"/>
      <c r="CX9" s="1"/>
    </row>
    <row r="10" spans="1:104" s="10" customFormat="1" ht="18" customHeight="1" x14ac:dyDescent="0.3">
      <c r="A10" s="6"/>
      <c r="B10" s="62"/>
      <c r="C10" s="1"/>
      <c r="D10" s="1"/>
      <c r="E10" s="1"/>
      <c r="F10" s="57"/>
      <c r="G10" s="57"/>
      <c r="H10" s="57"/>
      <c r="I10" s="57"/>
      <c r="J10" s="52"/>
      <c r="K10" s="52"/>
      <c r="L10" s="52"/>
      <c r="M10" s="52"/>
      <c r="N10" s="51"/>
      <c r="O10" s="51"/>
      <c r="P10" s="51"/>
      <c r="Q10" s="51"/>
      <c r="R10" s="55"/>
      <c r="S10" s="55"/>
      <c r="T10" s="55"/>
      <c r="U10" s="55"/>
      <c r="V10" s="54"/>
      <c r="W10" s="54"/>
      <c r="X10" s="54"/>
      <c r="Y10" s="54"/>
      <c r="Z10" s="1"/>
      <c r="AA10" s="1"/>
      <c r="AB10" s="1"/>
      <c r="AC10" s="1"/>
      <c r="AD10" s="53"/>
      <c r="AE10" s="53"/>
      <c r="AF10" s="53"/>
      <c r="AG10" s="53"/>
      <c r="AH10" s="54"/>
      <c r="AI10" s="54"/>
      <c r="AJ10" s="54"/>
      <c r="AK10" s="54"/>
      <c r="AL10" s="1"/>
      <c r="AM10" s="1"/>
      <c r="AN10" s="1"/>
      <c r="AO10" s="1"/>
      <c r="AP10" s="56"/>
      <c r="AQ10" s="56"/>
      <c r="AR10" s="56"/>
      <c r="AS10" s="56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59"/>
      <c r="CC10" s="1"/>
      <c r="CD10" s="59"/>
      <c r="CE10" s="1"/>
      <c r="CF10" s="59"/>
      <c r="CG10" s="1"/>
      <c r="CH10" s="1"/>
      <c r="CI10" s="59"/>
      <c r="CJ10" s="1"/>
      <c r="CK10" s="59"/>
      <c r="CL10" s="1"/>
      <c r="CM10" s="1"/>
      <c r="CN10" s="1"/>
      <c r="CO10" s="1"/>
      <c r="CP10" s="59"/>
      <c r="CQ10" s="1"/>
      <c r="CR10" s="1"/>
      <c r="CS10" s="1"/>
      <c r="CT10" s="1"/>
      <c r="CU10" s="58"/>
      <c r="CV10" s="58"/>
      <c r="CW10" s="58"/>
      <c r="CX10" s="1"/>
    </row>
    <row r="11" spans="1:104" s="10" customFormat="1" ht="18" customHeight="1" x14ac:dyDescent="0.3">
      <c r="A11" s="6"/>
      <c r="B11" s="62"/>
      <c r="C11" s="1"/>
      <c r="D11" s="1"/>
      <c r="E11" s="1"/>
      <c r="F11" s="57"/>
      <c r="G11" s="57"/>
      <c r="H11" s="57"/>
      <c r="I11" s="57"/>
      <c r="J11" s="52"/>
      <c r="K11" s="52"/>
      <c r="L11" s="52"/>
      <c r="M11" s="52"/>
      <c r="N11" s="51"/>
      <c r="O11" s="51"/>
      <c r="P11" s="51"/>
      <c r="Q11" s="51"/>
      <c r="R11" s="55"/>
      <c r="S11" s="55"/>
      <c r="T11" s="55"/>
      <c r="U11" s="55"/>
      <c r="V11" s="54"/>
      <c r="W11" s="54"/>
      <c r="X11" s="54"/>
      <c r="Y11" s="54"/>
      <c r="Z11" s="1"/>
      <c r="AA11" s="1"/>
      <c r="AB11" s="1"/>
      <c r="AC11" s="1"/>
      <c r="AD11" s="53"/>
      <c r="AE11" s="53"/>
      <c r="AF11" s="53"/>
      <c r="AG11" s="53"/>
      <c r="AH11" s="54"/>
      <c r="AI11" s="54"/>
      <c r="AJ11" s="54"/>
      <c r="AK11" s="54"/>
      <c r="AL11" s="1"/>
      <c r="AM11" s="1"/>
      <c r="AN11" s="1"/>
      <c r="AO11" s="1"/>
      <c r="AP11" s="56"/>
      <c r="AQ11" s="56"/>
      <c r="AR11" s="56"/>
      <c r="AS11" s="56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59"/>
      <c r="CC11" s="1"/>
      <c r="CD11" s="59"/>
      <c r="CE11" s="1"/>
      <c r="CF11" s="59"/>
      <c r="CG11" s="1"/>
      <c r="CH11" s="1"/>
      <c r="CI11" s="59"/>
      <c r="CJ11" s="1"/>
      <c r="CK11" s="59"/>
      <c r="CL11" s="1"/>
      <c r="CM11" s="1"/>
      <c r="CN11" s="1"/>
      <c r="CO11" s="1"/>
      <c r="CP11" s="59"/>
      <c r="CQ11" s="1"/>
      <c r="CR11" s="1"/>
      <c r="CS11" s="1"/>
      <c r="CT11" s="1"/>
      <c r="CU11" s="58"/>
      <c r="CV11" s="58"/>
      <c r="CW11" s="58"/>
      <c r="CX11" s="1"/>
    </row>
    <row r="12" spans="1:104" s="10" customFormat="1" ht="18" customHeight="1" x14ac:dyDescent="0.3">
      <c r="A12" s="6"/>
      <c r="B12" s="62"/>
      <c r="C12" s="1"/>
      <c r="D12" s="1"/>
      <c r="E12" s="1"/>
      <c r="F12" s="57"/>
      <c r="G12" s="57"/>
      <c r="H12" s="57"/>
      <c r="I12" s="57"/>
      <c r="J12" s="52"/>
      <c r="K12" s="52"/>
      <c r="L12" s="52"/>
      <c r="M12" s="52"/>
      <c r="N12" s="51"/>
      <c r="O12" s="51"/>
      <c r="P12" s="51"/>
      <c r="Q12" s="51"/>
      <c r="R12" s="55"/>
      <c r="S12" s="55"/>
      <c r="T12" s="55"/>
      <c r="U12" s="55"/>
      <c r="V12" s="54"/>
      <c r="W12" s="54"/>
      <c r="X12" s="54"/>
      <c r="Y12" s="54"/>
      <c r="Z12" s="1"/>
      <c r="AA12" s="1"/>
      <c r="AB12" s="1"/>
      <c r="AC12" s="1"/>
      <c r="AD12" s="53"/>
      <c r="AE12" s="53"/>
      <c r="AF12" s="53"/>
      <c r="AG12" s="53"/>
      <c r="AH12" s="54"/>
      <c r="AI12" s="54"/>
      <c r="AJ12" s="54"/>
      <c r="AK12" s="54"/>
      <c r="AL12" s="1"/>
      <c r="AM12" s="1"/>
      <c r="AN12" s="1"/>
      <c r="AO12" s="1"/>
      <c r="AP12" s="56"/>
      <c r="AQ12" s="56"/>
      <c r="AR12" s="56"/>
      <c r="AS12" s="56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59"/>
      <c r="CC12" s="1"/>
      <c r="CD12" s="59"/>
      <c r="CE12" s="1"/>
      <c r="CF12" s="59"/>
      <c r="CG12" s="1"/>
      <c r="CH12" s="1"/>
      <c r="CI12" s="59"/>
      <c r="CJ12" s="1"/>
      <c r="CK12" s="59"/>
      <c r="CL12" s="1"/>
      <c r="CM12" s="1"/>
      <c r="CN12" s="1"/>
      <c r="CO12" s="1"/>
      <c r="CP12" s="59"/>
      <c r="CQ12" s="1"/>
      <c r="CR12" s="1"/>
      <c r="CS12" s="1"/>
      <c r="CT12" s="1"/>
      <c r="CU12" s="58"/>
      <c r="CV12" s="58"/>
      <c r="CW12" s="58"/>
      <c r="CX12" s="1"/>
    </row>
    <row r="13" spans="1:104" s="10" customFormat="1" ht="18" customHeight="1" x14ac:dyDescent="0.3">
      <c r="A13" s="6"/>
      <c r="B13" s="62"/>
      <c r="C13" s="1"/>
      <c r="D13" s="1"/>
      <c r="E13" s="1"/>
      <c r="F13" s="57"/>
      <c r="G13" s="57"/>
      <c r="H13" s="57"/>
      <c r="I13" s="57"/>
      <c r="J13" s="52"/>
      <c r="K13" s="52"/>
      <c r="L13" s="52"/>
      <c r="M13" s="52"/>
      <c r="N13" s="51"/>
      <c r="O13" s="51"/>
      <c r="P13" s="51"/>
      <c r="Q13" s="51"/>
      <c r="R13" s="55"/>
      <c r="S13" s="55"/>
      <c r="T13" s="55"/>
      <c r="U13" s="55"/>
      <c r="V13" s="54"/>
      <c r="W13" s="54"/>
      <c r="X13" s="54"/>
      <c r="Y13" s="54"/>
      <c r="Z13" s="1"/>
      <c r="AA13" s="1"/>
      <c r="AB13" s="1"/>
      <c r="AC13" s="1"/>
      <c r="AD13" s="53"/>
      <c r="AE13" s="53"/>
      <c r="AF13" s="53"/>
      <c r="AG13" s="53"/>
      <c r="AH13" s="54"/>
      <c r="AI13" s="54"/>
      <c r="AJ13" s="54"/>
      <c r="AK13" s="54"/>
      <c r="AL13" s="1"/>
      <c r="AM13" s="1"/>
      <c r="AN13" s="1"/>
      <c r="AO13" s="1"/>
      <c r="AP13" s="56"/>
      <c r="AQ13" s="56"/>
      <c r="AR13" s="56"/>
      <c r="AS13" s="56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59"/>
      <c r="CC13" s="1"/>
      <c r="CD13" s="59"/>
      <c r="CE13" s="1"/>
      <c r="CF13" s="59"/>
      <c r="CG13" s="1"/>
      <c r="CH13" s="1"/>
      <c r="CI13" s="59"/>
      <c r="CJ13" s="1"/>
      <c r="CK13" s="59"/>
      <c r="CL13" s="1"/>
      <c r="CM13" s="1"/>
      <c r="CN13" s="1"/>
      <c r="CO13" s="1"/>
      <c r="CP13" s="59"/>
      <c r="CQ13" s="1"/>
      <c r="CR13" s="1"/>
      <c r="CS13" s="1"/>
      <c r="CT13" s="1"/>
      <c r="CU13" s="58"/>
      <c r="CV13" s="58"/>
      <c r="CW13" s="58"/>
      <c r="CX13" s="1"/>
    </row>
    <row r="14" spans="1:104" s="10" customFormat="1" ht="18" customHeight="1" x14ac:dyDescent="0.3">
      <c r="A14" s="6"/>
      <c r="B14" s="6"/>
      <c r="C14" s="1"/>
      <c r="D14" s="1"/>
      <c r="E14" s="1"/>
      <c r="F14" s="57"/>
      <c r="G14" s="57"/>
      <c r="H14" s="57"/>
      <c r="I14" s="57"/>
      <c r="J14" s="52"/>
      <c r="K14" s="52"/>
      <c r="L14" s="52"/>
      <c r="M14" s="52"/>
      <c r="N14" s="51"/>
      <c r="O14" s="51"/>
      <c r="P14" s="51"/>
      <c r="Q14" s="51"/>
      <c r="R14" s="55"/>
      <c r="S14" s="55"/>
      <c r="T14" s="55"/>
      <c r="U14" s="55"/>
      <c r="V14" s="54"/>
      <c r="W14" s="54"/>
      <c r="X14" s="54"/>
      <c r="Y14" s="54"/>
      <c r="Z14" s="1"/>
      <c r="AA14" s="1"/>
      <c r="AB14" s="1"/>
      <c r="AC14" s="1"/>
      <c r="AD14" s="53"/>
      <c r="AE14" s="53"/>
      <c r="AF14" s="53"/>
      <c r="AG14" s="53"/>
      <c r="AH14" s="54"/>
      <c r="AI14" s="54"/>
      <c r="AJ14" s="54"/>
      <c r="AK14" s="54"/>
      <c r="AL14" s="1"/>
      <c r="AM14" s="1"/>
      <c r="AN14" s="1"/>
      <c r="AO14" s="1"/>
      <c r="AP14" s="56"/>
      <c r="AQ14" s="56"/>
      <c r="AR14" s="56"/>
      <c r="AS14" s="56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8"/>
      <c r="CW14" s="58"/>
      <c r="CX14" s="1"/>
    </row>
    <row r="15" spans="1:104" s="10" customFormat="1" ht="18" customHeight="1" x14ac:dyDescent="0.3">
      <c r="A15" s="6"/>
      <c r="B15" s="6"/>
      <c r="C15" s="1"/>
      <c r="D15" s="1"/>
      <c r="E15" s="1"/>
      <c r="F15" s="57"/>
      <c r="G15" s="57"/>
      <c r="H15" s="57"/>
      <c r="I15" s="57"/>
      <c r="J15" s="52"/>
      <c r="K15" s="52"/>
      <c r="L15" s="52"/>
      <c r="M15" s="52"/>
      <c r="N15" s="51"/>
      <c r="O15" s="51"/>
      <c r="P15" s="51"/>
      <c r="Q15" s="51"/>
      <c r="R15" s="55"/>
      <c r="S15" s="55"/>
      <c r="T15" s="55"/>
      <c r="U15" s="55"/>
      <c r="V15" s="54"/>
      <c r="W15" s="54"/>
      <c r="X15" s="54"/>
      <c r="Y15" s="54"/>
      <c r="Z15" s="1"/>
      <c r="AA15" s="1"/>
      <c r="AB15" s="1"/>
      <c r="AC15" s="1"/>
      <c r="AD15" s="53"/>
      <c r="AE15" s="53"/>
      <c r="AF15" s="53"/>
      <c r="AG15" s="53"/>
      <c r="AH15" s="54"/>
      <c r="AI15" s="54"/>
      <c r="AJ15" s="54"/>
      <c r="AK15" s="54"/>
      <c r="AL15" s="1"/>
      <c r="AM15" s="1"/>
      <c r="AN15" s="1"/>
      <c r="AO15" s="1"/>
      <c r="AP15" s="56"/>
      <c r="AQ15" s="56"/>
      <c r="AR15" s="56"/>
      <c r="AS15" s="56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8"/>
      <c r="CW15" s="58"/>
      <c r="CX15" s="1"/>
    </row>
    <row r="16" spans="1:104" s="10" customFormat="1" ht="18" customHeight="1" x14ac:dyDescent="0.3">
      <c r="A16" s="6"/>
      <c r="B16" s="6"/>
      <c r="C16" s="1"/>
      <c r="D16" s="1"/>
      <c r="E16" s="1"/>
      <c r="F16" s="57"/>
      <c r="G16" s="57"/>
      <c r="H16" s="57"/>
      <c r="I16" s="57"/>
      <c r="J16" s="52"/>
      <c r="K16" s="52"/>
      <c r="L16" s="52"/>
      <c r="M16" s="52"/>
      <c r="N16" s="51"/>
      <c r="O16" s="51"/>
      <c r="P16" s="51"/>
      <c r="Q16" s="51"/>
      <c r="R16" s="55"/>
      <c r="S16" s="55"/>
      <c r="T16" s="55"/>
      <c r="U16" s="55"/>
      <c r="V16" s="54"/>
      <c r="W16" s="54"/>
      <c r="X16" s="54"/>
      <c r="Y16" s="54"/>
      <c r="Z16" s="1"/>
      <c r="AA16" s="1"/>
      <c r="AB16" s="1"/>
      <c r="AC16" s="1"/>
      <c r="AD16" s="53"/>
      <c r="AE16" s="53"/>
      <c r="AF16" s="53"/>
      <c r="AG16" s="53"/>
      <c r="AH16" s="54"/>
      <c r="AI16" s="54"/>
      <c r="AJ16" s="54"/>
      <c r="AK16" s="54"/>
      <c r="AL16" s="1"/>
      <c r="AM16" s="1"/>
      <c r="AN16" s="1"/>
      <c r="AO16" s="1"/>
      <c r="AP16" s="56"/>
      <c r="AQ16" s="56"/>
      <c r="AR16" s="56"/>
      <c r="AS16" s="56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8"/>
      <c r="CW16" s="58"/>
      <c r="CX16" s="1"/>
    </row>
    <row r="17" spans="1:102" s="10" customFormat="1" ht="18" customHeight="1" x14ac:dyDescent="0.3">
      <c r="A17" s="6"/>
      <c r="B17" s="6"/>
      <c r="C17" s="1"/>
      <c r="D17" s="1"/>
      <c r="E17" s="1"/>
      <c r="F17" s="57"/>
      <c r="G17" s="57"/>
      <c r="H17" s="57"/>
      <c r="I17" s="57"/>
      <c r="J17" s="52"/>
      <c r="K17" s="52"/>
      <c r="L17" s="52"/>
      <c r="M17" s="52"/>
      <c r="N17" s="51"/>
      <c r="O17" s="51"/>
      <c r="P17" s="51"/>
      <c r="Q17" s="51"/>
      <c r="R17" s="55"/>
      <c r="S17" s="55"/>
      <c r="T17" s="55"/>
      <c r="U17" s="55"/>
      <c r="V17" s="54"/>
      <c r="W17" s="54"/>
      <c r="X17" s="54"/>
      <c r="Y17" s="54"/>
      <c r="Z17" s="1"/>
      <c r="AA17" s="1"/>
      <c r="AB17" s="1"/>
      <c r="AC17" s="1"/>
      <c r="AD17" s="53"/>
      <c r="AE17" s="53"/>
      <c r="AF17" s="53"/>
      <c r="AG17" s="53"/>
      <c r="AH17" s="54"/>
      <c r="AI17" s="54"/>
      <c r="AJ17" s="54"/>
      <c r="AK17" s="54"/>
      <c r="AL17" s="1"/>
      <c r="AM17" s="1"/>
      <c r="AN17" s="1"/>
      <c r="AO17" s="1"/>
      <c r="AP17" s="56"/>
      <c r="AQ17" s="56"/>
      <c r="AR17" s="56"/>
      <c r="AS17" s="56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8"/>
      <c r="CW17" s="58"/>
      <c r="CX17" s="1"/>
    </row>
    <row r="18" spans="1:102" s="10" customFormat="1" ht="18" customHeight="1" x14ac:dyDescent="0.3">
      <c r="A18" s="6"/>
      <c r="B18" s="6"/>
      <c r="C18" s="1"/>
      <c r="D18" s="1"/>
      <c r="E18" s="1"/>
      <c r="F18" s="57"/>
      <c r="G18" s="57"/>
      <c r="H18" s="57"/>
      <c r="I18" s="57"/>
      <c r="J18" s="52"/>
      <c r="K18" s="52"/>
      <c r="L18" s="52"/>
      <c r="M18" s="52"/>
      <c r="N18" s="51"/>
      <c r="O18" s="51"/>
      <c r="P18" s="51"/>
      <c r="Q18" s="51"/>
      <c r="R18" s="55"/>
      <c r="S18" s="55"/>
      <c r="T18" s="55"/>
      <c r="U18" s="55"/>
      <c r="V18" s="54"/>
      <c r="W18" s="54"/>
      <c r="X18" s="54"/>
      <c r="Y18" s="54"/>
      <c r="Z18" s="1"/>
      <c r="AA18" s="1"/>
      <c r="AB18" s="1"/>
      <c r="AC18" s="1"/>
      <c r="AD18" s="53"/>
      <c r="AE18" s="53"/>
      <c r="AF18" s="53"/>
      <c r="AG18" s="53"/>
      <c r="AH18" s="54"/>
      <c r="AI18" s="54"/>
      <c r="AJ18" s="54"/>
      <c r="AK18" s="54"/>
      <c r="AL18" s="1"/>
      <c r="AM18" s="1"/>
      <c r="AN18" s="1"/>
      <c r="AO18" s="1"/>
      <c r="AP18" s="56"/>
      <c r="AQ18" s="56"/>
      <c r="AR18" s="56"/>
      <c r="AS18" s="56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8"/>
      <c r="CW18" s="58"/>
      <c r="CX18" s="1"/>
    </row>
    <row r="19" spans="1:102" s="10" customFormat="1" ht="18" customHeight="1" x14ac:dyDescent="0.3">
      <c r="A19" s="6"/>
      <c r="B19" s="6"/>
      <c r="C19" s="1"/>
      <c r="D19" s="1"/>
      <c r="E19" s="1"/>
      <c r="F19" s="57"/>
      <c r="G19" s="57"/>
      <c r="H19" s="57"/>
      <c r="I19" s="57"/>
      <c r="J19" s="52"/>
      <c r="K19" s="52"/>
      <c r="L19" s="52"/>
      <c r="M19" s="52"/>
      <c r="N19" s="51"/>
      <c r="O19" s="51"/>
      <c r="P19" s="51"/>
      <c r="Q19" s="51"/>
      <c r="R19" s="55"/>
      <c r="S19" s="55"/>
      <c r="T19" s="55"/>
      <c r="U19" s="55"/>
      <c r="V19" s="54"/>
      <c r="W19" s="54"/>
      <c r="X19" s="54"/>
      <c r="Y19" s="54"/>
      <c r="Z19" s="1"/>
      <c r="AA19" s="1"/>
      <c r="AB19" s="1"/>
      <c r="AC19" s="1"/>
      <c r="AD19" s="53"/>
      <c r="AE19" s="53"/>
      <c r="AF19" s="53"/>
      <c r="AG19" s="53"/>
      <c r="AH19" s="54"/>
      <c r="AI19" s="54"/>
      <c r="AJ19" s="54"/>
      <c r="AK19" s="54"/>
      <c r="AL19" s="1"/>
      <c r="AM19" s="1"/>
      <c r="AN19" s="1"/>
      <c r="AO19" s="1"/>
      <c r="AP19" s="56"/>
      <c r="AQ19" s="56"/>
      <c r="AR19" s="56"/>
      <c r="AS19" s="56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8"/>
      <c r="CW19" s="58"/>
      <c r="CX19" s="1"/>
    </row>
    <row r="20" spans="1:102" s="10" customFormat="1" ht="18" customHeight="1" x14ac:dyDescent="0.3">
      <c r="A20" s="6"/>
      <c r="B20" s="6"/>
      <c r="C20" s="1"/>
      <c r="D20" s="1"/>
      <c r="E20" s="1"/>
      <c r="F20" s="57"/>
      <c r="G20" s="57"/>
      <c r="H20" s="57"/>
      <c r="I20" s="57"/>
      <c r="J20" s="52"/>
      <c r="K20" s="52"/>
      <c r="L20" s="52"/>
      <c r="M20" s="52"/>
      <c r="N20" s="51"/>
      <c r="O20" s="51"/>
      <c r="P20" s="51"/>
      <c r="Q20" s="51"/>
      <c r="R20" s="55"/>
      <c r="S20" s="55"/>
      <c r="T20" s="55"/>
      <c r="U20" s="55"/>
      <c r="V20" s="54"/>
      <c r="W20" s="54"/>
      <c r="X20" s="54"/>
      <c r="Y20" s="54"/>
      <c r="Z20" s="1"/>
      <c r="AA20" s="1"/>
      <c r="AB20" s="1"/>
      <c r="AC20" s="1"/>
      <c r="AD20" s="53"/>
      <c r="AE20" s="53"/>
      <c r="AF20" s="53"/>
      <c r="AG20" s="53"/>
      <c r="AH20" s="54"/>
      <c r="AI20" s="54"/>
      <c r="AJ20" s="54"/>
      <c r="AK20" s="54"/>
      <c r="AL20" s="1"/>
      <c r="AM20" s="1"/>
      <c r="AN20" s="1"/>
      <c r="AO20" s="1"/>
      <c r="AP20" s="56"/>
      <c r="AQ20" s="56"/>
      <c r="AR20" s="56"/>
      <c r="AS20" s="56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8"/>
      <c r="CW20" s="58"/>
      <c r="CX20" s="1"/>
    </row>
    <row r="21" spans="1:102" s="10" customFormat="1" ht="18" customHeight="1" x14ac:dyDescent="0.3">
      <c r="A21" s="6"/>
      <c r="B21" s="6"/>
      <c r="C21" s="1"/>
      <c r="D21" s="1"/>
      <c r="E21" s="1"/>
      <c r="F21" s="57"/>
      <c r="G21" s="57"/>
      <c r="H21" s="57"/>
      <c r="I21" s="57"/>
      <c r="J21" s="52"/>
      <c r="K21" s="52"/>
      <c r="L21" s="52"/>
      <c r="M21" s="52"/>
      <c r="N21" s="51"/>
      <c r="O21" s="51"/>
      <c r="P21" s="51"/>
      <c r="Q21" s="51"/>
      <c r="R21" s="55"/>
      <c r="S21" s="55"/>
      <c r="T21" s="55"/>
      <c r="U21" s="55"/>
      <c r="V21" s="54"/>
      <c r="W21" s="54"/>
      <c r="X21" s="54"/>
      <c r="Y21" s="54"/>
      <c r="Z21" s="1"/>
      <c r="AA21" s="1"/>
      <c r="AB21" s="1"/>
      <c r="AC21" s="1"/>
      <c r="AD21" s="53"/>
      <c r="AE21" s="53"/>
      <c r="AF21" s="53"/>
      <c r="AG21" s="53"/>
      <c r="AH21" s="54"/>
      <c r="AI21" s="54"/>
      <c r="AJ21" s="54"/>
      <c r="AK21" s="54"/>
      <c r="AL21" s="1"/>
      <c r="AM21" s="1"/>
      <c r="AN21" s="1"/>
      <c r="AO21" s="1"/>
      <c r="AP21" s="56"/>
      <c r="AQ21" s="56"/>
      <c r="AR21" s="56"/>
      <c r="AS21" s="56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8"/>
      <c r="CW21" s="58"/>
      <c r="CX21" s="1"/>
    </row>
    <row r="22" spans="1:102" s="10" customFormat="1" ht="18" customHeight="1" x14ac:dyDescent="0.3">
      <c r="A22" s="6"/>
      <c r="B22" s="6"/>
      <c r="C22" s="1"/>
      <c r="D22" s="1"/>
      <c r="E22" s="1"/>
      <c r="F22" s="57"/>
      <c r="G22" s="57"/>
      <c r="H22" s="57"/>
      <c r="I22" s="57"/>
      <c r="J22" s="52"/>
      <c r="K22" s="52"/>
      <c r="L22" s="52"/>
      <c r="M22" s="52"/>
      <c r="N22" s="51"/>
      <c r="O22" s="51"/>
      <c r="P22" s="51"/>
      <c r="Q22" s="51"/>
      <c r="R22" s="55"/>
      <c r="S22" s="55"/>
      <c r="T22" s="55"/>
      <c r="U22" s="55"/>
      <c r="V22" s="54"/>
      <c r="W22" s="54"/>
      <c r="X22" s="54"/>
      <c r="Y22" s="54"/>
      <c r="Z22" s="1"/>
      <c r="AA22" s="1"/>
      <c r="AB22" s="1"/>
      <c r="AC22" s="1"/>
      <c r="AD22" s="53"/>
      <c r="AE22" s="53"/>
      <c r="AF22" s="53"/>
      <c r="AG22" s="53"/>
      <c r="AH22" s="54"/>
      <c r="AI22" s="54"/>
      <c r="AJ22" s="54"/>
      <c r="AK22" s="54"/>
      <c r="AL22" s="1"/>
      <c r="AM22" s="1"/>
      <c r="AN22" s="1"/>
      <c r="AO22" s="1"/>
      <c r="AP22" s="56"/>
      <c r="AQ22" s="56"/>
      <c r="AR22" s="56"/>
      <c r="AS22" s="56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8"/>
      <c r="CW22" s="58"/>
      <c r="CX22" s="1"/>
    </row>
    <row r="23" spans="1:102" s="10" customFormat="1" ht="18" customHeight="1" x14ac:dyDescent="0.3">
      <c r="A23" s="6"/>
      <c r="B23" s="6"/>
      <c r="C23" s="1"/>
      <c r="D23" s="1"/>
      <c r="E23" s="1"/>
      <c r="F23" s="57"/>
      <c r="G23" s="57"/>
      <c r="H23" s="57"/>
      <c r="I23" s="57"/>
      <c r="J23" s="52"/>
      <c r="K23" s="52"/>
      <c r="L23" s="52"/>
      <c r="M23" s="52"/>
      <c r="N23" s="51"/>
      <c r="O23" s="51"/>
      <c r="P23" s="51"/>
      <c r="Q23" s="51"/>
      <c r="R23" s="55"/>
      <c r="S23" s="55"/>
      <c r="T23" s="55"/>
      <c r="U23" s="55"/>
      <c r="V23" s="54"/>
      <c r="W23" s="54"/>
      <c r="X23" s="54"/>
      <c r="Y23" s="54"/>
      <c r="Z23" s="1"/>
      <c r="AA23" s="1"/>
      <c r="AB23" s="1"/>
      <c r="AC23" s="1"/>
      <c r="AD23" s="53"/>
      <c r="AE23" s="53"/>
      <c r="AF23" s="53"/>
      <c r="AG23" s="53"/>
      <c r="AH23" s="54"/>
      <c r="AI23" s="54"/>
      <c r="AJ23" s="54"/>
      <c r="AK23" s="54"/>
      <c r="AL23" s="1"/>
      <c r="AM23" s="1"/>
      <c r="AN23" s="1"/>
      <c r="AO23" s="1"/>
      <c r="AP23" s="56"/>
      <c r="AQ23" s="56"/>
      <c r="AR23" s="56"/>
      <c r="AS23" s="56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8"/>
      <c r="CW23" s="58"/>
      <c r="CX23" s="1"/>
    </row>
    <row r="24" spans="1:102" s="10" customFormat="1" ht="18" customHeight="1" x14ac:dyDescent="0.3">
      <c r="A24" s="6"/>
      <c r="B24" s="6"/>
      <c r="C24" s="1"/>
      <c r="D24" s="1"/>
      <c r="E24" s="1"/>
      <c r="F24" s="57"/>
      <c r="G24" s="57"/>
      <c r="H24" s="57"/>
      <c r="I24" s="57"/>
      <c r="J24" s="52"/>
      <c r="K24" s="52"/>
      <c r="L24" s="52"/>
      <c r="M24" s="52"/>
      <c r="N24" s="51"/>
      <c r="O24" s="51"/>
      <c r="P24" s="51"/>
      <c r="Q24" s="51"/>
      <c r="R24" s="55"/>
      <c r="S24" s="55"/>
      <c r="T24" s="55"/>
      <c r="U24" s="55"/>
      <c r="V24" s="54"/>
      <c r="W24" s="54"/>
      <c r="X24" s="54"/>
      <c r="Y24" s="54"/>
      <c r="Z24" s="1"/>
      <c r="AA24" s="1"/>
      <c r="AB24" s="1"/>
      <c r="AC24" s="1"/>
      <c r="AD24" s="53"/>
      <c r="AE24" s="53"/>
      <c r="AF24" s="53"/>
      <c r="AG24" s="53"/>
      <c r="AH24" s="54"/>
      <c r="AI24" s="54"/>
      <c r="AJ24" s="54"/>
      <c r="AK24" s="54"/>
      <c r="AL24" s="1"/>
      <c r="AM24" s="1"/>
      <c r="AN24" s="1"/>
      <c r="AO24" s="1"/>
      <c r="AP24" s="56"/>
      <c r="AQ24" s="56"/>
      <c r="AR24" s="56"/>
      <c r="AS24" s="56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8"/>
      <c r="CW24" s="58"/>
      <c r="CX24" s="1"/>
    </row>
    <row r="25" spans="1:102" s="10" customFormat="1" ht="18" customHeight="1" x14ac:dyDescent="0.3">
      <c r="A25" s="6"/>
      <c r="B25" s="6"/>
      <c r="C25" s="1"/>
      <c r="D25" s="1"/>
      <c r="E25" s="1"/>
      <c r="F25" s="57"/>
      <c r="G25" s="57"/>
      <c r="H25" s="57"/>
      <c r="I25" s="57"/>
      <c r="J25" s="52"/>
      <c r="K25" s="52"/>
      <c r="L25" s="52"/>
      <c r="M25" s="52"/>
      <c r="N25" s="51"/>
      <c r="O25" s="51"/>
      <c r="P25" s="51"/>
      <c r="Q25" s="51"/>
      <c r="R25" s="55"/>
      <c r="S25" s="55"/>
      <c r="T25" s="55"/>
      <c r="U25" s="55"/>
      <c r="V25" s="54"/>
      <c r="W25" s="54"/>
      <c r="X25" s="54"/>
      <c r="Y25" s="54"/>
      <c r="Z25" s="1"/>
      <c r="AA25" s="1"/>
      <c r="AB25" s="1"/>
      <c r="AC25" s="1"/>
      <c r="AD25" s="53"/>
      <c r="AE25" s="53"/>
      <c r="AF25" s="53"/>
      <c r="AG25" s="53"/>
      <c r="AH25" s="54"/>
      <c r="AI25" s="54"/>
      <c r="AJ25" s="54"/>
      <c r="AK25" s="54"/>
      <c r="AL25" s="1"/>
      <c r="AM25" s="1"/>
      <c r="AN25" s="1"/>
      <c r="AO25" s="1"/>
      <c r="AP25" s="56"/>
      <c r="AQ25" s="56"/>
      <c r="AR25" s="56"/>
      <c r="AS25" s="56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8"/>
      <c r="CW25" s="58"/>
      <c r="CX25" s="1"/>
    </row>
    <row r="26" spans="1:102" s="10" customFormat="1" ht="18" customHeight="1" x14ac:dyDescent="0.3">
      <c r="A26" s="6"/>
      <c r="B26" s="6"/>
      <c r="C26" s="1"/>
      <c r="D26" s="1"/>
      <c r="E26" s="1"/>
      <c r="F26" s="57"/>
      <c r="G26" s="57"/>
      <c r="H26" s="57"/>
      <c r="I26" s="57"/>
      <c r="J26" s="52"/>
      <c r="K26" s="52"/>
      <c r="L26" s="52"/>
      <c r="M26" s="52"/>
      <c r="N26" s="51"/>
      <c r="O26" s="51"/>
      <c r="P26" s="51"/>
      <c r="Q26" s="51"/>
      <c r="R26" s="55"/>
      <c r="S26" s="55"/>
      <c r="T26" s="55"/>
      <c r="U26" s="55"/>
      <c r="V26" s="54"/>
      <c r="W26" s="54"/>
      <c r="X26" s="54"/>
      <c r="Y26" s="54"/>
      <c r="Z26" s="1"/>
      <c r="AA26" s="1"/>
      <c r="AB26" s="1"/>
      <c r="AC26" s="1"/>
      <c r="AD26" s="53"/>
      <c r="AE26" s="53"/>
      <c r="AF26" s="53"/>
      <c r="AG26" s="53"/>
      <c r="AH26" s="54"/>
      <c r="AI26" s="54"/>
      <c r="AJ26" s="54"/>
      <c r="AK26" s="54"/>
      <c r="AL26" s="1"/>
      <c r="AM26" s="1"/>
      <c r="AN26" s="1"/>
      <c r="AO26" s="1"/>
      <c r="AP26" s="56"/>
      <c r="AQ26" s="56"/>
      <c r="AR26" s="56"/>
      <c r="AS26" s="56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8"/>
      <c r="CW26" s="58"/>
      <c r="CX26" s="1"/>
    </row>
    <row r="27" spans="1:102" s="10" customFormat="1" ht="18" customHeight="1" x14ac:dyDescent="0.3">
      <c r="A27" s="6"/>
      <c r="B27" s="6"/>
      <c r="C27" s="1"/>
      <c r="D27" s="1"/>
      <c r="E27" s="1"/>
      <c r="F27" s="57"/>
      <c r="G27" s="57"/>
      <c r="H27" s="57"/>
      <c r="I27" s="57"/>
      <c r="J27" s="52"/>
      <c r="K27" s="52"/>
      <c r="L27" s="52"/>
      <c r="M27" s="52"/>
      <c r="N27" s="51"/>
      <c r="O27" s="51"/>
      <c r="P27" s="51"/>
      <c r="Q27" s="51"/>
      <c r="R27" s="55"/>
      <c r="S27" s="55"/>
      <c r="T27" s="55"/>
      <c r="U27" s="55"/>
      <c r="V27" s="54"/>
      <c r="W27" s="54"/>
      <c r="X27" s="54"/>
      <c r="Y27" s="54"/>
      <c r="Z27" s="1"/>
      <c r="AA27" s="1"/>
      <c r="AB27" s="1"/>
      <c r="AC27" s="1"/>
      <c r="AD27" s="53"/>
      <c r="AE27" s="53"/>
      <c r="AF27" s="53"/>
      <c r="AG27" s="53"/>
      <c r="AH27" s="54"/>
      <c r="AI27" s="54"/>
      <c r="AJ27" s="54"/>
      <c r="AK27" s="54"/>
      <c r="AL27" s="1"/>
      <c r="AM27" s="1"/>
      <c r="AN27" s="1"/>
      <c r="AO27" s="1"/>
      <c r="AP27" s="56"/>
      <c r="AQ27" s="56"/>
      <c r="AR27" s="56"/>
      <c r="AS27" s="56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8"/>
      <c r="CW27" s="58"/>
      <c r="CX27" s="1"/>
    </row>
    <row r="28" spans="1:102" s="10" customFormat="1" ht="18" customHeight="1" x14ac:dyDescent="0.3">
      <c r="A28" s="6"/>
      <c r="B28" s="6"/>
      <c r="C28" s="1"/>
      <c r="D28" s="1"/>
      <c r="E28" s="1"/>
      <c r="F28" s="57"/>
      <c r="G28" s="57"/>
      <c r="H28" s="57"/>
      <c r="I28" s="57"/>
      <c r="J28" s="52"/>
      <c r="K28" s="52"/>
      <c r="L28" s="52"/>
      <c r="M28" s="52"/>
      <c r="N28" s="51"/>
      <c r="O28" s="51"/>
      <c r="P28" s="51"/>
      <c r="Q28" s="51"/>
      <c r="R28" s="55"/>
      <c r="S28" s="55"/>
      <c r="T28" s="55"/>
      <c r="U28" s="55"/>
      <c r="V28" s="54"/>
      <c r="W28" s="54"/>
      <c r="X28" s="54"/>
      <c r="Y28" s="54"/>
      <c r="Z28" s="1"/>
      <c r="AA28" s="1"/>
      <c r="AB28" s="1"/>
      <c r="AC28" s="1"/>
      <c r="AD28" s="53"/>
      <c r="AE28" s="53"/>
      <c r="AF28" s="53"/>
      <c r="AG28" s="53"/>
      <c r="AH28" s="54"/>
      <c r="AI28" s="54"/>
      <c r="AJ28" s="54"/>
      <c r="AK28" s="54"/>
      <c r="AL28" s="1"/>
      <c r="AM28" s="1"/>
      <c r="AN28" s="1"/>
      <c r="AO28" s="1"/>
      <c r="AP28" s="56"/>
      <c r="AQ28" s="56"/>
      <c r="AR28" s="56"/>
      <c r="AS28" s="56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8"/>
      <c r="CW28" s="58"/>
      <c r="CX28" s="1"/>
    </row>
    <row r="29" spans="1:102" s="10" customFormat="1" ht="18" customHeight="1" x14ac:dyDescent="0.3">
      <c r="A29" s="6"/>
      <c r="B29" s="6"/>
      <c r="C29" s="1"/>
      <c r="D29" s="1"/>
      <c r="E29" s="1"/>
      <c r="F29" s="57"/>
      <c r="G29" s="57"/>
      <c r="H29" s="57"/>
      <c r="I29" s="57"/>
      <c r="J29" s="52"/>
      <c r="K29" s="52"/>
      <c r="L29" s="52"/>
      <c r="M29" s="52"/>
      <c r="N29" s="51"/>
      <c r="O29" s="51"/>
      <c r="P29" s="51"/>
      <c r="Q29" s="51"/>
      <c r="R29" s="55"/>
      <c r="S29" s="55"/>
      <c r="T29" s="55"/>
      <c r="U29" s="55"/>
      <c r="V29" s="54"/>
      <c r="W29" s="54"/>
      <c r="X29" s="54"/>
      <c r="Y29" s="54"/>
      <c r="Z29" s="1"/>
      <c r="AA29" s="1"/>
      <c r="AB29" s="1"/>
      <c r="AC29" s="1"/>
      <c r="AD29" s="53"/>
      <c r="AE29" s="53"/>
      <c r="AF29" s="53"/>
      <c r="AG29" s="53"/>
      <c r="AH29" s="54"/>
      <c r="AI29" s="54"/>
      <c r="AJ29" s="54"/>
      <c r="AK29" s="54"/>
      <c r="AL29" s="1"/>
      <c r="AM29" s="1"/>
      <c r="AN29" s="1"/>
      <c r="AO29" s="1"/>
      <c r="AP29" s="56"/>
      <c r="AQ29" s="56"/>
      <c r="AR29" s="56"/>
      <c r="AS29" s="56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8"/>
      <c r="CW29" s="58"/>
      <c r="CX29" s="1"/>
    </row>
    <row r="30" spans="1:102" s="10" customFormat="1" ht="18" customHeight="1" x14ac:dyDescent="0.3">
      <c r="A30" s="6"/>
      <c r="B30" s="6"/>
      <c r="C30" s="1"/>
      <c r="D30" s="1"/>
      <c r="E30" s="1"/>
      <c r="F30" s="57"/>
      <c r="G30" s="57"/>
      <c r="H30" s="57"/>
      <c r="I30" s="57"/>
      <c r="J30" s="52"/>
      <c r="K30" s="52"/>
      <c r="L30" s="52"/>
      <c r="M30" s="52"/>
      <c r="N30" s="51"/>
      <c r="O30" s="51"/>
      <c r="P30" s="51"/>
      <c r="Q30" s="51"/>
      <c r="R30" s="55"/>
      <c r="S30" s="55"/>
      <c r="T30" s="55"/>
      <c r="U30" s="55"/>
      <c r="V30" s="54"/>
      <c r="W30" s="54"/>
      <c r="X30" s="54"/>
      <c r="Y30" s="54"/>
      <c r="Z30" s="1"/>
      <c r="AA30" s="1"/>
      <c r="AB30" s="1"/>
      <c r="AC30" s="1"/>
      <c r="AD30" s="53"/>
      <c r="AE30" s="53"/>
      <c r="AF30" s="53"/>
      <c r="AG30" s="53"/>
      <c r="AH30" s="54"/>
      <c r="AI30" s="54"/>
      <c r="AJ30" s="54"/>
      <c r="AK30" s="54"/>
      <c r="AL30" s="1"/>
      <c r="AM30" s="1"/>
      <c r="AN30" s="1"/>
      <c r="AO30" s="1"/>
      <c r="AP30" s="56"/>
      <c r="AQ30" s="56"/>
      <c r="AR30" s="56"/>
      <c r="AS30" s="56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8"/>
      <c r="CW30" s="58"/>
      <c r="CX30" s="1"/>
    </row>
    <row r="31" spans="1:102" s="10" customFormat="1" ht="18" customHeight="1" x14ac:dyDescent="0.3">
      <c r="A31" s="6"/>
      <c r="B31" s="6"/>
      <c r="C31" s="1"/>
      <c r="D31" s="1"/>
      <c r="E31" s="1"/>
      <c r="F31" s="57"/>
      <c r="G31" s="57"/>
      <c r="H31" s="57"/>
      <c r="I31" s="57"/>
      <c r="J31" s="52"/>
      <c r="K31" s="52"/>
      <c r="L31" s="52"/>
      <c r="M31" s="52"/>
      <c r="N31" s="51"/>
      <c r="O31" s="51"/>
      <c r="P31" s="51"/>
      <c r="Q31" s="51"/>
      <c r="R31" s="55"/>
      <c r="S31" s="55"/>
      <c r="T31" s="55"/>
      <c r="U31" s="55"/>
      <c r="V31" s="54"/>
      <c r="W31" s="54"/>
      <c r="X31" s="54"/>
      <c r="Y31" s="54"/>
      <c r="Z31" s="1"/>
      <c r="AA31" s="1"/>
      <c r="AB31" s="1"/>
      <c r="AC31" s="1"/>
      <c r="AD31" s="53"/>
      <c r="AE31" s="53"/>
      <c r="AF31" s="53"/>
      <c r="AG31" s="53"/>
      <c r="AH31" s="54"/>
      <c r="AI31" s="54"/>
      <c r="AJ31" s="54"/>
      <c r="AK31" s="54"/>
      <c r="AL31" s="1"/>
      <c r="AM31" s="1"/>
      <c r="AN31" s="1"/>
      <c r="AO31" s="1"/>
      <c r="AP31" s="56"/>
      <c r="AQ31" s="56"/>
      <c r="AR31" s="56"/>
      <c r="AS31" s="56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8"/>
      <c r="CW31" s="58"/>
      <c r="CX31" s="1"/>
    </row>
    <row r="32" spans="1:102" s="10" customFormat="1" ht="18" customHeight="1" x14ac:dyDescent="0.3">
      <c r="A32" s="6"/>
      <c r="B32" s="6"/>
      <c r="C32" s="1"/>
      <c r="D32" s="1"/>
      <c r="E32" s="1"/>
      <c r="F32" s="57"/>
      <c r="G32" s="57"/>
      <c r="H32" s="57"/>
      <c r="I32" s="57"/>
      <c r="J32" s="52"/>
      <c r="K32" s="52"/>
      <c r="L32" s="52"/>
      <c r="M32" s="52"/>
      <c r="N32" s="51"/>
      <c r="O32" s="51"/>
      <c r="P32" s="51"/>
      <c r="Q32" s="51"/>
      <c r="R32" s="55"/>
      <c r="S32" s="55"/>
      <c r="T32" s="55"/>
      <c r="U32" s="55"/>
      <c r="V32" s="54"/>
      <c r="W32" s="54"/>
      <c r="X32" s="54"/>
      <c r="Y32" s="54"/>
      <c r="Z32" s="1"/>
      <c r="AA32" s="1"/>
      <c r="AB32" s="1"/>
      <c r="AC32" s="1"/>
      <c r="AD32" s="53"/>
      <c r="AE32" s="53"/>
      <c r="AF32" s="53"/>
      <c r="AG32" s="53"/>
      <c r="AH32" s="54"/>
      <c r="AI32" s="54"/>
      <c r="AJ32" s="54"/>
      <c r="AK32" s="54"/>
      <c r="AL32" s="1"/>
      <c r="AM32" s="1"/>
      <c r="AN32" s="1"/>
      <c r="AO32" s="1"/>
      <c r="AP32" s="56"/>
      <c r="AQ32" s="56"/>
      <c r="AR32" s="56"/>
      <c r="AS32" s="56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8"/>
      <c r="CW32" s="58"/>
      <c r="CX32" s="1"/>
    </row>
    <row r="33" spans="1:102" s="10" customFormat="1" ht="18" customHeight="1" x14ac:dyDescent="0.3">
      <c r="A33" s="6"/>
      <c r="B33" s="6"/>
      <c r="C33" s="1"/>
      <c r="D33" s="1"/>
      <c r="E33" s="1"/>
      <c r="F33" s="57"/>
      <c r="G33" s="57"/>
      <c r="H33" s="57"/>
      <c r="I33" s="57"/>
      <c r="J33" s="52"/>
      <c r="K33" s="52"/>
      <c r="L33" s="52"/>
      <c r="M33" s="52"/>
      <c r="N33" s="51"/>
      <c r="O33" s="51"/>
      <c r="P33" s="51"/>
      <c r="Q33" s="51"/>
      <c r="R33" s="55"/>
      <c r="S33" s="55"/>
      <c r="T33" s="55"/>
      <c r="U33" s="55"/>
      <c r="V33" s="54"/>
      <c r="W33" s="54"/>
      <c r="X33" s="54"/>
      <c r="Y33" s="54"/>
      <c r="Z33" s="1"/>
      <c r="AA33" s="1"/>
      <c r="AB33" s="1"/>
      <c r="AC33" s="1"/>
      <c r="AD33" s="53"/>
      <c r="AE33" s="53"/>
      <c r="AF33" s="53"/>
      <c r="AG33" s="53"/>
      <c r="AH33" s="54"/>
      <c r="AI33" s="54"/>
      <c r="AJ33" s="54"/>
      <c r="AK33" s="54"/>
      <c r="AL33" s="1"/>
      <c r="AM33" s="1"/>
      <c r="AN33" s="1"/>
      <c r="AO33" s="1"/>
      <c r="AP33" s="56"/>
      <c r="AQ33" s="56"/>
      <c r="AR33" s="56"/>
      <c r="AS33" s="56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8"/>
      <c r="CW33" s="58"/>
      <c r="CX33" s="1"/>
    </row>
    <row r="34" spans="1:102" s="10" customFormat="1" ht="18" customHeight="1" x14ac:dyDescent="0.3">
      <c r="A34" s="6"/>
      <c r="B34" s="6"/>
      <c r="C34" s="1"/>
      <c r="D34" s="1"/>
      <c r="E34" s="1"/>
      <c r="F34" s="57"/>
      <c r="G34" s="57"/>
      <c r="H34" s="57"/>
      <c r="I34" s="57"/>
      <c r="J34" s="52"/>
      <c r="K34" s="52"/>
      <c r="L34" s="52"/>
      <c r="M34" s="52"/>
      <c r="N34" s="51"/>
      <c r="O34" s="51"/>
      <c r="P34" s="51"/>
      <c r="Q34" s="51"/>
      <c r="R34" s="55"/>
      <c r="S34" s="55"/>
      <c r="T34" s="55"/>
      <c r="U34" s="55"/>
      <c r="V34" s="54"/>
      <c r="W34" s="54"/>
      <c r="X34" s="54"/>
      <c r="Y34" s="54"/>
      <c r="Z34" s="1"/>
      <c r="AA34" s="1"/>
      <c r="AB34" s="1"/>
      <c r="AC34" s="1"/>
      <c r="AD34" s="53"/>
      <c r="AE34" s="53"/>
      <c r="AF34" s="53"/>
      <c r="AG34" s="53"/>
      <c r="AH34" s="54"/>
      <c r="AI34" s="54"/>
      <c r="AJ34" s="54"/>
      <c r="AK34" s="54"/>
      <c r="AL34" s="1"/>
      <c r="AM34" s="1"/>
      <c r="AN34" s="1"/>
      <c r="AO34" s="1"/>
      <c r="AP34" s="56"/>
      <c r="AQ34" s="56"/>
      <c r="AR34" s="56"/>
      <c r="AS34" s="56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8"/>
      <c r="CW34" s="58"/>
      <c r="CX34" s="1"/>
    </row>
    <row r="35" spans="1:102" s="10" customFormat="1" ht="18" customHeight="1" x14ac:dyDescent="0.3">
      <c r="A35" s="6"/>
      <c r="B35" s="6"/>
      <c r="C35" s="1"/>
      <c r="D35" s="1"/>
      <c r="E35" s="1"/>
      <c r="F35" s="57"/>
      <c r="G35" s="57"/>
      <c r="H35" s="57"/>
      <c r="I35" s="57"/>
      <c r="J35" s="52"/>
      <c r="K35" s="52"/>
      <c r="L35" s="52"/>
      <c r="M35" s="52"/>
      <c r="N35" s="51"/>
      <c r="O35" s="51"/>
      <c r="P35" s="51"/>
      <c r="Q35" s="51"/>
      <c r="R35" s="55"/>
      <c r="S35" s="55"/>
      <c r="T35" s="55"/>
      <c r="U35" s="55"/>
      <c r="V35" s="54"/>
      <c r="W35" s="54"/>
      <c r="X35" s="54"/>
      <c r="Y35" s="54"/>
      <c r="Z35" s="1"/>
      <c r="AA35" s="1"/>
      <c r="AB35" s="1"/>
      <c r="AC35" s="1"/>
      <c r="AD35" s="53"/>
      <c r="AE35" s="53"/>
      <c r="AF35" s="53"/>
      <c r="AG35" s="53"/>
      <c r="AH35" s="54"/>
      <c r="AI35" s="54"/>
      <c r="AJ35" s="54"/>
      <c r="AK35" s="54"/>
      <c r="AL35" s="1"/>
      <c r="AM35" s="1"/>
      <c r="AN35" s="1"/>
      <c r="AO35" s="1"/>
      <c r="AP35" s="56"/>
      <c r="AQ35" s="56"/>
      <c r="AR35" s="56"/>
      <c r="AS35" s="56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8"/>
      <c r="CW35" s="58"/>
      <c r="CX35" s="1"/>
    </row>
    <row r="36" spans="1:102" s="10" customFormat="1" ht="18" customHeight="1" x14ac:dyDescent="0.3">
      <c r="A36" s="6"/>
      <c r="B36" s="6"/>
      <c r="C36" s="1"/>
      <c r="D36" s="1"/>
      <c r="E36" s="1"/>
      <c r="F36" s="57"/>
      <c r="G36" s="57"/>
      <c r="H36" s="57"/>
      <c r="I36" s="57"/>
      <c r="J36" s="52"/>
      <c r="K36" s="52"/>
      <c r="L36" s="52"/>
      <c r="M36" s="52"/>
      <c r="N36" s="51"/>
      <c r="O36" s="51"/>
      <c r="P36" s="51"/>
      <c r="Q36" s="51"/>
      <c r="R36" s="55"/>
      <c r="S36" s="55"/>
      <c r="T36" s="55"/>
      <c r="U36" s="55"/>
      <c r="V36" s="54"/>
      <c r="W36" s="54"/>
      <c r="X36" s="54"/>
      <c r="Y36" s="54"/>
      <c r="Z36" s="1"/>
      <c r="AA36" s="1"/>
      <c r="AB36" s="1"/>
      <c r="AC36" s="1"/>
      <c r="AD36" s="53"/>
      <c r="AE36" s="53"/>
      <c r="AF36" s="53"/>
      <c r="AG36" s="53"/>
      <c r="AH36" s="54"/>
      <c r="AI36" s="54"/>
      <c r="AJ36" s="54"/>
      <c r="AK36" s="54"/>
      <c r="AL36" s="1"/>
      <c r="AM36" s="1"/>
      <c r="AN36" s="1"/>
      <c r="AO36" s="1"/>
      <c r="AP36" s="56"/>
      <c r="AQ36" s="56"/>
      <c r="AR36" s="56"/>
      <c r="AS36" s="56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8"/>
      <c r="CW36" s="58"/>
      <c r="CX36" s="1"/>
    </row>
    <row r="37" spans="1:102" s="10" customFormat="1" ht="18" customHeight="1" x14ac:dyDescent="0.3">
      <c r="A37" s="6"/>
      <c r="B37" s="6"/>
      <c r="C37" s="1"/>
      <c r="D37" s="1"/>
      <c r="E37" s="1"/>
      <c r="F37" s="57"/>
      <c r="G37" s="57"/>
      <c r="H37" s="57"/>
      <c r="I37" s="57"/>
      <c r="J37" s="52"/>
      <c r="K37" s="52"/>
      <c r="L37" s="52"/>
      <c r="M37" s="52"/>
      <c r="N37" s="51"/>
      <c r="O37" s="51"/>
      <c r="P37" s="51"/>
      <c r="Q37" s="51"/>
      <c r="R37" s="55"/>
      <c r="S37" s="55"/>
      <c r="T37" s="55"/>
      <c r="U37" s="55"/>
      <c r="V37" s="54"/>
      <c r="W37" s="54"/>
      <c r="X37" s="54"/>
      <c r="Y37" s="54"/>
      <c r="Z37" s="1"/>
      <c r="AA37" s="1"/>
      <c r="AB37" s="1"/>
      <c r="AC37" s="1"/>
      <c r="AD37" s="53"/>
      <c r="AE37" s="53"/>
      <c r="AF37" s="53"/>
      <c r="AG37" s="53"/>
      <c r="AH37" s="54"/>
      <c r="AI37" s="54"/>
      <c r="AJ37" s="54"/>
      <c r="AK37" s="54"/>
      <c r="AL37" s="1"/>
      <c r="AM37" s="1"/>
      <c r="AN37" s="1"/>
      <c r="AO37" s="1"/>
      <c r="AP37" s="56"/>
      <c r="AQ37" s="56"/>
      <c r="AR37" s="56"/>
      <c r="AS37" s="56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8"/>
      <c r="CW37" s="58"/>
      <c r="CX37" s="1"/>
    </row>
    <row r="38" spans="1:102" s="10" customFormat="1" ht="18" customHeight="1" x14ac:dyDescent="0.3">
      <c r="A38" s="6"/>
      <c r="B38" s="6"/>
      <c r="C38" s="1"/>
      <c r="D38" s="1"/>
      <c r="E38" s="1"/>
      <c r="F38" s="57"/>
      <c r="G38" s="57"/>
      <c r="H38" s="57"/>
      <c r="I38" s="57"/>
      <c r="J38" s="52"/>
      <c r="K38" s="52"/>
      <c r="L38" s="52"/>
      <c r="M38" s="52"/>
      <c r="N38" s="51"/>
      <c r="O38" s="51"/>
      <c r="P38" s="51"/>
      <c r="Q38" s="51"/>
      <c r="R38" s="55"/>
      <c r="S38" s="55"/>
      <c r="T38" s="55"/>
      <c r="U38" s="55"/>
      <c r="V38" s="54"/>
      <c r="W38" s="54"/>
      <c r="X38" s="54"/>
      <c r="Y38" s="54"/>
      <c r="Z38" s="1"/>
      <c r="AA38" s="1"/>
      <c r="AB38" s="1"/>
      <c r="AC38" s="1"/>
      <c r="AD38" s="53"/>
      <c r="AE38" s="53"/>
      <c r="AF38" s="53"/>
      <c r="AG38" s="53"/>
      <c r="AH38" s="54"/>
      <c r="AI38" s="54"/>
      <c r="AJ38" s="54"/>
      <c r="AK38" s="54"/>
      <c r="AL38" s="1"/>
      <c r="AM38" s="1"/>
      <c r="AN38" s="1"/>
      <c r="AO38" s="1"/>
      <c r="AP38" s="56"/>
      <c r="AQ38" s="56"/>
      <c r="AR38" s="56"/>
      <c r="AS38" s="56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8"/>
      <c r="CW38" s="58"/>
      <c r="CX38" s="1"/>
    </row>
    <row r="39" spans="1:102" s="10" customFormat="1" ht="18" customHeight="1" x14ac:dyDescent="0.3">
      <c r="A39" s="6"/>
      <c r="B39" s="6"/>
      <c r="C39" s="1"/>
      <c r="D39" s="1"/>
      <c r="E39" s="1"/>
      <c r="F39" s="57"/>
      <c r="G39" s="57"/>
      <c r="H39" s="57"/>
      <c r="I39" s="57"/>
      <c r="J39" s="52"/>
      <c r="K39" s="52"/>
      <c r="L39" s="52"/>
      <c r="M39" s="52"/>
      <c r="N39" s="51"/>
      <c r="O39" s="51"/>
      <c r="P39" s="51"/>
      <c r="Q39" s="51"/>
      <c r="R39" s="55"/>
      <c r="S39" s="55"/>
      <c r="T39" s="55"/>
      <c r="U39" s="55"/>
      <c r="V39" s="54"/>
      <c r="W39" s="54"/>
      <c r="X39" s="54"/>
      <c r="Y39" s="54"/>
      <c r="Z39" s="1"/>
      <c r="AA39" s="1"/>
      <c r="AB39" s="1"/>
      <c r="AC39" s="1"/>
      <c r="AD39" s="53"/>
      <c r="AE39" s="53"/>
      <c r="AF39" s="53"/>
      <c r="AG39" s="53"/>
      <c r="AH39" s="54"/>
      <c r="AI39" s="54"/>
      <c r="AJ39" s="54"/>
      <c r="AK39" s="54"/>
      <c r="AL39" s="1"/>
      <c r="AM39" s="1"/>
      <c r="AN39" s="1"/>
      <c r="AO39" s="1"/>
      <c r="AP39" s="56"/>
      <c r="AQ39" s="56"/>
      <c r="AR39" s="56"/>
      <c r="AS39" s="56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8"/>
      <c r="CW39" s="58"/>
      <c r="CX39" s="1"/>
    </row>
    <row r="40" spans="1:102" s="10" customFormat="1" ht="18" customHeight="1" x14ac:dyDescent="0.3">
      <c r="A40" s="6"/>
      <c r="B40" s="6"/>
      <c r="C40" s="1"/>
      <c r="D40" s="1"/>
      <c r="E40" s="1"/>
      <c r="F40" s="57"/>
      <c r="G40" s="57"/>
      <c r="H40" s="57"/>
      <c r="I40" s="57"/>
      <c r="J40" s="52"/>
      <c r="K40" s="52"/>
      <c r="L40" s="52"/>
      <c r="M40" s="52"/>
      <c r="N40" s="51"/>
      <c r="O40" s="51"/>
      <c r="P40" s="51"/>
      <c r="Q40" s="51"/>
      <c r="R40" s="55"/>
      <c r="S40" s="55"/>
      <c r="T40" s="55"/>
      <c r="U40" s="55"/>
      <c r="V40" s="54"/>
      <c r="W40" s="54"/>
      <c r="X40" s="54"/>
      <c r="Y40" s="54"/>
      <c r="Z40" s="1"/>
      <c r="AA40" s="1"/>
      <c r="AB40" s="1"/>
      <c r="AC40" s="1"/>
      <c r="AD40" s="53"/>
      <c r="AE40" s="53"/>
      <c r="AF40" s="53"/>
      <c r="AG40" s="53"/>
      <c r="AH40" s="54"/>
      <c r="AI40" s="54"/>
      <c r="AJ40" s="54"/>
      <c r="AK40" s="54"/>
      <c r="AL40" s="1"/>
      <c r="AM40" s="1"/>
      <c r="AN40" s="1"/>
      <c r="AO40" s="1"/>
      <c r="AP40" s="56"/>
      <c r="AQ40" s="56"/>
      <c r="AR40" s="56"/>
      <c r="AS40" s="56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8"/>
      <c r="CW40" s="58"/>
      <c r="CX40" s="1"/>
    </row>
    <row r="41" spans="1:102" s="10" customFormat="1" ht="18" customHeight="1" x14ac:dyDescent="0.3">
      <c r="A41" s="6"/>
      <c r="B41" s="6"/>
      <c r="C41" s="1"/>
      <c r="D41" s="1"/>
      <c r="E41" s="1"/>
      <c r="F41" s="57"/>
      <c r="G41" s="57"/>
      <c r="H41" s="57"/>
      <c r="I41" s="57"/>
      <c r="J41" s="52"/>
      <c r="K41" s="52"/>
      <c r="L41" s="52"/>
      <c r="M41" s="52"/>
      <c r="N41" s="51"/>
      <c r="O41" s="51"/>
      <c r="P41" s="51"/>
      <c r="Q41" s="51"/>
      <c r="R41" s="55"/>
      <c r="S41" s="55"/>
      <c r="T41" s="55"/>
      <c r="U41" s="55"/>
      <c r="V41" s="54"/>
      <c r="W41" s="54"/>
      <c r="X41" s="54"/>
      <c r="Y41" s="54"/>
      <c r="Z41" s="1"/>
      <c r="AA41" s="1"/>
      <c r="AB41" s="1"/>
      <c r="AC41" s="1"/>
      <c r="AD41" s="53"/>
      <c r="AE41" s="53"/>
      <c r="AF41" s="53"/>
      <c r="AG41" s="53"/>
      <c r="AH41" s="54"/>
      <c r="AI41" s="54"/>
      <c r="AJ41" s="54"/>
      <c r="AK41" s="54"/>
      <c r="AL41" s="1"/>
      <c r="AM41" s="1"/>
      <c r="AN41" s="1"/>
      <c r="AO41" s="1"/>
      <c r="AP41" s="56"/>
      <c r="AQ41" s="56"/>
      <c r="AR41" s="56"/>
      <c r="AS41" s="56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8"/>
      <c r="CW41" s="58"/>
      <c r="CX41" s="1"/>
    </row>
    <row r="42" spans="1:102" s="10" customFormat="1" ht="18" customHeight="1" x14ac:dyDescent="0.3">
      <c r="A42" s="6"/>
      <c r="B42" s="6"/>
      <c r="C42" s="1"/>
      <c r="D42" s="1"/>
      <c r="E42" s="1"/>
      <c r="F42" s="57"/>
      <c r="G42" s="57"/>
      <c r="H42" s="57"/>
      <c r="I42" s="57"/>
      <c r="J42" s="52"/>
      <c r="K42" s="52"/>
      <c r="L42" s="52"/>
      <c r="M42" s="52"/>
      <c r="N42" s="51"/>
      <c r="O42" s="51"/>
      <c r="P42" s="51"/>
      <c r="Q42" s="51"/>
      <c r="R42" s="55"/>
      <c r="S42" s="55"/>
      <c r="T42" s="55"/>
      <c r="U42" s="55"/>
      <c r="V42" s="54"/>
      <c r="W42" s="54"/>
      <c r="X42" s="54"/>
      <c r="Y42" s="54"/>
      <c r="Z42" s="1"/>
      <c r="AA42" s="1"/>
      <c r="AB42" s="1"/>
      <c r="AC42" s="1"/>
      <c r="AD42" s="53"/>
      <c r="AE42" s="53"/>
      <c r="AF42" s="53"/>
      <c r="AG42" s="53"/>
      <c r="AH42" s="54"/>
      <c r="AI42" s="54"/>
      <c r="AJ42" s="54"/>
      <c r="AK42" s="54"/>
      <c r="AL42" s="1"/>
      <c r="AM42" s="1"/>
      <c r="AN42" s="1"/>
      <c r="AO42" s="1"/>
      <c r="AP42" s="56"/>
      <c r="AQ42" s="56"/>
      <c r="AR42" s="56"/>
      <c r="AS42" s="56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8"/>
      <c r="CW42" s="58"/>
      <c r="CX42" s="1"/>
    </row>
    <row r="43" spans="1:102" s="10" customFormat="1" ht="18" customHeight="1" x14ac:dyDescent="0.3">
      <c r="A43" s="6"/>
      <c r="B43" s="6"/>
      <c r="C43" s="1"/>
      <c r="D43" s="1"/>
      <c r="E43" s="1"/>
      <c r="F43" s="57"/>
      <c r="G43" s="57"/>
      <c r="H43" s="57"/>
      <c r="I43" s="57"/>
      <c r="J43" s="52"/>
      <c r="K43" s="52"/>
      <c r="L43" s="52"/>
      <c r="M43" s="52"/>
      <c r="N43" s="51"/>
      <c r="O43" s="51"/>
      <c r="P43" s="51"/>
      <c r="Q43" s="51"/>
      <c r="R43" s="55"/>
      <c r="S43" s="55"/>
      <c r="T43" s="55"/>
      <c r="U43" s="55"/>
      <c r="V43" s="54"/>
      <c r="W43" s="54"/>
      <c r="X43" s="54"/>
      <c r="Y43" s="54"/>
      <c r="Z43" s="1"/>
      <c r="AA43" s="1"/>
      <c r="AB43" s="1"/>
      <c r="AC43" s="1"/>
      <c r="AD43" s="53"/>
      <c r="AE43" s="53"/>
      <c r="AF43" s="53"/>
      <c r="AG43" s="53"/>
      <c r="AH43" s="54"/>
      <c r="AI43" s="54"/>
      <c r="AJ43" s="54"/>
      <c r="AK43" s="54"/>
      <c r="AL43" s="1"/>
      <c r="AM43" s="1"/>
      <c r="AN43" s="1"/>
      <c r="AO43" s="1"/>
      <c r="AP43" s="56"/>
      <c r="AQ43" s="56"/>
      <c r="AR43" s="56"/>
      <c r="AS43" s="56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8"/>
      <c r="CW43" s="58"/>
      <c r="CX43" s="1"/>
    </row>
    <row r="44" spans="1:102" s="10" customFormat="1" ht="18" customHeight="1" x14ac:dyDescent="0.3">
      <c r="A44" s="6"/>
      <c r="B44" s="6"/>
      <c r="C44" s="1"/>
      <c r="D44" s="1"/>
      <c r="E44" s="1"/>
      <c r="F44" s="57"/>
      <c r="G44" s="57"/>
      <c r="H44" s="57"/>
      <c r="I44" s="57"/>
      <c r="J44" s="52"/>
      <c r="K44" s="52"/>
      <c r="L44" s="52"/>
      <c r="M44" s="52"/>
      <c r="N44" s="51"/>
      <c r="O44" s="51"/>
      <c r="P44" s="51"/>
      <c r="Q44" s="51"/>
      <c r="R44" s="55"/>
      <c r="S44" s="55"/>
      <c r="T44" s="55"/>
      <c r="U44" s="55"/>
      <c r="V44" s="54"/>
      <c r="W44" s="54"/>
      <c r="X44" s="54"/>
      <c r="Y44" s="54"/>
      <c r="Z44" s="1"/>
      <c r="AA44" s="1"/>
      <c r="AB44" s="1"/>
      <c r="AC44" s="1"/>
      <c r="AD44" s="53"/>
      <c r="AE44" s="53"/>
      <c r="AF44" s="53"/>
      <c r="AG44" s="53"/>
      <c r="AH44" s="54"/>
      <c r="AI44" s="54"/>
      <c r="AJ44" s="54"/>
      <c r="AK44" s="54"/>
      <c r="AL44" s="1"/>
      <c r="AM44" s="1"/>
      <c r="AN44" s="1"/>
      <c r="AO44" s="1"/>
      <c r="AP44" s="56"/>
      <c r="AQ44" s="56"/>
      <c r="AR44" s="56"/>
      <c r="AS44" s="56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8"/>
      <c r="CW44" s="58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B75"/>
  <sheetViews>
    <sheetView showZeros="0" tabSelected="1" topLeftCell="A5" zoomScale="85" zoomScaleNormal="85" workbookViewId="0">
      <selection activeCell="A2" sqref="A2:N24"/>
    </sheetView>
  </sheetViews>
  <sheetFormatPr defaultRowHeight="14.4" x14ac:dyDescent="0.3"/>
  <cols>
    <col min="1" max="1" width="14.109375" bestFit="1" customWidth="1"/>
    <col min="2" max="2" width="16.33203125" style="61" bestFit="1" customWidth="1"/>
    <col min="3" max="3" width="10.33203125" bestFit="1" customWidth="1"/>
    <col min="4" max="4" width="37.5546875" bestFit="1" customWidth="1"/>
    <col min="5" max="5" width="13.6640625" style="2" bestFit="1" customWidth="1"/>
    <col min="6" max="6" width="9.33203125" bestFit="1" customWidth="1"/>
    <col min="7" max="7" width="15.44140625" bestFit="1" customWidth="1"/>
    <col min="8" max="8" width="15.44140625" customWidth="1"/>
    <col min="9" max="9" width="12.33203125" style="5" customWidth="1"/>
    <col min="10" max="10" width="10.33203125" bestFit="1" customWidth="1"/>
    <col min="11" max="11" width="13.109375" bestFit="1" customWidth="1"/>
    <col min="12" max="12" width="10.33203125" bestFit="1" customWidth="1"/>
    <col min="13" max="13" width="14" customWidth="1"/>
    <col min="14" max="14" width="14.88671875" customWidth="1"/>
    <col min="15" max="15" width="12.33203125" customWidth="1"/>
    <col min="16" max="16" width="7.88671875" style="14" customWidth="1"/>
    <col min="17" max="54" width="7.88671875" style="14" hidden="1" customWidth="1"/>
    <col min="55" max="55" width="7.88671875" style="14" customWidth="1"/>
    <col min="56" max="86" width="7.88671875" style="14" hidden="1" customWidth="1"/>
    <col min="87" max="87" width="7.88671875" style="14" customWidth="1"/>
    <col min="88" max="88" width="11" style="14" customWidth="1"/>
    <col min="89" max="89" width="10.6640625" style="14" bestFit="1" customWidth="1"/>
    <col min="90" max="90" width="10.6640625" style="14" customWidth="1"/>
    <col min="91" max="91" width="11.33203125" style="2" customWidth="1"/>
    <col min="92" max="92" width="13.88671875" style="2" bestFit="1" customWidth="1"/>
    <col min="93" max="93" width="9.109375" style="12" customWidth="1"/>
    <col min="94" max="94" width="9.109375" style="2" customWidth="1"/>
    <col min="95" max="95" width="9.109375" style="8" customWidth="1"/>
    <col min="96" max="96" width="12" style="2" bestFit="1" customWidth="1"/>
    <col min="97" max="97" width="9.109375" style="5" customWidth="1"/>
    <col min="98" max="98" width="12.33203125" style="2" bestFit="1" customWidth="1"/>
    <col min="99" max="99" width="13.88671875" style="2" bestFit="1" customWidth="1"/>
    <col min="100" max="100" width="9.109375" style="5" customWidth="1"/>
    <col min="101" max="101" width="11.5546875" customWidth="1"/>
    <col min="102" max="102" width="9.109375" style="5" customWidth="1"/>
    <col min="103" max="103" width="9.109375" customWidth="1"/>
  </cols>
  <sheetData>
    <row r="1" spans="1:106" s="21" customFormat="1" ht="28.95" customHeight="1" x14ac:dyDescent="0.3">
      <c r="A1" s="87"/>
      <c r="B1" s="87"/>
      <c r="C1" s="88"/>
      <c r="D1" s="88"/>
      <c r="E1" s="25"/>
      <c r="I1" s="26"/>
      <c r="P1" s="114" t="s">
        <v>82</v>
      </c>
      <c r="Q1" s="114"/>
      <c r="R1" s="114"/>
      <c r="S1" s="114"/>
      <c r="T1" s="114"/>
      <c r="U1" s="114"/>
      <c r="V1" s="114"/>
      <c r="W1" s="114"/>
      <c r="X1" s="115" t="s">
        <v>4</v>
      </c>
      <c r="Y1" s="115"/>
      <c r="Z1" s="116" t="s">
        <v>3</v>
      </c>
      <c r="AA1" s="116"/>
      <c r="AB1" s="116"/>
      <c r="AC1" s="116"/>
      <c r="AD1" s="116"/>
      <c r="AE1" s="116"/>
      <c r="AF1" s="116"/>
      <c r="AG1" s="116"/>
      <c r="AH1" s="117" t="s">
        <v>5</v>
      </c>
      <c r="AI1" s="117"/>
      <c r="AJ1" s="118" t="s">
        <v>6</v>
      </c>
      <c r="AK1" s="118"/>
      <c r="AL1" s="118"/>
      <c r="AM1" s="118"/>
      <c r="AN1" s="118"/>
      <c r="AO1" s="118"/>
      <c r="AP1" s="118"/>
      <c r="AQ1" s="118"/>
      <c r="AR1" s="118"/>
      <c r="AS1" s="34" t="s">
        <v>7</v>
      </c>
      <c r="AT1" s="110" t="s">
        <v>8</v>
      </c>
      <c r="AU1" s="111"/>
      <c r="AV1" s="111"/>
      <c r="AW1" s="111"/>
      <c r="AX1" s="111"/>
      <c r="AY1" s="111"/>
      <c r="AZ1" s="111"/>
      <c r="BA1" s="111"/>
      <c r="BB1" s="111"/>
      <c r="BC1" s="112" t="s">
        <v>9</v>
      </c>
      <c r="BD1" s="112"/>
      <c r="BE1" s="112"/>
      <c r="BF1" s="112"/>
      <c r="BG1" s="112"/>
      <c r="BH1" s="112"/>
      <c r="BI1" s="112"/>
      <c r="BJ1" s="112"/>
      <c r="BK1" s="112"/>
      <c r="BL1" s="112"/>
      <c r="BM1" s="112"/>
      <c r="BN1" s="113" t="s">
        <v>10</v>
      </c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38" t="s">
        <v>11</v>
      </c>
      <c r="CA1" s="41" t="s">
        <v>12</v>
      </c>
      <c r="CB1" s="29" t="s">
        <v>13</v>
      </c>
      <c r="CC1" s="33" t="s">
        <v>14</v>
      </c>
      <c r="CD1" s="30" t="s">
        <v>15</v>
      </c>
      <c r="CE1" s="44" t="s">
        <v>16</v>
      </c>
      <c r="CF1" s="46" t="s">
        <v>17</v>
      </c>
      <c r="CG1" s="40" t="s">
        <v>18</v>
      </c>
      <c r="CH1" s="29" t="s">
        <v>19</v>
      </c>
      <c r="CI1" s="107" t="s">
        <v>84</v>
      </c>
      <c r="CJ1" s="108"/>
      <c r="CK1" s="108"/>
      <c r="CL1" s="109"/>
      <c r="CM1" s="64" t="s">
        <v>20</v>
      </c>
      <c r="CN1" s="22" t="s">
        <v>21</v>
      </c>
      <c r="CO1" s="23" t="s">
        <v>40</v>
      </c>
      <c r="CP1" s="22" t="s">
        <v>81</v>
      </c>
      <c r="CQ1" s="24"/>
      <c r="CR1" s="25"/>
      <c r="CS1" s="26"/>
      <c r="CT1" s="25"/>
      <c r="CU1" s="25"/>
      <c r="CV1" s="26"/>
      <c r="CX1" s="26"/>
      <c r="DB1" s="21" t="s">
        <v>126</v>
      </c>
    </row>
    <row r="2" spans="1:106" s="11" customFormat="1" ht="96.6" x14ac:dyDescent="0.3">
      <c r="A2" s="79" t="s">
        <v>0</v>
      </c>
      <c r="B2" s="80" t="s">
        <v>85</v>
      </c>
      <c r="C2" s="79" t="s">
        <v>1</v>
      </c>
      <c r="D2" s="79" t="s">
        <v>2</v>
      </c>
      <c r="E2" s="3" t="s">
        <v>31</v>
      </c>
      <c r="F2" s="9" t="s">
        <v>32</v>
      </c>
      <c r="G2" s="9" t="s">
        <v>33</v>
      </c>
      <c r="H2" s="9" t="s">
        <v>256</v>
      </c>
      <c r="I2" s="4" t="s">
        <v>34</v>
      </c>
      <c r="J2" s="9" t="s">
        <v>35</v>
      </c>
      <c r="K2" s="9" t="s">
        <v>36</v>
      </c>
      <c r="L2" s="9" t="s">
        <v>37</v>
      </c>
      <c r="M2" s="9" t="s">
        <v>38</v>
      </c>
      <c r="N2" s="9" t="s">
        <v>39</v>
      </c>
      <c r="O2" s="99" t="s">
        <v>227</v>
      </c>
      <c r="P2" s="81" t="s">
        <v>41</v>
      </c>
      <c r="Q2" s="81" t="s">
        <v>46</v>
      </c>
      <c r="R2" s="81" t="s">
        <v>43</v>
      </c>
      <c r="S2" s="81" t="s">
        <v>123</v>
      </c>
      <c r="T2" s="81" t="s">
        <v>124</v>
      </c>
      <c r="U2" s="81" t="s">
        <v>125</v>
      </c>
      <c r="V2" s="81" t="s">
        <v>44</v>
      </c>
      <c r="W2" s="81" t="s">
        <v>45</v>
      </c>
      <c r="X2" s="81" t="s">
        <v>41</v>
      </c>
      <c r="Y2" s="81" t="s">
        <v>46</v>
      </c>
      <c r="Z2" s="82" t="s">
        <v>53</v>
      </c>
      <c r="AA2" s="82" t="s">
        <v>57</v>
      </c>
      <c r="AB2" s="82" t="s">
        <v>60</v>
      </c>
      <c r="AC2" s="82" t="s">
        <v>65</v>
      </c>
      <c r="AD2" s="82" t="s">
        <v>69</v>
      </c>
      <c r="AE2" s="82" t="s">
        <v>71</v>
      </c>
      <c r="AF2" s="82" t="s">
        <v>73</v>
      </c>
      <c r="AG2" s="82" t="s">
        <v>75</v>
      </c>
      <c r="AH2" s="82" t="s">
        <v>52</v>
      </c>
      <c r="AI2" s="82" t="s">
        <v>56</v>
      </c>
      <c r="AJ2" s="82" t="s">
        <v>51</v>
      </c>
      <c r="AK2" s="82" t="s">
        <v>47</v>
      </c>
      <c r="AL2" s="82" t="s">
        <v>59</v>
      </c>
      <c r="AM2" s="82" t="s">
        <v>64</v>
      </c>
      <c r="AN2" s="82" t="s">
        <v>68</v>
      </c>
      <c r="AO2" s="82" t="s">
        <v>87</v>
      </c>
      <c r="AP2" s="82" t="s">
        <v>88</v>
      </c>
      <c r="AQ2" s="82" t="s">
        <v>86</v>
      </c>
      <c r="AR2" s="82" t="s">
        <v>94</v>
      </c>
      <c r="AS2" s="83" t="s">
        <v>7</v>
      </c>
      <c r="AT2" s="82" t="s">
        <v>54</v>
      </c>
      <c r="AU2" s="82" t="s">
        <v>58</v>
      </c>
      <c r="AV2" s="82" t="s">
        <v>63</v>
      </c>
      <c r="AW2" s="82" t="s">
        <v>61</v>
      </c>
      <c r="AX2" s="82" t="s">
        <v>66</v>
      </c>
      <c r="AY2" s="82" t="s">
        <v>70</v>
      </c>
      <c r="AZ2" s="82" t="s">
        <v>48</v>
      </c>
      <c r="BA2" s="82" t="s">
        <v>122</v>
      </c>
      <c r="BB2" s="82" t="s">
        <v>74</v>
      </c>
      <c r="BC2" s="82" t="s">
        <v>55</v>
      </c>
      <c r="BD2" s="82" t="s">
        <v>42</v>
      </c>
      <c r="BE2" s="82" t="s">
        <v>62</v>
      </c>
      <c r="BF2" s="82" t="s">
        <v>67</v>
      </c>
      <c r="BG2" s="82" t="s">
        <v>89</v>
      </c>
      <c r="BH2" s="82" t="s">
        <v>72</v>
      </c>
      <c r="BI2" s="82" t="s">
        <v>49</v>
      </c>
      <c r="BJ2" s="82" t="s">
        <v>76</v>
      </c>
      <c r="BK2" s="82" t="s">
        <v>77</v>
      </c>
      <c r="BL2" s="82" t="s">
        <v>78</v>
      </c>
      <c r="BM2" s="82" t="s">
        <v>80</v>
      </c>
      <c r="BN2" s="82" t="s">
        <v>54</v>
      </c>
      <c r="BO2" s="82" t="s">
        <v>58</v>
      </c>
      <c r="BP2" s="82" t="s">
        <v>63</v>
      </c>
      <c r="BQ2" s="82" t="s">
        <v>61</v>
      </c>
      <c r="BR2" s="82" t="s">
        <v>90</v>
      </c>
      <c r="BS2" s="82" t="s">
        <v>95</v>
      </c>
      <c r="BT2" s="82" t="s">
        <v>91</v>
      </c>
      <c r="BU2" s="82" t="s">
        <v>66</v>
      </c>
      <c r="BV2" s="82" t="s">
        <v>48</v>
      </c>
      <c r="BW2" s="82" t="s">
        <v>122</v>
      </c>
      <c r="BX2" s="82" t="s">
        <v>74</v>
      </c>
      <c r="BY2" s="82" t="s">
        <v>79</v>
      </c>
      <c r="BZ2" s="83" t="s">
        <v>11</v>
      </c>
      <c r="CA2" s="83" t="s">
        <v>50</v>
      </c>
      <c r="CB2" s="84" t="s">
        <v>13</v>
      </c>
      <c r="CC2" s="85" t="s">
        <v>14</v>
      </c>
      <c r="CD2" s="84" t="s">
        <v>15</v>
      </c>
      <c r="CE2" s="84" t="s">
        <v>16</v>
      </c>
      <c r="CF2" s="84" t="s">
        <v>17</v>
      </c>
      <c r="CG2" s="85" t="s">
        <v>18</v>
      </c>
      <c r="CH2" s="84" t="s">
        <v>19</v>
      </c>
      <c r="CI2" s="68" t="s">
        <v>83</v>
      </c>
      <c r="CJ2" s="68" t="s">
        <v>92</v>
      </c>
      <c r="CK2" s="68" t="s">
        <v>93</v>
      </c>
      <c r="CL2" s="68" t="s">
        <v>96</v>
      </c>
      <c r="CM2" s="13"/>
      <c r="CN2" s="13"/>
      <c r="CO2" s="106" t="s">
        <v>255</v>
      </c>
      <c r="CP2" s="13"/>
      <c r="CQ2" s="7" t="s">
        <v>22</v>
      </c>
      <c r="CR2" s="3" t="s">
        <v>23</v>
      </c>
      <c r="CS2" s="4" t="s">
        <v>24</v>
      </c>
      <c r="CT2" s="3" t="s">
        <v>25</v>
      </c>
      <c r="CU2" s="3" t="s">
        <v>26</v>
      </c>
      <c r="CV2" s="4" t="s">
        <v>27</v>
      </c>
      <c r="CW2" s="9" t="s">
        <v>28</v>
      </c>
      <c r="CX2" s="4" t="s">
        <v>29</v>
      </c>
      <c r="CY2" s="9" t="s">
        <v>30</v>
      </c>
      <c r="CZ2" s="4" t="s">
        <v>97</v>
      </c>
      <c r="DA2" s="9" t="s">
        <v>98</v>
      </c>
    </row>
    <row r="3" spans="1:106" s="13" customFormat="1" x14ac:dyDescent="0.3">
      <c r="A3" s="15"/>
      <c r="B3" s="60"/>
      <c r="C3" s="15"/>
      <c r="D3" s="15"/>
      <c r="E3" s="3"/>
      <c r="F3" s="76"/>
      <c r="G3" s="63"/>
      <c r="H3" s="63"/>
      <c r="I3" s="3"/>
      <c r="J3" s="3"/>
      <c r="K3" s="3"/>
      <c r="L3" s="77"/>
      <c r="M3" s="3"/>
      <c r="N3" s="3"/>
      <c r="O3" s="100"/>
      <c r="P3" s="16">
        <v>388</v>
      </c>
      <c r="Q3" s="16">
        <f>+IFERROR(VLOOKUP($Q$2,Sheet1!J:L,2,0),0)</f>
        <v>0</v>
      </c>
      <c r="R3" s="16">
        <f>+IFERROR(VLOOKUP($R$2,Sheet1!J:M,2,0),0)</f>
        <v>0</v>
      </c>
      <c r="S3" s="16">
        <f>+IFERROR(VLOOKUP($S$2,Sheet1!J:M,2,0),0)</f>
        <v>0</v>
      </c>
      <c r="T3" s="16">
        <f>+IFERROR(VLOOKUP($T$2,Sheet1!J:M,2,0),0)</f>
        <v>0</v>
      </c>
      <c r="U3" s="16">
        <f>+IFERROR(VLOOKUP($U$2,Sheet1!J:M,2,0),0)</f>
        <v>0</v>
      </c>
      <c r="V3" s="16">
        <f>+IFERROR(VLOOKUP($V$2,Sheet1!J:M,2,0),0)</f>
        <v>0</v>
      </c>
      <c r="W3" s="16">
        <f>+IFERROR(VLOOKUP($W$2,Sheet1!J:M,2,0),0)</f>
        <v>0</v>
      </c>
      <c r="X3" s="16">
        <f>+IFERROR(VLOOKUP($X$2,Sheet1!N:Q,2,0),0)</f>
        <v>0</v>
      </c>
      <c r="Y3" s="16">
        <f>+IFERROR(VLOOKUP($Y$2,Sheet1!N:O,2,0),0)</f>
        <v>0</v>
      </c>
      <c r="Z3" s="17">
        <f>+IFERROR(VLOOKUP($Z$2,Sheet1!F:I,2,0),0)</f>
        <v>0</v>
      </c>
      <c r="AA3" s="17">
        <f>+IFERROR(VLOOKUP($AA$2,Sheet1!F:I,2,0),0)</f>
        <v>0</v>
      </c>
      <c r="AB3" s="17">
        <f>+IFERROR(VLOOKUP($AB$2,Sheet1!F:I,2,0),0)</f>
        <v>0</v>
      </c>
      <c r="AC3" s="17">
        <f>+IFERROR(VLOOKUP($AC$2,Sheet1!F:I,2,0),0)</f>
        <v>0</v>
      </c>
      <c r="AD3" s="17">
        <f>+IFERROR(VLOOKUP($AD$2,Sheet1!F:I,2,0),0)</f>
        <v>0</v>
      </c>
      <c r="AE3" s="17">
        <f>+IFERROR(VLOOKUP($AE$2,Sheet1!F:I,2,0),0)</f>
        <v>0</v>
      </c>
      <c r="AF3" s="17">
        <f>+IFERROR(VLOOKUP($AF$2,Sheet1!F:I,2,0),0)</f>
        <v>0</v>
      </c>
      <c r="AG3" s="17">
        <f>+IFERROR(VLOOKUP($AG$2,Sheet1!F:I,2,0),0)</f>
        <v>0</v>
      </c>
      <c r="AH3" s="17">
        <f>+IFERROR(VLOOKUP($AH$2,Sheet1!R:U,2,0),0)</f>
        <v>0</v>
      </c>
      <c r="AI3" s="17">
        <f>+IFERROR(VLOOKUP($AI$2,Sheet1!R:U,2,0),0)</f>
        <v>0</v>
      </c>
      <c r="AJ3" s="17">
        <f>+IFERROR(VLOOKUP($AJ$2,Sheet1!V:Y,2,0),0)</f>
        <v>0</v>
      </c>
      <c r="AK3" s="17">
        <f>+IFERROR(VLOOKUP($AK$2,Sheet1!V:Y,2,0),0)</f>
        <v>0</v>
      </c>
      <c r="AL3" s="17">
        <f>+IFERROR(VLOOKUP($AL$2,Sheet1!V:Y,2,0),0)</f>
        <v>0</v>
      </c>
      <c r="AM3" s="17">
        <f>+IFERROR(VLOOKUP($AM$2,Sheet1!V:Y,2,0),0)</f>
        <v>0</v>
      </c>
      <c r="AN3" s="17">
        <f>+IFERROR(VLOOKUP($AN$2,Sheet1!V:Y,2,0),0)</f>
        <v>0</v>
      </c>
      <c r="AO3" s="17">
        <f>+IFERROR(VLOOKUP($AO$2,Sheet1!V:Y,2,0),0)</f>
        <v>0</v>
      </c>
      <c r="AP3" s="17">
        <f>+IFERROR(VLOOKUP($AP$2,Sheet1!V:Y,2,0),0)</f>
        <v>0</v>
      </c>
      <c r="AQ3" s="17">
        <f>+IFERROR(VLOOKUP($AQ$2,Sheet1!V:Y,2,0),0)</f>
        <v>0</v>
      </c>
      <c r="AR3" s="17">
        <f>+IFERROR(VLOOKUP($AR$2,Sheet1!V:Y,2,0),0)</f>
        <v>0</v>
      </c>
      <c r="AS3" s="18">
        <f>+IFERROR(VLOOKUP($AS$2,Sheet1!Z2:AA840,2,0),0)</f>
        <v>0</v>
      </c>
      <c r="AT3" s="17">
        <f>+IFERROR(VLOOKUP($AT$2,Sheet1!AD2:AG840,2,0),0)</f>
        <v>0</v>
      </c>
      <c r="AU3" s="17">
        <f>+IFERROR(VLOOKUP($AU$2,Sheet1!AD2:AG840,2,0),0)</f>
        <v>0</v>
      </c>
      <c r="AV3" s="17">
        <f>+IFERROR(VLOOKUP($AV$2,Sheet1!AD2:AG840,2,0),0)</f>
        <v>0</v>
      </c>
      <c r="AW3" s="17">
        <f>+IFERROR(VLOOKUP($AW$2,Sheet1!AD2:AG840,2,0),0)</f>
        <v>0</v>
      </c>
      <c r="AX3" s="17">
        <f>+IFERROR(VLOOKUP($AX$2,Sheet1!AD2:AG840,2,0),0)</f>
        <v>0</v>
      </c>
      <c r="AY3" s="17">
        <f>+IFERROR(VLOOKUP($AY$2,Sheet1!AD2:AG840,2,0),0)</f>
        <v>0</v>
      </c>
      <c r="AZ3" s="17">
        <f>+IFERROR(VLOOKUP($AZ$2,Sheet1!AD2:AG840,2,0),0)</f>
        <v>0</v>
      </c>
      <c r="BA3" s="17">
        <f>+IFERROR(VLOOKUP($BA$2,Sheet1!AD2:AG840,2,0),0)</f>
        <v>0</v>
      </c>
      <c r="BB3" s="17">
        <f>+IFERROR(VLOOKUP($BB$2,Sheet1!AD2:AG840,2,0),0)</f>
        <v>0</v>
      </c>
      <c r="BC3" s="17">
        <v>83</v>
      </c>
      <c r="BD3" s="17">
        <f>+IFERROR(VLOOKUP($BD$2,Sheet1!AH2:AK840,2,0),0)</f>
        <v>0</v>
      </c>
      <c r="BE3" s="17">
        <f>+IFERROR(VLOOKUP($BE$2,Sheet1!AH2:AK840,2,0),0)</f>
        <v>0</v>
      </c>
      <c r="BF3" s="17">
        <f>+IFERROR(VLOOKUP($BF$2,Sheet1!AH2:AK840,2,0),0)</f>
        <v>0</v>
      </c>
      <c r="BG3" s="17">
        <f>+IFERROR(VLOOKUP($BG$2,Sheet1!AH2:AK840,2,0),0)</f>
        <v>0</v>
      </c>
      <c r="BH3" s="17">
        <f>+IFERROR(VLOOKUP($BH$2,Sheet1!AH2:AK840,2,0),0)</f>
        <v>0</v>
      </c>
      <c r="BI3" s="17">
        <f>+IFERROR(VLOOKUP($BI$2,Sheet1!AH2:AK840,2,0),0)</f>
        <v>0</v>
      </c>
      <c r="BJ3" s="17">
        <f>+IFERROR(VLOOKUP($BJ$2,Sheet1!AH2:AK840,2,0),0)</f>
        <v>0</v>
      </c>
      <c r="BK3" s="17">
        <f>+IFERROR(VLOOKUP($BK$2,Sheet1!AH2:AK840,2,0),0)</f>
        <v>0</v>
      </c>
      <c r="BL3" s="17">
        <f>+IFERROR(VLOOKUP($BL$2,Sheet1!AH2:AK840,2,0),0)</f>
        <v>0</v>
      </c>
      <c r="BM3" s="17">
        <f>+IFERROR(VLOOKUP($BM$2,Sheet1!AH2:AK840,2,0),0)</f>
        <v>0</v>
      </c>
      <c r="BN3" s="17">
        <f>+IFERROR(VLOOKUP($BN$2,Sheet1!AL2:AO840,2,0),0)</f>
        <v>0</v>
      </c>
      <c r="BO3" s="17">
        <f>+IFERROR(VLOOKUP($BO$2,Sheet1!AL2:AO840,2,0),0)</f>
        <v>0</v>
      </c>
      <c r="BP3" s="17">
        <f>+IFERROR(VLOOKUP($BP$2,Sheet1!AL2:AO840,2,0),0)</f>
        <v>0</v>
      </c>
      <c r="BQ3" s="17">
        <f>+IFERROR(VLOOKUP($BQ$2,Sheet1!AL2:AO840,2,0),0)</f>
        <v>0</v>
      </c>
      <c r="BR3" s="17">
        <f>+IFERROR(VLOOKUP($BR$2,Sheet1!AL2:AO840,2,0),0)</f>
        <v>0</v>
      </c>
      <c r="BS3" s="17">
        <f>+IFERROR(VLOOKUP($BS$2,Sheet1!AL2:AO840,2,0),0)</f>
        <v>0</v>
      </c>
      <c r="BT3" s="17">
        <f>+IFERROR(VLOOKUP($BT$2,Sheet1!AL2:AO840,2,0),0)</f>
        <v>0</v>
      </c>
      <c r="BU3" s="17">
        <f>+IFERROR(VLOOKUP($BU$2,Sheet1!AL2:AO840,2,0),0)</f>
        <v>0</v>
      </c>
      <c r="BV3" s="17">
        <f>+IFERROR(VLOOKUP($BV$2,Sheet1!AL2:AO840,2,0),0)</f>
        <v>0</v>
      </c>
      <c r="BW3" s="17">
        <f>+IFERROR(VLOOKUP($BW$2,Sheet1!AL2:AO840,2,0),0)</f>
        <v>0</v>
      </c>
      <c r="BX3" s="17">
        <f>+IFERROR(VLOOKUP($BX$2,Sheet1!AL2:AO840,2,0),0)</f>
        <v>0</v>
      </c>
      <c r="BY3" s="17">
        <f>+IFERROR(VLOOKUP($BY$2,Sheet1!AL2:AO840,2,0),0)</f>
        <v>0</v>
      </c>
      <c r="BZ3" s="18">
        <f>+IFERROR(VLOOKUP($BZ$2,Sheet1!AP2:AS840,2,0),0)</f>
        <v>0</v>
      </c>
      <c r="CA3" s="18">
        <f>+IFERROR(VLOOKUP($CA$2,Sheet1!AT2:AW840,2,0),0)</f>
        <v>0</v>
      </c>
      <c r="CB3" s="19">
        <f>+IFERROR(VLOOKUP($CB$2,Sheet1!AX2:BA840,2,0),0)</f>
        <v>0</v>
      </c>
      <c r="CC3" s="20">
        <f>+IFERROR(VLOOKUP($CC$2,Sheet1!BB2:BE840,2,0),0)</f>
        <v>0</v>
      </c>
      <c r="CD3" s="19">
        <f>+IFERROR(VLOOKUP($CD$2,Sheet1!BF2:BI840,2,0),0)</f>
        <v>0</v>
      </c>
      <c r="CE3" s="19">
        <f>+IFERROR(VLOOKUP($CE$2,Sheet1!BJ2:BM840,2,0),0)</f>
        <v>0</v>
      </c>
      <c r="CF3" s="19">
        <f>+IFERROR(VLOOKUP($CF$2,Sheet1!BN2:BQ840,2,0),0)</f>
        <v>0</v>
      </c>
      <c r="CG3" s="20">
        <f>+IFERROR(VLOOKUP($CG$2,Sheet1!BR2:BU840,2,0),0)</f>
        <v>0</v>
      </c>
      <c r="CH3" s="19">
        <f>+IFERROR(VLOOKUP($CH$2,Sheet1!BV2:BY840,2,0),0)</f>
        <v>0</v>
      </c>
      <c r="CI3" s="65"/>
      <c r="CJ3" s="65"/>
      <c r="CK3" s="65"/>
      <c r="CL3" s="65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</row>
    <row r="4" spans="1:106" s="21" customFormat="1" ht="41.4" x14ac:dyDescent="0.3">
      <c r="A4" s="6" t="str">
        <f>Sheet1!A2</f>
        <v>ENQ-19953-25-26</v>
      </c>
      <c r="B4" s="86">
        <v>46193</v>
      </c>
      <c r="C4" s="6" t="str">
        <f>Sheet1!C2</f>
        <v>FC3700003</v>
      </c>
      <c r="D4" s="6" t="str">
        <f>Sheet1!D2</f>
        <v>ACSR : PANTHER CONDUCTOR - 200 SQ. MM. (30/7/3.00)</v>
      </c>
      <c r="E4" s="22">
        <f>CU4+CW4+CY4+DA4</f>
        <v>298756.80450000003</v>
      </c>
      <c r="F4" s="102">
        <f>ROUNDUP(N28,0)</f>
        <v>6000</v>
      </c>
      <c r="G4" s="27">
        <f>E4+F4</f>
        <v>304756.80450000003</v>
      </c>
      <c r="H4" s="27">
        <f>G4*L4</f>
        <v>24380544.360000003</v>
      </c>
      <c r="I4" s="28">
        <f>Sheet1!CR2</f>
        <v>0.18</v>
      </c>
      <c r="J4" s="27">
        <f>G4*I4</f>
        <v>54856.22481</v>
      </c>
      <c r="K4" s="27">
        <f>G4+J4</f>
        <v>359613.02931000001</v>
      </c>
      <c r="L4" s="78">
        <f>Sheet1!CU2</f>
        <v>80</v>
      </c>
      <c r="M4" s="75" t="str">
        <f>Sheet1!CV2</f>
        <v>KMS</v>
      </c>
      <c r="N4" s="22">
        <f>K4*L4</f>
        <v>28769042.344800003</v>
      </c>
      <c r="O4" s="101" t="s">
        <v>228</v>
      </c>
      <c r="P4" s="70">
        <f>+IFERROR(VLOOKUP($P$2,Sheet1!J2:L2,3,0),0)</f>
        <v>588</v>
      </c>
      <c r="Q4" s="70">
        <f>+IFERROR(VLOOKUP($Q$2,Sheet1!J2:L2,3,0),0)</f>
        <v>0</v>
      </c>
      <c r="R4" s="70">
        <f>+IFERROR(VLOOKUP($R$2,Sheet1!J2:M2,3,0),0)</f>
        <v>0</v>
      </c>
      <c r="S4" s="70">
        <f>+IFERROR(VLOOKUP($S$2,Sheet1!J2:M2,3,0),0)</f>
        <v>0</v>
      </c>
      <c r="T4" s="70">
        <f>+IFERROR(VLOOKUP($T$2,Sheet1!J2:M2,3,0),0)</f>
        <v>0</v>
      </c>
      <c r="U4" s="70">
        <f>+IFERROR(VLOOKUP($U$2,Sheet1!J2:M2,3,0),0)</f>
        <v>0</v>
      </c>
      <c r="V4" s="70">
        <f>+IFERROR(VLOOKUP($V$2,Sheet1!J2:M2,3,0),0)</f>
        <v>0</v>
      </c>
      <c r="W4" s="70">
        <f>+IFERROR(VLOOKUP($W$2,Sheet1!J2:M2,3,0),0)</f>
        <v>0</v>
      </c>
      <c r="X4" s="71">
        <f>+IFERROR(VLOOKUP($X$2,Sheet1!N2:Q2,3,0),0)</f>
        <v>0</v>
      </c>
      <c r="Y4" s="71">
        <f>+IFERROR(VLOOKUP($Y$2,Sheet1!N2:Q2,3,0),0)</f>
        <v>0</v>
      </c>
      <c r="Z4" s="72">
        <f>+IFERROR(VLOOKUP($Z$2,Sheet1!F2:I2,3,0),0)</f>
        <v>0</v>
      </c>
      <c r="AA4" s="72">
        <f>+IFERROR(VLOOKUP($AA$2,Sheet1!F2:I2,3,0),0)</f>
        <v>0</v>
      </c>
      <c r="AB4" s="72">
        <f>+IFERROR(VLOOKUP($AB$2,Sheet1!F2:I2,3,0),0)</f>
        <v>0</v>
      </c>
      <c r="AC4" s="72">
        <f>+IFERROR(VLOOKUP($AC$2,Sheet1!F2:I2,3,0),0)</f>
        <v>0</v>
      </c>
      <c r="AD4" s="72">
        <f>+IFERROR(VLOOKUP($AD$2,Sheet1!F2:I2,3,0),0)</f>
        <v>0</v>
      </c>
      <c r="AE4" s="72">
        <f>+IFERROR(VLOOKUP($AE$2,Sheet1!F2:I2,3,0),0)</f>
        <v>0</v>
      </c>
      <c r="AF4" s="72">
        <f>+IFERROR(VLOOKUP($AF$2,Sheet1!F2:I2,3,0),0)</f>
        <v>0</v>
      </c>
      <c r="AG4" s="72">
        <f>+IFERROR(VLOOKUP($AG$2,Sheet1!F2:I2,3,0),0)</f>
        <v>0</v>
      </c>
      <c r="AH4" s="73">
        <f>+IFERROR(VLOOKUP($AH$2,Sheet1!R2:U2,3,0),0)</f>
        <v>0</v>
      </c>
      <c r="AI4" s="31">
        <f>+IFERROR(VLOOKUP($AI$2,Sheet1!R2:U2,3,0),0)</f>
        <v>0</v>
      </c>
      <c r="AJ4" s="74">
        <f>+IFERROR(VLOOKUP($AJ$2,Sheet1!V2:Y2,3,0),0)</f>
        <v>0</v>
      </c>
      <c r="AK4" s="32">
        <f>+IFERROR(VLOOKUP($AK$2,Sheet1!V2:Y2,3,0),0)</f>
        <v>0</v>
      </c>
      <c r="AL4" s="32">
        <f>+IFERROR(VLOOKUP($AL$2,Sheet1!V2:Y2,3,0),0)</f>
        <v>0</v>
      </c>
      <c r="AM4" s="32">
        <f>+IFERROR(VLOOKUP($AM$2,Sheet1!V2:Y2,3,0),0)</f>
        <v>0</v>
      </c>
      <c r="AN4" s="32">
        <f>+IFERROR(VLOOKUP($AN$2,Sheet1!V2:Y2,3,0),0)</f>
        <v>0</v>
      </c>
      <c r="AO4" s="32">
        <f>+IFERROR(VLOOKUP($AO$2,Sheet1!V2:Y2,3,0),0)</f>
        <v>0</v>
      </c>
      <c r="AP4" s="32">
        <f>+IFERROR(VLOOKUP($AP$2,Sheet1!V2:Y2,3,0),0)</f>
        <v>0</v>
      </c>
      <c r="AQ4" s="32">
        <f>+IFERROR(VLOOKUP($AQ$2,Sheet1!V2:Y2,3,0),0)</f>
        <v>0</v>
      </c>
      <c r="AR4" s="32">
        <f>+IFERROR(VLOOKUP($AR$2,Sheet1!V2:Y2,3,0),0)</f>
        <v>0</v>
      </c>
      <c r="AS4" s="35">
        <f>+IFERROR(VLOOKUP($AS$2,Sheet1!Z2:AB2,3,0),0)</f>
        <v>0</v>
      </c>
      <c r="AT4" s="36">
        <f>+IFERROR(VLOOKUP($AT$2,Sheet1!AD2:AG2,3,0),0)</f>
        <v>0</v>
      </c>
      <c r="AU4" s="36">
        <f>+IFERROR(VLOOKUP($AU$2,Sheet1!AD2:AG2,3,0),0)</f>
        <v>0</v>
      </c>
      <c r="AV4" s="36">
        <f>+IFERROR(VLOOKUP($AV$2,Sheet1!AD2:AG2,3,0),0)</f>
        <v>0</v>
      </c>
      <c r="AW4" s="36">
        <f>+IFERROR(VLOOKUP($AW$2,Sheet1!AD2:AG2,3,0),0)</f>
        <v>0</v>
      </c>
      <c r="AX4" s="36">
        <f>+IFERROR(VLOOKUP($AX$2,Sheet1!AD2:AG2,3,0),0)</f>
        <v>0</v>
      </c>
      <c r="AY4" s="36">
        <f>+IFERROR(VLOOKUP($AY$2,Sheet1!AD2:AG2,3,0),0)</f>
        <v>0</v>
      </c>
      <c r="AZ4" s="36">
        <f>+IFERROR(VLOOKUP($AZ$2,Sheet1!AD2:AG2,3,0),0)</f>
        <v>0</v>
      </c>
      <c r="BA4" s="36">
        <f>+IFERROR(VLOOKUP($BA$2,Sheet1!AD2:AG2,3,0),0)</f>
        <v>0</v>
      </c>
      <c r="BB4" s="36">
        <f>+IFERROR(VLOOKUP($BB$2,Sheet1!AD2:AG2,3,0),0)</f>
        <v>0</v>
      </c>
      <c r="BC4" s="35">
        <f>+IFERROR(VLOOKUP($BC$2,Sheet1!AH2:AK2,3,0),0)</f>
        <v>388</v>
      </c>
      <c r="BD4" s="35">
        <f>+IFERROR(VLOOKUP($BD$2,Sheet1!AH2:AK2,3,0),0)</f>
        <v>0</v>
      </c>
      <c r="BE4" s="35">
        <f>+IFERROR(VLOOKUP($BE$2,Sheet1!AH2:AK2,3,0),0)</f>
        <v>0</v>
      </c>
      <c r="BF4" s="35">
        <f>+IFERROR(VLOOKUP($BF$2,Sheet1!AH2:AK2,3,0),0)</f>
        <v>0</v>
      </c>
      <c r="BG4" s="35">
        <f>+IFERROR(VLOOKUP($BG$2,Sheet1!AH2:AK2,3,0),0)</f>
        <v>0</v>
      </c>
      <c r="BH4" s="35">
        <f>+IFERROR(VLOOKUP($BH$2,Sheet1!AH2:AK2,3,0),0)</f>
        <v>0</v>
      </c>
      <c r="BI4" s="35">
        <f>+IFERROR(VLOOKUP($BI$2,Sheet1!AH2:AK2,3,0),0)</f>
        <v>0</v>
      </c>
      <c r="BJ4" s="35">
        <f>+IFERROR(VLOOKUP($BJ$2,Sheet1!AH2:AK2,3,0),0)</f>
        <v>0</v>
      </c>
      <c r="BK4" s="35">
        <f>+IFERROR(VLOOKUP($BK$2,Sheet1!AH2:AK2,3,0),0)</f>
        <v>0</v>
      </c>
      <c r="BL4" s="35">
        <f>+IFERROR(VLOOKUP($BL$2,Sheet1!AH2:AK2,3,0),0)</f>
        <v>0</v>
      </c>
      <c r="BM4" s="35">
        <f>+IFERROR(VLOOKUP($BM$2,Sheet1!AH2:AK2,3,0),0)</f>
        <v>0</v>
      </c>
      <c r="BN4" s="9">
        <f>+IFERROR(VLOOKUP($BN$2,Sheet1!AL2:AO2,3,0),0)</f>
        <v>0</v>
      </c>
      <c r="BO4" s="9">
        <f>+IFERROR(VLOOKUP($BO$2,Sheet1!AL2:AO2,3,0),0)</f>
        <v>0</v>
      </c>
      <c r="BP4" s="9">
        <f>+IFERROR(VLOOKUP($BP$2,Sheet1!AL2:AO2,3,0),0)</f>
        <v>0</v>
      </c>
      <c r="BQ4" s="9">
        <f>+IFERROR(VLOOKUP($BQ$2,Sheet1!AL2:AO2,3,0),0)</f>
        <v>0</v>
      </c>
      <c r="BR4" s="9">
        <f>+IFERROR(VLOOKUP($BR$2,Sheet1!AL2:AO2,3,0),0)</f>
        <v>0</v>
      </c>
      <c r="BS4" s="9">
        <f>+IFERROR(VLOOKUP($BS$2,Sheet1!AL2:AO2,3,0),0)</f>
        <v>0</v>
      </c>
      <c r="BT4" s="9">
        <f>+IFERROR(VLOOKUP($BT$2,Sheet1!AL2:AO2,3,0),0)</f>
        <v>0</v>
      </c>
      <c r="BU4" s="9">
        <f>+IFERROR(VLOOKUP($BU$2,Sheet1!AL2:AO2,3,0),0)</f>
        <v>0</v>
      </c>
      <c r="BV4" s="9">
        <f>+IFERROR(VLOOKUP($BV$2,Sheet1!AL2:AO2,3,0),0)</f>
        <v>0</v>
      </c>
      <c r="BW4" s="9">
        <f>+IFERROR(VLOOKUP($BW$2,Sheet1!AL2:AO2,3,0),0)</f>
        <v>0</v>
      </c>
      <c r="BX4" s="9">
        <f>+IFERROR(VLOOKUP($BX$2,Sheet1!AL2:AO2,3,0),0)</f>
        <v>0</v>
      </c>
      <c r="BY4" s="9">
        <f>+IFERROR(VLOOKUP($BY$2,Sheet1!AL2:AO2,3,0),0)</f>
        <v>0</v>
      </c>
      <c r="BZ4" s="39">
        <f>+IFERROR(VLOOKUP($BZ$2,Sheet1!AP2:AS2,3,0),0)</f>
        <v>0</v>
      </c>
      <c r="CA4" s="42">
        <f>+IFERROR(VLOOKUP($CA$2,Sheet1!AT2:AW2,3,0),0)</f>
        <v>0</v>
      </c>
      <c r="CB4" s="43">
        <f>+IFERROR(VLOOKUP($CB$2,Sheet1!AX2:BA2,3,0),0)</f>
        <v>0</v>
      </c>
      <c r="CC4" s="45">
        <f>+IFERROR(VLOOKUP($CC$2,Sheet1!BB2:BE2,3,0),0)</f>
        <v>0</v>
      </c>
      <c r="CD4" s="47">
        <f>+IFERROR(VLOOKUP($CD$2,Sheet1!BF2:BI2,3,0),0)</f>
        <v>0</v>
      </c>
      <c r="CE4" s="48">
        <f>+IFERROR(VLOOKUP($CE$2,Sheet1!BJ2:BM2,3,0),0)</f>
        <v>0</v>
      </c>
      <c r="CF4" s="49">
        <f>+IFERROR(VLOOKUP($CF$2,Sheet1!BN2:BQ2,3,0),0)</f>
        <v>0</v>
      </c>
      <c r="CG4" s="37">
        <f>+IFERROR(VLOOKUP($CG$2,Sheet1!BR2:BU2,3,0),0)</f>
        <v>0</v>
      </c>
      <c r="CH4" s="43">
        <f>+IFERROR(VLOOKUP($CH$2,Sheet1!BV2:BY2,3,0),0)</f>
        <v>0</v>
      </c>
      <c r="CI4" s="66" t="str">
        <f>Sheet1!E2</f>
        <v>WOOD</v>
      </c>
      <c r="CJ4" s="67" t="str">
        <f>Sheet1!CY2</f>
        <v>MD0100061</v>
      </c>
      <c r="CK4" s="67" t="str">
        <f>Sheet1!CZ2</f>
        <v>DRUM - 56 X 24 X 32 X 3</v>
      </c>
      <c r="CL4" s="67">
        <v>2000</v>
      </c>
      <c r="CM4" s="22">
        <f>6677/2</f>
        <v>3338.5</v>
      </c>
      <c r="CN4" s="22">
        <f>SUMPRODUCT($P$3:$CH$3,P4:CH4)+CM4</f>
        <v>263686.5</v>
      </c>
      <c r="CO4" s="23">
        <f>Sheet1!CB2</f>
        <v>0</v>
      </c>
      <c r="CP4" s="22">
        <f>CN4*CO4</f>
        <v>0</v>
      </c>
      <c r="CQ4" s="94">
        <v>0.1</v>
      </c>
      <c r="CR4" s="22">
        <f>CN4*CQ4</f>
        <v>26368.65</v>
      </c>
      <c r="CS4" s="94">
        <v>0</v>
      </c>
      <c r="CT4" s="22">
        <f>CN4*CS4</f>
        <v>0</v>
      </c>
      <c r="CU4" s="22">
        <f>CN4+CP4+CR4+CT4</f>
        <v>290055.15000000002</v>
      </c>
      <c r="CV4" s="94">
        <v>0.02</v>
      </c>
      <c r="CW4" s="6">
        <f>CU4*CV4</f>
        <v>5801.103000000001</v>
      </c>
      <c r="CX4" s="94">
        <v>0.01</v>
      </c>
      <c r="CY4" s="6">
        <f>CU4*CX4</f>
        <v>2900.5515000000005</v>
      </c>
      <c r="CZ4" s="94">
        <f>Sheet1!CM2</f>
        <v>0</v>
      </c>
      <c r="DA4" s="6">
        <f>CZ4*CU4</f>
        <v>0</v>
      </c>
    </row>
    <row r="5" spans="1:106" s="21" customFormat="1" x14ac:dyDescent="0.3">
      <c r="A5" s="6">
        <f>Sheet1!A3</f>
        <v>0</v>
      </c>
      <c r="B5" s="86">
        <f>Sheet1!B3</f>
        <v>0</v>
      </c>
      <c r="C5" s="6">
        <f>Sheet1!C3</f>
        <v>0</v>
      </c>
      <c r="D5" s="103" t="s">
        <v>234</v>
      </c>
      <c r="E5" s="22"/>
      <c r="F5" s="97"/>
      <c r="G5" s="27"/>
      <c r="H5" s="27">
        <f t="shared" ref="H5:H23" si="0">G5*L5</f>
        <v>0</v>
      </c>
      <c r="I5" s="28"/>
      <c r="J5" s="27"/>
      <c r="K5" s="27"/>
      <c r="L5" s="78"/>
      <c r="M5" s="75"/>
      <c r="N5" s="22"/>
      <c r="O5" s="101"/>
      <c r="P5" s="70"/>
      <c r="Q5" s="70"/>
      <c r="R5" s="70"/>
      <c r="S5" s="70"/>
      <c r="T5" s="70"/>
      <c r="U5" s="70"/>
      <c r="V5" s="70"/>
      <c r="W5" s="70"/>
      <c r="X5" s="71"/>
      <c r="Y5" s="71"/>
      <c r="Z5" s="72"/>
      <c r="AA5" s="72"/>
      <c r="AB5" s="72"/>
      <c r="AC5" s="72"/>
      <c r="AD5" s="72"/>
      <c r="AE5" s="72"/>
      <c r="AF5" s="72"/>
      <c r="AG5" s="72"/>
      <c r="AH5" s="73"/>
      <c r="AI5" s="31"/>
      <c r="AJ5" s="74"/>
      <c r="AK5" s="32"/>
      <c r="AL5" s="32"/>
      <c r="AM5" s="32"/>
      <c r="AN5" s="32"/>
      <c r="AO5" s="32"/>
      <c r="AP5" s="32"/>
      <c r="AQ5" s="32"/>
      <c r="AR5" s="32"/>
      <c r="AS5" s="35"/>
      <c r="AT5" s="36"/>
      <c r="AU5" s="36"/>
      <c r="AV5" s="36"/>
      <c r="AW5" s="36"/>
      <c r="AX5" s="36"/>
      <c r="AY5" s="36"/>
      <c r="AZ5" s="36"/>
      <c r="BA5" s="36"/>
      <c r="BB5" s="36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39"/>
      <c r="CA5" s="42"/>
      <c r="CB5" s="43"/>
      <c r="CC5" s="45"/>
      <c r="CD5" s="47"/>
      <c r="CE5" s="48"/>
      <c r="CF5" s="49"/>
      <c r="CG5" s="37"/>
      <c r="CH5" s="43"/>
      <c r="CI5" s="66"/>
      <c r="CJ5" s="67"/>
      <c r="CK5" s="67"/>
      <c r="CL5" s="67"/>
      <c r="CM5" s="22"/>
      <c r="CN5" s="22"/>
      <c r="CO5" s="23"/>
      <c r="CP5" s="22"/>
      <c r="CQ5" s="94"/>
      <c r="CR5" s="22"/>
      <c r="CS5" s="94"/>
      <c r="CT5" s="22"/>
      <c r="CU5" s="22"/>
      <c r="CV5" s="94"/>
      <c r="CW5" s="6"/>
      <c r="CX5" s="94"/>
      <c r="CY5" s="6"/>
      <c r="CZ5" s="94"/>
      <c r="DA5" s="6"/>
    </row>
    <row r="6" spans="1:106" s="21" customFormat="1" ht="28.8" x14ac:dyDescent="0.3">
      <c r="A6" s="6">
        <f>Sheet1!A4</f>
        <v>0</v>
      </c>
      <c r="B6" s="86">
        <f>Sheet1!B4</f>
        <v>0</v>
      </c>
      <c r="C6" s="6">
        <f>Sheet1!C4</f>
        <v>0</v>
      </c>
      <c r="D6" s="104" t="s">
        <v>235</v>
      </c>
      <c r="E6" s="22">
        <f t="shared" ref="E6" si="1">CU6+CW6+CY6+DA6</f>
        <v>958.93</v>
      </c>
      <c r="F6" s="97"/>
      <c r="G6" s="27">
        <f t="shared" ref="G6:G15" si="2">E6+F6</f>
        <v>958.93</v>
      </c>
      <c r="H6" s="27">
        <f t="shared" si="0"/>
        <v>1701141.8199999998</v>
      </c>
      <c r="I6" s="28">
        <v>0.18</v>
      </c>
      <c r="J6" s="27">
        <f t="shared" ref="J6" si="3">G6*I6</f>
        <v>172.60739999999998</v>
      </c>
      <c r="K6" s="27">
        <f t="shared" ref="K6" si="4">G6+J6</f>
        <v>1131.5373999999999</v>
      </c>
      <c r="L6" s="78">
        <v>1774</v>
      </c>
      <c r="M6" s="75" t="s">
        <v>253</v>
      </c>
      <c r="N6" s="22">
        <f t="shared" ref="N6" si="5">K6*L6</f>
        <v>2007347.3476</v>
      </c>
      <c r="O6" s="101"/>
      <c r="P6" s="70">
        <f>+IFERROR(VLOOKUP($P$2,Sheet1!J4:L4,3,0),0)</f>
        <v>0</v>
      </c>
      <c r="Q6" s="70">
        <f>+IFERROR(VLOOKUP($Q$2,Sheet1!J4:L4,3,0),0)</f>
        <v>0</v>
      </c>
      <c r="R6" s="70">
        <f>+IFERROR(VLOOKUP($R$2,Sheet1!J4:M4,3,0),0)</f>
        <v>0</v>
      </c>
      <c r="S6" s="70">
        <f>+IFERROR(VLOOKUP($S$2,Sheet1!J4:M4,3,0),0)</f>
        <v>0</v>
      </c>
      <c r="T6" s="70">
        <f>+IFERROR(VLOOKUP($T$2,Sheet1!J4:M4,3,0),0)</f>
        <v>0</v>
      </c>
      <c r="U6" s="70">
        <f>+IFERROR(VLOOKUP($U$2,Sheet1!J4:M4,3,0),0)</f>
        <v>0</v>
      </c>
      <c r="V6" s="70">
        <f>+IFERROR(VLOOKUP($V$2,Sheet1!J4:M4,3,0),0)</f>
        <v>0</v>
      </c>
      <c r="W6" s="70">
        <f>+IFERROR(VLOOKUP($W$2,Sheet1!J4:M4,3,0),0)</f>
        <v>0</v>
      </c>
      <c r="X6" s="71">
        <f>+IFERROR(VLOOKUP($X$2,Sheet1!N4:Q4,3,0),0)</f>
        <v>0</v>
      </c>
      <c r="Y6" s="71">
        <f>+IFERROR(VLOOKUP($Y$2,Sheet1!N4:Q4,3,0),0)</f>
        <v>0</v>
      </c>
      <c r="Z6" s="72">
        <f>+IFERROR(VLOOKUP($Z$2,Sheet1!F4:I4,3,0),0)</f>
        <v>0</v>
      </c>
      <c r="AA6" s="72">
        <f>+IFERROR(VLOOKUP($AA$2,Sheet1!F4:I4,3,0),0)</f>
        <v>0</v>
      </c>
      <c r="AB6" s="72">
        <f>+IFERROR(VLOOKUP($AB$2,Sheet1!F4:I4,3,0),0)</f>
        <v>0</v>
      </c>
      <c r="AC6" s="72">
        <f>+IFERROR(VLOOKUP($AC$2,Sheet1!F4:I4,3,0),0)</f>
        <v>0</v>
      </c>
      <c r="AD6" s="72">
        <f>+IFERROR(VLOOKUP($AD$2,Sheet1!F4:I4,3,0),0)</f>
        <v>0</v>
      </c>
      <c r="AE6" s="72">
        <f>+IFERROR(VLOOKUP($AE$2,Sheet1!F4:I4,3,0),0)</f>
        <v>0</v>
      </c>
      <c r="AF6" s="72">
        <f>+IFERROR(VLOOKUP($AF$2,Sheet1!F4:I4,3,0),0)</f>
        <v>0</v>
      </c>
      <c r="AG6" s="72">
        <f>+IFERROR(VLOOKUP($AG$2,Sheet1!F4:I4,3,0),0)</f>
        <v>0</v>
      </c>
      <c r="AH6" s="73">
        <f>+IFERROR(VLOOKUP($AH$2,Sheet1!R4:U4,3,0),0)</f>
        <v>0</v>
      </c>
      <c r="AI6" s="31">
        <f>+IFERROR(VLOOKUP($AI$2,Sheet1!R4:U4,3,0),0)</f>
        <v>0</v>
      </c>
      <c r="AJ6" s="74">
        <f>+IFERROR(VLOOKUP($AJ$2,Sheet1!V4:Y4,3,0),0)</f>
        <v>0</v>
      </c>
      <c r="AK6" s="32">
        <f>+IFERROR(VLOOKUP($AK$2,Sheet1!V4:Y4,3,0),0)</f>
        <v>0</v>
      </c>
      <c r="AL6" s="32">
        <f>+IFERROR(VLOOKUP($AL$2,Sheet1!V4:Y4,3,0),0)</f>
        <v>0</v>
      </c>
      <c r="AM6" s="32">
        <f>+IFERROR(VLOOKUP($AM$2,Sheet1!V4:Y4,3,0),0)</f>
        <v>0</v>
      </c>
      <c r="AN6" s="32">
        <f>+IFERROR(VLOOKUP($AN$2,Sheet1!V4:Y4,3,0),0)</f>
        <v>0</v>
      </c>
      <c r="AO6" s="32">
        <f>+IFERROR(VLOOKUP($AO$2,Sheet1!V4:Y4,3,0),0)</f>
        <v>0</v>
      </c>
      <c r="AP6" s="32">
        <f>+IFERROR(VLOOKUP($AP$2,Sheet1!V4:Y4,3,0),0)</f>
        <v>0</v>
      </c>
      <c r="AQ6" s="32">
        <f>+IFERROR(VLOOKUP($AQ$2,Sheet1!V4:Y4,3,0),0)</f>
        <v>0</v>
      </c>
      <c r="AR6" s="32">
        <f>+IFERROR(VLOOKUP($AR$2,Sheet1!V4:Y4,3,0),0)</f>
        <v>0</v>
      </c>
      <c r="AS6" s="35">
        <f>+IFERROR(VLOOKUP($AS$2,Sheet1!Z4:AB4,3,0),0)</f>
        <v>0</v>
      </c>
      <c r="AT6" s="36">
        <f>+IFERROR(VLOOKUP($AT$2,Sheet1!AD4:AG4,3,0),0)</f>
        <v>0</v>
      </c>
      <c r="AU6" s="36">
        <f>+IFERROR(VLOOKUP($AU$2,Sheet1!AD4:AG4,3,0),0)</f>
        <v>0</v>
      </c>
      <c r="AV6" s="36">
        <f>+IFERROR(VLOOKUP($AV$2,Sheet1!AD4:AG4,3,0),0)</f>
        <v>0</v>
      </c>
      <c r="AW6" s="36">
        <f>+IFERROR(VLOOKUP($AW$2,Sheet1!AD4:AG4,3,0),0)</f>
        <v>0</v>
      </c>
      <c r="AX6" s="36">
        <f>+IFERROR(VLOOKUP($AX$2,Sheet1!AD4:AG4,3,0),0)</f>
        <v>0</v>
      </c>
      <c r="AY6" s="36">
        <f>+IFERROR(VLOOKUP($AY$2,Sheet1!AD4:AG4,3,0),0)</f>
        <v>0</v>
      </c>
      <c r="AZ6" s="36">
        <f>+IFERROR(VLOOKUP($AZ$2,Sheet1!AD4:AG4,3,0),0)</f>
        <v>0</v>
      </c>
      <c r="BA6" s="36">
        <f>+IFERROR(VLOOKUP($BA$2,Sheet1!AD4:AG4,3,0),0)</f>
        <v>0</v>
      </c>
      <c r="BB6" s="36">
        <f>+IFERROR(VLOOKUP($BB$2,Sheet1!AD4:AG4,3,0),0)</f>
        <v>0</v>
      </c>
      <c r="BC6" s="35">
        <f>+IFERROR(VLOOKUP($BC$2,Sheet1!AH4:AK4,3,0),0)</f>
        <v>0</v>
      </c>
      <c r="BD6" s="35">
        <f>+IFERROR(VLOOKUP($BD$2,Sheet1!AH4:AK4,3,0),0)</f>
        <v>0</v>
      </c>
      <c r="BE6" s="35">
        <f>+IFERROR(VLOOKUP($BE$2,Sheet1!AH4:AK4,3,0),0)</f>
        <v>0</v>
      </c>
      <c r="BF6" s="35">
        <f>+IFERROR(VLOOKUP($BF$2,Sheet1!AH4:AK4,3,0),0)</f>
        <v>0</v>
      </c>
      <c r="BG6" s="35">
        <f>+IFERROR(VLOOKUP($BG$2,Sheet1!AH4:AK4,3,0),0)</f>
        <v>0</v>
      </c>
      <c r="BH6" s="35">
        <f>+IFERROR(VLOOKUP($BH$2,Sheet1!AH4:AK4,3,0),0)</f>
        <v>0</v>
      </c>
      <c r="BI6" s="35">
        <f>+IFERROR(VLOOKUP($BI$2,Sheet1!AH4:AK4,3,0),0)</f>
        <v>0</v>
      </c>
      <c r="BJ6" s="35">
        <f>+IFERROR(VLOOKUP($BJ$2,Sheet1!AH4:AK4,3,0),0)</f>
        <v>0</v>
      </c>
      <c r="BK6" s="35">
        <f>+IFERROR(VLOOKUP($BK$2,Sheet1!AH4:AK4,3,0),0)</f>
        <v>0</v>
      </c>
      <c r="BL6" s="35">
        <f>+IFERROR(VLOOKUP($BL$2,Sheet1!AH4:AK4,3,0),0)</f>
        <v>0</v>
      </c>
      <c r="BM6" s="35">
        <f>+IFERROR(VLOOKUP($BM$2,Sheet1!AH4:AK4,3,0),0)</f>
        <v>0</v>
      </c>
      <c r="BN6" s="9">
        <f>+IFERROR(VLOOKUP($BN$2,Sheet1!AL4:AO4,3,0),0)</f>
        <v>0</v>
      </c>
      <c r="BO6" s="9">
        <f>+IFERROR(VLOOKUP($BO$2,Sheet1!AL4:AO4,3,0),0)</f>
        <v>0</v>
      </c>
      <c r="BP6" s="9">
        <f>+IFERROR(VLOOKUP($BP$2,Sheet1!AL4:AO4,3,0),0)</f>
        <v>0</v>
      </c>
      <c r="BQ6" s="9">
        <f>+IFERROR(VLOOKUP($BQ$2,Sheet1!AL4:AO4,3,0),0)</f>
        <v>0</v>
      </c>
      <c r="BR6" s="9">
        <f>+IFERROR(VLOOKUP($BR$2,Sheet1!AL4:AO4,3,0),0)</f>
        <v>0</v>
      </c>
      <c r="BS6" s="9">
        <f>+IFERROR(VLOOKUP($BS$2,Sheet1!AL4:AO4,3,0),0)</f>
        <v>0</v>
      </c>
      <c r="BT6" s="9">
        <f>+IFERROR(VLOOKUP($BT$2,Sheet1!AL4:AO4,3,0),0)</f>
        <v>0</v>
      </c>
      <c r="BU6" s="9">
        <f>+IFERROR(VLOOKUP($BU$2,Sheet1!AL4:AO4,3,0),0)</f>
        <v>0</v>
      </c>
      <c r="BV6" s="9">
        <f>+IFERROR(VLOOKUP($BV$2,Sheet1!AL4:AO4,3,0),0)</f>
        <v>0</v>
      </c>
      <c r="BW6" s="9">
        <f>+IFERROR(VLOOKUP($BW$2,Sheet1!AL4:AO4,3,0),0)</f>
        <v>0</v>
      </c>
      <c r="BX6" s="9">
        <f>+IFERROR(VLOOKUP($BX$2,Sheet1!AL4:AO4,3,0),0)</f>
        <v>0</v>
      </c>
      <c r="BY6" s="9">
        <f>+IFERROR(VLOOKUP($BY$2,Sheet1!AL4:AO4,3,0),0)</f>
        <v>0</v>
      </c>
      <c r="BZ6" s="39">
        <f>+IFERROR(VLOOKUP($BZ$2,Sheet1!AP4:AS4,3,0),0)</f>
        <v>0</v>
      </c>
      <c r="CA6" s="42">
        <f>+IFERROR(VLOOKUP($CA$2,Sheet1!AT4:AW4,3,0),0)</f>
        <v>0</v>
      </c>
      <c r="CB6" s="43">
        <f>+IFERROR(VLOOKUP($CB$2,Sheet1!AX4:BA4,3,0),0)</f>
        <v>0</v>
      </c>
      <c r="CC6" s="45">
        <f>+IFERROR(VLOOKUP($CC$2,Sheet1!BB4:BE4,3,0),0)</f>
        <v>0</v>
      </c>
      <c r="CD6" s="47">
        <f>+IFERROR(VLOOKUP($CD$2,Sheet1!BF4:BI4,3,0),0)</f>
        <v>0</v>
      </c>
      <c r="CE6" s="48">
        <f>+IFERROR(VLOOKUP($CE$2,Sheet1!BJ4:BM4,3,0),0)</f>
        <v>0</v>
      </c>
      <c r="CF6" s="49">
        <f>+IFERROR(VLOOKUP($CF$2,Sheet1!BN4:BQ4,3,0),0)</f>
        <v>0</v>
      </c>
      <c r="CG6" s="37">
        <f>+IFERROR(VLOOKUP($CG$2,Sheet1!BR4:BU4,3,0),0)</f>
        <v>0</v>
      </c>
      <c r="CH6" s="43">
        <f>+IFERROR(VLOOKUP($CH$2,Sheet1!BV4:BY4,3,0),0)</f>
        <v>0</v>
      </c>
      <c r="CI6" s="66">
        <f>Sheet1!E4</f>
        <v>0</v>
      </c>
      <c r="CJ6" s="67">
        <f>Sheet1!CY4</f>
        <v>0</v>
      </c>
      <c r="CK6" s="67">
        <f>Sheet1!CZ4</f>
        <v>0</v>
      </c>
      <c r="CL6" s="67">
        <f>Sheet1!CX4</f>
        <v>0</v>
      </c>
      <c r="CM6" s="22">
        <f>Sheet1!BZ4</f>
        <v>0</v>
      </c>
      <c r="CN6" s="22">
        <v>700</v>
      </c>
      <c r="CO6" s="94">
        <v>0.08</v>
      </c>
      <c r="CP6" s="22">
        <f t="shared" ref="CP6" si="6">CN6*CO6</f>
        <v>56</v>
      </c>
      <c r="CQ6" s="94">
        <v>0.25</v>
      </c>
      <c r="CR6" s="22">
        <f t="shared" ref="CR6" si="7">CN6*CQ6</f>
        <v>175</v>
      </c>
      <c r="CS6" s="94">
        <f>Sheet1!CF4</f>
        <v>0</v>
      </c>
      <c r="CT6" s="22">
        <f t="shared" ref="CT6" si="8">CN6*CS6</f>
        <v>0</v>
      </c>
      <c r="CU6" s="22">
        <f t="shared" ref="CU6" si="9">CN6+CP6+CR6+CT6</f>
        <v>931</v>
      </c>
      <c r="CV6" s="94">
        <v>0.02</v>
      </c>
      <c r="CW6" s="6">
        <f t="shared" ref="CW6" si="10">CU6*CV6</f>
        <v>18.62</v>
      </c>
      <c r="CX6" s="94">
        <v>0.01</v>
      </c>
      <c r="CY6" s="6">
        <f t="shared" ref="CY6" si="11">CU6*CX6</f>
        <v>9.31</v>
      </c>
      <c r="CZ6" s="94">
        <f>Sheet1!CM4</f>
        <v>0</v>
      </c>
      <c r="DA6" s="6">
        <f t="shared" ref="DA6" si="12">CZ6*CU6</f>
        <v>0</v>
      </c>
    </row>
    <row r="7" spans="1:106" s="21" customFormat="1" ht="28.8" x14ac:dyDescent="0.3">
      <c r="A7" s="6">
        <f>Sheet1!A5</f>
        <v>0</v>
      </c>
      <c r="B7" s="86">
        <f>Sheet1!B5</f>
        <v>0</v>
      </c>
      <c r="C7" s="6">
        <f>Sheet1!C5</f>
        <v>0</v>
      </c>
      <c r="D7" s="104" t="s">
        <v>236</v>
      </c>
      <c r="E7" s="22">
        <f t="shared" ref="E7:E15" si="13">CU7+CW7+CY7+DA7</f>
        <v>1027.425</v>
      </c>
      <c r="F7" s="97"/>
      <c r="G7" s="27">
        <f t="shared" si="2"/>
        <v>1027.425</v>
      </c>
      <c r="H7" s="27">
        <f t="shared" si="0"/>
        <v>4434366.3</v>
      </c>
      <c r="I7" s="28">
        <v>0.18</v>
      </c>
      <c r="J7" s="27">
        <f t="shared" ref="J7:J15" si="14">G7*I7</f>
        <v>184.9365</v>
      </c>
      <c r="K7" s="27">
        <f t="shared" ref="K7:K15" si="15">G7+J7</f>
        <v>1212.3615</v>
      </c>
      <c r="L7" s="78">
        <v>4316</v>
      </c>
      <c r="M7" s="75" t="s">
        <v>253</v>
      </c>
      <c r="N7" s="22">
        <f t="shared" ref="N7:N15" si="16">K7*L7</f>
        <v>5232552.2340000002</v>
      </c>
      <c r="O7" s="101"/>
      <c r="P7" s="70">
        <f>+IFERROR(VLOOKUP($P$2,Sheet1!J5:L5,3,0),0)</f>
        <v>0</v>
      </c>
      <c r="Q7" s="70">
        <f>+IFERROR(VLOOKUP($Q$2,Sheet1!J5:L5,3,0),0)</f>
        <v>0</v>
      </c>
      <c r="R7" s="70">
        <f>+IFERROR(VLOOKUP($R$2,Sheet1!J5:M5,3,0),0)</f>
        <v>0</v>
      </c>
      <c r="S7" s="70">
        <f>+IFERROR(VLOOKUP($S$2,Sheet1!J5:M5,3,0),0)</f>
        <v>0</v>
      </c>
      <c r="T7" s="70">
        <f>+IFERROR(VLOOKUP($T$2,Sheet1!J5:M5,3,0),0)</f>
        <v>0</v>
      </c>
      <c r="U7" s="70">
        <f>+IFERROR(VLOOKUP($U$2,Sheet1!J5:M5,3,0),0)</f>
        <v>0</v>
      </c>
      <c r="V7" s="70">
        <f>+IFERROR(VLOOKUP($V$2,Sheet1!J5:M5,3,0),0)</f>
        <v>0</v>
      </c>
      <c r="W7" s="70">
        <f>+IFERROR(VLOOKUP($W$2,Sheet1!J5:M5,3,0),0)</f>
        <v>0</v>
      </c>
      <c r="X7" s="71">
        <f>+IFERROR(VLOOKUP($X$2,Sheet1!N5:Q5,3,0),0)</f>
        <v>0</v>
      </c>
      <c r="Y7" s="71">
        <f>+IFERROR(VLOOKUP($Y$2,Sheet1!N5:Q5,3,0),0)</f>
        <v>0</v>
      </c>
      <c r="Z7" s="72">
        <f>+IFERROR(VLOOKUP($Z$2,Sheet1!F5:I5,3,0),0)</f>
        <v>0</v>
      </c>
      <c r="AA7" s="72">
        <f>+IFERROR(VLOOKUP($AA$2,Sheet1!F5:I5,3,0),0)</f>
        <v>0</v>
      </c>
      <c r="AB7" s="72">
        <f>+IFERROR(VLOOKUP($AB$2,Sheet1!F5:I5,3,0),0)</f>
        <v>0</v>
      </c>
      <c r="AC7" s="72">
        <f>+IFERROR(VLOOKUP($AC$2,Sheet1!F5:I5,3,0),0)</f>
        <v>0</v>
      </c>
      <c r="AD7" s="72">
        <f>+IFERROR(VLOOKUP($AD$2,Sheet1!F5:I5,3,0),0)</f>
        <v>0</v>
      </c>
      <c r="AE7" s="72">
        <f>+IFERROR(VLOOKUP($AE$2,Sheet1!F5:I5,3,0),0)</f>
        <v>0</v>
      </c>
      <c r="AF7" s="72">
        <f>+IFERROR(VLOOKUP($AF$2,Sheet1!F5:I5,3,0),0)</f>
        <v>0</v>
      </c>
      <c r="AG7" s="72">
        <f>+IFERROR(VLOOKUP($AG$2,Sheet1!F5:I5,3,0),0)</f>
        <v>0</v>
      </c>
      <c r="AH7" s="73">
        <f>+IFERROR(VLOOKUP($AH$2,Sheet1!R5:U5,3,0),0)</f>
        <v>0</v>
      </c>
      <c r="AI7" s="31">
        <f>+IFERROR(VLOOKUP($AI$2,Sheet1!R5:U5,3,0),0)</f>
        <v>0</v>
      </c>
      <c r="AJ7" s="74">
        <f>+IFERROR(VLOOKUP($AJ$2,Sheet1!V5:Y5,3,0),0)</f>
        <v>0</v>
      </c>
      <c r="AK7" s="32">
        <f>+IFERROR(VLOOKUP($AK$2,Sheet1!V5:Y5,3,0),0)</f>
        <v>0</v>
      </c>
      <c r="AL7" s="32">
        <f>+IFERROR(VLOOKUP($AL$2,Sheet1!V5:Y5,3,0),0)</f>
        <v>0</v>
      </c>
      <c r="AM7" s="32">
        <f>+IFERROR(VLOOKUP($AM$2,Sheet1!V5:Y5,3,0),0)</f>
        <v>0</v>
      </c>
      <c r="AN7" s="32">
        <f>+IFERROR(VLOOKUP($AN$2,Sheet1!V5:Y5,3,0),0)</f>
        <v>0</v>
      </c>
      <c r="AO7" s="32">
        <f>+IFERROR(VLOOKUP($AO$2,Sheet1!V5:Y5,3,0),0)</f>
        <v>0</v>
      </c>
      <c r="AP7" s="32">
        <f>+IFERROR(VLOOKUP($AP$2,Sheet1!V5:Y5,3,0),0)</f>
        <v>0</v>
      </c>
      <c r="AQ7" s="32">
        <f>+IFERROR(VLOOKUP($AQ$2,Sheet1!V5:Y5,3,0),0)</f>
        <v>0</v>
      </c>
      <c r="AR7" s="32">
        <f>+IFERROR(VLOOKUP($AR$2,Sheet1!V5:Y5,3,0),0)</f>
        <v>0</v>
      </c>
      <c r="AS7" s="35">
        <f>+IFERROR(VLOOKUP($AS$2,Sheet1!Z5:AB5,3,0),0)</f>
        <v>0</v>
      </c>
      <c r="AT7" s="36">
        <f>+IFERROR(VLOOKUP($AT$2,Sheet1!AD5:AG5,3,0),0)</f>
        <v>0</v>
      </c>
      <c r="AU7" s="36">
        <f>+IFERROR(VLOOKUP($AU$2,Sheet1!AD5:AG5,3,0),0)</f>
        <v>0</v>
      </c>
      <c r="AV7" s="36">
        <f>+IFERROR(VLOOKUP($AV$2,Sheet1!AD5:AG5,3,0),0)</f>
        <v>0</v>
      </c>
      <c r="AW7" s="36">
        <f>+IFERROR(VLOOKUP($AW$2,Sheet1!AD5:AG5,3,0),0)</f>
        <v>0</v>
      </c>
      <c r="AX7" s="36">
        <f>+IFERROR(VLOOKUP($AX$2,Sheet1!AD5:AG5,3,0),0)</f>
        <v>0</v>
      </c>
      <c r="AY7" s="36">
        <f>+IFERROR(VLOOKUP($AY$2,Sheet1!AD5:AG5,3,0),0)</f>
        <v>0</v>
      </c>
      <c r="AZ7" s="36">
        <f>+IFERROR(VLOOKUP($AZ$2,Sheet1!AD5:AG5,3,0),0)</f>
        <v>0</v>
      </c>
      <c r="BA7" s="36">
        <f>+IFERROR(VLOOKUP($BA$2,Sheet1!AD5:AG5,3,0),0)</f>
        <v>0</v>
      </c>
      <c r="BB7" s="36">
        <f>+IFERROR(VLOOKUP($BB$2,Sheet1!AD5:AG5,3,0),0)</f>
        <v>0</v>
      </c>
      <c r="BC7" s="35">
        <f>+IFERROR(VLOOKUP($BC$2,Sheet1!AH5:AK5,3,0),0)</f>
        <v>0</v>
      </c>
      <c r="BD7" s="35">
        <f>+IFERROR(VLOOKUP($BD$2,Sheet1!AH5:AK5,3,0),0)</f>
        <v>0</v>
      </c>
      <c r="BE7" s="35">
        <f>+IFERROR(VLOOKUP($BE$2,Sheet1!AH5:AK5,3,0),0)</f>
        <v>0</v>
      </c>
      <c r="BF7" s="35">
        <f>+IFERROR(VLOOKUP($BF$2,Sheet1!AH5:AK5,3,0),0)</f>
        <v>0</v>
      </c>
      <c r="BG7" s="35">
        <f>+IFERROR(VLOOKUP($BG$2,Sheet1!AH5:AK5,3,0),0)</f>
        <v>0</v>
      </c>
      <c r="BH7" s="35">
        <f>+IFERROR(VLOOKUP($BH$2,Sheet1!AH5:AK5,3,0),0)</f>
        <v>0</v>
      </c>
      <c r="BI7" s="35">
        <f>+IFERROR(VLOOKUP($BI$2,Sheet1!AH5:AK5,3,0),0)</f>
        <v>0</v>
      </c>
      <c r="BJ7" s="35">
        <f>+IFERROR(VLOOKUP($BJ$2,Sheet1!AH5:AK5,3,0),0)</f>
        <v>0</v>
      </c>
      <c r="BK7" s="35">
        <f>+IFERROR(VLOOKUP($BK$2,Sheet1!AH5:AK5,3,0),0)</f>
        <v>0</v>
      </c>
      <c r="BL7" s="35">
        <f>+IFERROR(VLOOKUP($BL$2,Sheet1!AH5:AK5,3,0),0)</f>
        <v>0</v>
      </c>
      <c r="BM7" s="35">
        <f>+IFERROR(VLOOKUP($BM$2,Sheet1!AH5:AK5,3,0),0)</f>
        <v>0</v>
      </c>
      <c r="BN7" s="9">
        <f>+IFERROR(VLOOKUP($BN$2,Sheet1!AL5:AO5,3,0),0)</f>
        <v>0</v>
      </c>
      <c r="BO7" s="9">
        <f>+IFERROR(VLOOKUP($BO$2,Sheet1!AL5:AO5,3,0),0)</f>
        <v>0</v>
      </c>
      <c r="BP7" s="9">
        <f>+IFERROR(VLOOKUP($BP$2,Sheet1!AL5:AO5,3,0),0)</f>
        <v>0</v>
      </c>
      <c r="BQ7" s="9">
        <f>+IFERROR(VLOOKUP($BQ$2,Sheet1!AL5:AO5,3,0),0)</f>
        <v>0</v>
      </c>
      <c r="BR7" s="9">
        <f>+IFERROR(VLOOKUP($BR$2,Sheet1!AL5:AO5,3,0),0)</f>
        <v>0</v>
      </c>
      <c r="BS7" s="9">
        <f>+IFERROR(VLOOKUP($BS$2,Sheet1!AL5:AO5,3,0),0)</f>
        <v>0</v>
      </c>
      <c r="BT7" s="9">
        <f>+IFERROR(VLOOKUP($BT$2,Sheet1!AL5:AO5,3,0),0)</f>
        <v>0</v>
      </c>
      <c r="BU7" s="9">
        <f>+IFERROR(VLOOKUP($BU$2,Sheet1!AL5:AO5,3,0),0)</f>
        <v>0</v>
      </c>
      <c r="BV7" s="9">
        <f>+IFERROR(VLOOKUP($BV$2,Sheet1!AL5:AO5,3,0),0)</f>
        <v>0</v>
      </c>
      <c r="BW7" s="9">
        <f>+IFERROR(VLOOKUP($BW$2,Sheet1!AL5:AO5,3,0),0)</f>
        <v>0</v>
      </c>
      <c r="BX7" s="9">
        <f>+IFERROR(VLOOKUP($BX$2,Sheet1!AL5:AO5,3,0),0)</f>
        <v>0</v>
      </c>
      <c r="BY7" s="9">
        <f>+IFERROR(VLOOKUP($BY$2,Sheet1!AL5:AO5,3,0),0)</f>
        <v>0</v>
      </c>
      <c r="BZ7" s="39">
        <f>+IFERROR(VLOOKUP($BZ$2,Sheet1!AP5:AS5,3,0),0)</f>
        <v>0</v>
      </c>
      <c r="CA7" s="42">
        <f>+IFERROR(VLOOKUP($CA$2,Sheet1!AT5:AW5,3,0),0)</f>
        <v>0</v>
      </c>
      <c r="CB7" s="43">
        <f>+IFERROR(VLOOKUP($CB$2,Sheet1!AX5:BA5,3,0),0)</f>
        <v>0</v>
      </c>
      <c r="CC7" s="45">
        <f>+IFERROR(VLOOKUP($CC$2,Sheet1!BB5:BE5,3,0),0)</f>
        <v>0</v>
      </c>
      <c r="CD7" s="47">
        <f>+IFERROR(VLOOKUP($CD$2,Sheet1!BF5:BI5,3,0),0)</f>
        <v>0</v>
      </c>
      <c r="CE7" s="48">
        <f>+IFERROR(VLOOKUP($CE$2,Sheet1!BJ5:BM5,3,0),0)</f>
        <v>0</v>
      </c>
      <c r="CF7" s="49">
        <f>+IFERROR(VLOOKUP($CF$2,Sheet1!BN5:BQ5,3,0),0)</f>
        <v>0</v>
      </c>
      <c r="CG7" s="37">
        <f>+IFERROR(VLOOKUP($CG$2,Sheet1!BR5:BU5,3,0),0)</f>
        <v>0</v>
      </c>
      <c r="CH7" s="43">
        <f>+IFERROR(VLOOKUP($CH$2,Sheet1!BV5:BY5,3,0),0)</f>
        <v>0</v>
      </c>
      <c r="CI7" s="66">
        <f>Sheet1!E5</f>
        <v>0</v>
      </c>
      <c r="CJ7" s="67">
        <f>Sheet1!CY5</f>
        <v>0</v>
      </c>
      <c r="CK7" s="67">
        <f>Sheet1!CZ5</f>
        <v>0</v>
      </c>
      <c r="CL7" s="67">
        <f>Sheet1!CX5</f>
        <v>0</v>
      </c>
      <c r="CM7" s="22">
        <f>Sheet1!BZ5</f>
        <v>0</v>
      </c>
      <c r="CN7" s="22">
        <v>750</v>
      </c>
      <c r="CO7" s="94">
        <v>0.08</v>
      </c>
      <c r="CP7" s="22">
        <f t="shared" ref="CP7:CP15" si="17">CN7*CO7</f>
        <v>60</v>
      </c>
      <c r="CQ7" s="94">
        <v>0.25</v>
      </c>
      <c r="CR7" s="22">
        <f t="shared" ref="CR7:CR15" si="18">CN7*CQ7</f>
        <v>187.5</v>
      </c>
      <c r="CS7" s="94">
        <f>Sheet1!CF5</f>
        <v>0</v>
      </c>
      <c r="CT7" s="22">
        <f t="shared" ref="CT7:CT15" si="19">CN7*CS7</f>
        <v>0</v>
      </c>
      <c r="CU7" s="22">
        <f t="shared" ref="CU7:CU15" si="20">CN7+CP7+CR7+CT7</f>
        <v>997.5</v>
      </c>
      <c r="CV7" s="94">
        <v>0.02</v>
      </c>
      <c r="CW7" s="6">
        <f t="shared" ref="CW7:CW15" si="21">CU7*CV7</f>
        <v>19.95</v>
      </c>
      <c r="CX7" s="94">
        <v>0.01</v>
      </c>
      <c r="CY7" s="6">
        <f t="shared" ref="CY7:CY15" si="22">CU7*CX7</f>
        <v>9.9749999999999996</v>
      </c>
      <c r="CZ7" s="94">
        <f>Sheet1!CM5</f>
        <v>0</v>
      </c>
      <c r="DA7" s="6">
        <f t="shared" ref="DA7:DA15" si="23">CZ7*CU7</f>
        <v>0</v>
      </c>
    </row>
    <row r="8" spans="1:106" s="21" customFormat="1" ht="43.2" x14ac:dyDescent="0.3">
      <c r="A8" s="6">
        <f>Sheet1!A6</f>
        <v>0</v>
      </c>
      <c r="B8" s="86">
        <f>Sheet1!B6</f>
        <v>0</v>
      </c>
      <c r="C8" s="6">
        <f>Sheet1!C6</f>
        <v>0</v>
      </c>
      <c r="D8" s="103" t="s">
        <v>237</v>
      </c>
      <c r="E8" s="22"/>
      <c r="F8" s="97"/>
      <c r="G8" s="27"/>
      <c r="H8" s="27">
        <f t="shared" si="0"/>
        <v>0</v>
      </c>
      <c r="I8" s="28"/>
      <c r="J8" s="27"/>
      <c r="K8" s="27"/>
      <c r="L8" s="78"/>
      <c r="M8" s="75"/>
      <c r="N8" s="22"/>
      <c r="O8" s="101"/>
      <c r="P8" s="70"/>
      <c r="Q8" s="70"/>
      <c r="R8" s="70"/>
      <c r="S8" s="70"/>
      <c r="T8" s="70"/>
      <c r="U8" s="70"/>
      <c r="V8" s="70"/>
      <c r="W8" s="70"/>
      <c r="X8" s="71"/>
      <c r="Y8" s="71"/>
      <c r="Z8" s="72"/>
      <c r="AA8" s="72"/>
      <c r="AB8" s="72"/>
      <c r="AC8" s="72"/>
      <c r="AD8" s="72"/>
      <c r="AE8" s="72"/>
      <c r="AF8" s="72"/>
      <c r="AG8" s="72"/>
      <c r="AH8" s="73"/>
      <c r="AI8" s="31"/>
      <c r="AJ8" s="74"/>
      <c r="AK8" s="32"/>
      <c r="AL8" s="32"/>
      <c r="AM8" s="32"/>
      <c r="AN8" s="32"/>
      <c r="AO8" s="32"/>
      <c r="AP8" s="32"/>
      <c r="AQ8" s="32"/>
      <c r="AR8" s="32"/>
      <c r="AS8" s="35"/>
      <c r="AT8" s="36"/>
      <c r="AU8" s="36"/>
      <c r="AV8" s="36"/>
      <c r="AW8" s="36"/>
      <c r="AX8" s="36"/>
      <c r="AY8" s="36"/>
      <c r="AZ8" s="36"/>
      <c r="BA8" s="36"/>
      <c r="BB8" s="36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39"/>
      <c r="CA8" s="42"/>
      <c r="CB8" s="43"/>
      <c r="CC8" s="45"/>
      <c r="CD8" s="47"/>
      <c r="CE8" s="48"/>
      <c r="CF8" s="49"/>
      <c r="CG8" s="37"/>
      <c r="CH8" s="43"/>
      <c r="CI8" s="66"/>
      <c r="CJ8" s="67"/>
      <c r="CK8" s="67"/>
      <c r="CL8" s="67"/>
      <c r="CM8" s="22"/>
      <c r="CN8" s="22"/>
      <c r="CO8" s="94"/>
      <c r="CP8" s="22"/>
      <c r="CQ8" s="94"/>
      <c r="CR8" s="22"/>
      <c r="CS8" s="94"/>
      <c r="CT8" s="22"/>
      <c r="CU8" s="22"/>
      <c r="CV8" s="94"/>
      <c r="CW8" s="6"/>
      <c r="CX8" s="94"/>
      <c r="CY8" s="6"/>
      <c r="CZ8" s="94"/>
      <c r="DA8" s="6"/>
    </row>
    <row r="9" spans="1:106" s="21" customFormat="1" ht="28.8" x14ac:dyDescent="0.3">
      <c r="A9" s="6">
        <f>Sheet1!A7</f>
        <v>0</v>
      </c>
      <c r="B9" s="86">
        <f>Sheet1!B7</f>
        <v>0</v>
      </c>
      <c r="C9" s="6">
        <f>Sheet1!C7</f>
        <v>0</v>
      </c>
      <c r="D9" s="104" t="s">
        <v>238</v>
      </c>
      <c r="E9" s="22">
        <f t="shared" si="13"/>
        <v>3219.2650000000003</v>
      </c>
      <c r="F9" s="97"/>
      <c r="G9" s="27">
        <f t="shared" si="2"/>
        <v>3219.2650000000003</v>
      </c>
      <c r="H9" s="27">
        <f t="shared" si="0"/>
        <v>956121.70500000007</v>
      </c>
      <c r="I9" s="28">
        <v>0.18</v>
      </c>
      <c r="J9" s="27">
        <f t="shared" si="14"/>
        <v>579.46770000000004</v>
      </c>
      <c r="K9" s="27">
        <f t="shared" si="15"/>
        <v>3798.7327000000005</v>
      </c>
      <c r="L9" s="78">
        <v>297</v>
      </c>
      <c r="M9" s="75" t="s">
        <v>253</v>
      </c>
      <c r="N9" s="22">
        <f t="shared" si="16"/>
        <v>1128223.6119000001</v>
      </c>
      <c r="O9" s="101"/>
      <c r="P9" s="70">
        <f>+IFERROR(VLOOKUP($P$2,Sheet1!J7:L7,3,0),0)</f>
        <v>0</v>
      </c>
      <c r="Q9" s="70">
        <f>+IFERROR(VLOOKUP($Q$2,Sheet1!J7:L7,3,0),0)</f>
        <v>0</v>
      </c>
      <c r="R9" s="70">
        <f>+IFERROR(VLOOKUP($R$2,Sheet1!J7:M7,3,0),0)</f>
        <v>0</v>
      </c>
      <c r="S9" s="70">
        <f>+IFERROR(VLOOKUP($S$2,Sheet1!J7:M7,3,0),0)</f>
        <v>0</v>
      </c>
      <c r="T9" s="70">
        <f>+IFERROR(VLOOKUP($T$2,Sheet1!J7:M7,3,0),0)</f>
        <v>0</v>
      </c>
      <c r="U9" s="70">
        <f>+IFERROR(VLOOKUP($U$2,Sheet1!J7:M7,3,0),0)</f>
        <v>0</v>
      </c>
      <c r="V9" s="70">
        <f>+IFERROR(VLOOKUP($V$2,Sheet1!J7:M7,3,0),0)</f>
        <v>0</v>
      </c>
      <c r="W9" s="70">
        <f>+IFERROR(VLOOKUP($W$2,Sheet1!J7:M7,3,0),0)</f>
        <v>0</v>
      </c>
      <c r="X9" s="71">
        <f>+IFERROR(VLOOKUP($X$2,Sheet1!N7:Q7,3,0),0)</f>
        <v>0</v>
      </c>
      <c r="Y9" s="71">
        <f>+IFERROR(VLOOKUP($Y$2,Sheet1!N7:Q7,3,0),0)</f>
        <v>0</v>
      </c>
      <c r="Z9" s="72">
        <f>+IFERROR(VLOOKUP($Z$2,Sheet1!F7:I7,3,0),0)</f>
        <v>0</v>
      </c>
      <c r="AA9" s="72">
        <f>+IFERROR(VLOOKUP($AA$2,Sheet1!F7:I7,3,0),0)</f>
        <v>0</v>
      </c>
      <c r="AB9" s="72">
        <f>+IFERROR(VLOOKUP($AB$2,Sheet1!F7:I7,3,0),0)</f>
        <v>0</v>
      </c>
      <c r="AC9" s="72">
        <f>+IFERROR(VLOOKUP($AC$2,Sheet1!F7:I7,3,0),0)</f>
        <v>0</v>
      </c>
      <c r="AD9" s="72">
        <f>+IFERROR(VLOOKUP($AD$2,Sheet1!F7:I7,3,0),0)</f>
        <v>0</v>
      </c>
      <c r="AE9" s="72">
        <f>+IFERROR(VLOOKUP($AE$2,Sheet1!F7:I7,3,0),0)</f>
        <v>0</v>
      </c>
      <c r="AF9" s="72">
        <f>+IFERROR(VLOOKUP($AF$2,Sheet1!F7:I7,3,0),0)</f>
        <v>0</v>
      </c>
      <c r="AG9" s="72">
        <f>+IFERROR(VLOOKUP($AG$2,Sheet1!F7:I7,3,0),0)</f>
        <v>0</v>
      </c>
      <c r="AH9" s="73">
        <f>+IFERROR(VLOOKUP($AH$2,Sheet1!R7:U7,3,0),0)</f>
        <v>0</v>
      </c>
      <c r="AI9" s="31">
        <f>+IFERROR(VLOOKUP($AI$2,Sheet1!R7:U7,3,0),0)</f>
        <v>0</v>
      </c>
      <c r="AJ9" s="74">
        <f>+IFERROR(VLOOKUP($AJ$2,Sheet1!V7:Y7,3,0),0)</f>
        <v>0</v>
      </c>
      <c r="AK9" s="32">
        <f>+IFERROR(VLOOKUP($AK$2,Sheet1!V7:Y7,3,0),0)</f>
        <v>0</v>
      </c>
      <c r="AL9" s="32">
        <f>+IFERROR(VLOOKUP($AL$2,Sheet1!V7:Y7,3,0),0)</f>
        <v>0</v>
      </c>
      <c r="AM9" s="32">
        <f>+IFERROR(VLOOKUP($AM$2,Sheet1!V7:Y7,3,0),0)</f>
        <v>0</v>
      </c>
      <c r="AN9" s="32">
        <f>+IFERROR(VLOOKUP($AN$2,Sheet1!V7:Y7,3,0),0)</f>
        <v>0</v>
      </c>
      <c r="AO9" s="32">
        <f>+IFERROR(VLOOKUP($AO$2,Sheet1!V7:Y7,3,0),0)</f>
        <v>0</v>
      </c>
      <c r="AP9" s="32">
        <f>+IFERROR(VLOOKUP($AP$2,Sheet1!V7:Y7,3,0),0)</f>
        <v>0</v>
      </c>
      <c r="AQ9" s="32">
        <f>+IFERROR(VLOOKUP($AQ$2,Sheet1!V7:Y7,3,0),0)</f>
        <v>0</v>
      </c>
      <c r="AR9" s="32">
        <f>+IFERROR(VLOOKUP($AR$2,Sheet1!V7:Y7,3,0),0)</f>
        <v>0</v>
      </c>
      <c r="AS9" s="35">
        <f>+IFERROR(VLOOKUP($AS$2,Sheet1!Z7:AB7,3,0),0)</f>
        <v>0</v>
      </c>
      <c r="AT9" s="36">
        <f>+IFERROR(VLOOKUP($AT$2,Sheet1!AD7:AG7,3,0),0)</f>
        <v>0</v>
      </c>
      <c r="AU9" s="36">
        <f>+IFERROR(VLOOKUP($AU$2,Sheet1!AD7:AG7,3,0),0)</f>
        <v>0</v>
      </c>
      <c r="AV9" s="36">
        <f>+IFERROR(VLOOKUP($AV$2,Sheet1!AD7:AG7,3,0),0)</f>
        <v>0</v>
      </c>
      <c r="AW9" s="36">
        <f>+IFERROR(VLOOKUP($AW$2,Sheet1!AD7:AG7,3,0),0)</f>
        <v>0</v>
      </c>
      <c r="AX9" s="36">
        <f>+IFERROR(VLOOKUP($AX$2,Sheet1!AD7:AG7,3,0),0)</f>
        <v>0</v>
      </c>
      <c r="AY9" s="36">
        <f>+IFERROR(VLOOKUP($AY$2,Sheet1!AD7:AG7,3,0),0)</f>
        <v>0</v>
      </c>
      <c r="AZ9" s="36">
        <f>+IFERROR(VLOOKUP($AZ$2,Sheet1!AD7:AG7,3,0),0)</f>
        <v>0</v>
      </c>
      <c r="BA9" s="36">
        <f>+IFERROR(VLOOKUP($BA$2,Sheet1!AD7:AG7,3,0),0)</f>
        <v>0</v>
      </c>
      <c r="BB9" s="36">
        <f>+IFERROR(VLOOKUP($BB$2,Sheet1!AD7:AG7,3,0),0)</f>
        <v>0</v>
      </c>
      <c r="BC9" s="35">
        <f>+IFERROR(VLOOKUP($BC$2,Sheet1!AH7:AK7,3,0),0)</f>
        <v>0</v>
      </c>
      <c r="BD9" s="35">
        <f>+IFERROR(VLOOKUP($BD$2,Sheet1!AH7:AK7,3,0),0)</f>
        <v>0</v>
      </c>
      <c r="BE9" s="35">
        <f>+IFERROR(VLOOKUP($BE$2,Sheet1!AH7:AK7,3,0),0)</f>
        <v>0</v>
      </c>
      <c r="BF9" s="35">
        <f>+IFERROR(VLOOKUP($BF$2,Sheet1!AH7:AK7,3,0),0)</f>
        <v>0</v>
      </c>
      <c r="BG9" s="35">
        <f>+IFERROR(VLOOKUP($BG$2,Sheet1!AH7:AK7,3,0),0)</f>
        <v>0</v>
      </c>
      <c r="BH9" s="35">
        <f>+IFERROR(VLOOKUP($BH$2,Sheet1!AH7:AK7,3,0),0)</f>
        <v>0</v>
      </c>
      <c r="BI9" s="35">
        <f>+IFERROR(VLOOKUP($BI$2,Sheet1!AH7:AK7,3,0),0)</f>
        <v>0</v>
      </c>
      <c r="BJ9" s="35">
        <f>+IFERROR(VLOOKUP($BJ$2,Sheet1!AH7:AK7,3,0),0)</f>
        <v>0</v>
      </c>
      <c r="BK9" s="35">
        <f>+IFERROR(VLOOKUP($BK$2,Sheet1!AH7:AK7,3,0),0)</f>
        <v>0</v>
      </c>
      <c r="BL9" s="35">
        <f>+IFERROR(VLOOKUP($BL$2,Sheet1!AH7:AK7,3,0),0)</f>
        <v>0</v>
      </c>
      <c r="BM9" s="35">
        <f>+IFERROR(VLOOKUP($BM$2,Sheet1!AH7:AK7,3,0),0)</f>
        <v>0</v>
      </c>
      <c r="BN9" s="9">
        <f>+IFERROR(VLOOKUP($BN$2,Sheet1!AL7:AO7,3,0),0)</f>
        <v>0</v>
      </c>
      <c r="BO9" s="9">
        <f>+IFERROR(VLOOKUP($BO$2,Sheet1!AL7:AO7,3,0),0)</f>
        <v>0</v>
      </c>
      <c r="BP9" s="9">
        <f>+IFERROR(VLOOKUP($BP$2,Sheet1!AL7:AO7,3,0),0)</f>
        <v>0</v>
      </c>
      <c r="BQ9" s="9">
        <f>+IFERROR(VLOOKUP($BQ$2,Sheet1!AL7:AO7,3,0),0)</f>
        <v>0</v>
      </c>
      <c r="BR9" s="9">
        <f>+IFERROR(VLOOKUP($BR$2,Sheet1!AL7:AO7,3,0),0)</f>
        <v>0</v>
      </c>
      <c r="BS9" s="9">
        <f>+IFERROR(VLOOKUP($BS$2,Sheet1!AL7:AO7,3,0),0)</f>
        <v>0</v>
      </c>
      <c r="BT9" s="9">
        <f>+IFERROR(VLOOKUP($BT$2,Sheet1!AL7:AO7,3,0),0)</f>
        <v>0</v>
      </c>
      <c r="BU9" s="9">
        <f>+IFERROR(VLOOKUP($BU$2,Sheet1!AL7:AO7,3,0),0)</f>
        <v>0</v>
      </c>
      <c r="BV9" s="9">
        <f>+IFERROR(VLOOKUP($BV$2,Sheet1!AL7:AO7,3,0),0)</f>
        <v>0</v>
      </c>
      <c r="BW9" s="9">
        <f>+IFERROR(VLOOKUP($BW$2,Sheet1!AL7:AO7,3,0),0)</f>
        <v>0</v>
      </c>
      <c r="BX9" s="9">
        <f>+IFERROR(VLOOKUP($BX$2,Sheet1!AL7:AO7,3,0),0)</f>
        <v>0</v>
      </c>
      <c r="BY9" s="9">
        <f>+IFERROR(VLOOKUP($BY$2,Sheet1!AL7:AO7,3,0),0)</f>
        <v>0</v>
      </c>
      <c r="BZ9" s="39">
        <f>+IFERROR(VLOOKUP($BZ$2,Sheet1!AP7:AS7,3,0),0)</f>
        <v>0</v>
      </c>
      <c r="CA9" s="42">
        <f>+IFERROR(VLOOKUP($CA$2,Sheet1!AT7:AW7,3,0),0)</f>
        <v>0</v>
      </c>
      <c r="CB9" s="43">
        <f>+IFERROR(VLOOKUP($CB$2,Sheet1!AX7:BA7,3,0),0)</f>
        <v>0</v>
      </c>
      <c r="CC9" s="45">
        <f>+IFERROR(VLOOKUP($CC$2,Sheet1!BB7:BE7,3,0),0)</f>
        <v>0</v>
      </c>
      <c r="CD9" s="47">
        <f>+IFERROR(VLOOKUP($CD$2,Sheet1!BF7:BI7,3,0),0)</f>
        <v>0</v>
      </c>
      <c r="CE9" s="48">
        <f>+IFERROR(VLOOKUP($CE$2,Sheet1!BJ7:BM7,3,0),0)</f>
        <v>0</v>
      </c>
      <c r="CF9" s="49">
        <f>+IFERROR(VLOOKUP($CF$2,Sheet1!BN7:BQ7,3,0),0)</f>
        <v>0</v>
      </c>
      <c r="CG9" s="37">
        <f>+IFERROR(VLOOKUP($CG$2,Sheet1!BR7:BU7,3,0),0)</f>
        <v>0</v>
      </c>
      <c r="CH9" s="43">
        <f>+IFERROR(VLOOKUP($CH$2,Sheet1!BV7:BY7,3,0),0)</f>
        <v>0</v>
      </c>
      <c r="CI9" s="66">
        <f>Sheet1!E7</f>
        <v>0</v>
      </c>
      <c r="CJ9" s="67">
        <f>Sheet1!CY7</f>
        <v>0</v>
      </c>
      <c r="CK9" s="67">
        <f>Sheet1!CZ7</f>
        <v>0</v>
      </c>
      <c r="CL9" s="67">
        <f>Sheet1!CX7</f>
        <v>0</v>
      </c>
      <c r="CM9" s="22">
        <f>Sheet1!BZ7</f>
        <v>0</v>
      </c>
      <c r="CN9" s="22">
        <v>2350</v>
      </c>
      <c r="CO9" s="94">
        <v>0.08</v>
      </c>
      <c r="CP9" s="22">
        <f t="shared" si="17"/>
        <v>188</v>
      </c>
      <c r="CQ9" s="94">
        <v>0.25</v>
      </c>
      <c r="CR9" s="22">
        <f t="shared" si="18"/>
        <v>587.5</v>
      </c>
      <c r="CS9" s="94">
        <f>Sheet1!CF7</f>
        <v>0</v>
      </c>
      <c r="CT9" s="22">
        <f t="shared" si="19"/>
        <v>0</v>
      </c>
      <c r="CU9" s="22">
        <f t="shared" si="20"/>
        <v>3125.5</v>
      </c>
      <c r="CV9" s="94">
        <v>0.02</v>
      </c>
      <c r="CW9" s="6">
        <f t="shared" si="21"/>
        <v>62.51</v>
      </c>
      <c r="CX9" s="94">
        <v>0.01</v>
      </c>
      <c r="CY9" s="6">
        <f t="shared" si="22"/>
        <v>31.254999999999999</v>
      </c>
      <c r="CZ9" s="94">
        <f>Sheet1!CM7</f>
        <v>0</v>
      </c>
      <c r="DA9" s="6">
        <f t="shared" si="23"/>
        <v>0</v>
      </c>
    </row>
    <row r="10" spans="1:106" s="21" customFormat="1" ht="28.8" x14ac:dyDescent="0.3">
      <c r="A10" s="6">
        <f>Sheet1!A8</f>
        <v>0</v>
      </c>
      <c r="B10" s="86">
        <f>Sheet1!B8</f>
        <v>0</v>
      </c>
      <c r="C10" s="6">
        <f>Sheet1!C8</f>
        <v>0</v>
      </c>
      <c r="D10" s="104" t="s">
        <v>239</v>
      </c>
      <c r="E10" s="22">
        <f t="shared" si="13"/>
        <v>6198.7974999999997</v>
      </c>
      <c r="F10" s="97"/>
      <c r="G10" s="27">
        <f t="shared" si="2"/>
        <v>6198.7974999999997</v>
      </c>
      <c r="H10" s="27">
        <f t="shared" si="0"/>
        <v>353331.45749999996</v>
      </c>
      <c r="I10" s="28">
        <v>0.18</v>
      </c>
      <c r="J10" s="27">
        <f t="shared" si="14"/>
        <v>1115.7835499999999</v>
      </c>
      <c r="K10" s="27">
        <f t="shared" si="15"/>
        <v>7314.5810499999998</v>
      </c>
      <c r="L10" s="78">
        <v>57</v>
      </c>
      <c r="M10" s="75" t="s">
        <v>253</v>
      </c>
      <c r="N10" s="22">
        <f t="shared" si="16"/>
        <v>416931.11984999996</v>
      </c>
      <c r="O10" s="101"/>
      <c r="P10" s="70">
        <f>+IFERROR(VLOOKUP($P$2,Sheet1!J8:L8,3,0),0)</f>
        <v>0</v>
      </c>
      <c r="Q10" s="70">
        <f>+IFERROR(VLOOKUP($Q$2,Sheet1!J8:L8,3,0),0)</f>
        <v>0</v>
      </c>
      <c r="R10" s="70">
        <f>+IFERROR(VLOOKUP($R$2,Sheet1!J8:M8,3,0),0)</f>
        <v>0</v>
      </c>
      <c r="S10" s="70">
        <f>+IFERROR(VLOOKUP($S$2,Sheet1!J8:M8,3,0),0)</f>
        <v>0</v>
      </c>
      <c r="T10" s="70">
        <f>+IFERROR(VLOOKUP($T$2,Sheet1!J8:M8,3,0),0)</f>
        <v>0</v>
      </c>
      <c r="U10" s="70">
        <f>+IFERROR(VLOOKUP($U$2,Sheet1!J8:M8,3,0),0)</f>
        <v>0</v>
      </c>
      <c r="V10" s="70">
        <f>+IFERROR(VLOOKUP($V$2,Sheet1!J8:M8,3,0),0)</f>
        <v>0</v>
      </c>
      <c r="W10" s="70">
        <f>+IFERROR(VLOOKUP($W$2,Sheet1!J8:M8,3,0),0)</f>
        <v>0</v>
      </c>
      <c r="X10" s="71">
        <f>+IFERROR(VLOOKUP($X$2,Sheet1!N8:Q8,3,0),0)</f>
        <v>0</v>
      </c>
      <c r="Y10" s="71">
        <f>+IFERROR(VLOOKUP($Y$2,Sheet1!N8:Q8,3,0),0)</f>
        <v>0</v>
      </c>
      <c r="Z10" s="72">
        <f>+IFERROR(VLOOKUP($Z$2,Sheet1!F8:I8,3,0),0)</f>
        <v>0</v>
      </c>
      <c r="AA10" s="72">
        <f>+IFERROR(VLOOKUP($AA$2,Sheet1!F8:I8,3,0),0)</f>
        <v>0</v>
      </c>
      <c r="AB10" s="72">
        <f>+IFERROR(VLOOKUP($AB$2,Sheet1!F8:I8,3,0),0)</f>
        <v>0</v>
      </c>
      <c r="AC10" s="72">
        <f>+IFERROR(VLOOKUP($AC$2,Sheet1!F8:I8,3,0),0)</f>
        <v>0</v>
      </c>
      <c r="AD10" s="72">
        <f>+IFERROR(VLOOKUP($AD$2,Sheet1!F8:I8,3,0),0)</f>
        <v>0</v>
      </c>
      <c r="AE10" s="72">
        <f>+IFERROR(VLOOKUP($AE$2,Sheet1!F8:I8,3,0),0)</f>
        <v>0</v>
      </c>
      <c r="AF10" s="72">
        <f>+IFERROR(VLOOKUP($AF$2,Sheet1!F8:I8,3,0),0)</f>
        <v>0</v>
      </c>
      <c r="AG10" s="72">
        <f>+IFERROR(VLOOKUP($AG$2,Sheet1!F8:I8,3,0),0)</f>
        <v>0</v>
      </c>
      <c r="AH10" s="73">
        <f>+IFERROR(VLOOKUP($AH$2,Sheet1!R8:U8,3,0),0)</f>
        <v>0</v>
      </c>
      <c r="AI10" s="31">
        <f>+IFERROR(VLOOKUP($AI$2,Sheet1!R8:U8,3,0),0)</f>
        <v>0</v>
      </c>
      <c r="AJ10" s="74">
        <f>+IFERROR(VLOOKUP($AJ$2,Sheet1!V8:Y8,3,0),0)</f>
        <v>0</v>
      </c>
      <c r="AK10" s="32">
        <f>+IFERROR(VLOOKUP($AK$2,Sheet1!V8:Y8,3,0),0)</f>
        <v>0</v>
      </c>
      <c r="AL10" s="32">
        <f>+IFERROR(VLOOKUP($AL$2,Sheet1!V8:Y8,3,0),0)</f>
        <v>0</v>
      </c>
      <c r="AM10" s="32">
        <f>+IFERROR(VLOOKUP($AM$2,Sheet1!V8:Y8,3,0),0)</f>
        <v>0</v>
      </c>
      <c r="AN10" s="32">
        <f>+IFERROR(VLOOKUP($AN$2,Sheet1!V8:Y8,3,0),0)</f>
        <v>0</v>
      </c>
      <c r="AO10" s="32">
        <f>+IFERROR(VLOOKUP($AO$2,Sheet1!V8:Y8,3,0),0)</f>
        <v>0</v>
      </c>
      <c r="AP10" s="32">
        <f>+IFERROR(VLOOKUP($AP$2,Sheet1!V8:Y8,3,0),0)</f>
        <v>0</v>
      </c>
      <c r="AQ10" s="32">
        <f>+IFERROR(VLOOKUP($AQ$2,Sheet1!V8:Y8,3,0),0)</f>
        <v>0</v>
      </c>
      <c r="AR10" s="32">
        <f>+IFERROR(VLOOKUP($AR$2,Sheet1!V8:Y8,3,0),0)</f>
        <v>0</v>
      </c>
      <c r="AS10" s="35">
        <f>+IFERROR(VLOOKUP($AS$2,Sheet1!Z8:AB8,3,0),0)</f>
        <v>0</v>
      </c>
      <c r="AT10" s="36">
        <f>+IFERROR(VLOOKUP($AT$2,Sheet1!AD8:AG8,3,0),0)</f>
        <v>0</v>
      </c>
      <c r="AU10" s="36">
        <f>+IFERROR(VLOOKUP($AU$2,Sheet1!AD8:AG8,3,0),0)</f>
        <v>0</v>
      </c>
      <c r="AV10" s="36">
        <f>+IFERROR(VLOOKUP($AV$2,Sheet1!AD8:AG8,3,0),0)</f>
        <v>0</v>
      </c>
      <c r="AW10" s="36">
        <f>+IFERROR(VLOOKUP($AW$2,Sheet1!AD8:AG8,3,0),0)</f>
        <v>0</v>
      </c>
      <c r="AX10" s="36">
        <f>+IFERROR(VLOOKUP($AX$2,Sheet1!AD8:AG8,3,0),0)</f>
        <v>0</v>
      </c>
      <c r="AY10" s="36">
        <f>+IFERROR(VLOOKUP($AY$2,Sheet1!AD8:AG8,3,0),0)</f>
        <v>0</v>
      </c>
      <c r="AZ10" s="36">
        <f>+IFERROR(VLOOKUP($AZ$2,Sheet1!AD8:AG8,3,0),0)</f>
        <v>0</v>
      </c>
      <c r="BA10" s="36">
        <f>+IFERROR(VLOOKUP($BA$2,Sheet1!AD8:AG8,3,0),0)</f>
        <v>0</v>
      </c>
      <c r="BB10" s="36">
        <f>+IFERROR(VLOOKUP($BB$2,Sheet1!AD8:AG8,3,0),0)</f>
        <v>0</v>
      </c>
      <c r="BC10" s="35">
        <f>+IFERROR(VLOOKUP($BC$2,Sheet1!AH8:AK8,3,0),0)</f>
        <v>0</v>
      </c>
      <c r="BD10" s="35">
        <f>+IFERROR(VLOOKUP($BD$2,Sheet1!AH8:AK8,3,0),0)</f>
        <v>0</v>
      </c>
      <c r="BE10" s="35">
        <f>+IFERROR(VLOOKUP($BE$2,Sheet1!AH8:AK8,3,0),0)</f>
        <v>0</v>
      </c>
      <c r="BF10" s="35">
        <f>+IFERROR(VLOOKUP($BF$2,Sheet1!AH8:AK8,3,0),0)</f>
        <v>0</v>
      </c>
      <c r="BG10" s="35">
        <f>+IFERROR(VLOOKUP($BG$2,Sheet1!AH8:AK8,3,0),0)</f>
        <v>0</v>
      </c>
      <c r="BH10" s="35">
        <f>+IFERROR(VLOOKUP($BH$2,Sheet1!AH8:AK8,3,0),0)</f>
        <v>0</v>
      </c>
      <c r="BI10" s="35">
        <f>+IFERROR(VLOOKUP($BI$2,Sheet1!AH8:AK8,3,0),0)</f>
        <v>0</v>
      </c>
      <c r="BJ10" s="35">
        <f>+IFERROR(VLOOKUP($BJ$2,Sheet1!AH8:AK8,3,0),0)</f>
        <v>0</v>
      </c>
      <c r="BK10" s="35">
        <f>+IFERROR(VLOOKUP($BK$2,Sheet1!AH8:AK8,3,0),0)</f>
        <v>0</v>
      </c>
      <c r="BL10" s="35">
        <f>+IFERROR(VLOOKUP($BL$2,Sheet1!AH8:AK8,3,0),0)</f>
        <v>0</v>
      </c>
      <c r="BM10" s="35">
        <f>+IFERROR(VLOOKUP($BM$2,Sheet1!AH8:AK8,3,0),0)</f>
        <v>0</v>
      </c>
      <c r="BN10" s="9">
        <f>+IFERROR(VLOOKUP($BN$2,Sheet1!AL8:AO8,3,0),0)</f>
        <v>0</v>
      </c>
      <c r="BO10" s="9">
        <f>+IFERROR(VLOOKUP($BO$2,Sheet1!AL8:AO8,3,0),0)</f>
        <v>0</v>
      </c>
      <c r="BP10" s="9">
        <f>+IFERROR(VLOOKUP($BP$2,Sheet1!AL8:AO8,3,0),0)</f>
        <v>0</v>
      </c>
      <c r="BQ10" s="9">
        <f>+IFERROR(VLOOKUP($BQ$2,Sheet1!AL8:AO8,3,0),0)</f>
        <v>0</v>
      </c>
      <c r="BR10" s="9">
        <f>+IFERROR(VLOOKUP($BR$2,Sheet1!AL8:AO8,3,0),0)</f>
        <v>0</v>
      </c>
      <c r="BS10" s="9">
        <f>+IFERROR(VLOOKUP($BS$2,Sheet1!AL8:AO8,3,0),0)</f>
        <v>0</v>
      </c>
      <c r="BT10" s="9">
        <f>+IFERROR(VLOOKUP($BT$2,Sheet1!AL8:AO8,3,0),0)</f>
        <v>0</v>
      </c>
      <c r="BU10" s="9">
        <f>+IFERROR(VLOOKUP($BU$2,Sheet1!AL8:AO8,3,0),0)</f>
        <v>0</v>
      </c>
      <c r="BV10" s="9">
        <f>+IFERROR(VLOOKUP($BV$2,Sheet1!AL8:AO8,3,0),0)</f>
        <v>0</v>
      </c>
      <c r="BW10" s="9">
        <f>+IFERROR(VLOOKUP($BW$2,Sheet1!AL8:AO8,3,0),0)</f>
        <v>0</v>
      </c>
      <c r="BX10" s="9">
        <f>+IFERROR(VLOOKUP($BX$2,Sheet1!AL8:AO8,3,0),0)</f>
        <v>0</v>
      </c>
      <c r="BY10" s="9">
        <f>+IFERROR(VLOOKUP($BY$2,Sheet1!AL8:AO8,3,0),0)</f>
        <v>0</v>
      </c>
      <c r="BZ10" s="39">
        <f>+IFERROR(VLOOKUP($BZ$2,Sheet1!AP8:AS8,3,0),0)</f>
        <v>0</v>
      </c>
      <c r="CA10" s="42">
        <f>+IFERROR(VLOOKUP($CA$2,Sheet1!AT8:AW8,3,0),0)</f>
        <v>0</v>
      </c>
      <c r="CB10" s="43">
        <f>+IFERROR(VLOOKUP($CB$2,Sheet1!AX8:BA8,3,0),0)</f>
        <v>0</v>
      </c>
      <c r="CC10" s="45">
        <f>+IFERROR(VLOOKUP($CC$2,Sheet1!BB8:BE8,3,0),0)</f>
        <v>0</v>
      </c>
      <c r="CD10" s="47">
        <f>+IFERROR(VLOOKUP($CD$2,Sheet1!BF8:BI8,3,0),0)</f>
        <v>0</v>
      </c>
      <c r="CE10" s="48">
        <f>+IFERROR(VLOOKUP($CE$2,Sheet1!BJ8:BM8,3,0),0)</f>
        <v>0</v>
      </c>
      <c r="CF10" s="49">
        <f>+IFERROR(VLOOKUP($CF$2,Sheet1!BN8:BQ8,3,0),0)</f>
        <v>0</v>
      </c>
      <c r="CG10" s="37">
        <f>+IFERROR(VLOOKUP($CG$2,Sheet1!BR8:BU8,3,0),0)</f>
        <v>0</v>
      </c>
      <c r="CH10" s="43">
        <f>+IFERROR(VLOOKUP($CH$2,Sheet1!BV8:BY8,3,0),0)</f>
        <v>0</v>
      </c>
      <c r="CI10" s="66">
        <f>Sheet1!E8</f>
        <v>0</v>
      </c>
      <c r="CJ10" s="67">
        <f>Sheet1!CY8</f>
        <v>0</v>
      </c>
      <c r="CK10" s="67">
        <f>Sheet1!CZ8</f>
        <v>0</v>
      </c>
      <c r="CL10" s="67">
        <f>Sheet1!CX8</f>
        <v>0</v>
      </c>
      <c r="CM10" s="22">
        <f>Sheet1!BZ8</f>
        <v>0</v>
      </c>
      <c r="CN10" s="22">
        <v>4525</v>
      </c>
      <c r="CO10" s="94">
        <v>0.08</v>
      </c>
      <c r="CP10" s="22">
        <f t="shared" si="17"/>
        <v>362</v>
      </c>
      <c r="CQ10" s="94">
        <v>0.25</v>
      </c>
      <c r="CR10" s="22">
        <f t="shared" si="18"/>
        <v>1131.25</v>
      </c>
      <c r="CS10" s="94">
        <f>Sheet1!CF8</f>
        <v>0</v>
      </c>
      <c r="CT10" s="22">
        <f t="shared" si="19"/>
        <v>0</v>
      </c>
      <c r="CU10" s="22">
        <f t="shared" si="20"/>
        <v>6018.25</v>
      </c>
      <c r="CV10" s="94">
        <v>0.02</v>
      </c>
      <c r="CW10" s="6">
        <f t="shared" si="21"/>
        <v>120.36500000000001</v>
      </c>
      <c r="CX10" s="94">
        <v>0.01</v>
      </c>
      <c r="CY10" s="6">
        <f t="shared" si="22"/>
        <v>60.182500000000005</v>
      </c>
      <c r="CZ10" s="94">
        <f>Sheet1!CM8</f>
        <v>0</v>
      </c>
      <c r="DA10" s="6">
        <f t="shared" si="23"/>
        <v>0</v>
      </c>
    </row>
    <row r="11" spans="1:106" s="21" customFormat="1" ht="28.8" x14ac:dyDescent="0.3">
      <c r="A11" s="6">
        <f>Sheet1!A9</f>
        <v>0</v>
      </c>
      <c r="B11" s="86">
        <f>Sheet1!B9</f>
        <v>0</v>
      </c>
      <c r="C11" s="6">
        <f>Sheet1!C9</f>
        <v>0</v>
      </c>
      <c r="D11" s="104" t="s">
        <v>240</v>
      </c>
      <c r="E11" s="22">
        <f t="shared" si="13"/>
        <v>2328.83</v>
      </c>
      <c r="F11" s="97"/>
      <c r="G11" s="27">
        <f t="shared" si="2"/>
        <v>2328.83</v>
      </c>
      <c r="H11" s="27">
        <f t="shared" si="0"/>
        <v>251513.63999999998</v>
      </c>
      <c r="I11" s="28">
        <v>0.18</v>
      </c>
      <c r="J11" s="27">
        <f t="shared" si="14"/>
        <v>419.18939999999998</v>
      </c>
      <c r="K11" s="27">
        <f t="shared" si="15"/>
        <v>2748.0194000000001</v>
      </c>
      <c r="L11" s="78">
        <v>108</v>
      </c>
      <c r="M11" s="75" t="s">
        <v>253</v>
      </c>
      <c r="N11" s="22">
        <f t="shared" si="16"/>
        <v>296786.09520000004</v>
      </c>
      <c r="O11" s="101"/>
      <c r="P11" s="70">
        <f>+IFERROR(VLOOKUP($P$2,Sheet1!J9:L9,3,0),0)</f>
        <v>0</v>
      </c>
      <c r="Q11" s="70">
        <f>+IFERROR(VLOOKUP($Q$2,Sheet1!J9:L9,3,0),0)</f>
        <v>0</v>
      </c>
      <c r="R11" s="70">
        <f>+IFERROR(VLOOKUP($R$2,Sheet1!J9:M9,3,0),0)</f>
        <v>0</v>
      </c>
      <c r="S11" s="70">
        <f>+IFERROR(VLOOKUP($S$2,Sheet1!J9:M9,3,0),0)</f>
        <v>0</v>
      </c>
      <c r="T11" s="70">
        <f>+IFERROR(VLOOKUP($T$2,Sheet1!J9:M9,3,0),0)</f>
        <v>0</v>
      </c>
      <c r="U11" s="70">
        <f>+IFERROR(VLOOKUP($U$2,Sheet1!J9:M9,3,0),0)</f>
        <v>0</v>
      </c>
      <c r="V11" s="70">
        <f>+IFERROR(VLOOKUP($V$2,Sheet1!J9:M9,3,0),0)</f>
        <v>0</v>
      </c>
      <c r="W11" s="70">
        <f>+IFERROR(VLOOKUP($W$2,Sheet1!J9:M9,3,0),0)</f>
        <v>0</v>
      </c>
      <c r="X11" s="71">
        <f>+IFERROR(VLOOKUP($X$2,Sheet1!N9:Q9,3,0),0)</f>
        <v>0</v>
      </c>
      <c r="Y11" s="71">
        <f>+IFERROR(VLOOKUP($Y$2,Sheet1!N9:Q9,3,0),0)</f>
        <v>0</v>
      </c>
      <c r="Z11" s="72">
        <f>+IFERROR(VLOOKUP($Z$2,Sheet1!F9:I9,3,0),0)</f>
        <v>0</v>
      </c>
      <c r="AA11" s="72">
        <f>+IFERROR(VLOOKUP($AA$2,Sheet1!F9:I9,3,0),0)</f>
        <v>0</v>
      </c>
      <c r="AB11" s="72">
        <f>+IFERROR(VLOOKUP($AB$2,Sheet1!F9:I9,3,0),0)</f>
        <v>0</v>
      </c>
      <c r="AC11" s="72">
        <f>+IFERROR(VLOOKUP($AC$2,Sheet1!F9:I9,3,0),0)</f>
        <v>0</v>
      </c>
      <c r="AD11" s="72">
        <f>+IFERROR(VLOOKUP($AD$2,Sheet1!F9:I9,3,0),0)</f>
        <v>0</v>
      </c>
      <c r="AE11" s="72">
        <f>+IFERROR(VLOOKUP($AE$2,Sheet1!F9:I9,3,0),0)</f>
        <v>0</v>
      </c>
      <c r="AF11" s="72">
        <f>+IFERROR(VLOOKUP($AF$2,Sheet1!F9:I9,3,0),0)</f>
        <v>0</v>
      </c>
      <c r="AG11" s="72">
        <f>+IFERROR(VLOOKUP($AG$2,Sheet1!F9:I9,3,0),0)</f>
        <v>0</v>
      </c>
      <c r="AH11" s="73">
        <f>+IFERROR(VLOOKUP($AH$2,Sheet1!R9:U9,3,0),0)</f>
        <v>0</v>
      </c>
      <c r="AI11" s="31">
        <f>+IFERROR(VLOOKUP($AI$2,Sheet1!R9:U9,3,0),0)</f>
        <v>0</v>
      </c>
      <c r="AJ11" s="74">
        <f>+IFERROR(VLOOKUP($AJ$2,Sheet1!V9:Y9,3,0),0)</f>
        <v>0</v>
      </c>
      <c r="AK11" s="32">
        <f>+IFERROR(VLOOKUP($AK$2,Sheet1!V9:Y9,3,0),0)</f>
        <v>0</v>
      </c>
      <c r="AL11" s="32">
        <f>+IFERROR(VLOOKUP($AL$2,Sheet1!V9:Y9,3,0),0)</f>
        <v>0</v>
      </c>
      <c r="AM11" s="32">
        <f>+IFERROR(VLOOKUP($AM$2,Sheet1!V9:Y9,3,0),0)</f>
        <v>0</v>
      </c>
      <c r="AN11" s="32">
        <f>+IFERROR(VLOOKUP($AN$2,Sheet1!V9:Y9,3,0),0)</f>
        <v>0</v>
      </c>
      <c r="AO11" s="32">
        <f>+IFERROR(VLOOKUP($AO$2,Sheet1!V9:Y9,3,0),0)</f>
        <v>0</v>
      </c>
      <c r="AP11" s="32">
        <f>+IFERROR(VLOOKUP($AP$2,Sheet1!V9:Y9,3,0),0)</f>
        <v>0</v>
      </c>
      <c r="AQ11" s="32">
        <f>+IFERROR(VLOOKUP($AQ$2,Sheet1!V9:Y9,3,0),0)</f>
        <v>0</v>
      </c>
      <c r="AR11" s="32">
        <f>+IFERROR(VLOOKUP($AR$2,Sheet1!V9:Y9,3,0),0)</f>
        <v>0</v>
      </c>
      <c r="AS11" s="35">
        <f>+IFERROR(VLOOKUP($AS$2,Sheet1!Z9:AB9,3,0),0)</f>
        <v>0</v>
      </c>
      <c r="AT11" s="36">
        <f>+IFERROR(VLOOKUP($AT$2,Sheet1!AD9:AG9,3,0),0)</f>
        <v>0</v>
      </c>
      <c r="AU11" s="36">
        <f>+IFERROR(VLOOKUP($AU$2,Sheet1!AD9:AG9,3,0),0)</f>
        <v>0</v>
      </c>
      <c r="AV11" s="36">
        <f>+IFERROR(VLOOKUP($AV$2,Sheet1!AD9:AG9,3,0),0)</f>
        <v>0</v>
      </c>
      <c r="AW11" s="36">
        <f>+IFERROR(VLOOKUP($AW$2,Sheet1!AD9:AG9,3,0),0)</f>
        <v>0</v>
      </c>
      <c r="AX11" s="36">
        <f>+IFERROR(VLOOKUP($AX$2,Sheet1!AD9:AG9,3,0),0)</f>
        <v>0</v>
      </c>
      <c r="AY11" s="36">
        <f>+IFERROR(VLOOKUP($AY$2,Sheet1!AD9:AG9,3,0),0)</f>
        <v>0</v>
      </c>
      <c r="AZ11" s="36">
        <f>+IFERROR(VLOOKUP($AZ$2,Sheet1!AD9:AG9,3,0),0)</f>
        <v>0</v>
      </c>
      <c r="BA11" s="36">
        <f>+IFERROR(VLOOKUP($BA$2,Sheet1!AD9:AG9,3,0),0)</f>
        <v>0</v>
      </c>
      <c r="BB11" s="36">
        <f>+IFERROR(VLOOKUP($BB$2,Sheet1!AD9:AG9,3,0),0)</f>
        <v>0</v>
      </c>
      <c r="BC11" s="35">
        <f>+IFERROR(VLOOKUP($BC$2,Sheet1!AH9:AK9,3,0),0)</f>
        <v>0</v>
      </c>
      <c r="BD11" s="35">
        <f>+IFERROR(VLOOKUP($BD$2,Sheet1!AH9:AK9,3,0),0)</f>
        <v>0</v>
      </c>
      <c r="BE11" s="35">
        <f>+IFERROR(VLOOKUP($BE$2,Sheet1!AH9:AK9,3,0),0)</f>
        <v>0</v>
      </c>
      <c r="BF11" s="35">
        <f>+IFERROR(VLOOKUP($BF$2,Sheet1!AH9:AK9,3,0),0)</f>
        <v>0</v>
      </c>
      <c r="BG11" s="35">
        <f>+IFERROR(VLOOKUP($BG$2,Sheet1!AH9:AK9,3,0),0)</f>
        <v>0</v>
      </c>
      <c r="BH11" s="35">
        <f>+IFERROR(VLOOKUP($BH$2,Sheet1!AH9:AK9,3,0),0)</f>
        <v>0</v>
      </c>
      <c r="BI11" s="35">
        <f>+IFERROR(VLOOKUP($BI$2,Sheet1!AH9:AK9,3,0),0)</f>
        <v>0</v>
      </c>
      <c r="BJ11" s="35">
        <f>+IFERROR(VLOOKUP($BJ$2,Sheet1!AH9:AK9,3,0),0)</f>
        <v>0</v>
      </c>
      <c r="BK11" s="35">
        <f>+IFERROR(VLOOKUP($BK$2,Sheet1!AH9:AK9,3,0),0)</f>
        <v>0</v>
      </c>
      <c r="BL11" s="35">
        <f>+IFERROR(VLOOKUP($BL$2,Sheet1!AH9:AK9,3,0),0)</f>
        <v>0</v>
      </c>
      <c r="BM11" s="35">
        <f>+IFERROR(VLOOKUP($BM$2,Sheet1!AH9:AK9,3,0),0)</f>
        <v>0</v>
      </c>
      <c r="BN11" s="9">
        <f>+IFERROR(VLOOKUP($BN$2,Sheet1!AL9:AO9,3,0),0)</f>
        <v>0</v>
      </c>
      <c r="BO11" s="9">
        <f>+IFERROR(VLOOKUP($BO$2,Sheet1!AL9:AO9,3,0),0)</f>
        <v>0</v>
      </c>
      <c r="BP11" s="9">
        <f>+IFERROR(VLOOKUP($BP$2,Sheet1!AL9:AO9,3,0),0)</f>
        <v>0</v>
      </c>
      <c r="BQ11" s="9">
        <f>+IFERROR(VLOOKUP($BQ$2,Sheet1!AL9:AO9,3,0),0)</f>
        <v>0</v>
      </c>
      <c r="BR11" s="9">
        <f>+IFERROR(VLOOKUP($BR$2,Sheet1!AL9:AO9,3,0),0)</f>
        <v>0</v>
      </c>
      <c r="BS11" s="9">
        <f>+IFERROR(VLOOKUP($BS$2,Sheet1!AL9:AO9,3,0),0)</f>
        <v>0</v>
      </c>
      <c r="BT11" s="9">
        <f>+IFERROR(VLOOKUP($BT$2,Sheet1!AL9:AO9,3,0),0)</f>
        <v>0</v>
      </c>
      <c r="BU11" s="9">
        <f>+IFERROR(VLOOKUP($BU$2,Sheet1!AL9:AO9,3,0),0)</f>
        <v>0</v>
      </c>
      <c r="BV11" s="9">
        <f>+IFERROR(VLOOKUP($BV$2,Sheet1!AL9:AO9,3,0),0)</f>
        <v>0</v>
      </c>
      <c r="BW11" s="9">
        <f>+IFERROR(VLOOKUP($BW$2,Sheet1!AL9:AO9,3,0),0)</f>
        <v>0</v>
      </c>
      <c r="BX11" s="9">
        <f>+IFERROR(VLOOKUP($BX$2,Sheet1!AL9:AO9,3,0),0)</f>
        <v>0</v>
      </c>
      <c r="BY11" s="9">
        <f>+IFERROR(VLOOKUP($BY$2,Sheet1!AL9:AO9,3,0),0)</f>
        <v>0</v>
      </c>
      <c r="BZ11" s="39">
        <f>+IFERROR(VLOOKUP($BZ$2,Sheet1!AP9:AS9,3,0),0)</f>
        <v>0</v>
      </c>
      <c r="CA11" s="42">
        <f>+IFERROR(VLOOKUP($CA$2,Sheet1!AT9:AW9,3,0),0)</f>
        <v>0</v>
      </c>
      <c r="CB11" s="43">
        <f>+IFERROR(VLOOKUP($CB$2,Sheet1!AX9:BA9,3,0),0)</f>
        <v>0</v>
      </c>
      <c r="CC11" s="45">
        <f>+IFERROR(VLOOKUP($CC$2,Sheet1!BB9:BE9,3,0),0)</f>
        <v>0</v>
      </c>
      <c r="CD11" s="47">
        <f>+IFERROR(VLOOKUP($CD$2,Sheet1!BF9:BI9,3,0),0)</f>
        <v>0</v>
      </c>
      <c r="CE11" s="48">
        <f>+IFERROR(VLOOKUP($CE$2,Sheet1!BJ9:BM9,3,0),0)</f>
        <v>0</v>
      </c>
      <c r="CF11" s="49">
        <f>+IFERROR(VLOOKUP($CF$2,Sheet1!BN9:BQ9,3,0),0)</f>
        <v>0</v>
      </c>
      <c r="CG11" s="37">
        <f>+IFERROR(VLOOKUP($CG$2,Sheet1!BR9:BU9,3,0),0)</f>
        <v>0</v>
      </c>
      <c r="CH11" s="43">
        <f>+IFERROR(VLOOKUP($CH$2,Sheet1!BV9:BY9,3,0),0)</f>
        <v>0</v>
      </c>
      <c r="CI11" s="66">
        <f>Sheet1!E9</f>
        <v>0</v>
      </c>
      <c r="CJ11" s="67">
        <f>Sheet1!CY9</f>
        <v>0</v>
      </c>
      <c r="CK11" s="67">
        <f>Sheet1!CZ9</f>
        <v>0</v>
      </c>
      <c r="CL11" s="67">
        <f>Sheet1!CX9</f>
        <v>0</v>
      </c>
      <c r="CM11" s="22">
        <f>Sheet1!BZ9</f>
        <v>0</v>
      </c>
      <c r="CN11" s="22">
        <v>1700</v>
      </c>
      <c r="CO11" s="94">
        <v>0.08</v>
      </c>
      <c r="CP11" s="22">
        <f t="shared" si="17"/>
        <v>136</v>
      </c>
      <c r="CQ11" s="94">
        <v>0.25</v>
      </c>
      <c r="CR11" s="22">
        <f t="shared" si="18"/>
        <v>425</v>
      </c>
      <c r="CS11" s="94">
        <f>Sheet1!CF9</f>
        <v>0</v>
      </c>
      <c r="CT11" s="22">
        <f t="shared" si="19"/>
        <v>0</v>
      </c>
      <c r="CU11" s="22">
        <f t="shared" si="20"/>
        <v>2261</v>
      </c>
      <c r="CV11" s="94">
        <v>0.02</v>
      </c>
      <c r="CW11" s="6">
        <f t="shared" si="21"/>
        <v>45.22</v>
      </c>
      <c r="CX11" s="94">
        <v>0.01</v>
      </c>
      <c r="CY11" s="6">
        <f t="shared" si="22"/>
        <v>22.61</v>
      </c>
      <c r="CZ11" s="94">
        <f>Sheet1!CM9</f>
        <v>0</v>
      </c>
      <c r="DA11" s="6">
        <f t="shared" si="23"/>
        <v>0</v>
      </c>
    </row>
    <row r="12" spans="1:106" s="21" customFormat="1" ht="28.8" x14ac:dyDescent="0.3">
      <c r="A12" s="6">
        <f>Sheet1!A10</f>
        <v>0</v>
      </c>
      <c r="B12" s="86">
        <f>Sheet1!B10</f>
        <v>0</v>
      </c>
      <c r="C12" s="6">
        <f>Sheet1!C10</f>
        <v>0</v>
      </c>
      <c r="D12" s="104" t="s">
        <v>241</v>
      </c>
      <c r="E12" s="22">
        <f t="shared" si="13"/>
        <v>5342.61</v>
      </c>
      <c r="F12" s="97"/>
      <c r="G12" s="27">
        <f t="shared" si="2"/>
        <v>5342.61</v>
      </c>
      <c r="H12" s="27">
        <f t="shared" si="0"/>
        <v>208361.78999999998</v>
      </c>
      <c r="I12" s="28">
        <v>0.18</v>
      </c>
      <c r="J12" s="27">
        <f t="shared" si="14"/>
        <v>961.6697999999999</v>
      </c>
      <c r="K12" s="27">
        <f t="shared" si="15"/>
        <v>6304.2797999999993</v>
      </c>
      <c r="L12" s="78">
        <v>39</v>
      </c>
      <c r="M12" s="75" t="s">
        <v>253</v>
      </c>
      <c r="N12" s="22">
        <f t="shared" si="16"/>
        <v>245866.91219999996</v>
      </c>
      <c r="O12" s="101"/>
      <c r="P12" s="70">
        <f>+IFERROR(VLOOKUP($P$2,Sheet1!J10:L10,3,0),0)</f>
        <v>0</v>
      </c>
      <c r="Q12" s="70">
        <f>+IFERROR(VLOOKUP($Q$2,Sheet1!J10:L10,3,0),0)</f>
        <v>0</v>
      </c>
      <c r="R12" s="70">
        <f>+IFERROR(VLOOKUP($R$2,Sheet1!J10:M10,3,0),0)</f>
        <v>0</v>
      </c>
      <c r="S12" s="70">
        <f>+IFERROR(VLOOKUP($S$2,Sheet1!J10:M10,3,0),0)</f>
        <v>0</v>
      </c>
      <c r="T12" s="70">
        <f>+IFERROR(VLOOKUP($T$2,Sheet1!J10:M10,3,0),0)</f>
        <v>0</v>
      </c>
      <c r="U12" s="70">
        <f>+IFERROR(VLOOKUP($U$2,Sheet1!J10:M10,3,0),0)</f>
        <v>0</v>
      </c>
      <c r="V12" s="70">
        <f>+IFERROR(VLOOKUP($V$2,Sheet1!J10:M10,3,0),0)</f>
        <v>0</v>
      </c>
      <c r="W12" s="70">
        <f>+IFERROR(VLOOKUP($W$2,Sheet1!J10:M10,3,0),0)</f>
        <v>0</v>
      </c>
      <c r="X12" s="71">
        <f>+IFERROR(VLOOKUP($X$2,Sheet1!N10:Q10,3,0),0)</f>
        <v>0</v>
      </c>
      <c r="Y12" s="71">
        <f>+IFERROR(VLOOKUP($Y$2,Sheet1!N10:Q10,3,0),0)</f>
        <v>0</v>
      </c>
      <c r="Z12" s="72">
        <f>+IFERROR(VLOOKUP($Z$2,Sheet1!F10:I10,3,0),0)</f>
        <v>0</v>
      </c>
      <c r="AA12" s="72">
        <f>+IFERROR(VLOOKUP($AA$2,Sheet1!F10:I10,3,0),0)</f>
        <v>0</v>
      </c>
      <c r="AB12" s="72">
        <f>+IFERROR(VLOOKUP($AB$2,Sheet1!F10:I10,3,0),0)</f>
        <v>0</v>
      </c>
      <c r="AC12" s="72">
        <f>+IFERROR(VLOOKUP($AC$2,Sheet1!F10:I10,3,0),0)</f>
        <v>0</v>
      </c>
      <c r="AD12" s="72">
        <f>+IFERROR(VLOOKUP($AD$2,Sheet1!F10:I10,3,0),0)</f>
        <v>0</v>
      </c>
      <c r="AE12" s="72">
        <f>+IFERROR(VLOOKUP($AE$2,Sheet1!F10:I10,3,0),0)</f>
        <v>0</v>
      </c>
      <c r="AF12" s="72">
        <f>+IFERROR(VLOOKUP($AF$2,Sheet1!F10:I10,3,0),0)</f>
        <v>0</v>
      </c>
      <c r="AG12" s="72">
        <f>+IFERROR(VLOOKUP($AG$2,Sheet1!F10:I10,3,0),0)</f>
        <v>0</v>
      </c>
      <c r="AH12" s="73">
        <f>+IFERROR(VLOOKUP($AH$2,Sheet1!R10:U10,3,0),0)</f>
        <v>0</v>
      </c>
      <c r="AI12" s="31">
        <f>+IFERROR(VLOOKUP($AI$2,Sheet1!R10:U10,3,0),0)</f>
        <v>0</v>
      </c>
      <c r="AJ12" s="74">
        <f>+IFERROR(VLOOKUP($AJ$2,Sheet1!V10:Y10,3,0),0)</f>
        <v>0</v>
      </c>
      <c r="AK12" s="32">
        <f>+IFERROR(VLOOKUP($AK$2,Sheet1!V10:Y10,3,0),0)</f>
        <v>0</v>
      </c>
      <c r="AL12" s="32">
        <f>+IFERROR(VLOOKUP($AL$2,Sheet1!V10:Y10,3,0),0)</f>
        <v>0</v>
      </c>
      <c r="AM12" s="32">
        <f>+IFERROR(VLOOKUP($AM$2,Sheet1!V10:Y10,3,0),0)</f>
        <v>0</v>
      </c>
      <c r="AN12" s="32">
        <f>+IFERROR(VLOOKUP($AN$2,Sheet1!V10:Y10,3,0),0)</f>
        <v>0</v>
      </c>
      <c r="AO12" s="32">
        <f>+IFERROR(VLOOKUP($AO$2,Sheet1!V10:Y10,3,0),0)</f>
        <v>0</v>
      </c>
      <c r="AP12" s="32">
        <f>+IFERROR(VLOOKUP($AP$2,Sheet1!V10:Y10,3,0),0)</f>
        <v>0</v>
      </c>
      <c r="AQ12" s="32">
        <f>+IFERROR(VLOOKUP($AQ$2,Sheet1!V10:Y10,3,0),0)</f>
        <v>0</v>
      </c>
      <c r="AR12" s="32">
        <f>+IFERROR(VLOOKUP($AR$2,Sheet1!V10:Y10,3,0),0)</f>
        <v>0</v>
      </c>
      <c r="AS12" s="35">
        <f>+IFERROR(VLOOKUP($AS$2,Sheet1!Z10:AB10,3,0),0)</f>
        <v>0</v>
      </c>
      <c r="AT12" s="36">
        <f>+IFERROR(VLOOKUP($AT$2,Sheet1!AD10:AG10,3,0),0)</f>
        <v>0</v>
      </c>
      <c r="AU12" s="36">
        <f>+IFERROR(VLOOKUP($AU$2,Sheet1!AD10:AG10,3,0),0)</f>
        <v>0</v>
      </c>
      <c r="AV12" s="36">
        <f>+IFERROR(VLOOKUP($AV$2,Sheet1!AD10:AG10,3,0),0)</f>
        <v>0</v>
      </c>
      <c r="AW12" s="36">
        <f>+IFERROR(VLOOKUP($AW$2,Sheet1!AD10:AG10,3,0),0)</f>
        <v>0</v>
      </c>
      <c r="AX12" s="36">
        <f>+IFERROR(VLOOKUP($AX$2,Sheet1!AD10:AG10,3,0),0)</f>
        <v>0</v>
      </c>
      <c r="AY12" s="36">
        <f>+IFERROR(VLOOKUP($AY$2,Sheet1!AD10:AG10,3,0),0)</f>
        <v>0</v>
      </c>
      <c r="AZ12" s="36">
        <f>+IFERROR(VLOOKUP($AZ$2,Sheet1!AD10:AG10,3,0),0)</f>
        <v>0</v>
      </c>
      <c r="BA12" s="36">
        <f>+IFERROR(VLOOKUP($BA$2,Sheet1!AD10:AG10,3,0),0)</f>
        <v>0</v>
      </c>
      <c r="BB12" s="36">
        <f>+IFERROR(VLOOKUP($BB$2,Sheet1!AD10:AG10,3,0),0)</f>
        <v>0</v>
      </c>
      <c r="BC12" s="35">
        <f>+IFERROR(VLOOKUP($BC$2,Sheet1!AH10:AK10,3,0),0)</f>
        <v>0</v>
      </c>
      <c r="BD12" s="35">
        <f>+IFERROR(VLOOKUP($BD$2,Sheet1!AH10:AK10,3,0),0)</f>
        <v>0</v>
      </c>
      <c r="BE12" s="35">
        <f>+IFERROR(VLOOKUP($BE$2,Sheet1!AH10:AK10,3,0),0)</f>
        <v>0</v>
      </c>
      <c r="BF12" s="35">
        <f>+IFERROR(VLOOKUP($BF$2,Sheet1!AH10:AK10,3,0),0)</f>
        <v>0</v>
      </c>
      <c r="BG12" s="35">
        <f>+IFERROR(VLOOKUP($BG$2,Sheet1!AH10:AK10,3,0),0)</f>
        <v>0</v>
      </c>
      <c r="BH12" s="35">
        <f>+IFERROR(VLOOKUP($BH$2,Sheet1!AH10:AK10,3,0),0)</f>
        <v>0</v>
      </c>
      <c r="BI12" s="35">
        <f>+IFERROR(VLOOKUP($BI$2,Sheet1!AH10:AK10,3,0),0)</f>
        <v>0</v>
      </c>
      <c r="BJ12" s="35">
        <f>+IFERROR(VLOOKUP($BJ$2,Sheet1!AH10:AK10,3,0),0)</f>
        <v>0</v>
      </c>
      <c r="BK12" s="35">
        <f>+IFERROR(VLOOKUP($BK$2,Sheet1!AH10:AK10,3,0),0)</f>
        <v>0</v>
      </c>
      <c r="BL12" s="35">
        <f>+IFERROR(VLOOKUP($BL$2,Sheet1!AH10:AK10,3,0),0)</f>
        <v>0</v>
      </c>
      <c r="BM12" s="35">
        <f>+IFERROR(VLOOKUP($BM$2,Sheet1!AH10:AK10,3,0),0)</f>
        <v>0</v>
      </c>
      <c r="BN12" s="9">
        <f>+IFERROR(VLOOKUP($BN$2,Sheet1!AL10:AO10,3,0),0)</f>
        <v>0</v>
      </c>
      <c r="BO12" s="9">
        <f>+IFERROR(VLOOKUP($BO$2,Sheet1!AL10:AO10,3,0),0)</f>
        <v>0</v>
      </c>
      <c r="BP12" s="9">
        <f>+IFERROR(VLOOKUP($BP$2,Sheet1!AL10:AO10,3,0),0)</f>
        <v>0</v>
      </c>
      <c r="BQ12" s="9">
        <f>+IFERROR(VLOOKUP($BQ$2,Sheet1!AL10:AO10,3,0),0)</f>
        <v>0</v>
      </c>
      <c r="BR12" s="9">
        <f>+IFERROR(VLOOKUP($BR$2,Sheet1!AL10:AO10,3,0),0)</f>
        <v>0</v>
      </c>
      <c r="BS12" s="9">
        <f>+IFERROR(VLOOKUP($BS$2,Sheet1!AL10:AO10,3,0),0)</f>
        <v>0</v>
      </c>
      <c r="BT12" s="9">
        <f>+IFERROR(VLOOKUP($BT$2,Sheet1!AL10:AO10,3,0),0)</f>
        <v>0</v>
      </c>
      <c r="BU12" s="9">
        <f>+IFERROR(VLOOKUP($BU$2,Sheet1!AL10:AO10,3,0),0)</f>
        <v>0</v>
      </c>
      <c r="BV12" s="9">
        <f>+IFERROR(VLOOKUP($BV$2,Sheet1!AL10:AO10,3,0),0)</f>
        <v>0</v>
      </c>
      <c r="BW12" s="9">
        <f>+IFERROR(VLOOKUP($BW$2,Sheet1!AL10:AO10,3,0),0)</f>
        <v>0</v>
      </c>
      <c r="BX12" s="9">
        <f>+IFERROR(VLOOKUP($BX$2,Sheet1!AL10:AO10,3,0),0)</f>
        <v>0</v>
      </c>
      <c r="BY12" s="9">
        <f>+IFERROR(VLOOKUP($BY$2,Sheet1!AL10:AO10,3,0),0)</f>
        <v>0</v>
      </c>
      <c r="BZ12" s="39">
        <f>+IFERROR(VLOOKUP($BZ$2,Sheet1!AP10:AS10,3,0),0)</f>
        <v>0</v>
      </c>
      <c r="CA12" s="42">
        <f>+IFERROR(VLOOKUP($CA$2,Sheet1!AT10:AW10,3,0),0)</f>
        <v>0</v>
      </c>
      <c r="CB12" s="43">
        <f>+IFERROR(VLOOKUP($CB$2,Sheet1!AX10:BA10,3,0),0)</f>
        <v>0</v>
      </c>
      <c r="CC12" s="45">
        <f>+IFERROR(VLOOKUP($CC$2,Sheet1!BB10:BE10,3,0),0)</f>
        <v>0</v>
      </c>
      <c r="CD12" s="47">
        <f>+IFERROR(VLOOKUP($CD$2,Sheet1!BF10:BI10,3,0),0)</f>
        <v>0</v>
      </c>
      <c r="CE12" s="48">
        <f>+IFERROR(VLOOKUP($CE$2,Sheet1!BJ10:BM10,3,0),0)</f>
        <v>0</v>
      </c>
      <c r="CF12" s="49">
        <f>+IFERROR(VLOOKUP($CF$2,Sheet1!BN10:BQ10,3,0),0)</f>
        <v>0</v>
      </c>
      <c r="CG12" s="37">
        <f>+IFERROR(VLOOKUP($CG$2,Sheet1!BR10:BU10,3,0),0)</f>
        <v>0</v>
      </c>
      <c r="CH12" s="43">
        <f>+IFERROR(VLOOKUP($CH$2,Sheet1!BV10:BY10,3,0),0)</f>
        <v>0</v>
      </c>
      <c r="CI12" s="66">
        <f>Sheet1!E10</f>
        <v>0</v>
      </c>
      <c r="CJ12" s="67">
        <f>Sheet1!CY10</f>
        <v>0</v>
      </c>
      <c r="CK12" s="67">
        <f>Sheet1!CZ10</f>
        <v>0</v>
      </c>
      <c r="CL12" s="67">
        <f>Sheet1!CX10</f>
        <v>0</v>
      </c>
      <c r="CM12" s="22">
        <f>Sheet1!BZ10</f>
        <v>0</v>
      </c>
      <c r="CN12" s="22">
        <v>3900</v>
      </c>
      <c r="CO12" s="94">
        <v>0.08</v>
      </c>
      <c r="CP12" s="22">
        <f t="shared" si="17"/>
        <v>312</v>
      </c>
      <c r="CQ12" s="94">
        <v>0.25</v>
      </c>
      <c r="CR12" s="22">
        <f t="shared" si="18"/>
        <v>975</v>
      </c>
      <c r="CS12" s="94">
        <f>Sheet1!CF10</f>
        <v>0</v>
      </c>
      <c r="CT12" s="22">
        <f t="shared" si="19"/>
        <v>0</v>
      </c>
      <c r="CU12" s="22">
        <f t="shared" si="20"/>
        <v>5187</v>
      </c>
      <c r="CV12" s="94">
        <v>0.02</v>
      </c>
      <c r="CW12" s="6">
        <f t="shared" si="21"/>
        <v>103.74000000000001</v>
      </c>
      <c r="CX12" s="94">
        <v>0.01</v>
      </c>
      <c r="CY12" s="6">
        <f t="shared" si="22"/>
        <v>51.870000000000005</v>
      </c>
      <c r="CZ12" s="94">
        <f>Sheet1!CM10</f>
        <v>0</v>
      </c>
      <c r="DA12" s="6">
        <f t="shared" si="23"/>
        <v>0</v>
      </c>
    </row>
    <row r="13" spans="1:106" s="21" customFormat="1" x14ac:dyDescent="0.3">
      <c r="A13" s="6">
        <f>Sheet1!A11</f>
        <v>0</v>
      </c>
      <c r="B13" s="86">
        <f>Sheet1!B11</f>
        <v>0</v>
      </c>
      <c r="C13" s="6">
        <f>Sheet1!C11</f>
        <v>0</v>
      </c>
      <c r="D13" s="104" t="s">
        <v>242</v>
      </c>
      <c r="E13" s="22">
        <f t="shared" si="13"/>
        <v>856.1875</v>
      </c>
      <c r="F13" s="97"/>
      <c r="G13" s="27">
        <f t="shared" si="2"/>
        <v>856.1875</v>
      </c>
      <c r="H13" s="27">
        <f t="shared" si="0"/>
        <v>547103.8125</v>
      </c>
      <c r="I13" s="28">
        <v>0.18</v>
      </c>
      <c r="J13" s="27">
        <f t="shared" si="14"/>
        <v>154.11374999999998</v>
      </c>
      <c r="K13" s="27">
        <f t="shared" si="15"/>
        <v>1010.30125</v>
      </c>
      <c r="L13" s="78">
        <v>639</v>
      </c>
      <c r="M13" s="75" t="s">
        <v>253</v>
      </c>
      <c r="N13" s="22">
        <f t="shared" si="16"/>
        <v>645582.49875000003</v>
      </c>
      <c r="O13" s="101"/>
      <c r="P13" s="70">
        <f>+IFERROR(VLOOKUP($P$2,Sheet1!J11:L11,3,0),0)</f>
        <v>0</v>
      </c>
      <c r="Q13" s="70">
        <f>+IFERROR(VLOOKUP($Q$2,Sheet1!J11:L11,3,0),0)</f>
        <v>0</v>
      </c>
      <c r="R13" s="70">
        <f>+IFERROR(VLOOKUP($R$2,Sheet1!J11:M11,3,0),0)</f>
        <v>0</v>
      </c>
      <c r="S13" s="70">
        <f>+IFERROR(VLOOKUP($S$2,Sheet1!J11:M11,3,0),0)</f>
        <v>0</v>
      </c>
      <c r="T13" s="70">
        <f>+IFERROR(VLOOKUP($T$2,Sheet1!J11:M11,3,0),0)</f>
        <v>0</v>
      </c>
      <c r="U13" s="70">
        <f>+IFERROR(VLOOKUP($U$2,Sheet1!J11:M11,3,0),0)</f>
        <v>0</v>
      </c>
      <c r="V13" s="70">
        <f>+IFERROR(VLOOKUP($V$2,Sheet1!J11:M11,3,0),0)</f>
        <v>0</v>
      </c>
      <c r="W13" s="70">
        <f>+IFERROR(VLOOKUP($W$2,Sheet1!J11:M11,3,0),0)</f>
        <v>0</v>
      </c>
      <c r="X13" s="71">
        <f>+IFERROR(VLOOKUP($X$2,Sheet1!N11:Q11,3,0),0)</f>
        <v>0</v>
      </c>
      <c r="Y13" s="71">
        <f>+IFERROR(VLOOKUP($Y$2,Sheet1!N11:Q11,3,0),0)</f>
        <v>0</v>
      </c>
      <c r="Z13" s="72">
        <f>+IFERROR(VLOOKUP($Z$2,Sheet1!F11:I11,3,0),0)</f>
        <v>0</v>
      </c>
      <c r="AA13" s="72">
        <f>+IFERROR(VLOOKUP($AA$2,Sheet1!F11:I11,3,0),0)</f>
        <v>0</v>
      </c>
      <c r="AB13" s="72">
        <f>+IFERROR(VLOOKUP($AB$2,Sheet1!F11:I11,3,0),0)</f>
        <v>0</v>
      </c>
      <c r="AC13" s="72">
        <f>+IFERROR(VLOOKUP($AC$2,Sheet1!F11:I11,3,0),0)</f>
        <v>0</v>
      </c>
      <c r="AD13" s="72">
        <f>+IFERROR(VLOOKUP($AD$2,Sheet1!F11:I11,3,0),0)</f>
        <v>0</v>
      </c>
      <c r="AE13" s="72">
        <f>+IFERROR(VLOOKUP($AE$2,Sheet1!F11:I11,3,0),0)</f>
        <v>0</v>
      </c>
      <c r="AF13" s="72">
        <f>+IFERROR(VLOOKUP($AF$2,Sheet1!F11:I11,3,0),0)</f>
        <v>0</v>
      </c>
      <c r="AG13" s="72">
        <f>+IFERROR(VLOOKUP($AG$2,Sheet1!F11:I11,3,0),0)</f>
        <v>0</v>
      </c>
      <c r="AH13" s="73">
        <f>+IFERROR(VLOOKUP($AH$2,Sheet1!R11:U11,3,0),0)</f>
        <v>0</v>
      </c>
      <c r="AI13" s="31">
        <f>+IFERROR(VLOOKUP($AI$2,Sheet1!R11:U11,3,0),0)</f>
        <v>0</v>
      </c>
      <c r="AJ13" s="74">
        <f>+IFERROR(VLOOKUP($AJ$2,Sheet1!V11:Y11,3,0),0)</f>
        <v>0</v>
      </c>
      <c r="AK13" s="32">
        <f>+IFERROR(VLOOKUP($AK$2,Sheet1!V11:Y11,3,0),0)</f>
        <v>0</v>
      </c>
      <c r="AL13" s="32">
        <f>+IFERROR(VLOOKUP($AL$2,Sheet1!V11:Y11,3,0),0)</f>
        <v>0</v>
      </c>
      <c r="AM13" s="32">
        <f>+IFERROR(VLOOKUP($AM$2,Sheet1!V11:Y11,3,0),0)</f>
        <v>0</v>
      </c>
      <c r="AN13" s="32">
        <f>+IFERROR(VLOOKUP($AN$2,Sheet1!V11:Y11,3,0),0)</f>
        <v>0</v>
      </c>
      <c r="AO13" s="32">
        <f>+IFERROR(VLOOKUP($AO$2,Sheet1!V11:Y11,3,0),0)</f>
        <v>0</v>
      </c>
      <c r="AP13" s="32">
        <f>+IFERROR(VLOOKUP($AP$2,Sheet1!V11:Y11,3,0),0)</f>
        <v>0</v>
      </c>
      <c r="AQ13" s="32">
        <f>+IFERROR(VLOOKUP($AQ$2,Sheet1!V11:Y11,3,0),0)</f>
        <v>0</v>
      </c>
      <c r="AR13" s="32">
        <f>+IFERROR(VLOOKUP($AR$2,Sheet1!V11:Y11,3,0),0)</f>
        <v>0</v>
      </c>
      <c r="AS13" s="35">
        <f>+IFERROR(VLOOKUP($AS$2,Sheet1!Z11:AB11,3,0),0)</f>
        <v>0</v>
      </c>
      <c r="AT13" s="36">
        <f>+IFERROR(VLOOKUP($AT$2,Sheet1!AD11:AG11,3,0),0)</f>
        <v>0</v>
      </c>
      <c r="AU13" s="36">
        <f>+IFERROR(VLOOKUP($AU$2,Sheet1!AD11:AG11,3,0),0)</f>
        <v>0</v>
      </c>
      <c r="AV13" s="36">
        <f>+IFERROR(VLOOKUP($AV$2,Sheet1!AD11:AG11,3,0),0)</f>
        <v>0</v>
      </c>
      <c r="AW13" s="36">
        <f>+IFERROR(VLOOKUP($AW$2,Sheet1!AD11:AG11,3,0),0)</f>
        <v>0</v>
      </c>
      <c r="AX13" s="36">
        <f>+IFERROR(VLOOKUP($AX$2,Sheet1!AD11:AG11,3,0),0)</f>
        <v>0</v>
      </c>
      <c r="AY13" s="36">
        <f>+IFERROR(VLOOKUP($AY$2,Sheet1!AD11:AG11,3,0),0)</f>
        <v>0</v>
      </c>
      <c r="AZ13" s="36">
        <f>+IFERROR(VLOOKUP($AZ$2,Sheet1!AD11:AG11,3,0),0)</f>
        <v>0</v>
      </c>
      <c r="BA13" s="36">
        <f>+IFERROR(VLOOKUP($BA$2,Sheet1!AD11:AG11,3,0),0)</f>
        <v>0</v>
      </c>
      <c r="BB13" s="36">
        <f>+IFERROR(VLOOKUP($BB$2,Sheet1!AD11:AG11,3,0),0)</f>
        <v>0</v>
      </c>
      <c r="BC13" s="35">
        <f>+IFERROR(VLOOKUP($BC$2,Sheet1!AH11:AK11,3,0),0)</f>
        <v>0</v>
      </c>
      <c r="BD13" s="35">
        <f>+IFERROR(VLOOKUP($BD$2,Sheet1!AH11:AK11,3,0),0)</f>
        <v>0</v>
      </c>
      <c r="BE13" s="35">
        <f>+IFERROR(VLOOKUP($BE$2,Sheet1!AH11:AK11,3,0),0)</f>
        <v>0</v>
      </c>
      <c r="BF13" s="35">
        <f>+IFERROR(VLOOKUP($BF$2,Sheet1!AH11:AK11,3,0),0)</f>
        <v>0</v>
      </c>
      <c r="BG13" s="35">
        <f>+IFERROR(VLOOKUP($BG$2,Sheet1!AH11:AK11,3,0),0)</f>
        <v>0</v>
      </c>
      <c r="BH13" s="35">
        <f>+IFERROR(VLOOKUP($BH$2,Sheet1!AH11:AK11,3,0),0)</f>
        <v>0</v>
      </c>
      <c r="BI13" s="35">
        <f>+IFERROR(VLOOKUP($BI$2,Sheet1!AH11:AK11,3,0),0)</f>
        <v>0</v>
      </c>
      <c r="BJ13" s="35">
        <f>+IFERROR(VLOOKUP($BJ$2,Sheet1!AH11:AK11,3,0),0)</f>
        <v>0</v>
      </c>
      <c r="BK13" s="35">
        <f>+IFERROR(VLOOKUP($BK$2,Sheet1!AH11:AK11,3,0),0)</f>
        <v>0</v>
      </c>
      <c r="BL13" s="35">
        <f>+IFERROR(VLOOKUP($BL$2,Sheet1!AH11:AK11,3,0),0)</f>
        <v>0</v>
      </c>
      <c r="BM13" s="35">
        <f>+IFERROR(VLOOKUP($BM$2,Sheet1!AH11:AK11,3,0),0)</f>
        <v>0</v>
      </c>
      <c r="BN13" s="9">
        <f>+IFERROR(VLOOKUP($BN$2,Sheet1!AL11:AO11,3,0),0)</f>
        <v>0</v>
      </c>
      <c r="BO13" s="9">
        <f>+IFERROR(VLOOKUP($BO$2,Sheet1!AL11:AO11,3,0),0)</f>
        <v>0</v>
      </c>
      <c r="BP13" s="9">
        <f>+IFERROR(VLOOKUP($BP$2,Sheet1!AL11:AO11,3,0),0)</f>
        <v>0</v>
      </c>
      <c r="BQ13" s="9">
        <f>+IFERROR(VLOOKUP($BQ$2,Sheet1!AL11:AO11,3,0),0)</f>
        <v>0</v>
      </c>
      <c r="BR13" s="9">
        <f>+IFERROR(VLOOKUP($BR$2,Sheet1!AL11:AO11,3,0),0)</f>
        <v>0</v>
      </c>
      <c r="BS13" s="9">
        <f>+IFERROR(VLOOKUP($BS$2,Sheet1!AL11:AO11,3,0),0)</f>
        <v>0</v>
      </c>
      <c r="BT13" s="9">
        <f>+IFERROR(VLOOKUP($BT$2,Sheet1!AL11:AO11,3,0),0)</f>
        <v>0</v>
      </c>
      <c r="BU13" s="9">
        <f>+IFERROR(VLOOKUP($BU$2,Sheet1!AL11:AO11,3,0),0)</f>
        <v>0</v>
      </c>
      <c r="BV13" s="9">
        <f>+IFERROR(VLOOKUP($BV$2,Sheet1!AL11:AO11,3,0),0)</f>
        <v>0</v>
      </c>
      <c r="BW13" s="9">
        <f>+IFERROR(VLOOKUP($BW$2,Sheet1!AL11:AO11,3,0),0)</f>
        <v>0</v>
      </c>
      <c r="BX13" s="9">
        <f>+IFERROR(VLOOKUP($BX$2,Sheet1!AL11:AO11,3,0),0)</f>
        <v>0</v>
      </c>
      <c r="BY13" s="9">
        <f>+IFERROR(VLOOKUP($BY$2,Sheet1!AL11:AO11,3,0),0)</f>
        <v>0</v>
      </c>
      <c r="BZ13" s="39">
        <f>+IFERROR(VLOOKUP($BZ$2,Sheet1!AP11:AS11,3,0),0)</f>
        <v>0</v>
      </c>
      <c r="CA13" s="42">
        <f>+IFERROR(VLOOKUP($CA$2,Sheet1!AT11:AW11,3,0),0)</f>
        <v>0</v>
      </c>
      <c r="CB13" s="43">
        <f>+IFERROR(VLOOKUP($CB$2,Sheet1!AX11:BA11,3,0),0)</f>
        <v>0</v>
      </c>
      <c r="CC13" s="45">
        <f>+IFERROR(VLOOKUP($CC$2,Sheet1!BB11:BE11,3,0),0)</f>
        <v>0</v>
      </c>
      <c r="CD13" s="47">
        <f>+IFERROR(VLOOKUP($CD$2,Sheet1!BF11:BI11,3,0),0)</f>
        <v>0</v>
      </c>
      <c r="CE13" s="48">
        <f>+IFERROR(VLOOKUP($CE$2,Sheet1!BJ11:BM11,3,0),0)</f>
        <v>0</v>
      </c>
      <c r="CF13" s="49">
        <f>+IFERROR(VLOOKUP($CF$2,Sheet1!BN11:BQ11,3,0),0)</f>
        <v>0</v>
      </c>
      <c r="CG13" s="37">
        <f>+IFERROR(VLOOKUP($CG$2,Sheet1!BR11:BU11,3,0),0)</f>
        <v>0</v>
      </c>
      <c r="CH13" s="43">
        <f>+IFERROR(VLOOKUP($CH$2,Sheet1!BV11:BY11,3,0),0)</f>
        <v>0</v>
      </c>
      <c r="CI13" s="66">
        <f>Sheet1!E11</f>
        <v>0</v>
      </c>
      <c r="CJ13" s="67">
        <f>Sheet1!CY11</f>
        <v>0</v>
      </c>
      <c r="CK13" s="67">
        <f>Sheet1!CZ11</f>
        <v>0</v>
      </c>
      <c r="CL13" s="67">
        <f>Sheet1!CX11</f>
        <v>0</v>
      </c>
      <c r="CM13" s="22">
        <f>Sheet1!BZ11</f>
        <v>0</v>
      </c>
      <c r="CN13" s="22">
        <v>625</v>
      </c>
      <c r="CO13" s="94">
        <v>0.08</v>
      </c>
      <c r="CP13" s="22">
        <f t="shared" si="17"/>
        <v>50</v>
      </c>
      <c r="CQ13" s="94">
        <v>0.25</v>
      </c>
      <c r="CR13" s="22">
        <f t="shared" si="18"/>
        <v>156.25</v>
      </c>
      <c r="CS13" s="94">
        <f>Sheet1!CF11</f>
        <v>0</v>
      </c>
      <c r="CT13" s="22">
        <f t="shared" si="19"/>
        <v>0</v>
      </c>
      <c r="CU13" s="22">
        <f t="shared" si="20"/>
        <v>831.25</v>
      </c>
      <c r="CV13" s="94">
        <v>0.02</v>
      </c>
      <c r="CW13" s="6">
        <f t="shared" si="21"/>
        <v>16.625</v>
      </c>
      <c r="CX13" s="94">
        <v>0.01</v>
      </c>
      <c r="CY13" s="6">
        <f t="shared" si="22"/>
        <v>8.3125</v>
      </c>
      <c r="CZ13" s="94">
        <f>Sheet1!CM11</f>
        <v>0</v>
      </c>
      <c r="DA13" s="6">
        <f t="shared" si="23"/>
        <v>0</v>
      </c>
    </row>
    <row r="14" spans="1:106" s="21" customFormat="1" x14ac:dyDescent="0.3">
      <c r="A14" s="6">
        <f>Sheet1!A12</f>
        <v>0</v>
      </c>
      <c r="B14" s="86">
        <f>Sheet1!B12</f>
        <v>0</v>
      </c>
      <c r="C14" s="6">
        <f>Sheet1!C12</f>
        <v>0</v>
      </c>
      <c r="D14" s="104" t="s">
        <v>243</v>
      </c>
      <c r="E14" s="22">
        <f t="shared" si="13"/>
        <v>1780.87</v>
      </c>
      <c r="F14" s="97"/>
      <c r="G14" s="27">
        <f t="shared" si="2"/>
        <v>1780.87</v>
      </c>
      <c r="H14" s="27">
        <f t="shared" si="0"/>
        <v>261787.88999999998</v>
      </c>
      <c r="I14" s="28">
        <v>0.18</v>
      </c>
      <c r="J14" s="27">
        <f t="shared" si="14"/>
        <v>320.55659999999995</v>
      </c>
      <c r="K14" s="27">
        <f t="shared" si="15"/>
        <v>2101.4265999999998</v>
      </c>
      <c r="L14" s="78">
        <v>147</v>
      </c>
      <c r="M14" s="75" t="s">
        <v>253</v>
      </c>
      <c r="N14" s="22">
        <f t="shared" si="16"/>
        <v>308909.71019999997</v>
      </c>
      <c r="O14" s="101"/>
      <c r="P14" s="70">
        <f>+IFERROR(VLOOKUP($P$2,Sheet1!J12:L12,3,0),0)</f>
        <v>0</v>
      </c>
      <c r="Q14" s="70">
        <f>+IFERROR(VLOOKUP($Q$2,Sheet1!J12:L12,3,0),0)</f>
        <v>0</v>
      </c>
      <c r="R14" s="70">
        <f>+IFERROR(VLOOKUP($R$2,Sheet1!J12:M12,3,0),0)</f>
        <v>0</v>
      </c>
      <c r="S14" s="70">
        <f>+IFERROR(VLOOKUP($S$2,Sheet1!J12:M12,3,0),0)</f>
        <v>0</v>
      </c>
      <c r="T14" s="70">
        <f>+IFERROR(VLOOKUP($T$2,Sheet1!J12:M12,3,0),0)</f>
        <v>0</v>
      </c>
      <c r="U14" s="70">
        <f>+IFERROR(VLOOKUP($U$2,Sheet1!J12:M12,3,0),0)</f>
        <v>0</v>
      </c>
      <c r="V14" s="70">
        <f>+IFERROR(VLOOKUP($V$2,Sheet1!J12:M12,3,0),0)</f>
        <v>0</v>
      </c>
      <c r="W14" s="70">
        <f>+IFERROR(VLOOKUP($W$2,Sheet1!J12:M12,3,0),0)</f>
        <v>0</v>
      </c>
      <c r="X14" s="71">
        <f>+IFERROR(VLOOKUP($X$2,Sheet1!N12:Q12,3,0),0)</f>
        <v>0</v>
      </c>
      <c r="Y14" s="71">
        <f>+IFERROR(VLOOKUP($Y$2,Sheet1!N12:Q12,3,0),0)</f>
        <v>0</v>
      </c>
      <c r="Z14" s="72">
        <f>+IFERROR(VLOOKUP($Z$2,Sheet1!F12:I12,3,0),0)</f>
        <v>0</v>
      </c>
      <c r="AA14" s="72">
        <f>+IFERROR(VLOOKUP($AA$2,Sheet1!F12:I12,3,0),0)</f>
        <v>0</v>
      </c>
      <c r="AB14" s="72">
        <f>+IFERROR(VLOOKUP($AB$2,Sheet1!F12:I12,3,0),0)</f>
        <v>0</v>
      </c>
      <c r="AC14" s="72">
        <f>+IFERROR(VLOOKUP($AC$2,Sheet1!F12:I12,3,0),0)</f>
        <v>0</v>
      </c>
      <c r="AD14" s="72">
        <f>+IFERROR(VLOOKUP($AD$2,Sheet1!F12:I12,3,0),0)</f>
        <v>0</v>
      </c>
      <c r="AE14" s="72">
        <f>+IFERROR(VLOOKUP($AE$2,Sheet1!F12:I12,3,0),0)</f>
        <v>0</v>
      </c>
      <c r="AF14" s="72">
        <f>+IFERROR(VLOOKUP($AF$2,Sheet1!F12:I12,3,0),0)</f>
        <v>0</v>
      </c>
      <c r="AG14" s="72">
        <f>+IFERROR(VLOOKUP($AG$2,Sheet1!F12:I12,3,0),0)</f>
        <v>0</v>
      </c>
      <c r="AH14" s="73">
        <f>+IFERROR(VLOOKUP($AH$2,Sheet1!R12:U12,3,0),0)</f>
        <v>0</v>
      </c>
      <c r="AI14" s="31">
        <f>+IFERROR(VLOOKUP($AI$2,Sheet1!R12:U12,3,0),0)</f>
        <v>0</v>
      </c>
      <c r="AJ14" s="74">
        <f>+IFERROR(VLOOKUP($AJ$2,Sheet1!V12:Y12,3,0),0)</f>
        <v>0</v>
      </c>
      <c r="AK14" s="32">
        <f>+IFERROR(VLOOKUP($AK$2,Sheet1!V12:Y12,3,0),0)</f>
        <v>0</v>
      </c>
      <c r="AL14" s="32">
        <f>+IFERROR(VLOOKUP($AL$2,Sheet1!V12:Y12,3,0),0)</f>
        <v>0</v>
      </c>
      <c r="AM14" s="32">
        <f>+IFERROR(VLOOKUP($AM$2,Sheet1!V12:Y12,3,0),0)</f>
        <v>0</v>
      </c>
      <c r="AN14" s="32">
        <f>+IFERROR(VLOOKUP($AN$2,Sheet1!V12:Y12,3,0),0)</f>
        <v>0</v>
      </c>
      <c r="AO14" s="32">
        <f>+IFERROR(VLOOKUP($AO$2,Sheet1!V12:Y12,3,0),0)</f>
        <v>0</v>
      </c>
      <c r="AP14" s="32">
        <f>+IFERROR(VLOOKUP($AP$2,Sheet1!V12:Y12,3,0),0)</f>
        <v>0</v>
      </c>
      <c r="AQ14" s="32">
        <f>+IFERROR(VLOOKUP($AQ$2,Sheet1!V12:Y12,3,0),0)</f>
        <v>0</v>
      </c>
      <c r="AR14" s="32">
        <f>+IFERROR(VLOOKUP($AR$2,Sheet1!V12:Y12,3,0),0)</f>
        <v>0</v>
      </c>
      <c r="AS14" s="35">
        <f>+IFERROR(VLOOKUP($AS$2,Sheet1!Z12:AB12,3,0),0)</f>
        <v>0</v>
      </c>
      <c r="AT14" s="36">
        <f>+IFERROR(VLOOKUP($AT$2,Sheet1!AD12:AG12,3,0),0)</f>
        <v>0</v>
      </c>
      <c r="AU14" s="36">
        <f>+IFERROR(VLOOKUP($AU$2,Sheet1!AD12:AG12,3,0),0)</f>
        <v>0</v>
      </c>
      <c r="AV14" s="36">
        <f>+IFERROR(VLOOKUP($AV$2,Sheet1!AD12:AG12,3,0),0)</f>
        <v>0</v>
      </c>
      <c r="AW14" s="36">
        <f>+IFERROR(VLOOKUP($AW$2,Sheet1!AD12:AG12,3,0),0)</f>
        <v>0</v>
      </c>
      <c r="AX14" s="36">
        <f>+IFERROR(VLOOKUP($AX$2,Sheet1!AD12:AG12,3,0),0)</f>
        <v>0</v>
      </c>
      <c r="AY14" s="36">
        <f>+IFERROR(VLOOKUP($AY$2,Sheet1!AD12:AG12,3,0),0)</f>
        <v>0</v>
      </c>
      <c r="AZ14" s="36">
        <f>+IFERROR(VLOOKUP($AZ$2,Sheet1!AD12:AG12,3,0),0)</f>
        <v>0</v>
      </c>
      <c r="BA14" s="36">
        <f>+IFERROR(VLOOKUP($BA$2,Sheet1!AD12:AG12,3,0),0)</f>
        <v>0</v>
      </c>
      <c r="BB14" s="36">
        <f>+IFERROR(VLOOKUP($BB$2,Sheet1!AD12:AG12,3,0),0)</f>
        <v>0</v>
      </c>
      <c r="BC14" s="35">
        <f>+IFERROR(VLOOKUP($BC$2,Sheet1!AH12:AK12,3,0),0)</f>
        <v>0</v>
      </c>
      <c r="BD14" s="35">
        <f>+IFERROR(VLOOKUP($BD$2,Sheet1!AH12:AK12,3,0),0)</f>
        <v>0</v>
      </c>
      <c r="BE14" s="35">
        <f>+IFERROR(VLOOKUP($BE$2,Sheet1!AH12:AK12,3,0),0)</f>
        <v>0</v>
      </c>
      <c r="BF14" s="35">
        <f>+IFERROR(VLOOKUP($BF$2,Sheet1!AH12:AK12,3,0),0)</f>
        <v>0</v>
      </c>
      <c r="BG14" s="35">
        <f>+IFERROR(VLOOKUP($BG$2,Sheet1!AH12:AK12,3,0),0)</f>
        <v>0</v>
      </c>
      <c r="BH14" s="35">
        <f>+IFERROR(VLOOKUP($BH$2,Sheet1!AH12:AK12,3,0),0)</f>
        <v>0</v>
      </c>
      <c r="BI14" s="35">
        <f>+IFERROR(VLOOKUP($BI$2,Sheet1!AH12:AK12,3,0),0)</f>
        <v>0</v>
      </c>
      <c r="BJ14" s="35">
        <f>+IFERROR(VLOOKUP($BJ$2,Sheet1!AH12:AK12,3,0),0)</f>
        <v>0</v>
      </c>
      <c r="BK14" s="35">
        <f>+IFERROR(VLOOKUP($BK$2,Sheet1!AH12:AK12,3,0),0)</f>
        <v>0</v>
      </c>
      <c r="BL14" s="35">
        <f>+IFERROR(VLOOKUP($BL$2,Sheet1!AH12:AK12,3,0),0)</f>
        <v>0</v>
      </c>
      <c r="BM14" s="35">
        <f>+IFERROR(VLOOKUP($BM$2,Sheet1!AH12:AK12,3,0),0)</f>
        <v>0</v>
      </c>
      <c r="BN14" s="9">
        <f>+IFERROR(VLOOKUP($BN$2,Sheet1!AL12:AO12,3,0),0)</f>
        <v>0</v>
      </c>
      <c r="BO14" s="9">
        <f>+IFERROR(VLOOKUP($BO$2,Sheet1!AL12:AO12,3,0),0)</f>
        <v>0</v>
      </c>
      <c r="BP14" s="9">
        <f>+IFERROR(VLOOKUP($BP$2,Sheet1!AL12:AO12,3,0),0)</f>
        <v>0</v>
      </c>
      <c r="BQ14" s="9">
        <f>+IFERROR(VLOOKUP($BQ$2,Sheet1!AL12:AO12,3,0),0)</f>
        <v>0</v>
      </c>
      <c r="BR14" s="9">
        <f>+IFERROR(VLOOKUP($BR$2,Sheet1!AL12:AO12,3,0),0)</f>
        <v>0</v>
      </c>
      <c r="BS14" s="9">
        <f>+IFERROR(VLOOKUP($BS$2,Sheet1!AL12:AO12,3,0),0)</f>
        <v>0</v>
      </c>
      <c r="BT14" s="9">
        <f>+IFERROR(VLOOKUP($BT$2,Sheet1!AL12:AO12,3,0),0)</f>
        <v>0</v>
      </c>
      <c r="BU14" s="9">
        <f>+IFERROR(VLOOKUP($BU$2,Sheet1!AL12:AO12,3,0),0)</f>
        <v>0</v>
      </c>
      <c r="BV14" s="9">
        <f>+IFERROR(VLOOKUP($BV$2,Sheet1!AL12:AO12,3,0),0)</f>
        <v>0</v>
      </c>
      <c r="BW14" s="9">
        <f>+IFERROR(VLOOKUP($BW$2,Sheet1!AL12:AO12,3,0),0)</f>
        <v>0</v>
      </c>
      <c r="BX14" s="9">
        <f>+IFERROR(VLOOKUP($BX$2,Sheet1!AL12:AO12,3,0),0)</f>
        <v>0</v>
      </c>
      <c r="BY14" s="9">
        <f>+IFERROR(VLOOKUP($BY$2,Sheet1!AL12:AO12,3,0),0)</f>
        <v>0</v>
      </c>
      <c r="BZ14" s="39">
        <f>+IFERROR(VLOOKUP($BZ$2,Sheet1!AP12:AS12,3,0),0)</f>
        <v>0</v>
      </c>
      <c r="CA14" s="42">
        <f>+IFERROR(VLOOKUP($CA$2,Sheet1!AT12:AW12,3,0),0)</f>
        <v>0</v>
      </c>
      <c r="CB14" s="43">
        <f>+IFERROR(VLOOKUP($CB$2,Sheet1!AX12:BA12,3,0),0)</f>
        <v>0</v>
      </c>
      <c r="CC14" s="45">
        <f>+IFERROR(VLOOKUP($CC$2,Sheet1!BB12:BE12,3,0),0)</f>
        <v>0</v>
      </c>
      <c r="CD14" s="47">
        <f>+IFERROR(VLOOKUP($CD$2,Sheet1!BF12:BI12,3,0),0)</f>
        <v>0</v>
      </c>
      <c r="CE14" s="48">
        <f>+IFERROR(VLOOKUP($CE$2,Sheet1!BJ12:BM12,3,0),0)</f>
        <v>0</v>
      </c>
      <c r="CF14" s="49">
        <f>+IFERROR(VLOOKUP($CF$2,Sheet1!BN12:BQ12,3,0),0)</f>
        <v>0</v>
      </c>
      <c r="CG14" s="37">
        <f>+IFERROR(VLOOKUP($CG$2,Sheet1!BR12:BU12,3,0),0)</f>
        <v>0</v>
      </c>
      <c r="CH14" s="43">
        <f>+IFERROR(VLOOKUP($CH$2,Sheet1!BV12:BY12,3,0),0)</f>
        <v>0</v>
      </c>
      <c r="CI14" s="66">
        <f>Sheet1!E12</f>
        <v>0</v>
      </c>
      <c r="CJ14" s="67">
        <f>Sheet1!CY12</f>
        <v>0</v>
      </c>
      <c r="CK14" s="67">
        <f>Sheet1!CZ12</f>
        <v>0</v>
      </c>
      <c r="CL14" s="67">
        <f>Sheet1!CX12</f>
        <v>0</v>
      </c>
      <c r="CM14" s="22">
        <f>Sheet1!BZ12</f>
        <v>0</v>
      </c>
      <c r="CN14" s="22">
        <v>1300</v>
      </c>
      <c r="CO14" s="94">
        <v>0.08</v>
      </c>
      <c r="CP14" s="22">
        <f t="shared" si="17"/>
        <v>104</v>
      </c>
      <c r="CQ14" s="94">
        <v>0.25</v>
      </c>
      <c r="CR14" s="22">
        <f t="shared" si="18"/>
        <v>325</v>
      </c>
      <c r="CS14" s="94">
        <f>Sheet1!CF12</f>
        <v>0</v>
      </c>
      <c r="CT14" s="22">
        <f t="shared" si="19"/>
        <v>0</v>
      </c>
      <c r="CU14" s="22">
        <f t="shared" si="20"/>
        <v>1729</v>
      </c>
      <c r="CV14" s="94">
        <v>0.02</v>
      </c>
      <c r="CW14" s="6">
        <f t="shared" si="21"/>
        <v>34.58</v>
      </c>
      <c r="CX14" s="94">
        <v>0.01</v>
      </c>
      <c r="CY14" s="6">
        <f t="shared" si="22"/>
        <v>17.29</v>
      </c>
      <c r="CZ14" s="94">
        <f>Sheet1!CM12</f>
        <v>0</v>
      </c>
      <c r="DA14" s="6">
        <f t="shared" si="23"/>
        <v>0</v>
      </c>
    </row>
    <row r="15" spans="1:106" s="21" customFormat="1" x14ac:dyDescent="0.3">
      <c r="A15" s="6">
        <f>Sheet1!A13</f>
        <v>0</v>
      </c>
      <c r="B15" s="86">
        <f>Sheet1!B13</f>
        <v>0</v>
      </c>
      <c r="C15" s="6">
        <f>Sheet1!C13</f>
        <v>0</v>
      </c>
      <c r="D15" s="104" t="s">
        <v>244</v>
      </c>
      <c r="E15" s="22">
        <f t="shared" si="13"/>
        <v>1643.88</v>
      </c>
      <c r="F15" s="97"/>
      <c r="G15" s="27">
        <f t="shared" si="2"/>
        <v>1643.88</v>
      </c>
      <c r="H15" s="27">
        <f t="shared" si="0"/>
        <v>241650.36000000002</v>
      </c>
      <c r="I15" s="28">
        <v>0.18</v>
      </c>
      <c r="J15" s="27">
        <f t="shared" si="14"/>
        <v>295.89839999999998</v>
      </c>
      <c r="K15" s="27">
        <f t="shared" si="15"/>
        <v>1939.7784000000001</v>
      </c>
      <c r="L15" s="78">
        <v>147</v>
      </c>
      <c r="M15" s="75" t="s">
        <v>253</v>
      </c>
      <c r="N15" s="22">
        <f t="shared" si="16"/>
        <v>285147.42480000004</v>
      </c>
      <c r="O15" s="101"/>
      <c r="P15" s="70">
        <f>+IFERROR(VLOOKUP($P$2,Sheet1!J13:L13,3,0),0)</f>
        <v>0</v>
      </c>
      <c r="Q15" s="70">
        <f>+IFERROR(VLOOKUP($Q$2,Sheet1!J13:L13,3,0),0)</f>
        <v>0</v>
      </c>
      <c r="R15" s="70">
        <f>+IFERROR(VLOOKUP($R$2,Sheet1!J13:M13,3,0),0)</f>
        <v>0</v>
      </c>
      <c r="S15" s="70">
        <f>+IFERROR(VLOOKUP($S$2,Sheet1!J13:M13,3,0),0)</f>
        <v>0</v>
      </c>
      <c r="T15" s="70">
        <f>+IFERROR(VLOOKUP($T$2,Sheet1!J13:M13,3,0),0)</f>
        <v>0</v>
      </c>
      <c r="U15" s="70">
        <f>+IFERROR(VLOOKUP($U$2,Sheet1!J13:M13,3,0),0)</f>
        <v>0</v>
      </c>
      <c r="V15" s="70">
        <f>+IFERROR(VLOOKUP($V$2,Sheet1!J13:M13,3,0),0)</f>
        <v>0</v>
      </c>
      <c r="W15" s="70">
        <f>+IFERROR(VLOOKUP($W$2,Sheet1!J13:M13,3,0),0)</f>
        <v>0</v>
      </c>
      <c r="X15" s="71">
        <f>+IFERROR(VLOOKUP($X$2,Sheet1!N13:Q13,3,0),0)</f>
        <v>0</v>
      </c>
      <c r="Y15" s="71">
        <f>+IFERROR(VLOOKUP($Y$2,Sheet1!N13:Q13,3,0),0)</f>
        <v>0</v>
      </c>
      <c r="Z15" s="72">
        <f>+IFERROR(VLOOKUP($Z$2,Sheet1!F13:I13,3,0),0)</f>
        <v>0</v>
      </c>
      <c r="AA15" s="72">
        <f>+IFERROR(VLOOKUP($AA$2,Sheet1!F13:I13,3,0),0)</f>
        <v>0</v>
      </c>
      <c r="AB15" s="72">
        <f>+IFERROR(VLOOKUP($AB$2,Sheet1!F13:I13,3,0),0)</f>
        <v>0</v>
      </c>
      <c r="AC15" s="72">
        <f>+IFERROR(VLOOKUP($AC$2,Sheet1!F13:I13,3,0),0)</f>
        <v>0</v>
      </c>
      <c r="AD15" s="72">
        <f>+IFERROR(VLOOKUP($AD$2,Sheet1!F13:I13,3,0),0)</f>
        <v>0</v>
      </c>
      <c r="AE15" s="72">
        <f>+IFERROR(VLOOKUP($AE$2,Sheet1!F13:I13,3,0),0)</f>
        <v>0</v>
      </c>
      <c r="AF15" s="72">
        <f>+IFERROR(VLOOKUP($AF$2,Sheet1!F13:I13,3,0),0)</f>
        <v>0</v>
      </c>
      <c r="AG15" s="72">
        <f>+IFERROR(VLOOKUP($AG$2,Sheet1!F13:I13,3,0),0)</f>
        <v>0</v>
      </c>
      <c r="AH15" s="73">
        <f>+IFERROR(VLOOKUP($AH$2,Sheet1!R13:U13,3,0),0)</f>
        <v>0</v>
      </c>
      <c r="AI15" s="31">
        <f>+IFERROR(VLOOKUP($AI$2,Sheet1!R13:U13,3,0),0)</f>
        <v>0</v>
      </c>
      <c r="AJ15" s="74">
        <f>+IFERROR(VLOOKUP($AJ$2,Sheet1!V13:Y13,3,0),0)</f>
        <v>0</v>
      </c>
      <c r="AK15" s="32">
        <f>+IFERROR(VLOOKUP($AK$2,Sheet1!V13:Y13,3,0),0)</f>
        <v>0</v>
      </c>
      <c r="AL15" s="32">
        <f>+IFERROR(VLOOKUP($AL$2,Sheet1!V13:Y13,3,0),0)</f>
        <v>0</v>
      </c>
      <c r="AM15" s="32">
        <f>+IFERROR(VLOOKUP($AM$2,Sheet1!V13:Y13,3,0),0)</f>
        <v>0</v>
      </c>
      <c r="AN15" s="32">
        <f>+IFERROR(VLOOKUP($AN$2,Sheet1!V13:Y13,3,0),0)</f>
        <v>0</v>
      </c>
      <c r="AO15" s="32">
        <f>+IFERROR(VLOOKUP($AO$2,Sheet1!V13:Y13,3,0),0)</f>
        <v>0</v>
      </c>
      <c r="AP15" s="32">
        <f>+IFERROR(VLOOKUP($AP$2,Sheet1!V13:Y13,3,0),0)</f>
        <v>0</v>
      </c>
      <c r="AQ15" s="32">
        <f>+IFERROR(VLOOKUP($AQ$2,Sheet1!V13:Y13,3,0),0)</f>
        <v>0</v>
      </c>
      <c r="AR15" s="32">
        <f>+IFERROR(VLOOKUP($AR$2,Sheet1!V13:Y13,3,0),0)</f>
        <v>0</v>
      </c>
      <c r="AS15" s="35">
        <f>+IFERROR(VLOOKUP($AS$2,Sheet1!Z13:AB13,3,0),0)</f>
        <v>0</v>
      </c>
      <c r="AT15" s="36">
        <f>+IFERROR(VLOOKUP($AT$2,Sheet1!AD13:AG13,3,0),0)</f>
        <v>0</v>
      </c>
      <c r="AU15" s="36">
        <f>+IFERROR(VLOOKUP($AU$2,Sheet1!AD13:AG13,3,0),0)</f>
        <v>0</v>
      </c>
      <c r="AV15" s="36">
        <f>+IFERROR(VLOOKUP($AV$2,Sheet1!AD13:AG13,3,0),0)</f>
        <v>0</v>
      </c>
      <c r="AW15" s="36">
        <f>+IFERROR(VLOOKUP($AW$2,Sheet1!AD13:AG13,3,0),0)</f>
        <v>0</v>
      </c>
      <c r="AX15" s="36">
        <f>+IFERROR(VLOOKUP($AX$2,Sheet1!AD13:AG13,3,0),0)</f>
        <v>0</v>
      </c>
      <c r="AY15" s="36">
        <f>+IFERROR(VLOOKUP($AY$2,Sheet1!AD13:AG13,3,0),0)</f>
        <v>0</v>
      </c>
      <c r="AZ15" s="36">
        <f>+IFERROR(VLOOKUP($AZ$2,Sheet1!AD13:AG13,3,0),0)</f>
        <v>0</v>
      </c>
      <c r="BA15" s="36">
        <f>+IFERROR(VLOOKUP($BA$2,Sheet1!AD13:AG13,3,0),0)</f>
        <v>0</v>
      </c>
      <c r="BB15" s="36">
        <f>+IFERROR(VLOOKUP($BB$2,Sheet1!AD13:AG13,3,0),0)</f>
        <v>0</v>
      </c>
      <c r="BC15" s="35">
        <f>+IFERROR(VLOOKUP($BC$2,Sheet1!AH13:AK13,3,0),0)</f>
        <v>0</v>
      </c>
      <c r="BD15" s="35">
        <f>+IFERROR(VLOOKUP($BD$2,Sheet1!AH13:AK13,3,0),0)</f>
        <v>0</v>
      </c>
      <c r="BE15" s="35">
        <f>+IFERROR(VLOOKUP($BE$2,Sheet1!AH13:AK13,3,0),0)</f>
        <v>0</v>
      </c>
      <c r="BF15" s="35">
        <f>+IFERROR(VLOOKUP($BF$2,Sheet1!AH13:AK13,3,0),0)</f>
        <v>0</v>
      </c>
      <c r="BG15" s="35">
        <f>+IFERROR(VLOOKUP($BG$2,Sheet1!AH13:AK13,3,0),0)</f>
        <v>0</v>
      </c>
      <c r="BH15" s="35">
        <f>+IFERROR(VLOOKUP($BH$2,Sheet1!AH13:AK13,3,0),0)</f>
        <v>0</v>
      </c>
      <c r="BI15" s="35">
        <f>+IFERROR(VLOOKUP($BI$2,Sheet1!AH13:AK13,3,0),0)</f>
        <v>0</v>
      </c>
      <c r="BJ15" s="35">
        <f>+IFERROR(VLOOKUP($BJ$2,Sheet1!AH13:AK13,3,0),0)</f>
        <v>0</v>
      </c>
      <c r="BK15" s="35">
        <f>+IFERROR(VLOOKUP($BK$2,Sheet1!AH13:AK13,3,0),0)</f>
        <v>0</v>
      </c>
      <c r="BL15" s="35">
        <f>+IFERROR(VLOOKUP($BL$2,Sheet1!AH13:AK13,3,0),0)</f>
        <v>0</v>
      </c>
      <c r="BM15" s="35">
        <f>+IFERROR(VLOOKUP($BM$2,Sheet1!AH13:AK13,3,0),0)</f>
        <v>0</v>
      </c>
      <c r="BN15" s="9">
        <f>+IFERROR(VLOOKUP($BN$2,Sheet1!AL13:AO13,3,0),0)</f>
        <v>0</v>
      </c>
      <c r="BO15" s="9">
        <f>+IFERROR(VLOOKUP($BO$2,Sheet1!AL13:AO13,3,0),0)</f>
        <v>0</v>
      </c>
      <c r="BP15" s="9">
        <f>+IFERROR(VLOOKUP($BP$2,Sheet1!AL13:AO13,3,0),0)</f>
        <v>0</v>
      </c>
      <c r="BQ15" s="9">
        <f>+IFERROR(VLOOKUP($BQ$2,Sheet1!AL13:AO13,3,0),0)</f>
        <v>0</v>
      </c>
      <c r="BR15" s="9">
        <f>+IFERROR(VLOOKUP($BR$2,Sheet1!AL13:AO13,3,0),0)</f>
        <v>0</v>
      </c>
      <c r="BS15" s="9">
        <f>+IFERROR(VLOOKUP($BS$2,Sheet1!AL13:AO13,3,0),0)</f>
        <v>0</v>
      </c>
      <c r="BT15" s="9">
        <f>+IFERROR(VLOOKUP($BT$2,Sheet1!AL13:AO13,3,0),0)</f>
        <v>0</v>
      </c>
      <c r="BU15" s="9">
        <f>+IFERROR(VLOOKUP($BU$2,Sheet1!AL13:AO13,3,0),0)</f>
        <v>0</v>
      </c>
      <c r="BV15" s="9">
        <f>+IFERROR(VLOOKUP($BV$2,Sheet1!AL13:AO13,3,0),0)</f>
        <v>0</v>
      </c>
      <c r="BW15" s="9">
        <f>+IFERROR(VLOOKUP($BW$2,Sheet1!AL13:AO13,3,0),0)</f>
        <v>0</v>
      </c>
      <c r="BX15" s="9">
        <f>+IFERROR(VLOOKUP($BX$2,Sheet1!AL13:AO13,3,0),0)</f>
        <v>0</v>
      </c>
      <c r="BY15" s="9">
        <f>+IFERROR(VLOOKUP($BY$2,Sheet1!AL13:AO13,3,0),0)</f>
        <v>0</v>
      </c>
      <c r="BZ15" s="39">
        <f>+IFERROR(VLOOKUP($BZ$2,Sheet1!AP13:AS13,3,0),0)</f>
        <v>0</v>
      </c>
      <c r="CA15" s="42">
        <f>+IFERROR(VLOOKUP($CA$2,Sheet1!AT13:AW13,3,0),0)</f>
        <v>0</v>
      </c>
      <c r="CB15" s="43">
        <f>+IFERROR(VLOOKUP($CB$2,Sheet1!AX13:BA13,3,0),0)</f>
        <v>0</v>
      </c>
      <c r="CC15" s="45">
        <f>+IFERROR(VLOOKUP($CC$2,Sheet1!BB13:BE13,3,0),0)</f>
        <v>0</v>
      </c>
      <c r="CD15" s="47">
        <f>+IFERROR(VLOOKUP($CD$2,Sheet1!BF13:BI13,3,0),0)</f>
        <v>0</v>
      </c>
      <c r="CE15" s="48">
        <f>+IFERROR(VLOOKUP($CE$2,Sheet1!BJ13:BM13,3,0),0)</f>
        <v>0</v>
      </c>
      <c r="CF15" s="49">
        <f>+IFERROR(VLOOKUP($CF$2,Sheet1!BN13:BQ13,3,0),0)</f>
        <v>0</v>
      </c>
      <c r="CG15" s="37">
        <f>+IFERROR(VLOOKUP($CG$2,Sheet1!BR13:BU13,3,0),0)</f>
        <v>0</v>
      </c>
      <c r="CH15" s="43">
        <f>+IFERROR(VLOOKUP($CH$2,Sheet1!BV13:BY13,3,0),0)</f>
        <v>0</v>
      </c>
      <c r="CI15" s="66">
        <f>Sheet1!E13</f>
        <v>0</v>
      </c>
      <c r="CJ15" s="67">
        <f>Sheet1!CY13</f>
        <v>0</v>
      </c>
      <c r="CK15" s="67">
        <f>Sheet1!CZ13</f>
        <v>0</v>
      </c>
      <c r="CL15" s="67">
        <f>Sheet1!CX13</f>
        <v>0</v>
      </c>
      <c r="CM15" s="22">
        <f>Sheet1!BZ13</f>
        <v>0</v>
      </c>
      <c r="CN15" s="22">
        <v>1200</v>
      </c>
      <c r="CO15" s="94">
        <v>0.08</v>
      </c>
      <c r="CP15" s="22">
        <f t="shared" si="17"/>
        <v>96</v>
      </c>
      <c r="CQ15" s="94">
        <v>0.25</v>
      </c>
      <c r="CR15" s="22">
        <f t="shared" si="18"/>
        <v>300</v>
      </c>
      <c r="CS15" s="94">
        <f>Sheet1!CF13</f>
        <v>0</v>
      </c>
      <c r="CT15" s="22">
        <f t="shared" si="19"/>
        <v>0</v>
      </c>
      <c r="CU15" s="22">
        <f t="shared" si="20"/>
        <v>1596</v>
      </c>
      <c r="CV15" s="94">
        <v>0.02</v>
      </c>
      <c r="CW15" s="6">
        <f t="shared" si="21"/>
        <v>31.92</v>
      </c>
      <c r="CX15" s="94">
        <v>0.01</v>
      </c>
      <c r="CY15" s="6">
        <f t="shared" si="22"/>
        <v>15.96</v>
      </c>
      <c r="CZ15" s="94">
        <f>Sheet1!CM13</f>
        <v>0</v>
      </c>
      <c r="DA15" s="6">
        <f t="shared" si="23"/>
        <v>0</v>
      </c>
    </row>
    <row r="16" spans="1:106" s="21" customFormat="1" x14ac:dyDescent="0.3">
      <c r="A16" s="6">
        <f>Sheet1!A14</f>
        <v>0</v>
      </c>
      <c r="B16" s="86">
        <f>Sheet1!B14</f>
        <v>0</v>
      </c>
      <c r="C16" s="6">
        <f>Sheet1!C14</f>
        <v>0</v>
      </c>
      <c r="D16" s="104" t="s">
        <v>245</v>
      </c>
      <c r="E16" s="22">
        <f t="shared" ref="E16:E23" si="24">CU16+CW16+CY16+DA16</f>
        <v>205.48500000000001</v>
      </c>
      <c r="F16" s="97"/>
      <c r="G16" s="27">
        <f t="shared" ref="G16:G23" si="25">E16+F16</f>
        <v>205.48500000000001</v>
      </c>
      <c r="H16" s="27">
        <f t="shared" si="0"/>
        <v>21164.955000000002</v>
      </c>
      <c r="I16" s="28">
        <v>0.18</v>
      </c>
      <c r="J16" s="27">
        <f t="shared" ref="J16:J23" si="26">G16*I16</f>
        <v>36.987299999999998</v>
      </c>
      <c r="K16" s="27">
        <f t="shared" ref="K16:K23" si="27">G16+J16</f>
        <v>242.47230000000002</v>
      </c>
      <c r="L16" s="78">
        <v>103</v>
      </c>
      <c r="M16" s="75" t="s">
        <v>253</v>
      </c>
      <c r="N16" s="22">
        <f t="shared" ref="N16:N23" si="28">K16*L16</f>
        <v>24974.646900000003</v>
      </c>
      <c r="O16" s="101"/>
      <c r="P16" s="70">
        <f>+IFERROR(VLOOKUP($P$2,Sheet1!J14:L14,3,0),0)</f>
        <v>0</v>
      </c>
      <c r="Q16" s="70">
        <f>+IFERROR(VLOOKUP($Q$2,Sheet1!J14:L14,3,0),0)</f>
        <v>0</v>
      </c>
      <c r="R16" s="70">
        <f>+IFERROR(VLOOKUP($R$2,Sheet1!J14:M14,3,0),0)</f>
        <v>0</v>
      </c>
      <c r="S16" s="70">
        <f>+IFERROR(VLOOKUP($S$2,Sheet1!J14:M14,3,0),0)</f>
        <v>0</v>
      </c>
      <c r="T16" s="70">
        <f>+IFERROR(VLOOKUP($T$2,Sheet1!J14:M14,3,0),0)</f>
        <v>0</v>
      </c>
      <c r="U16" s="70">
        <f>+IFERROR(VLOOKUP($U$2,Sheet1!J14:M14,3,0),0)</f>
        <v>0</v>
      </c>
      <c r="V16" s="70">
        <f>+IFERROR(VLOOKUP($V$2,Sheet1!J14:M14,3,0),0)</f>
        <v>0</v>
      </c>
      <c r="W16" s="70">
        <f>+IFERROR(VLOOKUP($W$2,Sheet1!J14:M14,3,0),0)</f>
        <v>0</v>
      </c>
      <c r="X16" s="71">
        <f>+IFERROR(VLOOKUP($X$2,Sheet1!N14:Q14,3,0),0)</f>
        <v>0</v>
      </c>
      <c r="Y16" s="71">
        <f>+IFERROR(VLOOKUP($Y$2,Sheet1!N14:Q14,3,0),0)</f>
        <v>0</v>
      </c>
      <c r="Z16" s="72">
        <f>+IFERROR(VLOOKUP($Z$2,Sheet1!F14:I14,3,0),0)</f>
        <v>0</v>
      </c>
      <c r="AA16" s="72">
        <f>+IFERROR(VLOOKUP($AA$2,Sheet1!F14:I14,3,0),0)</f>
        <v>0</v>
      </c>
      <c r="AB16" s="72">
        <f>+IFERROR(VLOOKUP($AB$2,Sheet1!F14:I14,3,0),0)</f>
        <v>0</v>
      </c>
      <c r="AC16" s="72">
        <f>+IFERROR(VLOOKUP($AC$2,Sheet1!F14:I14,3,0),0)</f>
        <v>0</v>
      </c>
      <c r="AD16" s="72">
        <f>+IFERROR(VLOOKUP($AD$2,Sheet1!F14:I14,3,0),0)</f>
        <v>0</v>
      </c>
      <c r="AE16" s="72">
        <f>+IFERROR(VLOOKUP($AE$2,Sheet1!F14:I14,3,0),0)</f>
        <v>0</v>
      </c>
      <c r="AF16" s="72">
        <f>+IFERROR(VLOOKUP($AF$2,Sheet1!F14:I14,3,0),0)</f>
        <v>0</v>
      </c>
      <c r="AG16" s="72">
        <f>+IFERROR(VLOOKUP($AG$2,Sheet1!F14:I14,3,0),0)</f>
        <v>0</v>
      </c>
      <c r="AH16" s="73">
        <f>+IFERROR(VLOOKUP($AH$2,Sheet1!R14:U14,3,0),0)</f>
        <v>0</v>
      </c>
      <c r="AI16" s="31">
        <f>+IFERROR(VLOOKUP($AI$2,Sheet1!R14:U14,3,0),0)</f>
        <v>0</v>
      </c>
      <c r="AJ16" s="74">
        <f>+IFERROR(VLOOKUP($AJ$2,Sheet1!V14:Y14,3,0),0)</f>
        <v>0</v>
      </c>
      <c r="AK16" s="32">
        <f>+IFERROR(VLOOKUP($AK$2,Sheet1!V14:Y14,3,0),0)</f>
        <v>0</v>
      </c>
      <c r="AL16" s="32">
        <f>+IFERROR(VLOOKUP($AL$2,Sheet1!V14:Y14,3,0),0)</f>
        <v>0</v>
      </c>
      <c r="AM16" s="32">
        <f>+IFERROR(VLOOKUP($AM$2,Sheet1!V14:Y14,3,0),0)</f>
        <v>0</v>
      </c>
      <c r="AN16" s="32">
        <f>+IFERROR(VLOOKUP($AN$2,Sheet1!V14:Y14,3,0),0)</f>
        <v>0</v>
      </c>
      <c r="AO16" s="32">
        <f>+IFERROR(VLOOKUP($AO$2,Sheet1!V14:Y14,3,0),0)</f>
        <v>0</v>
      </c>
      <c r="AP16" s="32">
        <f>+IFERROR(VLOOKUP($AP$2,Sheet1!V14:Y14,3,0),0)</f>
        <v>0</v>
      </c>
      <c r="AQ16" s="32">
        <f>+IFERROR(VLOOKUP($AQ$2,Sheet1!V14:Y14,3,0),0)</f>
        <v>0</v>
      </c>
      <c r="AR16" s="32">
        <f>+IFERROR(VLOOKUP($AR$2,Sheet1!V14:Y14,3,0),0)</f>
        <v>0</v>
      </c>
      <c r="AS16" s="35">
        <f>+IFERROR(VLOOKUP($AS$2,Sheet1!Z14:AB14,3,0),0)</f>
        <v>0</v>
      </c>
      <c r="AT16" s="36">
        <f>+IFERROR(VLOOKUP($AT$2,Sheet1!AD14:AG14,3,0),0)</f>
        <v>0</v>
      </c>
      <c r="AU16" s="36">
        <f>+IFERROR(VLOOKUP($AU$2,Sheet1!AD14:AG14,3,0),0)</f>
        <v>0</v>
      </c>
      <c r="AV16" s="36">
        <f>+IFERROR(VLOOKUP($AV$2,Sheet1!AD14:AG14,3,0),0)</f>
        <v>0</v>
      </c>
      <c r="AW16" s="36">
        <f>+IFERROR(VLOOKUP($AW$2,Sheet1!AD14:AG14,3,0),0)</f>
        <v>0</v>
      </c>
      <c r="AX16" s="36">
        <f>+IFERROR(VLOOKUP($AX$2,Sheet1!AD14:AG14,3,0),0)</f>
        <v>0</v>
      </c>
      <c r="AY16" s="36">
        <f>+IFERROR(VLOOKUP($AY$2,Sheet1!AD14:AG14,3,0),0)</f>
        <v>0</v>
      </c>
      <c r="AZ16" s="36">
        <f>+IFERROR(VLOOKUP($AZ$2,Sheet1!AD14:AG14,3,0),0)</f>
        <v>0</v>
      </c>
      <c r="BA16" s="36">
        <f>+IFERROR(VLOOKUP($BA$2,Sheet1!AD14:AG14,3,0),0)</f>
        <v>0</v>
      </c>
      <c r="BB16" s="36">
        <f>+IFERROR(VLOOKUP($BB$2,Sheet1!AD14:AG14,3,0),0)</f>
        <v>0</v>
      </c>
      <c r="BC16" s="35">
        <f>+IFERROR(VLOOKUP($BC$2,Sheet1!AH14:AK14,3,0),0)</f>
        <v>0</v>
      </c>
      <c r="BD16" s="35">
        <f>+IFERROR(VLOOKUP($BD$2,Sheet1!AH14:AK14,3,0),0)</f>
        <v>0</v>
      </c>
      <c r="BE16" s="35">
        <f>+IFERROR(VLOOKUP($BE$2,Sheet1!AH14:AK14,3,0),0)</f>
        <v>0</v>
      </c>
      <c r="BF16" s="35">
        <f>+IFERROR(VLOOKUP($BF$2,Sheet1!AH14:AK14,3,0),0)</f>
        <v>0</v>
      </c>
      <c r="BG16" s="35">
        <f>+IFERROR(VLOOKUP($BG$2,Sheet1!AH14:AK14,3,0),0)</f>
        <v>0</v>
      </c>
      <c r="BH16" s="35">
        <f>+IFERROR(VLOOKUP($BH$2,Sheet1!AH14:AK14,3,0),0)</f>
        <v>0</v>
      </c>
      <c r="BI16" s="35">
        <f>+IFERROR(VLOOKUP($BI$2,Sheet1!AH14:AK14,3,0),0)</f>
        <v>0</v>
      </c>
      <c r="BJ16" s="35">
        <f>+IFERROR(VLOOKUP($BJ$2,Sheet1!AH14:AK14,3,0),0)</f>
        <v>0</v>
      </c>
      <c r="BK16" s="35">
        <f>+IFERROR(VLOOKUP($BK$2,Sheet1!AH14:AK14,3,0),0)</f>
        <v>0</v>
      </c>
      <c r="BL16" s="35">
        <f>+IFERROR(VLOOKUP($BL$2,Sheet1!AH14:AK14,3,0),0)</f>
        <v>0</v>
      </c>
      <c r="BM16" s="35">
        <f>+IFERROR(VLOOKUP($BM$2,Sheet1!AH14:AK14,3,0),0)</f>
        <v>0</v>
      </c>
      <c r="BN16" s="9">
        <f>+IFERROR(VLOOKUP($BN$2,Sheet1!AL14:AO14,3,0),0)</f>
        <v>0</v>
      </c>
      <c r="BO16" s="9">
        <f>+IFERROR(VLOOKUP($BO$2,Sheet1!AL14:AO14,3,0),0)</f>
        <v>0</v>
      </c>
      <c r="BP16" s="9">
        <f>+IFERROR(VLOOKUP($BP$2,Sheet1!AL14:AO14,3,0),0)</f>
        <v>0</v>
      </c>
      <c r="BQ16" s="9">
        <f>+IFERROR(VLOOKUP($BQ$2,Sheet1!AL14:AO14,3,0),0)</f>
        <v>0</v>
      </c>
      <c r="BR16" s="9">
        <f>+IFERROR(VLOOKUP($BR$2,Sheet1!AL14:AO14,3,0),0)</f>
        <v>0</v>
      </c>
      <c r="BS16" s="9">
        <f>+IFERROR(VLOOKUP($BS$2,Sheet1!AL14:AO14,3,0),0)</f>
        <v>0</v>
      </c>
      <c r="BT16" s="9">
        <f>+IFERROR(VLOOKUP($BT$2,Sheet1!AL14:AO14,3,0),0)</f>
        <v>0</v>
      </c>
      <c r="BU16" s="9">
        <f>+IFERROR(VLOOKUP($BU$2,Sheet1!AL14:AO14,3,0),0)</f>
        <v>0</v>
      </c>
      <c r="BV16" s="9">
        <f>+IFERROR(VLOOKUP($BV$2,Sheet1!AL14:AO14,3,0),0)</f>
        <v>0</v>
      </c>
      <c r="BW16" s="9">
        <f>+IFERROR(VLOOKUP($BW$2,Sheet1!AL14:AO14,3,0),0)</f>
        <v>0</v>
      </c>
      <c r="BX16" s="9">
        <f>+IFERROR(VLOOKUP($BX$2,Sheet1!AL14:AO14,3,0),0)</f>
        <v>0</v>
      </c>
      <c r="BY16" s="9">
        <f>+IFERROR(VLOOKUP($BY$2,Sheet1!AL14:AO14,3,0),0)</f>
        <v>0</v>
      </c>
      <c r="BZ16" s="39">
        <f>+IFERROR(VLOOKUP($BZ$2,Sheet1!AP14:AS14,3,0),0)</f>
        <v>0</v>
      </c>
      <c r="CA16" s="42">
        <f>+IFERROR(VLOOKUP($CA$2,Sheet1!AT14:AW14,3,0),0)</f>
        <v>0</v>
      </c>
      <c r="CB16" s="43">
        <f>+IFERROR(VLOOKUP($CB$2,Sheet1!AX14:BA14,3,0),0)</f>
        <v>0</v>
      </c>
      <c r="CC16" s="45">
        <f>+IFERROR(VLOOKUP($CC$2,Sheet1!BB14:BE14,3,0),0)</f>
        <v>0</v>
      </c>
      <c r="CD16" s="47">
        <f>+IFERROR(VLOOKUP($CD$2,Sheet1!BF14:BI14,3,0),0)</f>
        <v>0</v>
      </c>
      <c r="CE16" s="48">
        <f>+IFERROR(VLOOKUP($CE$2,Sheet1!BJ14:BM14,3,0),0)</f>
        <v>0</v>
      </c>
      <c r="CF16" s="49">
        <f>+IFERROR(VLOOKUP($CF$2,Sheet1!BN14:BQ14,3,0),0)</f>
        <v>0</v>
      </c>
      <c r="CG16" s="37">
        <f>+IFERROR(VLOOKUP($CG$2,Sheet1!BR14:BU14,3,0),0)</f>
        <v>0</v>
      </c>
      <c r="CH16" s="43">
        <f>+IFERROR(VLOOKUP($CH$2,Sheet1!BV14:BY14,3,0),0)</f>
        <v>0</v>
      </c>
      <c r="CI16" s="66">
        <f>Sheet1!E14</f>
        <v>0</v>
      </c>
      <c r="CJ16" s="67">
        <f>Sheet1!CY14</f>
        <v>0</v>
      </c>
      <c r="CK16" s="67">
        <f>Sheet1!CZ14</f>
        <v>0</v>
      </c>
      <c r="CL16" s="67">
        <f>Sheet1!CX14</f>
        <v>0</v>
      </c>
      <c r="CM16" s="22">
        <f>Sheet1!BZ14</f>
        <v>0</v>
      </c>
      <c r="CN16" s="22">
        <v>150</v>
      </c>
      <c r="CO16" s="94">
        <v>0.08</v>
      </c>
      <c r="CP16" s="22">
        <f t="shared" ref="CP16:CP23" si="29">CN16*CO16</f>
        <v>12</v>
      </c>
      <c r="CQ16" s="94">
        <v>0.25</v>
      </c>
      <c r="CR16" s="22">
        <f t="shared" ref="CR16:CR23" si="30">CN16*CQ16</f>
        <v>37.5</v>
      </c>
      <c r="CS16" s="94">
        <f>Sheet1!CF14</f>
        <v>0</v>
      </c>
      <c r="CT16" s="22">
        <f t="shared" ref="CT16:CT23" si="31">CN16*CS16</f>
        <v>0</v>
      </c>
      <c r="CU16" s="22">
        <f t="shared" ref="CU16:CU23" si="32">CN16+CP16+CR16+CT16</f>
        <v>199.5</v>
      </c>
      <c r="CV16" s="94">
        <v>0.02</v>
      </c>
      <c r="CW16" s="6">
        <f t="shared" ref="CW16:CW23" si="33">CU16*CV16</f>
        <v>3.99</v>
      </c>
      <c r="CX16" s="94">
        <v>0.01</v>
      </c>
      <c r="CY16" s="6">
        <f t="shared" ref="CY16:CY23" si="34">CU16*CX16</f>
        <v>1.9950000000000001</v>
      </c>
      <c r="CZ16" s="94">
        <f>Sheet1!CM14</f>
        <v>0</v>
      </c>
      <c r="DA16" s="6">
        <f t="shared" ref="DA16:DA23" si="35">CZ16*CU16</f>
        <v>0</v>
      </c>
    </row>
    <row r="17" spans="1:105" s="21" customFormat="1" x14ac:dyDescent="0.3">
      <c r="A17" s="6">
        <f>Sheet1!A15</f>
        <v>0</v>
      </c>
      <c r="B17" s="86">
        <f>Sheet1!B15</f>
        <v>0</v>
      </c>
      <c r="C17" s="6">
        <f>Sheet1!C15</f>
        <v>0</v>
      </c>
      <c r="D17" s="104" t="s">
        <v>246</v>
      </c>
      <c r="E17" s="22">
        <f t="shared" si="24"/>
        <v>410.97</v>
      </c>
      <c r="F17" s="97"/>
      <c r="G17" s="27">
        <f t="shared" si="25"/>
        <v>410.97</v>
      </c>
      <c r="H17" s="27">
        <f t="shared" si="0"/>
        <v>42329.91</v>
      </c>
      <c r="I17" s="28">
        <v>0.18</v>
      </c>
      <c r="J17" s="27">
        <f t="shared" si="26"/>
        <v>73.974599999999995</v>
      </c>
      <c r="K17" s="27">
        <f t="shared" si="27"/>
        <v>484.94460000000004</v>
      </c>
      <c r="L17" s="78">
        <v>103</v>
      </c>
      <c r="M17" s="75" t="s">
        <v>254</v>
      </c>
      <c r="N17" s="22">
        <f t="shared" si="28"/>
        <v>49949.293800000007</v>
      </c>
      <c r="O17" s="101"/>
      <c r="P17" s="70">
        <f>+IFERROR(VLOOKUP($P$2,Sheet1!J15:L15,3,0),0)</f>
        <v>0</v>
      </c>
      <c r="Q17" s="70">
        <f>+IFERROR(VLOOKUP($Q$2,Sheet1!J15:L15,3,0),0)</f>
        <v>0</v>
      </c>
      <c r="R17" s="70">
        <f>+IFERROR(VLOOKUP($R$2,Sheet1!J15:M15,3,0),0)</f>
        <v>0</v>
      </c>
      <c r="S17" s="70">
        <f>+IFERROR(VLOOKUP($S$2,Sheet1!J15:M15,3,0),0)</f>
        <v>0</v>
      </c>
      <c r="T17" s="70">
        <f>+IFERROR(VLOOKUP($T$2,Sheet1!J15:M15,3,0),0)</f>
        <v>0</v>
      </c>
      <c r="U17" s="70">
        <f>+IFERROR(VLOOKUP($U$2,Sheet1!J15:M15,3,0),0)</f>
        <v>0</v>
      </c>
      <c r="V17" s="70">
        <f>+IFERROR(VLOOKUP($V$2,Sheet1!J15:M15,3,0),0)</f>
        <v>0</v>
      </c>
      <c r="W17" s="70">
        <f>+IFERROR(VLOOKUP($W$2,Sheet1!J15:M15,3,0),0)</f>
        <v>0</v>
      </c>
      <c r="X17" s="71">
        <f>+IFERROR(VLOOKUP($X$2,Sheet1!N15:Q15,3,0),0)</f>
        <v>0</v>
      </c>
      <c r="Y17" s="71">
        <f>+IFERROR(VLOOKUP($Y$2,Sheet1!N15:Q15,3,0),0)</f>
        <v>0</v>
      </c>
      <c r="Z17" s="72">
        <f>+IFERROR(VLOOKUP($Z$2,Sheet1!F15:I15,3,0),0)</f>
        <v>0</v>
      </c>
      <c r="AA17" s="72">
        <f>+IFERROR(VLOOKUP($AA$2,Sheet1!F15:I15,3,0),0)</f>
        <v>0</v>
      </c>
      <c r="AB17" s="72">
        <f>+IFERROR(VLOOKUP($AB$2,Sheet1!F15:I15,3,0),0)</f>
        <v>0</v>
      </c>
      <c r="AC17" s="72">
        <f>+IFERROR(VLOOKUP($AC$2,Sheet1!F15:I15,3,0),0)</f>
        <v>0</v>
      </c>
      <c r="AD17" s="72">
        <f>+IFERROR(VLOOKUP($AD$2,Sheet1!F15:I15,3,0),0)</f>
        <v>0</v>
      </c>
      <c r="AE17" s="72">
        <f>+IFERROR(VLOOKUP($AE$2,Sheet1!F15:I15,3,0),0)</f>
        <v>0</v>
      </c>
      <c r="AF17" s="72">
        <f>+IFERROR(VLOOKUP($AF$2,Sheet1!F15:I15,3,0),0)</f>
        <v>0</v>
      </c>
      <c r="AG17" s="72">
        <f>+IFERROR(VLOOKUP($AG$2,Sheet1!F15:I15,3,0),0)</f>
        <v>0</v>
      </c>
      <c r="AH17" s="73">
        <f>+IFERROR(VLOOKUP($AH$2,Sheet1!R15:U15,3,0),0)</f>
        <v>0</v>
      </c>
      <c r="AI17" s="31">
        <f>+IFERROR(VLOOKUP($AI$2,Sheet1!R15:U15,3,0),0)</f>
        <v>0</v>
      </c>
      <c r="AJ17" s="74">
        <f>+IFERROR(VLOOKUP($AJ$2,Sheet1!V15:Y15,3,0),0)</f>
        <v>0</v>
      </c>
      <c r="AK17" s="32">
        <f>+IFERROR(VLOOKUP($AK$2,Sheet1!V15:Y15,3,0),0)</f>
        <v>0</v>
      </c>
      <c r="AL17" s="32">
        <f>+IFERROR(VLOOKUP($AL$2,Sheet1!V15:Y15,3,0),0)</f>
        <v>0</v>
      </c>
      <c r="AM17" s="32">
        <f>+IFERROR(VLOOKUP($AM$2,Sheet1!V15:Y15,3,0),0)</f>
        <v>0</v>
      </c>
      <c r="AN17" s="32">
        <f>+IFERROR(VLOOKUP($AN$2,Sheet1!V15:Y15,3,0),0)</f>
        <v>0</v>
      </c>
      <c r="AO17" s="32">
        <f>+IFERROR(VLOOKUP($AO$2,Sheet1!V15:Y15,3,0),0)</f>
        <v>0</v>
      </c>
      <c r="AP17" s="32">
        <f>+IFERROR(VLOOKUP($AP$2,Sheet1!V15:Y15,3,0),0)</f>
        <v>0</v>
      </c>
      <c r="AQ17" s="32">
        <f>+IFERROR(VLOOKUP($AQ$2,Sheet1!V15:Y15,3,0),0)</f>
        <v>0</v>
      </c>
      <c r="AR17" s="32">
        <f>+IFERROR(VLOOKUP($AR$2,Sheet1!V15:Y15,3,0),0)</f>
        <v>0</v>
      </c>
      <c r="AS17" s="35">
        <f>+IFERROR(VLOOKUP($AS$2,Sheet1!Z15:AB15,3,0),0)</f>
        <v>0</v>
      </c>
      <c r="AT17" s="36">
        <f>+IFERROR(VLOOKUP($AT$2,Sheet1!AD15:AG15,3,0),0)</f>
        <v>0</v>
      </c>
      <c r="AU17" s="36">
        <f>+IFERROR(VLOOKUP($AU$2,Sheet1!AD15:AG15,3,0),0)</f>
        <v>0</v>
      </c>
      <c r="AV17" s="36">
        <f>+IFERROR(VLOOKUP($AV$2,Sheet1!AD15:AG15,3,0),0)</f>
        <v>0</v>
      </c>
      <c r="AW17" s="36">
        <f>+IFERROR(VLOOKUP($AW$2,Sheet1!AD15:AG15,3,0),0)</f>
        <v>0</v>
      </c>
      <c r="AX17" s="36">
        <f>+IFERROR(VLOOKUP($AX$2,Sheet1!AD15:AG15,3,0),0)</f>
        <v>0</v>
      </c>
      <c r="AY17" s="36">
        <f>+IFERROR(VLOOKUP($AY$2,Sheet1!AD15:AG15,3,0),0)</f>
        <v>0</v>
      </c>
      <c r="AZ17" s="36">
        <f>+IFERROR(VLOOKUP($AZ$2,Sheet1!AD15:AG15,3,0),0)</f>
        <v>0</v>
      </c>
      <c r="BA17" s="36">
        <f>+IFERROR(VLOOKUP($BA$2,Sheet1!AD15:AG15,3,0),0)</f>
        <v>0</v>
      </c>
      <c r="BB17" s="36">
        <f>+IFERROR(VLOOKUP($BB$2,Sheet1!AD15:AG15,3,0),0)</f>
        <v>0</v>
      </c>
      <c r="BC17" s="35">
        <f>+IFERROR(VLOOKUP($BC$2,Sheet1!AH15:AK15,3,0),0)</f>
        <v>0</v>
      </c>
      <c r="BD17" s="35">
        <f>+IFERROR(VLOOKUP($BD$2,Sheet1!AH15:AK15,3,0),0)</f>
        <v>0</v>
      </c>
      <c r="BE17" s="35">
        <f>+IFERROR(VLOOKUP($BE$2,Sheet1!AH15:AK15,3,0),0)</f>
        <v>0</v>
      </c>
      <c r="BF17" s="35">
        <f>+IFERROR(VLOOKUP($BF$2,Sheet1!AH15:AK15,3,0),0)</f>
        <v>0</v>
      </c>
      <c r="BG17" s="35">
        <f>+IFERROR(VLOOKUP($BG$2,Sheet1!AH15:AK15,3,0),0)</f>
        <v>0</v>
      </c>
      <c r="BH17" s="35">
        <f>+IFERROR(VLOOKUP($BH$2,Sheet1!AH15:AK15,3,0),0)</f>
        <v>0</v>
      </c>
      <c r="BI17" s="35">
        <f>+IFERROR(VLOOKUP($BI$2,Sheet1!AH15:AK15,3,0),0)</f>
        <v>0</v>
      </c>
      <c r="BJ17" s="35">
        <f>+IFERROR(VLOOKUP($BJ$2,Sheet1!AH15:AK15,3,0),0)</f>
        <v>0</v>
      </c>
      <c r="BK17" s="35">
        <f>+IFERROR(VLOOKUP($BK$2,Sheet1!AH15:AK15,3,0),0)</f>
        <v>0</v>
      </c>
      <c r="BL17" s="35">
        <f>+IFERROR(VLOOKUP($BL$2,Sheet1!AH15:AK15,3,0),0)</f>
        <v>0</v>
      </c>
      <c r="BM17" s="35">
        <f>+IFERROR(VLOOKUP($BM$2,Sheet1!AH15:AK15,3,0),0)</f>
        <v>0</v>
      </c>
      <c r="BN17" s="9">
        <f>+IFERROR(VLOOKUP($BN$2,Sheet1!AL15:AO15,3,0),0)</f>
        <v>0</v>
      </c>
      <c r="BO17" s="9">
        <f>+IFERROR(VLOOKUP($BO$2,Sheet1!AL15:AO15,3,0),0)</f>
        <v>0</v>
      </c>
      <c r="BP17" s="9">
        <f>+IFERROR(VLOOKUP($BP$2,Sheet1!AL15:AO15,3,0),0)</f>
        <v>0</v>
      </c>
      <c r="BQ17" s="9">
        <f>+IFERROR(VLOOKUP($BQ$2,Sheet1!AL15:AO15,3,0),0)</f>
        <v>0</v>
      </c>
      <c r="BR17" s="9">
        <f>+IFERROR(VLOOKUP($BR$2,Sheet1!AL15:AO15,3,0),0)</f>
        <v>0</v>
      </c>
      <c r="BS17" s="9">
        <f>+IFERROR(VLOOKUP($BS$2,Sheet1!AL15:AO15,3,0),0)</f>
        <v>0</v>
      </c>
      <c r="BT17" s="9">
        <f>+IFERROR(VLOOKUP($BT$2,Sheet1!AL15:AO15,3,0),0)</f>
        <v>0</v>
      </c>
      <c r="BU17" s="9">
        <f>+IFERROR(VLOOKUP($BU$2,Sheet1!AL15:AO15,3,0),0)</f>
        <v>0</v>
      </c>
      <c r="BV17" s="9">
        <f>+IFERROR(VLOOKUP($BV$2,Sheet1!AL15:AO15,3,0),0)</f>
        <v>0</v>
      </c>
      <c r="BW17" s="9">
        <f>+IFERROR(VLOOKUP($BW$2,Sheet1!AL15:AO15,3,0),0)</f>
        <v>0</v>
      </c>
      <c r="BX17" s="9">
        <f>+IFERROR(VLOOKUP($BX$2,Sheet1!AL15:AO15,3,0),0)</f>
        <v>0</v>
      </c>
      <c r="BY17" s="9">
        <f>+IFERROR(VLOOKUP($BY$2,Sheet1!AL15:AO15,3,0),0)</f>
        <v>0</v>
      </c>
      <c r="BZ17" s="39">
        <f>+IFERROR(VLOOKUP($BZ$2,Sheet1!AP15:AS15,3,0),0)</f>
        <v>0</v>
      </c>
      <c r="CA17" s="42">
        <f>+IFERROR(VLOOKUP($CA$2,Sheet1!AT15:AW15,3,0),0)</f>
        <v>0</v>
      </c>
      <c r="CB17" s="43">
        <f>+IFERROR(VLOOKUP($CB$2,Sheet1!AX15:BA15,3,0),0)</f>
        <v>0</v>
      </c>
      <c r="CC17" s="45">
        <f>+IFERROR(VLOOKUP($CC$2,Sheet1!BB15:BE15,3,0),0)</f>
        <v>0</v>
      </c>
      <c r="CD17" s="47">
        <f>+IFERROR(VLOOKUP($CD$2,Sheet1!BF15:BI15,3,0),0)</f>
        <v>0</v>
      </c>
      <c r="CE17" s="48">
        <f>+IFERROR(VLOOKUP($CE$2,Sheet1!BJ15:BM15,3,0),0)</f>
        <v>0</v>
      </c>
      <c r="CF17" s="49">
        <f>+IFERROR(VLOOKUP($CF$2,Sheet1!BN15:BQ15,3,0),0)</f>
        <v>0</v>
      </c>
      <c r="CG17" s="37">
        <f>+IFERROR(VLOOKUP($CG$2,Sheet1!BR15:BU15,3,0),0)</f>
        <v>0</v>
      </c>
      <c r="CH17" s="43">
        <f>+IFERROR(VLOOKUP($CH$2,Sheet1!BV15:BY15,3,0),0)</f>
        <v>0</v>
      </c>
      <c r="CI17" s="66">
        <f>Sheet1!E15</f>
        <v>0</v>
      </c>
      <c r="CJ17" s="67">
        <f>Sheet1!CY15</f>
        <v>0</v>
      </c>
      <c r="CK17" s="67">
        <f>Sheet1!CZ15</f>
        <v>0</v>
      </c>
      <c r="CL17" s="67">
        <f>Sheet1!CX15</f>
        <v>0</v>
      </c>
      <c r="CM17" s="22">
        <f>Sheet1!BZ15</f>
        <v>0</v>
      </c>
      <c r="CN17" s="22">
        <v>300</v>
      </c>
      <c r="CO17" s="94">
        <v>0.08</v>
      </c>
      <c r="CP17" s="22">
        <f t="shared" si="29"/>
        <v>24</v>
      </c>
      <c r="CQ17" s="94">
        <v>0.25</v>
      </c>
      <c r="CR17" s="22">
        <f t="shared" si="30"/>
        <v>75</v>
      </c>
      <c r="CS17" s="94">
        <f>Sheet1!CF15</f>
        <v>0</v>
      </c>
      <c r="CT17" s="22">
        <f t="shared" si="31"/>
        <v>0</v>
      </c>
      <c r="CU17" s="22">
        <f t="shared" si="32"/>
        <v>399</v>
      </c>
      <c r="CV17" s="94">
        <v>0.02</v>
      </c>
      <c r="CW17" s="6">
        <f t="shared" si="33"/>
        <v>7.98</v>
      </c>
      <c r="CX17" s="94">
        <v>0.01</v>
      </c>
      <c r="CY17" s="6">
        <f t="shared" si="34"/>
        <v>3.99</v>
      </c>
      <c r="CZ17" s="94">
        <f>Sheet1!CM15</f>
        <v>0</v>
      </c>
      <c r="DA17" s="6">
        <f t="shared" si="35"/>
        <v>0</v>
      </c>
    </row>
    <row r="18" spans="1:105" s="21" customFormat="1" x14ac:dyDescent="0.3">
      <c r="A18" s="6">
        <f>Sheet1!A16</f>
        <v>0</v>
      </c>
      <c r="B18" s="86">
        <f>Sheet1!B16</f>
        <v>0</v>
      </c>
      <c r="C18" s="6">
        <f>Sheet1!C16</f>
        <v>0</v>
      </c>
      <c r="D18" s="104" t="s">
        <v>247</v>
      </c>
      <c r="E18" s="22">
        <f t="shared" si="24"/>
        <v>171.23749999999998</v>
      </c>
      <c r="F18" s="97"/>
      <c r="G18" s="27">
        <f t="shared" si="25"/>
        <v>171.23749999999998</v>
      </c>
      <c r="H18" s="27">
        <f t="shared" si="0"/>
        <v>17637.462499999998</v>
      </c>
      <c r="I18" s="28">
        <v>0.18</v>
      </c>
      <c r="J18" s="27">
        <f t="shared" si="26"/>
        <v>30.822749999999996</v>
      </c>
      <c r="K18" s="27">
        <f t="shared" si="27"/>
        <v>202.06024999999997</v>
      </c>
      <c r="L18" s="78">
        <v>103</v>
      </c>
      <c r="M18" s="75" t="s">
        <v>253</v>
      </c>
      <c r="N18" s="22">
        <f t="shared" si="28"/>
        <v>20812.205749999997</v>
      </c>
      <c r="O18" s="101"/>
      <c r="P18" s="70">
        <f>+IFERROR(VLOOKUP($P$2,Sheet1!J16:L16,3,0),0)</f>
        <v>0</v>
      </c>
      <c r="Q18" s="70">
        <f>+IFERROR(VLOOKUP($Q$2,Sheet1!J16:L16,3,0),0)</f>
        <v>0</v>
      </c>
      <c r="R18" s="70">
        <f>+IFERROR(VLOOKUP($R$2,Sheet1!J16:M16,3,0),0)</f>
        <v>0</v>
      </c>
      <c r="S18" s="70">
        <f>+IFERROR(VLOOKUP($S$2,Sheet1!J16:M16,3,0),0)</f>
        <v>0</v>
      </c>
      <c r="T18" s="70">
        <f>+IFERROR(VLOOKUP($T$2,Sheet1!J16:M16,3,0),0)</f>
        <v>0</v>
      </c>
      <c r="U18" s="70">
        <f>+IFERROR(VLOOKUP($U$2,Sheet1!J16:M16,3,0),0)</f>
        <v>0</v>
      </c>
      <c r="V18" s="70">
        <f>+IFERROR(VLOOKUP($V$2,Sheet1!J16:M16,3,0),0)</f>
        <v>0</v>
      </c>
      <c r="W18" s="70">
        <f>+IFERROR(VLOOKUP($W$2,Sheet1!J16:M16,3,0),0)</f>
        <v>0</v>
      </c>
      <c r="X18" s="71">
        <f>+IFERROR(VLOOKUP($X$2,Sheet1!N16:Q16,3,0),0)</f>
        <v>0</v>
      </c>
      <c r="Y18" s="71">
        <f>+IFERROR(VLOOKUP($Y$2,Sheet1!N16:Q16,3,0),0)</f>
        <v>0</v>
      </c>
      <c r="Z18" s="72">
        <f>+IFERROR(VLOOKUP($Z$2,Sheet1!F16:I16,3,0),0)</f>
        <v>0</v>
      </c>
      <c r="AA18" s="72">
        <f>+IFERROR(VLOOKUP($AA$2,Sheet1!F16:I16,3,0),0)</f>
        <v>0</v>
      </c>
      <c r="AB18" s="72">
        <f>+IFERROR(VLOOKUP($AB$2,Sheet1!F16:I16,3,0),0)</f>
        <v>0</v>
      </c>
      <c r="AC18" s="72">
        <f>+IFERROR(VLOOKUP($AC$2,Sheet1!F16:I16,3,0),0)</f>
        <v>0</v>
      </c>
      <c r="AD18" s="72">
        <f>+IFERROR(VLOOKUP($AD$2,Sheet1!F16:I16,3,0),0)</f>
        <v>0</v>
      </c>
      <c r="AE18" s="72">
        <f>+IFERROR(VLOOKUP($AE$2,Sheet1!F16:I16,3,0),0)</f>
        <v>0</v>
      </c>
      <c r="AF18" s="72">
        <f>+IFERROR(VLOOKUP($AF$2,Sheet1!F16:I16,3,0),0)</f>
        <v>0</v>
      </c>
      <c r="AG18" s="72">
        <f>+IFERROR(VLOOKUP($AG$2,Sheet1!F16:I16,3,0),0)</f>
        <v>0</v>
      </c>
      <c r="AH18" s="73">
        <f>+IFERROR(VLOOKUP($AH$2,Sheet1!R16:U16,3,0),0)</f>
        <v>0</v>
      </c>
      <c r="AI18" s="31">
        <f>+IFERROR(VLOOKUP($AI$2,Sheet1!R16:U16,3,0),0)</f>
        <v>0</v>
      </c>
      <c r="AJ18" s="74">
        <f>+IFERROR(VLOOKUP($AJ$2,Sheet1!V16:Y16,3,0),0)</f>
        <v>0</v>
      </c>
      <c r="AK18" s="32">
        <f>+IFERROR(VLOOKUP($AK$2,Sheet1!V16:Y16,3,0),0)</f>
        <v>0</v>
      </c>
      <c r="AL18" s="32">
        <f>+IFERROR(VLOOKUP($AL$2,Sheet1!V16:Y16,3,0),0)</f>
        <v>0</v>
      </c>
      <c r="AM18" s="32">
        <f>+IFERROR(VLOOKUP($AM$2,Sheet1!V16:Y16,3,0),0)</f>
        <v>0</v>
      </c>
      <c r="AN18" s="32">
        <f>+IFERROR(VLOOKUP($AN$2,Sheet1!V16:Y16,3,0),0)</f>
        <v>0</v>
      </c>
      <c r="AO18" s="32">
        <f>+IFERROR(VLOOKUP($AO$2,Sheet1!V16:Y16,3,0),0)</f>
        <v>0</v>
      </c>
      <c r="AP18" s="32">
        <f>+IFERROR(VLOOKUP($AP$2,Sheet1!V16:Y16,3,0),0)</f>
        <v>0</v>
      </c>
      <c r="AQ18" s="32">
        <f>+IFERROR(VLOOKUP($AQ$2,Sheet1!V16:Y16,3,0),0)</f>
        <v>0</v>
      </c>
      <c r="AR18" s="32">
        <f>+IFERROR(VLOOKUP($AR$2,Sheet1!V16:Y16,3,0),0)</f>
        <v>0</v>
      </c>
      <c r="AS18" s="35">
        <f>+IFERROR(VLOOKUP($AS$2,Sheet1!Z16:AB16,3,0),0)</f>
        <v>0</v>
      </c>
      <c r="AT18" s="36">
        <f>+IFERROR(VLOOKUP($AT$2,Sheet1!AD16:AG16,3,0),0)</f>
        <v>0</v>
      </c>
      <c r="AU18" s="36">
        <f>+IFERROR(VLOOKUP($AU$2,Sheet1!AD16:AG16,3,0),0)</f>
        <v>0</v>
      </c>
      <c r="AV18" s="36">
        <f>+IFERROR(VLOOKUP($AV$2,Sheet1!AD16:AG16,3,0),0)</f>
        <v>0</v>
      </c>
      <c r="AW18" s="36">
        <f>+IFERROR(VLOOKUP($AW$2,Sheet1!AD16:AG16,3,0),0)</f>
        <v>0</v>
      </c>
      <c r="AX18" s="36">
        <f>+IFERROR(VLOOKUP($AX$2,Sheet1!AD16:AG16,3,0),0)</f>
        <v>0</v>
      </c>
      <c r="AY18" s="36">
        <f>+IFERROR(VLOOKUP($AY$2,Sheet1!AD16:AG16,3,0),0)</f>
        <v>0</v>
      </c>
      <c r="AZ18" s="36">
        <f>+IFERROR(VLOOKUP($AZ$2,Sheet1!AD16:AG16,3,0),0)</f>
        <v>0</v>
      </c>
      <c r="BA18" s="36">
        <f>+IFERROR(VLOOKUP($BA$2,Sheet1!AD16:AG16,3,0),0)</f>
        <v>0</v>
      </c>
      <c r="BB18" s="36">
        <f>+IFERROR(VLOOKUP($BB$2,Sheet1!AD16:AG16,3,0),0)</f>
        <v>0</v>
      </c>
      <c r="BC18" s="35">
        <f>+IFERROR(VLOOKUP($BC$2,Sheet1!AH16:AK16,3,0),0)</f>
        <v>0</v>
      </c>
      <c r="BD18" s="35">
        <f>+IFERROR(VLOOKUP($BD$2,Sheet1!AH16:AK16,3,0),0)</f>
        <v>0</v>
      </c>
      <c r="BE18" s="35">
        <f>+IFERROR(VLOOKUP($BE$2,Sheet1!AH16:AK16,3,0),0)</f>
        <v>0</v>
      </c>
      <c r="BF18" s="35">
        <f>+IFERROR(VLOOKUP($BF$2,Sheet1!AH16:AK16,3,0),0)</f>
        <v>0</v>
      </c>
      <c r="BG18" s="35">
        <f>+IFERROR(VLOOKUP($BG$2,Sheet1!AH16:AK16,3,0),0)</f>
        <v>0</v>
      </c>
      <c r="BH18" s="35">
        <f>+IFERROR(VLOOKUP($BH$2,Sheet1!AH16:AK16,3,0),0)</f>
        <v>0</v>
      </c>
      <c r="BI18" s="35">
        <f>+IFERROR(VLOOKUP($BI$2,Sheet1!AH16:AK16,3,0),0)</f>
        <v>0</v>
      </c>
      <c r="BJ18" s="35">
        <f>+IFERROR(VLOOKUP($BJ$2,Sheet1!AH16:AK16,3,0),0)</f>
        <v>0</v>
      </c>
      <c r="BK18" s="35">
        <f>+IFERROR(VLOOKUP($BK$2,Sheet1!AH16:AK16,3,0),0)</f>
        <v>0</v>
      </c>
      <c r="BL18" s="35">
        <f>+IFERROR(VLOOKUP($BL$2,Sheet1!AH16:AK16,3,0),0)</f>
        <v>0</v>
      </c>
      <c r="BM18" s="35">
        <f>+IFERROR(VLOOKUP($BM$2,Sheet1!AH16:AK16,3,0),0)</f>
        <v>0</v>
      </c>
      <c r="BN18" s="9">
        <f>+IFERROR(VLOOKUP($BN$2,Sheet1!AL16:AO16,3,0),0)</f>
        <v>0</v>
      </c>
      <c r="BO18" s="9">
        <f>+IFERROR(VLOOKUP($BO$2,Sheet1!AL16:AO16,3,0),0)</f>
        <v>0</v>
      </c>
      <c r="BP18" s="9">
        <f>+IFERROR(VLOOKUP($BP$2,Sheet1!AL16:AO16,3,0),0)</f>
        <v>0</v>
      </c>
      <c r="BQ18" s="9">
        <f>+IFERROR(VLOOKUP($BQ$2,Sheet1!AL16:AO16,3,0),0)</f>
        <v>0</v>
      </c>
      <c r="BR18" s="9">
        <f>+IFERROR(VLOOKUP($BR$2,Sheet1!AL16:AO16,3,0),0)</f>
        <v>0</v>
      </c>
      <c r="BS18" s="9">
        <f>+IFERROR(VLOOKUP($BS$2,Sheet1!AL16:AO16,3,0),0)</f>
        <v>0</v>
      </c>
      <c r="BT18" s="9">
        <f>+IFERROR(VLOOKUP($BT$2,Sheet1!AL16:AO16,3,0),0)</f>
        <v>0</v>
      </c>
      <c r="BU18" s="9">
        <f>+IFERROR(VLOOKUP($BU$2,Sheet1!AL16:AO16,3,0),0)</f>
        <v>0</v>
      </c>
      <c r="BV18" s="9">
        <f>+IFERROR(VLOOKUP($BV$2,Sheet1!AL16:AO16,3,0),0)</f>
        <v>0</v>
      </c>
      <c r="BW18" s="9">
        <f>+IFERROR(VLOOKUP($BW$2,Sheet1!AL16:AO16,3,0),0)</f>
        <v>0</v>
      </c>
      <c r="BX18" s="9">
        <f>+IFERROR(VLOOKUP($BX$2,Sheet1!AL16:AO16,3,0),0)</f>
        <v>0</v>
      </c>
      <c r="BY18" s="9">
        <f>+IFERROR(VLOOKUP($BY$2,Sheet1!AL16:AO16,3,0),0)</f>
        <v>0</v>
      </c>
      <c r="BZ18" s="39">
        <f>+IFERROR(VLOOKUP($BZ$2,Sheet1!AP16:AS16,3,0),0)</f>
        <v>0</v>
      </c>
      <c r="CA18" s="42">
        <f>+IFERROR(VLOOKUP($CA$2,Sheet1!AT16:AW16,3,0),0)</f>
        <v>0</v>
      </c>
      <c r="CB18" s="43">
        <f>+IFERROR(VLOOKUP($CB$2,Sheet1!AX16:BA16,3,0),0)</f>
        <v>0</v>
      </c>
      <c r="CC18" s="45">
        <f>+IFERROR(VLOOKUP($CC$2,Sheet1!BB16:BE16,3,0),0)</f>
        <v>0</v>
      </c>
      <c r="CD18" s="47">
        <f>+IFERROR(VLOOKUP($CD$2,Sheet1!BF16:BI16,3,0),0)</f>
        <v>0</v>
      </c>
      <c r="CE18" s="48">
        <f>+IFERROR(VLOOKUP($CE$2,Sheet1!BJ16:BM16,3,0),0)</f>
        <v>0</v>
      </c>
      <c r="CF18" s="49">
        <f>+IFERROR(VLOOKUP($CF$2,Sheet1!BN16:BQ16,3,0),0)</f>
        <v>0</v>
      </c>
      <c r="CG18" s="37">
        <f>+IFERROR(VLOOKUP($CG$2,Sheet1!BR16:BU16,3,0),0)</f>
        <v>0</v>
      </c>
      <c r="CH18" s="43">
        <f>+IFERROR(VLOOKUP($CH$2,Sheet1!BV16:BY16,3,0),0)</f>
        <v>0</v>
      </c>
      <c r="CI18" s="66">
        <f>Sheet1!E16</f>
        <v>0</v>
      </c>
      <c r="CJ18" s="67">
        <f>Sheet1!CY16</f>
        <v>0</v>
      </c>
      <c r="CK18" s="67">
        <f>Sheet1!CZ16</f>
        <v>0</v>
      </c>
      <c r="CL18" s="67">
        <f>Sheet1!CX16</f>
        <v>0</v>
      </c>
      <c r="CM18" s="22">
        <f>Sheet1!BZ16</f>
        <v>0</v>
      </c>
      <c r="CN18" s="22">
        <v>125</v>
      </c>
      <c r="CO18" s="94">
        <v>0.08</v>
      </c>
      <c r="CP18" s="22">
        <f t="shared" si="29"/>
        <v>10</v>
      </c>
      <c r="CQ18" s="94">
        <v>0.25</v>
      </c>
      <c r="CR18" s="22">
        <f t="shared" si="30"/>
        <v>31.25</v>
      </c>
      <c r="CS18" s="94">
        <f>Sheet1!CF16</f>
        <v>0</v>
      </c>
      <c r="CT18" s="22">
        <f t="shared" si="31"/>
        <v>0</v>
      </c>
      <c r="CU18" s="22">
        <f t="shared" si="32"/>
        <v>166.25</v>
      </c>
      <c r="CV18" s="94">
        <v>0.02</v>
      </c>
      <c r="CW18" s="6">
        <f t="shared" si="33"/>
        <v>3.3250000000000002</v>
      </c>
      <c r="CX18" s="94">
        <v>0.01</v>
      </c>
      <c r="CY18" s="6">
        <f t="shared" si="34"/>
        <v>1.6625000000000001</v>
      </c>
      <c r="CZ18" s="94">
        <f>Sheet1!CM16</f>
        <v>0</v>
      </c>
      <c r="DA18" s="6">
        <f t="shared" si="35"/>
        <v>0</v>
      </c>
    </row>
    <row r="19" spans="1:105" s="21" customFormat="1" x14ac:dyDescent="0.3">
      <c r="A19" s="6">
        <f>Sheet1!A17</f>
        <v>0</v>
      </c>
      <c r="B19" s="86">
        <f>Sheet1!B17</f>
        <v>0</v>
      </c>
      <c r="C19" s="6">
        <f>Sheet1!C17</f>
        <v>0</v>
      </c>
      <c r="D19" s="104" t="s">
        <v>248</v>
      </c>
      <c r="E19" s="22">
        <f t="shared" si="24"/>
        <v>6164.55</v>
      </c>
      <c r="F19" s="97"/>
      <c r="G19" s="27">
        <f t="shared" si="25"/>
        <v>6164.55</v>
      </c>
      <c r="H19" s="27">
        <f t="shared" si="0"/>
        <v>634948.65</v>
      </c>
      <c r="I19" s="28">
        <v>0.18</v>
      </c>
      <c r="J19" s="27">
        <f t="shared" si="26"/>
        <v>1109.6189999999999</v>
      </c>
      <c r="K19" s="27">
        <f t="shared" si="27"/>
        <v>7274.1689999999999</v>
      </c>
      <c r="L19" s="78">
        <v>103</v>
      </c>
      <c r="M19" s="75" t="s">
        <v>254</v>
      </c>
      <c r="N19" s="22">
        <f t="shared" si="28"/>
        <v>749239.40700000001</v>
      </c>
      <c r="O19" s="101"/>
      <c r="P19" s="70">
        <f>+IFERROR(VLOOKUP($P$2,Sheet1!J17:L17,3,0),0)</f>
        <v>0</v>
      </c>
      <c r="Q19" s="70">
        <f>+IFERROR(VLOOKUP($Q$2,Sheet1!J17:L17,3,0),0)</f>
        <v>0</v>
      </c>
      <c r="R19" s="70">
        <f>+IFERROR(VLOOKUP($R$2,Sheet1!J17:M17,3,0),0)</f>
        <v>0</v>
      </c>
      <c r="S19" s="70">
        <f>+IFERROR(VLOOKUP($S$2,Sheet1!J17:M17,3,0),0)</f>
        <v>0</v>
      </c>
      <c r="T19" s="70">
        <f>+IFERROR(VLOOKUP($T$2,Sheet1!J17:M17,3,0),0)</f>
        <v>0</v>
      </c>
      <c r="U19" s="70">
        <f>+IFERROR(VLOOKUP($U$2,Sheet1!J17:M17,3,0),0)</f>
        <v>0</v>
      </c>
      <c r="V19" s="70">
        <f>+IFERROR(VLOOKUP($V$2,Sheet1!J17:M17,3,0),0)</f>
        <v>0</v>
      </c>
      <c r="W19" s="70">
        <f>+IFERROR(VLOOKUP($W$2,Sheet1!J17:M17,3,0),0)</f>
        <v>0</v>
      </c>
      <c r="X19" s="71">
        <f>+IFERROR(VLOOKUP($X$2,Sheet1!N17:Q17,3,0),0)</f>
        <v>0</v>
      </c>
      <c r="Y19" s="71">
        <f>+IFERROR(VLOOKUP($Y$2,Sheet1!N17:Q17,3,0),0)</f>
        <v>0</v>
      </c>
      <c r="Z19" s="72">
        <f>+IFERROR(VLOOKUP($Z$2,Sheet1!F17:I17,3,0),0)</f>
        <v>0</v>
      </c>
      <c r="AA19" s="72">
        <f>+IFERROR(VLOOKUP($AA$2,Sheet1!F17:I17,3,0),0)</f>
        <v>0</v>
      </c>
      <c r="AB19" s="72">
        <f>+IFERROR(VLOOKUP($AB$2,Sheet1!F17:I17,3,0),0)</f>
        <v>0</v>
      </c>
      <c r="AC19" s="72">
        <f>+IFERROR(VLOOKUP($AC$2,Sheet1!F17:I17,3,0),0)</f>
        <v>0</v>
      </c>
      <c r="AD19" s="72">
        <f>+IFERROR(VLOOKUP($AD$2,Sheet1!F17:I17,3,0),0)</f>
        <v>0</v>
      </c>
      <c r="AE19" s="72">
        <f>+IFERROR(VLOOKUP($AE$2,Sheet1!F17:I17,3,0),0)</f>
        <v>0</v>
      </c>
      <c r="AF19" s="72">
        <f>+IFERROR(VLOOKUP($AF$2,Sheet1!F17:I17,3,0),0)</f>
        <v>0</v>
      </c>
      <c r="AG19" s="72">
        <f>+IFERROR(VLOOKUP($AG$2,Sheet1!F17:I17,3,0),0)</f>
        <v>0</v>
      </c>
      <c r="AH19" s="73">
        <f>+IFERROR(VLOOKUP($AH$2,Sheet1!R17:U17,3,0),0)</f>
        <v>0</v>
      </c>
      <c r="AI19" s="31">
        <f>+IFERROR(VLOOKUP($AI$2,Sheet1!R17:U17,3,0),0)</f>
        <v>0</v>
      </c>
      <c r="AJ19" s="74">
        <f>+IFERROR(VLOOKUP($AJ$2,Sheet1!V17:Y17,3,0),0)</f>
        <v>0</v>
      </c>
      <c r="AK19" s="32">
        <f>+IFERROR(VLOOKUP($AK$2,Sheet1!V17:Y17,3,0),0)</f>
        <v>0</v>
      </c>
      <c r="AL19" s="32">
        <f>+IFERROR(VLOOKUP($AL$2,Sheet1!V17:Y17,3,0),0)</f>
        <v>0</v>
      </c>
      <c r="AM19" s="32">
        <f>+IFERROR(VLOOKUP($AM$2,Sheet1!V17:Y17,3,0),0)</f>
        <v>0</v>
      </c>
      <c r="AN19" s="32">
        <f>+IFERROR(VLOOKUP($AN$2,Sheet1!V17:Y17,3,0),0)</f>
        <v>0</v>
      </c>
      <c r="AO19" s="32">
        <f>+IFERROR(VLOOKUP($AO$2,Sheet1!V17:Y17,3,0),0)</f>
        <v>0</v>
      </c>
      <c r="AP19" s="32">
        <f>+IFERROR(VLOOKUP($AP$2,Sheet1!V17:Y17,3,0),0)</f>
        <v>0</v>
      </c>
      <c r="AQ19" s="32">
        <f>+IFERROR(VLOOKUP($AQ$2,Sheet1!V17:Y17,3,0),0)</f>
        <v>0</v>
      </c>
      <c r="AR19" s="32">
        <f>+IFERROR(VLOOKUP($AR$2,Sheet1!V17:Y17,3,0),0)</f>
        <v>0</v>
      </c>
      <c r="AS19" s="35">
        <f>+IFERROR(VLOOKUP($AS$2,Sheet1!Z17:AB17,3,0),0)</f>
        <v>0</v>
      </c>
      <c r="AT19" s="36">
        <f>+IFERROR(VLOOKUP($AT$2,Sheet1!AD17:AG17,3,0),0)</f>
        <v>0</v>
      </c>
      <c r="AU19" s="36">
        <f>+IFERROR(VLOOKUP($AU$2,Sheet1!AD17:AG17,3,0),0)</f>
        <v>0</v>
      </c>
      <c r="AV19" s="36">
        <f>+IFERROR(VLOOKUP($AV$2,Sheet1!AD17:AG17,3,0),0)</f>
        <v>0</v>
      </c>
      <c r="AW19" s="36">
        <f>+IFERROR(VLOOKUP($AW$2,Sheet1!AD17:AG17,3,0),0)</f>
        <v>0</v>
      </c>
      <c r="AX19" s="36">
        <f>+IFERROR(VLOOKUP($AX$2,Sheet1!AD17:AG17,3,0),0)</f>
        <v>0</v>
      </c>
      <c r="AY19" s="36">
        <f>+IFERROR(VLOOKUP($AY$2,Sheet1!AD17:AG17,3,0),0)</f>
        <v>0</v>
      </c>
      <c r="AZ19" s="36">
        <f>+IFERROR(VLOOKUP($AZ$2,Sheet1!AD17:AG17,3,0),0)</f>
        <v>0</v>
      </c>
      <c r="BA19" s="36">
        <f>+IFERROR(VLOOKUP($BA$2,Sheet1!AD17:AG17,3,0),0)</f>
        <v>0</v>
      </c>
      <c r="BB19" s="36">
        <f>+IFERROR(VLOOKUP($BB$2,Sheet1!AD17:AG17,3,0),0)</f>
        <v>0</v>
      </c>
      <c r="BC19" s="35">
        <f>+IFERROR(VLOOKUP($BC$2,Sheet1!AH17:AK17,3,0),0)</f>
        <v>0</v>
      </c>
      <c r="BD19" s="35">
        <f>+IFERROR(VLOOKUP($BD$2,Sheet1!AH17:AK17,3,0),0)</f>
        <v>0</v>
      </c>
      <c r="BE19" s="35">
        <f>+IFERROR(VLOOKUP($BE$2,Sheet1!AH17:AK17,3,0),0)</f>
        <v>0</v>
      </c>
      <c r="BF19" s="35">
        <f>+IFERROR(VLOOKUP($BF$2,Sheet1!AH17:AK17,3,0),0)</f>
        <v>0</v>
      </c>
      <c r="BG19" s="35">
        <f>+IFERROR(VLOOKUP($BG$2,Sheet1!AH17:AK17,3,0),0)</f>
        <v>0</v>
      </c>
      <c r="BH19" s="35">
        <f>+IFERROR(VLOOKUP($BH$2,Sheet1!AH17:AK17,3,0),0)</f>
        <v>0</v>
      </c>
      <c r="BI19" s="35">
        <f>+IFERROR(VLOOKUP($BI$2,Sheet1!AH17:AK17,3,0),0)</f>
        <v>0</v>
      </c>
      <c r="BJ19" s="35">
        <f>+IFERROR(VLOOKUP($BJ$2,Sheet1!AH17:AK17,3,0),0)</f>
        <v>0</v>
      </c>
      <c r="BK19" s="35">
        <f>+IFERROR(VLOOKUP($BK$2,Sheet1!AH17:AK17,3,0),0)</f>
        <v>0</v>
      </c>
      <c r="BL19" s="35">
        <f>+IFERROR(VLOOKUP($BL$2,Sheet1!AH17:AK17,3,0),0)</f>
        <v>0</v>
      </c>
      <c r="BM19" s="35">
        <f>+IFERROR(VLOOKUP($BM$2,Sheet1!AH17:AK17,3,0),0)</f>
        <v>0</v>
      </c>
      <c r="BN19" s="9">
        <f>+IFERROR(VLOOKUP($BN$2,Sheet1!AL17:AO17,3,0),0)</f>
        <v>0</v>
      </c>
      <c r="BO19" s="9">
        <f>+IFERROR(VLOOKUP($BO$2,Sheet1!AL17:AO17,3,0),0)</f>
        <v>0</v>
      </c>
      <c r="BP19" s="9">
        <f>+IFERROR(VLOOKUP($BP$2,Sheet1!AL17:AO17,3,0),0)</f>
        <v>0</v>
      </c>
      <c r="BQ19" s="9">
        <f>+IFERROR(VLOOKUP($BQ$2,Sheet1!AL17:AO17,3,0),0)</f>
        <v>0</v>
      </c>
      <c r="BR19" s="9">
        <f>+IFERROR(VLOOKUP($BR$2,Sheet1!AL17:AO17,3,0),0)</f>
        <v>0</v>
      </c>
      <c r="BS19" s="9">
        <f>+IFERROR(VLOOKUP($BS$2,Sheet1!AL17:AO17,3,0),0)</f>
        <v>0</v>
      </c>
      <c r="BT19" s="9">
        <f>+IFERROR(VLOOKUP($BT$2,Sheet1!AL17:AO17,3,0),0)</f>
        <v>0</v>
      </c>
      <c r="BU19" s="9">
        <f>+IFERROR(VLOOKUP($BU$2,Sheet1!AL17:AO17,3,0),0)</f>
        <v>0</v>
      </c>
      <c r="BV19" s="9">
        <f>+IFERROR(VLOOKUP($BV$2,Sheet1!AL17:AO17,3,0),0)</f>
        <v>0</v>
      </c>
      <c r="BW19" s="9">
        <f>+IFERROR(VLOOKUP($BW$2,Sheet1!AL17:AO17,3,0),0)</f>
        <v>0</v>
      </c>
      <c r="BX19" s="9">
        <f>+IFERROR(VLOOKUP($BX$2,Sheet1!AL17:AO17,3,0),0)</f>
        <v>0</v>
      </c>
      <c r="BY19" s="9">
        <f>+IFERROR(VLOOKUP($BY$2,Sheet1!AL17:AO17,3,0),0)</f>
        <v>0</v>
      </c>
      <c r="BZ19" s="39">
        <f>+IFERROR(VLOOKUP($BZ$2,Sheet1!AP17:AS17,3,0),0)</f>
        <v>0</v>
      </c>
      <c r="CA19" s="42">
        <f>+IFERROR(VLOOKUP($CA$2,Sheet1!AT17:AW17,3,0),0)</f>
        <v>0</v>
      </c>
      <c r="CB19" s="43">
        <f>+IFERROR(VLOOKUP($CB$2,Sheet1!AX17:BA17,3,0),0)</f>
        <v>0</v>
      </c>
      <c r="CC19" s="45">
        <f>+IFERROR(VLOOKUP($CC$2,Sheet1!BB17:BE17,3,0),0)</f>
        <v>0</v>
      </c>
      <c r="CD19" s="47">
        <f>+IFERROR(VLOOKUP($CD$2,Sheet1!BF17:BI17,3,0),0)</f>
        <v>0</v>
      </c>
      <c r="CE19" s="48">
        <f>+IFERROR(VLOOKUP($CE$2,Sheet1!BJ17:BM17,3,0),0)</f>
        <v>0</v>
      </c>
      <c r="CF19" s="49">
        <f>+IFERROR(VLOOKUP($CF$2,Sheet1!BN17:BQ17,3,0),0)</f>
        <v>0</v>
      </c>
      <c r="CG19" s="37">
        <f>+IFERROR(VLOOKUP($CG$2,Sheet1!BR17:BU17,3,0),0)</f>
        <v>0</v>
      </c>
      <c r="CH19" s="43">
        <f>+IFERROR(VLOOKUP($CH$2,Sheet1!BV17:BY17,3,0),0)</f>
        <v>0</v>
      </c>
      <c r="CI19" s="66">
        <f>Sheet1!E17</f>
        <v>0</v>
      </c>
      <c r="CJ19" s="67">
        <f>Sheet1!CY17</f>
        <v>0</v>
      </c>
      <c r="CK19" s="67">
        <f>Sheet1!CZ17</f>
        <v>0</v>
      </c>
      <c r="CL19" s="67">
        <f>Sheet1!CX17</f>
        <v>0</v>
      </c>
      <c r="CM19" s="22">
        <f>Sheet1!BZ17</f>
        <v>0</v>
      </c>
      <c r="CN19" s="22">
        <v>4500</v>
      </c>
      <c r="CO19" s="94">
        <v>0.08</v>
      </c>
      <c r="CP19" s="22">
        <f t="shared" si="29"/>
        <v>360</v>
      </c>
      <c r="CQ19" s="94">
        <v>0.25</v>
      </c>
      <c r="CR19" s="22">
        <f t="shared" si="30"/>
        <v>1125</v>
      </c>
      <c r="CS19" s="94">
        <f>Sheet1!CF17</f>
        <v>0</v>
      </c>
      <c r="CT19" s="22">
        <f t="shared" si="31"/>
        <v>0</v>
      </c>
      <c r="CU19" s="22">
        <f t="shared" si="32"/>
        <v>5985</v>
      </c>
      <c r="CV19" s="94">
        <v>0.02</v>
      </c>
      <c r="CW19" s="6">
        <f t="shared" si="33"/>
        <v>119.7</v>
      </c>
      <c r="CX19" s="94">
        <v>0.01</v>
      </c>
      <c r="CY19" s="6">
        <f t="shared" si="34"/>
        <v>59.85</v>
      </c>
      <c r="CZ19" s="94">
        <f>Sheet1!CM17</f>
        <v>0</v>
      </c>
      <c r="DA19" s="6">
        <f t="shared" si="35"/>
        <v>0</v>
      </c>
    </row>
    <row r="20" spans="1:105" s="21" customFormat="1" ht="28.8" x14ac:dyDescent="0.3">
      <c r="A20" s="6">
        <f>Sheet1!A18</f>
        <v>0</v>
      </c>
      <c r="B20" s="86">
        <f>Sheet1!B18</f>
        <v>0</v>
      </c>
      <c r="C20" s="6">
        <f>Sheet1!C18</f>
        <v>0</v>
      </c>
      <c r="D20" s="104" t="s">
        <v>249</v>
      </c>
      <c r="E20" s="22">
        <f t="shared" si="24"/>
        <v>1232.9100000000001</v>
      </c>
      <c r="F20" s="97"/>
      <c r="G20" s="27">
        <f t="shared" si="25"/>
        <v>1232.9100000000001</v>
      </c>
      <c r="H20" s="27">
        <f t="shared" si="0"/>
        <v>123291.00000000001</v>
      </c>
      <c r="I20" s="28">
        <v>0.18</v>
      </c>
      <c r="J20" s="27">
        <f t="shared" si="26"/>
        <v>221.9238</v>
      </c>
      <c r="K20" s="27">
        <f t="shared" si="27"/>
        <v>1454.8338000000001</v>
      </c>
      <c r="L20" s="78">
        <v>100</v>
      </c>
      <c r="M20" s="75" t="s">
        <v>253</v>
      </c>
      <c r="N20" s="22">
        <f t="shared" si="28"/>
        <v>145483.38</v>
      </c>
      <c r="O20" s="101"/>
      <c r="P20" s="70">
        <f>+IFERROR(VLOOKUP($P$2,Sheet1!J18:L18,3,0),0)</f>
        <v>0</v>
      </c>
      <c r="Q20" s="70">
        <f>+IFERROR(VLOOKUP($Q$2,Sheet1!J18:L18,3,0),0)</f>
        <v>0</v>
      </c>
      <c r="R20" s="70">
        <f>+IFERROR(VLOOKUP($R$2,Sheet1!J18:M18,3,0),0)</f>
        <v>0</v>
      </c>
      <c r="S20" s="70">
        <f>+IFERROR(VLOOKUP($S$2,Sheet1!J18:M18,3,0),0)</f>
        <v>0</v>
      </c>
      <c r="T20" s="70">
        <f>+IFERROR(VLOOKUP($T$2,Sheet1!J18:M18,3,0),0)</f>
        <v>0</v>
      </c>
      <c r="U20" s="70">
        <f>+IFERROR(VLOOKUP($U$2,Sheet1!J18:M18,3,0),0)</f>
        <v>0</v>
      </c>
      <c r="V20" s="70">
        <f>+IFERROR(VLOOKUP($V$2,Sheet1!J18:M18,3,0),0)</f>
        <v>0</v>
      </c>
      <c r="W20" s="70">
        <f>+IFERROR(VLOOKUP($W$2,Sheet1!J18:M18,3,0),0)</f>
        <v>0</v>
      </c>
      <c r="X20" s="71">
        <f>+IFERROR(VLOOKUP($X$2,Sheet1!N18:Q18,3,0),0)</f>
        <v>0</v>
      </c>
      <c r="Y20" s="71">
        <f>+IFERROR(VLOOKUP($Y$2,Sheet1!N18:Q18,3,0),0)</f>
        <v>0</v>
      </c>
      <c r="Z20" s="72">
        <f>+IFERROR(VLOOKUP($Z$2,Sheet1!F18:I18,3,0),0)</f>
        <v>0</v>
      </c>
      <c r="AA20" s="72">
        <f>+IFERROR(VLOOKUP($AA$2,Sheet1!F18:I18,3,0),0)</f>
        <v>0</v>
      </c>
      <c r="AB20" s="72">
        <f>+IFERROR(VLOOKUP($AB$2,Sheet1!F18:I18,3,0),0)</f>
        <v>0</v>
      </c>
      <c r="AC20" s="72">
        <f>+IFERROR(VLOOKUP($AC$2,Sheet1!F18:I18,3,0),0)</f>
        <v>0</v>
      </c>
      <c r="AD20" s="72">
        <f>+IFERROR(VLOOKUP($AD$2,Sheet1!F18:I18,3,0),0)</f>
        <v>0</v>
      </c>
      <c r="AE20" s="72">
        <f>+IFERROR(VLOOKUP($AE$2,Sheet1!F18:I18,3,0),0)</f>
        <v>0</v>
      </c>
      <c r="AF20" s="72">
        <f>+IFERROR(VLOOKUP($AF$2,Sheet1!F18:I18,3,0),0)</f>
        <v>0</v>
      </c>
      <c r="AG20" s="72">
        <f>+IFERROR(VLOOKUP($AG$2,Sheet1!F18:I18,3,0),0)</f>
        <v>0</v>
      </c>
      <c r="AH20" s="73">
        <f>+IFERROR(VLOOKUP($AH$2,Sheet1!R18:U18,3,0),0)</f>
        <v>0</v>
      </c>
      <c r="AI20" s="31">
        <f>+IFERROR(VLOOKUP($AI$2,Sheet1!R18:U18,3,0),0)</f>
        <v>0</v>
      </c>
      <c r="AJ20" s="74">
        <f>+IFERROR(VLOOKUP($AJ$2,Sheet1!V18:Y18,3,0),0)</f>
        <v>0</v>
      </c>
      <c r="AK20" s="32">
        <f>+IFERROR(VLOOKUP($AK$2,Sheet1!V18:Y18,3,0),0)</f>
        <v>0</v>
      </c>
      <c r="AL20" s="32">
        <f>+IFERROR(VLOOKUP($AL$2,Sheet1!V18:Y18,3,0),0)</f>
        <v>0</v>
      </c>
      <c r="AM20" s="32">
        <f>+IFERROR(VLOOKUP($AM$2,Sheet1!V18:Y18,3,0),0)</f>
        <v>0</v>
      </c>
      <c r="AN20" s="32">
        <f>+IFERROR(VLOOKUP($AN$2,Sheet1!V18:Y18,3,0),0)</f>
        <v>0</v>
      </c>
      <c r="AO20" s="32">
        <f>+IFERROR(VLOOKUP($AO$2,Sheet1!V18:Y18,3,0),0)</f>
        <v>0</v>
      </c>
      <c r="AP20" s="32">
        <f>+IFERROR(VLOOKUP($AP$2,Sheet1!V18:Y18,3,0),0)</f>
        <v>0</v>
      </c>
      <c r="AQ20" s="32">
        <f>+IFERROR(VLOOKUP($AQ$2,Sheet1!V18:Y18,3,0),0)</f>
        <v>0</v>
      </c>
      <c r="AR20" s="32">
        <f>+IFERROR(VLOOKUP($AR$2,Sheet1!V18:Y18,3,0),0)</f>
        <v>0</v>
      </c>
      <c r="AS20" s="35">
        <f>+IFERROR(VLOOKUP($AS$2,Sheet1!Z18:AB18,3,0),0)</f>
        <v>0</v>
      </c>
      <c r="AT20" s="36">
        <f>+IFERROR(VLOOKUP($AT$2,Sheet1!AD18:AG18,3,0),0)</f>
        <v>0</v>
      </c>
      <c r="AU20" s="36">
        <f>+IFERROR(VLOOKUP($AU$2,Sheet1!AD18:AG18,3,0),0)</f>
        <v>0</v>
      </c>
      <c r="AV20" s="36">
        <f>+IFERROR(VLOOKUP($AV$2,Sheet1!AD18:AG18,3,0),0)</f>
        <v>0</v>
      </c>
      <c r="AW20" s="36">
        <f>+IFERROR(VLOOKUP($AW$2,Sheet1!AD18:AG18,3,0),0)</f>
        <v>0</v>
      </c>
      <c r="AX20" s="36">
        <f>+IFERROR(VLOOKUP($AX$2,Sheet1!AD18:AG18,3,0),0)</f>
        <v>0</v>
      </c>
      <c r="AY20" s="36">
        <f>+IFERROR(VLOOKUP($AY$2,Sheet1!AD18:AG18,3,0),0)</f>
        <v>0</v>
      </c>
      <c r="AZ20" s="36">
        <f>+IFERROR(VLOOKUP($AZ$2,Sheet1!AD18:AG18,3,0),0)</f>
        <v>0</v>
      </c>
      <c r="BA20" s="36">
        <f>+IFERROR(VLOOKUP($BA$2,Sheet1!AD18:AG18,3,0),0)</f>
        <v>0</v>
      </c>
      <c r="BB20" s="36">
        <f>+IFERROR(VLOOKUP($BB$2,Sheet1!AD18:AG18,3,0),0)</f>
        <v>0</v>
      </c>
      <c r="BC20" s="35">
        <f>+IFERROR(VLOOKUP($BC$2,Sheet1!AH18:AK18,3,0),0)</f>
        <v>0</v>
      </c>
      <c r="BD20" s="35">
        <f>+IFERROR(VLOOKUP($BD$2,Sheet1!AH18:AK18,3,0),0)</f>
        <v>0</v>
      </c>
      <c r="BE20" s="35">
        <f>+IFERROR(VLOOKUP($BE$2,Sheet1!AH18:AK18,3,0),0)</f>
        <v>0</v>
      </c>
      <c r="BF20" s="35">
        <f>+IFERROR(VLOOKUP($BF$2,Sheet1!AH18:AK18,3,0),0)</f>
        <v>0</v>
      </c>
      <c r="BG20" s="35">
        <f>+IFERROR(VLOOKUP($BG$2,Sheet1!AH18:AK18,3,0),0)</f>
        <v>0</v>
      </c>
      <c r="BH20" s="35">
        <f>+IFERROR(VLOOKUP($BH$2,Sheet1!AH18:AK18,3,0),0)</f>
        <v>0</v>
      </c>
      <c r="BI20" s="35">
        <f>+IFERROR(VLOOKUP($BI$2,Sheet1!AH18:AK18,3,0),0)</f>
        <v>0</v>
      </c>
      <c r="BJ20" s="35">
        <f>+IFERROR(VLOOKUP($BJ$2,Sheet1!AH18:AK18,3,0),0)</f>
        <v>0</v>
      </c>
      <c r="BK20" s="35">
        <f>+IFERROR(VLOOKUP($BK$2,Sheet1!AH18:AK18,3,0),0)</f>
        <v>0</v>
      </c>
      <c r="BL20" s="35">
        <f>+IFERROR(VLOOKUP($BL$2,Sheet1!AH18:AK18,3,0),0)</f>
        <v>0</v>
      </c>
      <c r="BM20" s="35">
        <f>+IFERROR(VLOOKUP($BM$2,Sheet1!AH18:AK18,3,0),0)</f>
        <v>0</v>
      </c>
      <c r="BN20" s="9">
        <f>+IFERROR(VLOOKUP($BN$2,Sheet1!AL18:AO18,3,0),0)</f>
        <v>0</v>
      </c>
      <c r="BO20" s="9">
        <f>+IFERROR(VLOOKUP($BO$2,Sheet1!AL18:AO18,3,0),0)</f>
        <v>0</v>
      </c>
      <c r="BP20" s="9">
        <f>+IFERROR(VLOOKUP($BP$2,Sheet1!AL18:AO18,3,0),0)</f>
        <v>0</v>
      </c>
      <c r="BQ20" s="9">
        <f>+IFERROR(VLOOKUP($BQ$2,Sheet1!AL18:AO18,3,0),0)</f>
        <v>0</v>
      </c>
      <c r="BR20" s="9">
        <f>+IFERROR(VLOOKUP($BR$2,Sheet1!AL18:AO18,3,0),0)</f>
        <v>0</v>
      </c>
      <c r="BS20" s="9">
        <f>+IFERROR(VLOOKUP($BS$2,Sheet1!AL18:AO18,3,0),0)</f>
        <v>0</v>
      </c>
      <c r="BT20" s="9">
        <f>+IFERROR(VLOOKUP($BT$2,Sheet1!AL18:AO18,3,0),0)</f>
        <v>0</v>
      </c>
      <c r="BU20" s="9">
        <f>+IFERROR(VLOOKUP($BU$2,Sheet1!AL18:AO18,3,0),0)</f>
        <v>0</v>
      </c>
      <c r="BV20" s="9">
        <f>+IFERROR(VLOOKUP($BV$2,Sheet1!AL18:AO18,3,0),0)</f>
        <v>0</v>
      </c>
      <c r="BW20" s="9">
        <f>+IFERROR(VLOOKUP($BW$2,Sheet1!AL18:AO18,3,0),0)</f>
        <v>0</v>
      </c>
      <c r="BX20" s="9">
        <f>+IFERROR(VLOOKUP($BX$2,Sheet1!AL18:AO18,3,0),0)</f>
        <v>0</v>
      </c>
      <c r="BY20" s="9">
        <f>+IFERROR(VLOOKUP($BY$2,Sheet1!AL18:AO18,3,0),0)</f>
        <v>0</v>
      </c>
      <c r="BZ20" s="39">
        <f>+IFERROR(VLOOKUP($BZ$2,Sheet1!AP18:AS18,3,0),0)</f>
        <v>0</v>
      </c>
      <c r="CA20" s="42">
        <f>+IFERROR(VLOOKUP($CA$2,Sheet1!AT18:AW18,3,0),0)</f>
        <v>0</v>
      </c>
      <c r="CB20" s="43">
        <f>+IFERROR(VLOOKUP($CB$2,Sheet1!AX18:BA18,3,0),0)</f>
        <v>0</v>
      </c>
      <c r="CC20" s="45">
        <f>+IFERROR(VLOOKUP($CC$2,Sheet1!BB18:BE18,3,0),0)</f>
        <v>0</v>
      </c>
      <c r="CD20" s="47">
        <f>+IFERROR(VLOOKUP($CD$2,Sheet1!BF18:BI18,3,0),0)</f>
        <v>0</v>
      </c>
      <c r="CE20" s="48">
        <f>+IFERROR(VLOOKUP($CE$2,Sheet1!BJ18:BM18,3,0),0)</f>
        <v>0</v>
      </c>
      <c r="CF20" s="49">
        <f>+IFERROR(VLOOKUP($CF$2,Sheet1!BN18:BQ18,3,0),0)</f>
        <v>0</v>
      </c>
      <c r="CG20" s="37">
        <f>+IFERROR(VLOOKUP($CG$2,Sheet1!BR18:BU18,3,0),0)</f>
        <v>0</v>
      </c>
      <c r="CH20" s="43">
        <f>+IFERROR(VLOOKUP($CH$2,Sheet1!BV18:BY18,3,0),0)</f>
        <v>0</v>
      </c>
      <c r="CI20" s="66">
        <f>Sheet1!E18</f>
        <v>0</v>
      </c>
      <c r="CJ20" s="67">
        <f>Sheet1!CY18</f>
        <v>0</v>
      </c>
      <c r="CK20" s="67">
        <f>Sheet1!CZ18</f>
        <v>0</v>
      </c>
      <c r="CL20" s="67">
        <f>Sheet1!CX18</f>
        <v>0</v>
      </c>
      <c r="CM20" s="22">
        <f>Sheet1!BZ18</f>
        <v>0</v>
      </c>
      <c r="CN20" s="22">
        <v>900</v>
      </c>
      <c r="CO20" s="94">
        <v>0.08</v>
      </c>
      <c r="CP20" s="22">
        <f t="shared" si="29"/>
        <v>72</v>
      </c>
      <c r="CQ20" s="94">
        <v>0.25</v>
      </c>
      <c r="CR20" s="22">
        <f t="shared" si="30"/>
        <v>225</v>
      </c>
      <c r="CS20" s="94">
        <f>Sheet1!CF18</f>
        <v>0</v>
      </c>
      <c r="CT20" s="22">
        <f t="shared" si="31"/>
        <v>0</v>
      </c>
      <c r="CU20" s="22">
        <f t="shared" si="32"/>
        <v>1197</v>
      </c>
      <c r="CV20" s="94">
        <v>0.02</v>
      </c>
      <c r="CW20" s="6">
        <f t="shared" si="33"/>
        <v>23.94</v>
      </c>
      <c r="CX20" s="94">
        <v>0.01</v>
      </c>
      <c r="CY20" s="6">
        <f t="shared" si="34"/>
        <v>11.97</v>
      </c>
      <c r="CZ20" s="94">
        <f>Sheet1!CM18</f>
        <v>0</v>
      </c>
      <c r="DA20" s="6">
        <f t="shared" si="35"/>
        <v>0</v>
      </c>
    </row>
    <row r="21" spans="1:105" s="21" customFormat="1" x14ac:dyDescent="0.3">
      <c r="A21" s="6">
        <f>Sheet1!A19</f>
        <v>0</v>
      </c>
      <c r="B21" s="86">
        <f>Sheet1!B19</f>
        <v>0</v>
      </c>
      <c r="C21" s="6">
        <f>Sheet1!C19</f>
        <v>0</v>
      </c>
      <c r="D21" s="104" t="s">
        <v>250</v>
      </c>
      <c r="E21" s="22">
        <f t="shared" si="24"/>
        <v>479.46499999999997</v>
      </c>
      <c r="F21" s="97"/>
      <c r="G21" s="27">
        <f t="shared" si="25"/>
        <v>479.46499999999997</v>
      </c>
      <c r="H21" s="27">
        <f t="shared" si="0"/>
        <v>47946.5</v>
      </c>
      <c r="I21" s="28">
        <v>0.18</v>
      </c>
      <c r="J21" s="27">
        <f t="shared" si="26"/>
        <v>86.303699999999992</v>
      </c>
      <c r="K21" s="27">
        <f t="shared" si="27"/>
        <v>565.76869999999997</v>
      </c>
      <c r="L21" s="78">
        <v>100</v>
      </c>
      <c r="M21" s="75" t="s">
        <v>253</v>
      </c>
      <c r="N21" s="22">
        <f t="shared" si="28"/>
        <v>56576.869999999995</v>
      </c>
      <c r="O21" s="101"/>
      <c r="P21" s="70">
        <f>+IFERROR(VLOOKUP($P$2,Sheet1!J19:L19,3,0),0)</f>
        <v>0</v>
      </c>
      <c r="Q21" s="70">
        <f>+IFERROR(VLOOKUP($Q$2,Sheet1!J19:L19,3,0),0)</f>
        <v>0</v>
      </c>
      <c r="R21" s="70">
        <f>+IFERROR(VLOOKUP($R$2,Sheet1!J19:M19,3,0),0)</f>
        <v>0</v>
      </c>
      <c r="S21" s="70">
        <f>+IFERROR(VLOOKUP($S$2,Sheet1!J19:M19,3,0),0)</f>
        <v>0</v>
      </c>
      <c r="T21" s="70">
        <f>+IFERROR(VLOOKUP($T$2,Sheet1!J19:M19,3,0),0)</f>
        <v>0</v>
      </c>
      <c r="U21" s="70">
        <f>+IFERROR(VLOOKUP($U$2,Sheet1!J19:M19,3,0),0)</f>
        <v>0</v>
      </c>
      <c r="V21" s="70">
        <f>+IFERROR(VLOOKUP($V$2,Sheet1!J19:M19,3,0),0)</f>
        <v>0</v>
      </c>
      <c r="W21" s="70">
        <f>+IFERROR(VLOOKUP($W$2,Sheet1!J19:M19,3,0),0)</f>
        <v>0</v>
      </c>
      <c r="X21" s="71">
        <f>+IFERROR(VLOOKUP($X$2,Sheet1!N19:Q19,3,0),0)</f>
        <v>0</v>
      </c>
      <c r="Y21" s="71">
        <f>+IFERROR(VLOOKUP($Y$2,Sheet1!N19:Q19,3,0),0)</f>
        <v>0</v>
      </c>
      <c r="Z21" s="72">
        <f>+IFERROR(VLOOKUP($Z$2,Sheet1!F19:I19,3,0),0)</f>
        <v>0</v>
      </c>
      <c r="AA21" s="72">
        <f>+IFERROR(VLOOKUP($AA$2,Sheet1!F19:I19,3,0),0)</f>
        <v>0</v>
      </c>
      <c r="AB21" s="72">
        <f>+IFERROR(VLOOKUP($AB$2,Sheet1!F19:I19,3,0),0)</f>
        <v>0</v>
      </c>
      <c r="AC21" s="72">
        <f>+IFERROR(VLOOKUP($AC$2,Sheet1!F19:I19,3,0),0)</f>
        <v>0</v>
      </c>
      <c r="AD21" s="72">
        <f>+IFERROR(VLOOKUP($AD$2,Sheet1!F19:I19,3,0),0)</f>
        <v>0</v>
      </c>
      <c r="AE21" s="72">
        <f>+IFERROR(VLOOKUP($AE$2,Sheet1!F19:I19,3,0),0)</f>
        <v>0</v>
      </c>
      <c r="AF21" s="72">
        <f>+IFERROR(VLOOKUP($AF$2,Sheet1!F19:I19,3,0),0)</f>
        <v>0</v>
      </c>
      <c r="AG21" s="72">
        <f>+IFERROR(VLOOKUP($AG$2,Sheet1!F19:I19,3,0),0)</f>
        <v>0</v>
      </c>
      <c r="AH21" s="73">
        <f>+IFERROR(VLOOKUP($AH$2,Sheet1!R19:U19,3,0),0)</f>
        <v>0</v>
      </c>
      <c r="AI21" s="31">
        <f>+IFERROR(VLOOKUP($AI$2,Sheet1!R19:U19,3,0),0)</f>
        <v>0</v>
      </c>
      <c r="AJ21" s="74">
        <f>+IFERROR(VLOOKUP($AJ$2,Sheet1!V19:Y19,3,0),0)</f>
        <v>0</v>
      </c>
      <c r="AK21" s="32">
        <f>+IFERROR(VLOOKUP($AK$2,Sheet1!V19:Y19,3,0),0)</f>
        <v>0</v>
      </c>
      <c r="AL21" s="32">
        <f>+IFERROR(VLOOKUP($AL$2,Sheet1!V19:Y19,3,0),0)</f>
        <v>0</v>
      </c>
      <c r="AM21" s="32">
        <f>+IFERROR(VLOOKUP($AM$2,Sheet1!V19:Y19,3,0),0)</f>
        <v>0</v>
      </c>
      <c r="AN21" s="32">
        <f>+IFERROR(VLOOKUP($AN$2,Sheet1!V19:Y19,3,0),0)</f>
        <v>0</v>
      </c>
      <c r="AO21" s="32">
        <f>+IFERROR(VLOOKUP($AO$2,Sheet1!V19:Y19,3,0),0)</f>
        <v>0</v>
      </c>
      <c r="AP21" s="32">
        <f>+IFERROR(VLOOKUP($AP$2,Sheet1!V19:Y19,3,0),0)</f>
        <v>0</v>
      </c>
      <c r="AQ21" s="32">
        <f>+IFERROR(VLOOKUP($AQ$2,Sheet1!V19:Y19,3,0),0)</f>
        <v>0</v>
      </c>
      <c r="AR21" s="32">
        <f>+IFERROR(VLOOKUP($AR$2,Sheet1!V19:Y19,3,0),0)</f>
        <v>0</v>
      </c>
      <c r="AS21" s="35">
        <f>+IFERROR(VLOOKUP($AS$2,Sheet1!Z19:AB19,3,0),0)</f>
        <v>0</v>
      </c>
      <c r="AT21" s="36">
        <f>+IFERROR(VLOOKUP($AT$2,Sheet1!AD19:AG19,3,0),0)</f>
        <v>0</v>
      </c>
      <c r="AU21" s="36">
        <f>+IFERROR(VLOOKUP($AU$2,Sheet1!AD19:AG19,3,0),0)</f>
        <v>0</v>
      </c>
      <c r="AV21" s="36">
        <f>+IFERROR(VLOOKUP($AV$2,Sheet1!AD19:AG19,3,0),0)</f>
        <v>0</v>
      </c>
      <c r="AW21" s="36">
        <f>+IFERROR(VLOOKUP($AW$2,Sheet1!AD19:AG19,3,0),0)</f>
        <v>0</v>
      </c>
      <c r="AX21" s="36">
        <f>+IFERROR(VLOOKUP($AX$2,Sheet1!AD19:AG19,3,0),0)</f>
        <v>0</v>
      </c>
      <c r="AY21" s="36">
        <f>+IFERROR(VLOOKUP($AY$2,Sheet1!AD19:AG19,3,0),0)</f>
        <v>0</v>
      </c>
      <c r="AZ21" s="36">
        <f>+IFERROR(VLOOKUP($AZ$2,Sheet1!AD19:AG19,3,0),0)</f>
        <v>0</v>
      </c>
      <c r="BA21" s="36">
        <f>+IFERROR(VLOOKUP($BA$2,Sheet1!AD19:AG19,3,0),0)</f>
        <v>0</v>
      </c>
      <c r="BB21" s="36">
        <f>+IFERROR(VLOOKUP($BB$2,Sheet1!AD19:AG19,3,0),0)</f>
        <v>0</v>
      </c>
      <c r="BC21" s="35">
        <f>+IFERROR(VLOOKUP($BC$2,Sheet1!AH19:AK19,3,0),0)</f>
        <v>0</v>
      </c>
      <c r="BD21" s="35">
        <f>+IFERROR(VLOOKUP($BD$2,Sheet1!AH19:AK19,3,0),0)</f>
        <v>0</v>
      </c>
      <c r="BE21" s="35">
        <f>+IFERROR(VLOOKUP($BE$2,Sheet1!AH19:AK19,3,0),0)</f>
        <v>0</v>
      </c>
      <c r="BF21" s="35">
        <f>+IFERROR(VLOOKUP($BF$2,Sheet1!AH19:AK19,3,0),0)</f>
        <v>0</v>
      </c>
      <c r="BG21" s="35">
        <f>+IFERROR(VLOOKUP($BG$2,Sheet1!AH19:AK19,3,0),0)</f>
        <v>0</v>
      </c>
      <c r="BH21" s="35">
        <f>+IFERROR(VLOOKUP($BH$2,Sheet1!AH19:AK19,3,0),0)</f>
        <v>0</v>
      </c>
      <c r="BI21" s="35">
        <f>+IFERROR(VLOOKUP($BI$2,Sheet1!AH19:AK19,3,0),0)</f>
        <v>0</v>
      </c>
      <c r="BJ21" s="35">
        <f>+IFERROR(VLOOKUP($BJ$2,Sheet1!AH19:AK19,3,0),0)</f>
        <v>0</v>
      </c>
      <c r="BK21" s="35">
        <f>+IFERROR(VLOOKUP($BK$2,Sheet1!AH19:AK19,3,0),0)</f>
        <v>0</v>
      </c>
      <c r="BL21" s="35">
        <f>+IFERROR(VLOOKUP($BL$2,Sheet1!AH19:AK19,3,0),0)</f>
        <v>0</v>
      </c>
      <c r="BM21" s="35">
        <f>+IFERROR(VLOOKUP($BM$2,Sheet1!AH19:AK19,3,0),0)</f>
        <v>0</v>
      </c>
      <c r="BN21" s="9">
        <f>+IFERROR(VLOOKUP($BN$2,Sheet1!AL19:AO19,3,0),0)</f>
        <v>0</v>
      </c>
      <c r="BO21" s="9">
        <f>+IFERROR(VLOOKUP($BO$2,Sheet1!AL19:AO19,3,0),0)</f>
        <v>0</v>
      </c>
      <c r="BP21" s="9">
        <f>+IFERROR(VLOOKUP($BP$2,Sheet1!AL19:AO19,3,0),0)</f>
        <v>0</v>
      </c>
      <c r="BQ21" s="9">
        <f>+IFERROR(VLOOKUP($BQ$2,Sheet1!AL19:AO19,3,0),0)</f>
        <v>0</v>
      </c>
      <c r="BR21" s="9">
        <f>+IFERROR(VLOOKUP($BR$2,Sheet1!AL19:AO19,3,0),0)</f>
        <v>0</v>
      </c>
      <c r="BS21" s="9">
        <f>+IFERROR(VLOOKUP($BS$2,Sheet1!AL19:AO19,3,0),0)</f>
        <v>0</v>
      </c>
      <c r="BT21" s="9">
        <f>+IFERROR(VLOOKUP($BT$2,Sheet1!AL19:AO19,3,0),0)</f>
        <v>0</v>
      </c>
      <c r="BU21" s="9">
        <f>+IFERROR(VLOOKUP($BU$2,Sheet1!AL19:AO19,3,0),0)</f>
        <v>0</v>
      </c>
      <c r="BV21" s="9">
        <f>+IFERROR(VLOOKUP($BV$2,Sheet1!AL19:AO19,3,0),0)</f>
        <v>0</v>
      </c>
      <c r="BW21" s="9">
        <f>+IFERROR(VLOOKUP($BW$2,Sheet1!AL19:AO19,3,0),0)</f>
        <v>0</v>
      </c>
      <c r="BX21" s="9">
        <f>+IFERROR(VLOOKUP($BX$2,Sheet1!AL19:AO19,3,0),0)</f>
        <v>0</v>
      </c>
      <c r="BY21" s="9">
        <f>+IFERROR(VLOOKUP($BY$2,Sheet1!AL19:AO19,3,0),0)</f>
        <v>0</v>
      </c>
      <c r="BZ21" s="39">
        <f>+IFERROR(VLOOKUP($BZ$2,Sheet1!AP19:AS19,3,0),0)</f>
        <v>0</v>
      </c>
      <c r="CA21" s="42">
        <f>+IFERROR(VLOOKUP($CA$2,Sheet1!AT19:AW19,3,0),0)</f>
        <v>0</v>
      </c>
      <c r="CB21" s="43">
        <f>+IFERROR(VLOOKUP($CB$2,Sheet1!AX19:BA19,3,0),0)</f>
        <v>0</v>
      </c>
      <c r="CC21" s="45">
        <f>+IFERROR(VLOOKUP($CC$2,Sheet1!BB19:BE19,3,0),0)</f>
        <v>0</v>
      </c>
      <c r="CD21" s="47">
        <f>+IFERROR(VLOOKUP($CD$2,Sheet1!BF19:BI19,3,0),0)</f>
        <v>0</v>
      </c>
      <c r="CE21" s="48">
        <f>+IFERROR(VLOOKUP($CE$2,Sheet1!BJ19:BM19,3,0),0)</f>
        <v>0</v>
      </c>
      <c r="CF21" s="49">
        <f>+IFERROR(VLOOKUP($CF$2,Sheet1!BN19:BQ19,3,0),0)</f>
        <v>0</v>
      </c>
      <c r="CG21" s="37">
        <f>+IFERROR(VLOOKUP($CG$2,Sheet1!BR19:BU19,3,0),0)</f>
        <v>0</v>
      </c>
      <c r="CH21" s="43">
        <f>+IFERROR(VLOOKUP($CH$2,Sheet1!BV19:BY19,3,0),0)</f>
        <v>0</v>
      </c>
      <c r="CI21" s="66">
        <f>Sheet1!E19</f>
        <v>0</v>
      </c>
      <c r="CJ21" s="67">
        <f>Sheet1!CY19</f>
        <v>0</v>
      </c>
      <c r="CK21" s="67">
        <f>Sheet1!CZ19</f>
        <v>0</v>
      </c>
      <c r="CL21" s="67">
        <f>Sheet1!CX19</f>
        <v>0</v>
      </c>
      <c r="CM21" s="22">
        <f>Sheet1!BZ19</f>
        <v>0</v>
      </c>
      <c r="CN21" s="22">
        <v>350</v>
      </c>
      <c r="CO21" s="94">
        <v>0.08</v>
      </c>
      <c r="CP21" s="22">
        <f t="shared" si="29"/>
        <v>28</v>
      </c>
      <c r="CQ21" s="94">
        <v>0.25</v>
      </c>
      <c r="CR21" s="22">
        <f t="shared" si="30"/>
        <v>87.5</v>
      </c>
      <c r="CS21" s="94">
        <f>Sheet1!CF19</f>
        <v>0</v>
      </c>
      <c r="CT21" s="22">
        <f t="shared" si="31"/>
        <v>0</v>
      </c>
      <c r="CU21" s="22">
        <f t="shared" si="32"/>
        <v>465.5</v>
      </c>
      <c r="CV21" s="94">
        <v>0.02</v>
      </c>
      <c r="CW21" s="6">
        <f t="shared" si="33"/>
        <v>9.31</v>
      </c>
      <c r="CX21" s="94">
        <v>0.01</v>
      </c>
      <c r="CY21" s="6">
        <f t="shared" si="34"/>
        <v>4.6550000000000002</v>
      </c>
      <c r="CZ21" s="94">
        <f>Sheet1!CM19</f>
        <v>0</v>
      </c>
      <c r="DA21" s="6">
        <f t="shared" si="35"/>
        <v>0</v>
      </c>
    </row>
    <row r="22" spans="1:105" s="21" customFormat="1" x14ac:dyDescent="0.3">
      <c r="A22" s="6">
        <f>Sheet1!A20</f>
        <v>0</v>
      </c>
      <c r="B22" s="86">
        <f>Sheet1!B20</f>
        <v>0</v>
      </c>
      <c r="C22" s="6">
        <f>Sheet1!C20</f>
        <v>0</v>
      </c>
      <c r="D22" s="104" t="s">
        <v>251</v>
      </c>
      <c r="E22" s="22">
        <f t="shared" si="24"/>
        <v>958.93</v>
      </c>
      <c r="F22" s="97"/>
      <c r="G22" s="27">
        <f t="shared" si="25"/>
        <v>958.93</v>
      </c>
      <c r="H22" s="27">
        <f t="shared" si="0"/>
        <v>95893</v>
      </c>
      <c r="I22" s="28">
        <v>0.18</v>
      </c>
      <c r="J22" s="27">
        <f t="shared" si="26"/>
        <v>172.60739999999998</v>
      </c>
      <c r="K22" s="27">
        <f t="shared" si="27"/>
        <v>1131.5373999999999</v>
      </c>
      <c r="L22" s="78">
        <v>100</v>
      </c>
      <c r="M22" s="75" t="s">
        <v>253</v>
      </c>
      <c r="N22" s="22">
        <f t="shared" si="28"/>
        <v>113153.73999999999</v>
      </c>
      <c r="O22" s="101"/>
      <c r="P22" s="70">
        <f>+IFERROR(VLOOKUP($P$2,Sheet1!J20:L20,3,0),0)</f>
        <v>0</v>
      </c>
      <c r="Q22" s="70">
        <f>+IFERROR(VLOOKUP($Q$2,Sheet1!J20:L20,3,0),0)</f>
        <v>0</v>
      </c>
      <c r="R22" s="70">
        <f>+IFERROR(VLOOKUP($R$2,Sheet1!J20:M20,3,0),0)</f>
        <v>0</v>
      </c>
      <c r="S22" s="70">
        <f>+IFERROR(VLOOKUP($S$2,Sheet1!J20:M20,3,0),0)</f>
        <v>0</v>
      </c>
      <c r="T22" s="70">
        <f>+IFERROR(VLOOKUP($T$2,Sheet1!J20:M20,3,0),0)</f>
        <v>0</v>
      </c>
      <c r="U22" s="70">
        <f>+IFERROR(VLOOKUP($U$2,Sheet1!J20:M20,3,0),0)</f>
        <v>0</v>
      </c>
      <c r="V22" s="70">
        <f>+IFERROR(VLOOKUP($V$2,Sheet1!J20:M20,3,0),0)</f>
        <v>0</v>
      </c>
      <c r="W22" s="70">
        <f>+IFERROR(VLOOKUP($W$2,Sheet1!J20:M20,3,0),0)</f>
        <v>0</v>
      </c>
      <c r="X22" s="71">
        <f>+IFERROR(VLOOKUP($X$2,Sheet1!N20:Q20,3,0),0)</f>
        <v>0</v>
      </c>
      <c r="Y22" s="71">
        <f>+IFERROR(VLOOKUP($Y$2,Sheet1!N20:Q20,3,0),0)</f>
        <v>0</v>
      </c>
      <c r="Z22" s="72">
        <f>+IFERROR(VLOOKUP($Z$2,Sheet1!F20:I20,3,0),0)</f>
        <v>0</v>
      </c>
      <c r="AA22" s="72">
        <f>+IFERROR(VLOOKUP($AA$2,Sheet1!F20:I20,3,0),0)</f>
        <v>0</v>
      </c>
      <c r="AB22" s="72">
        <f>+IFERROR(VLOOKUP($AB$2,Sheet1!F20:I20,3,0),0)</f>
        <v>0</v>
      </c>
      <c r="AC22" s="72">
        <f>+IFERROR(VLOOKUP($AC$2,Sheet1!F20:I20,3,0),0)</f>
        <v>0</v>
      </c>
      <c r="AD22" s="72">
        <f>+IFERROR(VLOOKUP($AD$2,Sheet1!F20:I20,3,0),0)</f>
        <v>0</v>
      </c>
      <c r="AE22" s="72">
        <f>+IFERROR(VLOOKUP($AE$2,Sheet1!F20:I20,3,0),0)</f>
        <v>0</v>
      </c>
      <c r="AF22" s="72">
        <f>+IFERROR(VLOOKUP($AF$2,Sheet1!F20:I20,3,0),0)</f>
        <v>0</v>
      </c>
      <c r="AG22" s="72">
        <f>+IFERROR(VLOOKUP($AG$2,Sheet1!F20:I20,3,0),0)</f>
        <v>0</v>
      </c>
      <c r="AH22" s="73">
        <f>+IFERROR(VLOOKUP($AH$2,Sheet1!R20:U20,3,0),0)</f>
        <v>0</v>
      </c>
      <c r="AI22" s="31">
        <f>+IFERROR(VLOOKUP($AI$2,Sheet1!R20:U20,3,0),0)</f>
        <v>0</v>
      </c>
      <c r="AJ22" s="74">
        <f>+IFERROR(VLOOKUP($AJ$2,Sheet1!V20:Y20,3,0),0)</f>
        <v>0</v>
      </c>
      <c r="AK22" s="32">
        <f>+IFERROR(VLOOKUP($AK$2,Sheet1!V20:Y20,3,0),0)</f>
        <v>0</v>
      </c>
      <c r="AL22" s="32">
        <f>+IFERROR(VLOOKUP($AL$2,Sheet1!V20:Y20,3,0),0)</f>
        <v>0</v>
      </c>
      <c r="AM22" s="32">
        <f>+IFERROR(VLOOKUP($AM$2,Sheet1!V20:Y20,3,0),0)</f>
        <v>0</v>
      </c>
      <c r="AN22" s="32">
        <f>+IFERROR(VLOOKUP($AN$2,Sheet1!V20:Y20,3,0),0)</f>
        <v>0</v>
      </c>
      <c r="AO22" s="32">
        <f>+IFERROR(VLOOKUP($AO$2,Sheet1!V20:Y20,3,0),0)</f>
        <v>0</v>
      </c>
      <c r="AP22" s="32">
        <f>+IFERROR(VLOOKUP($AP$2,Sheet1!V20:Y20,3,0),0)</f>
        <v>0</v>
      </c>
      <c r="AQ22" s="32">
        <f>+IFERROR(VLOOKUP($AQ$2,Sheet1!V20:Y20,3,0),0)</f>
        <v>0</v>
      </c>
      <c r="AR22" s="32">
        <f>+IFERROR(VLOOKUP($AR$2,Sheet1!V20:Y20,3,0),0)</f>
        <v>0</v>
      </c>
      <c r="AS22" s="35">
        <f>+IFERROR(VLOOKUP($AS$2,Sheet1!Z20:AB20,3,0),0)</f>
        <v>0</v>
      </c>
      <c r="AT22" s="36">
        <f>+IFERROR(VLOOKUP($AT$2,Sheet1!AD20:AG20,3,0),0)</f>
        <v>0</v>
      </c>
      <c r="AU22" s="36">
        <f>+IFERROR(VLOOKUP($AU$2,Sheet1!AD20:AG20,3,0),0)</f>
        <v>0</v>
      </c>
      <c r="AV22" s="36">
        <f>+IFERROR(VLOOKUP($AV$2,Sheet1!AD20:AG20,3,0),0)</f>
        <v>0</v>
      </c>
      <c r="AW22" s="36">
        <f>+IFERROR(VLOOKUP($AW$2,Sheet1!AD20:AG20,3,0),0)</f>
        <v>0</v>
      </c>
      <c r="AX22" s="36">
        <f>+IFERROR(VLOOKUP($AX$2,Sheet1!AD20:AG20,3,0),0)</f>
        <v>0</v>
      </c>
      <c r="AY22" s="36">
        <f>+IFERROR(VLOOKUP($AY$2,Sheet1!AD20:AG20,3,0),0)</f>
        <v>0</v>
      </c>
      <c r="AZ22" s="36">
        <f>+IFERROR(VLOOKUP($AZ$2,Sheet1!AD20:AG20,3,0),0)</f>
        <v>0</v>
      </c>
      <c r="BA22" s="36">
        <f>+IFERROR(VLOOKUP($BA$2,Sheet1!AD20:AG20,3,0),0)</f>
        <v>0</v>
      </c>
      <c r="BB22" s="36">
        <f>+IFERROR(VLOOKUP($BB$2,Sheet1!AD20:AG20,3,0),0)</f>
        <v>0</v>
      </c>
      <c r="BC22" s="35">
        <f>+IFERROR(VLOOKUP($BC$2,Sheet1!AH20:AK20,3,0),0)</f>
        <v>0</v>
      </c>
      <c r="BD22" s="35">
        <f>+IFERROR(VLOOKUP($BD$2,Sheet1!AH20:AK20,3,0),0)</f>
        <v>0</v>
      </c>
      <c r="BE22" s="35">
        <f>+IFERROR(VLOOKUP($BE$2,Sheet1!AH20:AK20,3,0),0)</f>
        <v>0</v>
      </c>
      <c r="BF22" s="35">
        <f>+IFERROR(VLOOKUP($BF$2,Sheet1!AH20:AK20,3,0),0)</f>
        <v>0</v>
      </c>
      <c r="BG22" s="35">
        <f>+IFERROR(VLOOKUP($BG$2,Sheet1!AH20:AK20,3,0),0)</f>
        <v>0</v>
      </c>
      <c r="BH22" s="35">
        <f>+IFERROR(VLOOKUP($BH$2,Sheet1!AH20:AK20,3,0),0)</f>
        <v>0</v>
      </c>
      <c r="BI22" s="35">
        <f>+IFERROR(VLOOKUP($BI$2,Sheet1!AH20:AK20,3,0),0)</f>
        <v>0</v>
      </c>
      <c r="BJ22" s="35">
        <f>+IFERROR(VLOOKUP($BJ$2,Sheet1!AH20:AK20,3,0),0)</f>
        <v>0</v>
      </c>
      <c r="BK22" s="35">
        <f>+IFERROR(VLOOKUP($BK$2,Sheet1!AH20:AK20,3,0),0)</f>
        <v>0</v>
      </c>
      <c r="BL22" s="35">
        <f>+IFERROR(VLOOKUP($BL$2,Sheet1!AH20:AK20,3,0),0)</f>
        <v>0</v>
      </c>
      <c r="BM22" s="35">
        <f>+IFERROR(VLOOKUP($BM$2,Sheet1!AH20:AK20,3,0),0)</f>
        <v>0</v>
      </c>
      <c r="BN22" s="9">
        <f>+IFERROR(VLOOKUP($BN$2,Sheet1!AL20:AO20,3,0),0)</f>
        <v>0</v>
      </c>
      <c r="BO22" s="9">
        <f>+IFERROR(VLOOKUP($BO$2,Sheet1!AL20:AO20,3,0),0)</f>
        <v>0</v>
      </c>
      <c r="BP22" s="9">
        <f>+IFERROR(VLOOKUP($BP$2,Sheet1!AL20:AO20,3,0),0)</f>
        <v>0</v>
      </c>
      <c r="BQ22" s="9">
        <f>+IFERROR(VLOOKUP($BQ$2,Sheet1!AL20:AO20,3,0),0)</f>
        <v>0</v>
      </c>
      <c r="BR22" s="9">
        <f>+IFERROR(VLOOKUP($BR$2,Sheet1!AL20:AO20,3,0),0)</f>
        <v>0</v>
      </c>
      <c r="BS22" s="9">
        <f>+IFERROR(VLOOKUP($BS$2,Sheet1!AL20:AO20,3,0),0)</f>
        <v>0</v>
      </c>
      <c r="BT22" s="9">
        <f>+IFERROR(VLOOKUP($BT$2,Sheet1!AL20:AO20,3,0),0)</f>
        <v>0</v>
      </c>
      <c r="BU22" s="9">
        <f>+IFERROR(VLOOKUP($BU$2,Sheet1!AL20:AO20,3,0),0)</f>
        <v>0</v>
      </c>
      <c r="BV22" s="9">
        <f>+IFERROR(VLOOKUP($BV$2,Sheet1!AL20:AO20,3,0),0)</f>
        <v>0</v>
      </c>
      <c r="BW22" s="9">
        <f>+IFERROR(VLOOKUP($BW$2,Sheet1!AL20:AO20,3,0),0)</f>
        <v>0</v>
      </c>
      <c r="BX22" s="9">
        <f>+IFERROR(VLOOKUP($BX$2,Sheet1!AL20:AO20,3,0),0)</f>
        <v>0</v>
      </c>
      <c r="BY22" s="9">
        <f>+IFERROR(VLOOKUP($BY$2,Sheet1!AL20:AO20,3,0),0)</f>
        <v>0</v>
      </c>
      <c r="BZ22" s="39">
        <f>+IFERROR(VLOOKUP($BZ$2,Sheet1!AP20:AS20,3,0),0)</f>
        <v>0</v>
      </c>
      <c r="CA22" s="42">
        <f>+IFERROR(VLOOKUP($CA$2,Sheet1!AT20:AW20,3,0),0)</f>
        <v>0</v>
      </c>
      <c r="CB22" s="43">
        <f>+IFERROR(VLOOKUP($CB$2,Sheet1!AX20:BA20,3,0),0)</f>
        <v>0</v>
      </c>
      <c r="CC22" s="45">
        <f>+IFERROR(VLOOKUP($CC$2,Sheet1!BB20:BE20,3,0),0)</f>
        <v>0</v>
      </c>
      <c r="CD22" s="47">
        <f>+IFERROR(VLOOKUP($CD$2,Sheet1!BF20:BI20,3,0),0)</f>
        <v>0</v>
      </c>
      <c r="CE22" s="48">
        <f>+IFERROR(VLOOKUP($CE$2,Sheet1!BJ20:BM20,3,0),0)</f>
        <v>0</v>
      </c>
      <c r="CF22" s="49">
        <f>+IFERROR(VLOOKUP($CF$2,Sheet1!BN20:BQ20,3,0),0)</f>
        <v>0</v>
      </c>
      <c r="CG22" s="37">
        <f>+IFERROR(VLOOKUP($CG$2,Sheet1!BR20:BU20,3,0),0)</f>
        <v>0</v>
      </c>
      <c r="CH22" s="43">
        <f>+IFERROR(VLOOKUP($CH$2,Sheet1!BV20:BY20,3,0),0)</f>
        <v>0</v>
      </c>
      <c r="CI22" s="66">
        <f>Sheet1!E20</f>
        <v>0</v>
      </c>
      <c r="CJ22" s="67">
        <f>Sheet1!CY20</f>
        <v>0</v>
      </c>
      <c r="CK22" s="67">
        <f>Sheet1!CZ20</f>
        <v>0</v>
      </c>
      <c r="CL22" s="67">
        <f>Sheet1!CX20</f>
        <v>0</v>
      </c>
      <c r="CM22" s="22">
        <f>Sheet1!BZ20</f>
        <v>0</v>
      </c>
      <c r="CN22" s="22">
        <v>700</v>
      </c>
      <c r="CO22" s="94">
        <v>0.08</v>
      </c>
      <c r="CP22" s="22">
        <f t="shared" si="29"/>
        <v>56</v>
      </c>
      <c r="CQ22" s="94">
        <v>0.25</v>
      </c>
      <c r="CR22" s="22">
        <f t="shared" si="30"/>
        <v>175</v>
      </c>
      <c r="CS22" s="94">
        <f>Sheet1!CF20</f>
        <v>0</v>
      </c>
      <c r="CT22" s="22">
        <f t="shared" si="31"/>
        <v>0</v>
      </c>
      <c r="CU22" s="22">
        <f t="shared" si="32"/>
        <v>931</v>
      </c>
      <c r="CV22" s="94">
        <v>0.02</v>
      </c>
      <c r="CW22" s="6">
        <f t="shared" si="33"/>
        <v>18.62</v>
      </c>
      <c r="CX22" s="94">
        <v>0.01</v>
      </c>
      <c r="CY22" s="6">
        <f t="shared" si="34"/>
        <v>9.31</v>
      </c>
      <c r="CZ22" s="94">
        <f>Sheet1!CM20</f>
        <v>0</v>
      </c>
      <c r="DA22" s="6">
        <f t="shared" si="35"/>
        <v>0</v>
      </c>
    </row>
    <row r="23" spans="1:105" s="21" customFormat="1" x14ac:dyDescent="0.3">
      <c r="A23" s="6">
        <f>Sheet1!A21</f>
        <v>0</v>
      </c>
      <c r="B23" s="86">
        <f>Sheet1!B21</f>
        <v>0</v>
      </c>
      <c r="C23" s="6">
        <f>Sheet1!C21</f>
        <v>0</v>
      </c>
      <c r="D23" s="104" t="s">
        <v>252</v>
      </c>
      <c r="E23" s="22">
        <f t="shared" si="24"/>
        <v>342.47499999999997</v>
      </c>
      <c r="F23" s="97"/>
      <c r="G23" s="27">
        <f t="shared" si="25"/>
        <v>342.47499999999997</v>
      </c>
      <c r="H23" s="27">
        <f t="shared" si="0"/>
        <v>34247.5</v>
      </c>
      <c r="I23" s="28">
        <v>0.18</v>
      </c>
      <c r="J23" s="27">
        <f t="shared" si="26"/>
        <v>61.645499999999991</v>
      </c>
      <c r="K23" s="27">
        <f t="shared" si="27"/>
        <v>404.12049999999994</v>
      </c>
      <c r="L23" s="78">
        <v>100</v>
      </c>
      <c r="M23" s="75" t="s">
        <v>253</v>
      </c>
      <c r="N23" s="22">
        <f t="shared" si="28"/>
        <v>40412.049999999996</v>
      </c>
      <c r="O23" s="101"/>
      <c r="P23" s="70">
        <f>+IFERROR(VLOOKUP($P$2,Sheet1!J21:L21,3,0),0)</f>
        <v>0</v>
      </c>
      <c r="Q23" s="70">
        <f>+IFERROR(VLOOKUP($Q$2,Sheet1!J21:L21,3,0),0)</f>
        <v>0</v>
      </c>
      <c r="R23" s="70">
        <f>+IFERROR(VLOOKUP($R$2,Sheet1!J21:M21,3,0),0)</f>
        <v>0</v>
      </c>
      <c r="S23" s="70">
        <f>+IFERROR(VLOOKUP($S$2,Sheet1!J21:M21,3,0),0)</f>
        <v>0</v>
      </c>
      <c r="T23" s="70">
        <f>+IFERROR(VLOOKUP($T$2,Sheet1!J21:M21,3,0),0)</f>
        <v>0</v>
      </c>
      <c r="U23" s="70">
        <f>+IFERROR(VLOOKUP($U$2,Sheet1!J21:M21,3,0),0)</f>
        <v>0</v>
      </c>
      <c r="V23" s="70">
        <f>+IFERROR(VLOOKUP($V$2,Sheet1!J21:M21,3,0),0)</f>
        <v>0</v>
      </c>
      <c r="W23" s="70">
        <f>+IFERROR(VLOOKUP($W$2,Sheet1!J21:M21,3,0),0)</f>
        <v>0</v>
      </c>
      <c r="X23" s="71">
        <f>+IFERROR(VLOOKUP($X$2,Sheet1!N21:Q21,3,0),0)</f>
        <v>0</v>
      </c>
      <c r="Y23" s="71">
        <f>+IFERROR(VLOOKUP($Y$2,Sheet1!N21:Q21,3,0),0)</f>
        <v>0</v>
      </c>
      <c r="Z23" s="72">
        <f>+IFERROR(VLOOKUP($Z$2,Sheet1!F21:I21,3,0),0)</f>
        <v>0</v>
      </c>
      <c r="AA23" s="72">
        <f>+IFERROR(VLOOKUP($AA$2,Sheet1!F21:I21,3,0),0)</f>
        <v>0</v>
      </c>
      <c r="AB23" s="72">
        <f>+IFERROR(VLOOKUP($AB$2,Sheet1!F21:I21,3,0),0)</f>
        <v>0</v>
      </c>
      <c r="AC23" s="72">
        <f>+IFERROR(VLOOKUP($AC$2,Sheet1!F21:I21,3,0),0)</f>
        <v>0</v>
      </c>
      <c r="AD23" s="72">
        <f>+IFERROR(VLOOKUP($AD$2,Sheet1!F21:I21,3,0),0)</f>
        <v>0</v>
      </c>
      <c r="AE23" s="72">
        <f>+IFERROR(VLOOKUP($AE$2,Sheet1!F21:I21,3,0),0)</f>
        <v>0</v>
      </c>
      <c r="AF23" s="72">
        <f>+IFERROR(VLOOKUP($AF$2,Sheet1!F21:I21,3,0),0)</f>
        <v>0</v>
      </c>
      <c r="AG23" s="72">
        <f>+IFERROR(VLOOKUP($AG$2,Sheet1!F21:I21,3,0),0)</f>
        <v>0</v>
      </c>
      <c r="AH23" s="73">
        <f>+IFERROR(VLOOKUP($AH$2,Sheet1!R21:U21,3,0),0)</f>
        <v>0</v>
      </c>
      <c r="AI23" s="31">
        <f>+IFERROR(VLOOKUP($AI$2,Sheet1!R21:U21,3,0),0)</f>
        <v>0</v>
      </c>
      <c r="AJ23" s="74">
        <f>+IFERROR(VLOOKUP($AJ$2,Sheet1!V21:Y21,3,0),0)</f>
        <v>0</v>
      </c>
      <c r="AK23" s="32">
        <f>+IFERROR(VLOOKUP($AK$2,Sheet1!V21:Y21,3,0),0)</f>
        <v>0</v>
      </c>
      <c r="AL23" s="32">
        <f>+IFERROR(VLOOKUP($AL$2,Sheet1!V21:Y21,3,0),0)</f>
        <v>0</v>
      </c>
      <c r="AM23" s="32">
        <f>+IFERROR(VLOOKUP($AM$2,Sheet1!V21:Y21,3,0),0)</f>
        <v>0</v>
      </c>
      <c r="AN23" s="32">
        <f>+IFERROR(VLOOKUP($AN$2,Sheet1!V21:Y21,3,0),0)</f>
        <v>0</v>
      </c>
      <c r="AO23" s="32">
        <f>+IFERROR(VLOOKUP($AO$2,Sheet1!V21:Y21,3,0),0)</f>
        <v>0</v>
      </c>
      <c r="AP23" s="32">
        <f>+IFERROR(VLOOKUP($AP$2,Sheet1!V21:Y21,3,0),0)</f>
        <v>0</v>
      </c>
      <c r="AQ23" s="32">
        <f>+IFERROR(VLOOKUP($AQ$2,Sheet1!V21:Y21,3,0),0)</f>
        <v>0</v>
      </c>
      <c r="AR23" s="32">
        <f>+IFERROR(VLOOKUP($AR$2,Sheet1!V21:Y21,3,0),0)</f>
        <v>0</v>
      </c>
      <c r="AS23" s="35">
        <f>+IFERROR(VLOOKUP($AS$2,Sheet1!Z21:AB21,3,0),0)</f>
        <v>0</v>
      </c>
      <c r="AT23" s="36">
        <f>+IFERROR(VLOOKUP($AT$2,Sheet1!AD21:AG21,3,0),0)</f>
        <v>0</v>
      </c>
      <c r="AU23" s="36">
        <f>+IFERROR(VLOOKUP($AU$2,Sheet1!AD21:AG21,3,0),0)</f>
        <v>0</v>
      </c>
      <c r="AV23" s="36">
        <f>+IFERROR(VLOOKUP($AV$2,Sheet1!AD21:AG21,3,0),0)</f>
        <v>0</v>
      </c>
      <c r="AW23" s="36">
        <f>+IFERROR(VLOOKUP($AW$2,Sheet1!AD21:AG21,3,0),0)</f>
        <v>0</v>
      </c>
      <c r="AX23" s="36">
        <f>+IFERROR(VLOOKUP($AX$2,Sheet1!AD21:AG21,3,0),0)</f>
        <v>0</v>
      </c>
      <c r="AY23" s="36">
        <f>+IFERROR(VLOOKUP($AY$2,Sheet1!AD21:AG21,3,0),0)</f>
        <v>0</v>
      </c>
      <c r="AZ23" s="36">
        <f>+IFERROR(VLOOKUP($AZ$2,Sheet1!AD21:AG21,3,0),0)</f>
        <v>0</v>
      </c>
      <c r="BA23" s="36">
        <f>+IFERROR(VLOOKUP($BA$2,Sheet1!AD21:AG21,3,0),0)</f>
        <v>0</v>
      </c>
      <c r="BB23" s="36">
        <f>+IFERROR(VLOOKUP($BB$2,Sheet1!AD21:AG21,3,0),0)</f>
        <v>0</v>
      </c>
      <c r="BC23" s="35">
        <f>+IFERROR(VLOOKUP($BC$2,Sheet1!AH21:AK21,3,0),0)</f>
        <v>0</v>
      </c>
      <c r="BD23" s="35">
        <f>+IFERROR(VLOOKUP($BD$2,Sheet1!AH21:AK21,3,0),0)</f>
        <v>0</v>
      </c>
      <c r="BE23" s="35">
        <f>+IFERROR(VLOOKUP($BE$2,Sheet1!AH21:AK21,3,0),0)</f>
        <v>0</v>
      </c>
      <c r="BF23" s="35">
        <f>+IFERROR(VLOOKUP($BF$2,Sheet1!AH21:AK21,3,0),0)</f>
        <v>0</v>
      </c>
      <c r="BG23" s="35">
        <f>+IFERROR(VLOOKUP($BG$2,Sheet1!AH21:AK21,3,0),0)</f>
        <v>0</v>
      </c>
      <c r="BH23" s="35">
        <f>+IFERROR(VLOOKUP($BH$2,Sheet1!AH21:AK21,3,0),0)</f>
        <v>0</v>
      </c>
      <c r="BI23" s="35">
        <f>+IFERROR(VLOOKUP($BI$2,Sheet1!AH21:AK21,3,0),0)</f>
        <v>0</v>
      </c>
      <c r="BJ23" s="35">
        <f>+IFERROR(VLOOKUP($BJ$2,Sheet1!AH21:AK21,3,0),0)</f>
        <v>0</v>
      </c>
      <c r="BK23" s="35">
        <f>+IFERROR(VLOOKUP($BK$2,Sheet1!AH21:AK21,3,0),0)</f>
        <v>0</v>
      </c>
      <c r="BL23" s="35">
        <f>+IFERROR(VLOOKUP($BL$2,Sheet1!AH21:AK21,3,0),0)</f>
        <v>0</v>
      </c>
      <c r="BM23" s="35">
        <f>+IFERROR(VLOOKUP($BM$2,Sheet1!AH21:AK21,3,0),0)</f>
        <v>0</v>
      </c>
      <c r="BN23" s="9">
        <f>+IFERROR(VLOOKUP($BN$2,Sheet1!AL21:AO21,3,0),0)</f>
        <v>0</v>
      </c>
      <c r="BO23" s="9">
        <f>+IFERROR(VLOOKUP($BO$2,Sheet1!AL21:AO21,3,0),0)</f>
        <v>0</v>
      </c>
      <c r="BP23" s="9">
        <f>+IFERROR(VLOOKUP($BP$2,Sheet1!AL21:AO21,3,0),0)</f>
        <v>0</v>
      </c>
      <c r="BQ23" s="9">
        <f>+IFERROR(VLOOKUP($BQ$2,Sheet1!AL21:AO21,3,0),0)</f>
        <v>0</v>
      </c>
      <c r="BR23" s="9">
        <f>+IFERROR(VLOOKUP($BR$2,Sheet1!AL21:AO21,3,0),0)</f>
        <v>0</v>
      </c>
      <c r="BS23" s="9">
        <f>+IFERROR(VLOOKUP($BS$2,Sheet1!AL21:AO21,3,0),0)</f>
        <v>0</v>
      </c>
      <c r="BT23" s="9">
        <f>+IFERROR(VLOOKUP($BT$2,Sheet1!AL21:AO21,3,0),0)</f>
        <v>0</v>
      </c>
      <c r="BU23" s="9">
        <f>+IFERROR(VLOOKUP($BU$2,Sheet1!AL21:AO21,3,0),0)</f>
        <v>0</v>
      </c>
      <c r="BV23" s="9">
        <f>+IFERROR(VLOOKUP($BV$2,Sheet1!AL21:AO21,3,0),0)</f>
        <v>0</v>
      </c>
      <c r="BW23" s="9">
        <f>+IFERROR(VLOOKUP($BW$2,Sheet1!AL21:AO21,3,0),0)</f>
        <v>0</v>
      </c>
      <c r="BX23" s="9">
        <f>+IFERROR(VLOOKUP($BX$2,Sheet1!AL21:AO21,3,0),0)</f>
        <v>0</v>
      </c>
      <c r="BY23" s="9">
        <f>+IFERROR(VLOOKUP($BY$2,Sheet1!AL21:AO21,3,0),0)</f>
        <v>0</v>
      </c>
      <c r="BZ23" s="39">
        <f>+IFERROR(VLOOKUP($BZ$2,Sheet1!AP21:AS21,3,0),0)</f>
        <v>0</v>
      </c>
      <c r="CA23" s="42">
        <f>+IFERROR(VLOOKUP($CA$2,Sheet1!AT21:AW21,3,0),0)</f>
        <v>0</v>
      </c>
      <c r="CB23" s="43">
        <f>+IFERROR(VLOOKUP($CB$2,Sheet1!AX21:BA21,3,0),0)</f>
        <v>0</v>
      </c>
      <c r="CC23" s="45">
        <f>+IFERROR(VLOOKUP($CC$2,Sheet1!BB21:BE21,3,0),0)</f>
        <v>0</v>
      </c>
      <c r="CD23" s="47">
        <f>+IFERROR(VLOOKUP($CD$2,Sheet1!BF21:BI21,3,0),0)</f>
        <v>0</v>
      </c>
      <c r="CE23" s="48">
        <f>+IFERROR(VLOOKUP($CE$2,Sheet1!BJ21:BM21,3,0),0)</f>
        <v>0</v>
      </c>
      <c r="CF23" s="49">
        <f>+IFERROR(VLOOKUP($CF$2,Sheet1!BN21:BQ21,3,0),0)</f>
        <v>0</v>
      </c>
      <c r="CG23" s="37">
        <f>+IFERROR(VLOOKUP($CG$2,Sheet1!BR21:BU21,3,0),0)</f>
        <v>0</v>
      </c>
      <c r="CH23" s="43">
        <f>+IFERROR(VLOOKUP($CH$2,Sheet1!BV21:BY21,3,0),0)</f>
        <v>0</v>
      </c>
      <c r="CI23" s="66">
        <f>Sheet1!E21</f>
        <v>0</v>
      </c>
      <c r="CJ23" s="67">
        <f>Sheet1!CY21</f>
        <v>0</v>
      </c>
      <c r="CK23" s="67">
        <f>Sheet1!CZ21</f>
        <v>0</v>
      </c>
      <c r="CL23" s="67">
        <f>Sheet1!CX21</f>
        <v>0</v>
      </c>
      <c r="CM23" s="22">
        <f>Sheet1!BZ21</f>
        <v>0</v>
      </c>
      <c r="CN23" s="22">
        <v>250</v>
      </c>
      <c r="CO23" s="94">
        <v>0.08</v>
      </c>
      <c r="CP23" s="22">
        <f t="shared" si="29"/>
        <v>20</v>
      </c>
      <c r="CQ23" s="94">
        <v>0.25</v>
      </c>
      <c r="CR23" s="22">
        <f t="shared" si="30"/>
        <v>62.5</v>
      </c>
      <c r="CS23" s="94">
        <f>Sheet1!CF21</f>
        <v>0</v>
      </c>
      <c r="CT23" s="22">
        <f t="shared" si="31"/>
        <v>0</v>
      </c>
      <c r="CU23" s="22">
        <f t="shared" si="32"/>
        <v>332.5</v>
      </c>
      <c r="CV23" s="94">
        <v>0.02</v>
      </c>
      <c r="CW23" s="6">
        <f t="shared" si="33"/>
        <v>6.65</v>
      </c>
      <c r="CX23" s="94">
        <v>0.01</v>
      </c>
      <c r="CY23" s="6">
        <f t="shared" si="34"/>
        <v>3.3250000000000002</v>
      </c>
      <c r="CZ23" s="94">
        <f>Sheet1!CM21</f>
        <v>0</v>
      </c>
      <c r="DA23" s="6">
        <f t="shared" si="35"/>
        <v>0</v>
      </c>
    </row>
    <row r="24" spans="1:105" x14ac:dyDescent="0.3">
      <c r="H24" s="105">
        <f>SUM(H4:H23)</f>
        <v>34353382.112499997</v>
      </c>
      <c r="N24" s="105">
        <f>SUM(N4:N23)</f>
        <v>40536990.892749995</v>
      </c>
    </row>
    <row r="27" spans="1:105" ht="57.6" x14ac:dyDescent="0.3">
      <c r="E27" s="1" t="s">
        <v>127</v>
      </c>
      <c r="F27" s="1" t="s">
        <v>128</v>
      </c>
      <c r="G27" s="89" t="s">
        <v>129</v>
      </c>
      <c r="H27" s="89"/>
      <c r="I27" s="1" t="s">
        <v>130</v>
      </c>
      <c r="J27" s="1" t="s">
        <v>131</v>
      </c>
      <c r="K27" s="1" t="s">
        <v>132</v>
      </c>
      <c r="L27" s="1" t="s">
        <v>133</v>
      </c>
      <c r="M27" s="1" t="s">
        <v>134</v>
      </c>
      <c r="N27" s="90" t="s">
        <v>135</v>
      </c>
      <c r="O27" s="10"/>
      <c r="P27" s="14" t="s">
        <v>231</v>
      </c>
      <c r="BC27" s="14" t="s">
        <v>232</v>
      </c>
      <c r="CI27" s="14" t="s">
        <v>230</v>
      </c>
      <c r="CJ27" s="14" t="s">
        <v>233</v>
      </c>
    </row>
    <row r="28" spans="1:105" x14ac:dyDescent="0.3">
      <c r="E28" s="91">
        <f>L4</f>
        <v>80</v>
      </c>
      <c r="F28" s="92">
        <f>CL4/1000</f>
        <v>2</v>
      </c>
      <c r="G28" s="89" t="s">
        <v>229</v>
      </c>
      <c r="H28" s="89"/>
      <c r="I28" s="93">
        <v>80000</v>
      </c>
      <c r="J28" s="92">
        <v>7</v>
      </c>
      <c r="K28" s="89">
        <f>F28*J28</f>
        <v>14</v>
      </c>
      <c r="L28" s="89">
        <f>ROUNDUP((E28/K28),0)</f>
        <v>6</v>
      </c>
      <c r="M28" s="89">
        <f>I28*L28</f>
        <v>480000</v>
      </c>
      <c r="N28" s="95">
        <f>M28/E28</f>
        <v>6000</v>
      </c>
      <c r="O28" s="98"/>
      <c r="P28" s="14">
        <f>SUM(P4:BC4)</f>
        <v>976</v>
      </c>
      <c r="BC28" s="14">
        <f>190+45</f>
        <v>235</v>
      </c>
      <c r="CI28" s="14">
        <f>((P28*F28)+BC28)</f>
        <v>2187</v>
      </c>
      <c r="CJ28" s="14">
        <f>CI28*J28</f>
        <v>15309</v>
      </c>
    </row>
    <row r="29" spans="1:105" x14ac:dyDescent="0.3">
      <c r="N29" s="96"/>
      <c r="O29" s="96"/>
    </row>
    <row r="30" spans="1:105" x14ac:dyDescent="0.3">
      <c r="N30" s="96"/>
      <c r="O30" s="96"/>
    </row>
    <row r="31" spans="1:105" x14ac:dyDescent="0.3">
      <c r="N31" s="96"/>
      <c r="O31" s="96"/>
    </row>
    <row r="32" spans="1:105" x14ac:dyDescent="0.3">
      <c r="N32" s="96"/>
      <c r="O32" s="96"/>
    </row>
    <row r="33" spans="14:15" x14ac:dyDescent="0.3">
      <c r="N33" s="96"/>
      <c r="O33" s="96"/>
    </row>
    <row r="34" spans="14:15" x14ac:dyDescent="0.3">
      <c r="N34" s="96"/>
      <c r="O34" s="96"/>
    </row>
    <row r="35" spans="14:15" x14ac:dyDescent="0.3">
      <c r="N35" s="96"/>
      <c r="O35" s="96"/>
    </row>
    <row r="36" spans="14:15" x14ac:dyDescent="0.3">
      <c r="N36" s="96"/>
      <c r="O36" s="96"/>
    </row>
    <row r="37" spans="14:15" x14ac:dyDescent="0.3">
      <c r="N37" s="96"/>
      <c r="O37" s="96"/>
    </row>
    <row r="38" spans="14:15" x14ac:dyDescent="0.3">
      <c r="N38" s="96"/>
      <c r="O38" s="96"/>
    </row>
    <row r="39" spans="14:15" x14ac:dyDescent="0.3">
      <c r="N39" s="96"/>
      <c r="O39" s="96"/>
    </row>
    <row r="40" spans="14:15" x14ac:dyDescent="0.3">
      <c r="N40" s="96"/>
      <c r="O40" s="96"/>
    </row>
    <row r="41" spans="14:15" x14ac:dyDescent="0.3">
      <c r="N41" s="96"/>
      <c r="O41" s="96"/>
    </row>
    <row r="42" spans="14:15" x14ac:dyDescent="0.3">
      <c r="N42" s="96"/>
      <c r="O42" s="96"/>
    </row>
    <row r="43" spans="14:15" x14ac:dyDescent="0.3">
      <c r="N43" s="96"/>
      <c r="O43" s="96"/>
    </row>
    <row r="44" spans="14:15" x14ac:dyDescent="0.3">
      <c r="N44" s="96"/>
      <c r="O44" s="96"/>
    </row>
    <row r="45" spans="14:15" x14ac:dyDescent="0.3">
      <c r="N45" s="96"/>
      <c r="O45" s="96"/>
    </row>
    <row r="46" spans="14:15" x14ac:dyDescent="0.3">
      <c r="N46" s="96"/>
      <c r="O46" s="96"/>
    </row>
    <row r="47" spans="14:15" x14ac:dyDescent="0.3">
      <c r="N47" s="96"/>
      <c r="O47" s="96"/>
    </row>
    <row r="48" spans="14:15" x14ac:dyDescent="0.3">
      <c r="N48" s="96"/>
      <c r="O48" s="96"/>
    </row>
    <row r="49" spans="14:15" x14ac:dyDescent="0.3">
      <c r="N49" s="96"/>
      <c r="O49" s="96"/>
    </row>
    <row r="50" spans="14:15" x14ac:dyDescent="0.3">
      <c r="N50" s="96"/>
      <c r="O50" s="96"/>
    </row>
    <row r="51" spans="14:15" x14ac:dyDescent="0.3">
      <c r="N51" s="96"/>
      <c r="O51" s="96"/>
    </row>
    <row r="52" spans="14:15" x14ac:dyDescent="0.3">
      <c r="N52" s="96"/>
      <c r="O52" s="96"/>
    </row>
    <row r="53" spans="14:15" x14ac:dyDescent="0.3">
      <c r="N53" s="96"/>
      <c r="O53" s="96"/>
    </row>
    <row r="54" spans="14:15" x14ac:dyDescent="0.3">
      <c r="N54" s="96"/>
      <c r="O54" s="96"/>
    </row>
    <row r="55" spans="14:15" x14ac:dyDescent="0.3">
      <c r="N55" s="96"/>
      <c r="O55" s="96"/>
    </row>
    <row r="56" spans="14:15" x14ac:dyDescent="0.3">
      <c r="N56" s="96"/>
      <c r="O56" s="96"/>
    </row>
    <row r="57" spans="14:15" x14ac:dyDescent="0.3">
      <c r="N57" s="96"/>
      <c r="O57" s="96"/>
    </row>
    <row r="58" spans="14:15" x14ac:dyDescent="0.3">
      <c r="N58" s="96"/>
      <c r="O58" s="96"/>
    </row>
    <row r="59" spans="14:15" x14ac:dyDescent="0.3">
      <c r="N59" s="96"/>
      <c r="O59" s="96"/>
    </row>
    <row r="60" spans="14:15" x14ac:dyDescent="0.3">
      <c r="N60" s="96"/>
      <c r="O60" s="96"/>
    </row>
    <row r="61" spans="14:15" x14ac:dyDescent="0.3">
      <c r="N61" s="96"/>
      <c r="O61" s="96"/>
    </row>
    <row r="62" spans="14:15" x14ac:dyDescent="0.3">
      <c r="N62" s="96"/>
      <c r="O62" s="96"/>
    </row>
    <row r="63" spans="14:15" x14ac:dyDescent="0.3">
      <c r="N63" s="96"/>
      <c r="O63" s="96"/>
    </row>
    <row r="64" spans="14:15" x14ac:dyDescent="0.3">
      <c r="N64" s="96"/>
      <c r="O64" s="96"/>
    </row>
    <row r="65" spans="14:15" x14ac:dyDescent="0.3">
      <c r="N65" s="96"/>
      <c r="O65" s="96"/>
    </row>
    <row r="66" spans="14:15" x14ac:dyDescent="0.3">
      <c r="N66" s="96"/>
      <c r="O66" s="96"/>
    </row>
    <row r="67" spans="14:15" x14ac:dyDescent="0.3">
      <c r="N67" s="96"/>
      <c r="O67" s="96"/>
    </row>
    <row r="68" spans="14:15" x14ac:dyDescent="0.3">
      <c r="N68" s="96"/>
      <c r="O68" s="96"/>
    </row>
    <row r="69" spans="14:15" x14ac:dyDescent="0.3">
      <c r="N69" s="96"/>
      <c r="O69" s="96"/>
    </row>
    <row r="70" spans="14:15" x14ac:dyDescent="0.3">
      <c r="N70" s="96"/>
      <c r="O70" s="96"/>
    </row>
    <row r="71" spans="14:15" x14ac:dyDescent="0.3">
      <c r="N71" s="96"/>
      <c r="O71" s="96"/>
    </row>
    <row r="72" spans="14:15" x14ac:dyDescent="0.3">
      <c r="N72" s="96"/>
      <c r="O72" s="96"/>
    </row>
    <row r="73" spans="14:15" x14ac:dyDescent="0.3">
      <c r="N73" s="96"/>
      <c r="O73" s="96"/>
    </row>
    <row r="74" spans="14:15" x14ac:dyDescent="0.3">
      <c r="N74" s="96"/>
      <c r="O74" s="96"/>
    </row>
    <row r="75" spans="14:15" x14ac:dyDescent="0.3">
      <c r="N75" s="96"/>
      <c r="O75" s="96"/>
    </row>
  </sheetData>
  <mergeCells count="9">
    <mergeCell ref="CI1:CL1"/>
    <mergeCell ref="AT1:BB1"/>
    <mergeCell ref="BC1:BM1"/>
    <mergeCell ref="BN1:BY1"/>
    <mergeCell ref="P1:W1"/>
    <mergeCell ref="X1:Y1"/>
    <mergeCell ref="Z1:AG1"/>
    <mergeCell ref="AH1:AI1"/>
    <mergeCell ref="AJ1:AR1"/>
  </mergeCells>
  <pageMargins left="0.7" right="0.7" top="0.75" bottom="0.75" header="0.3" footer="0.3"/>
  <pageSetup paperSize="9" scale="29" orientation="landscape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4.4" x14ac:dyDescent="0.3"/>
  <cols>
    <col min="1" max="1" width="148.44140625" bestFit="1" customWidth="1"/>
  </cols>
  <sheetData>
    <row r="1" spans="1:1" x14ac:dyDescent="0.3">
      <c r="A1" t="s">
        <v>99</v>
      </c>
    </row>
    <row r="2" spans="1:1" x14ac:dyDescent="0.3">
      <c r="A2" t="s">
        <v>100</v>
      </c>
    </row>
    <row r="4" spans="1:1" x14ac:dyDescent="0.3">
      <c r="A4" t="s">
        <v>101</v>
      </c>
    </row>
    <row r="5" spans="1:1" x14ac:dyDescent="0.3">
      <c r="A5" t="s">
        <v>102</v>
      </c>
    </row>
    <row r="6" spans="1:1" x14ac:dyDescent="0.3">
      <c r="A6" t="s">
        <v>103</v>
      </c>
    </row>
    <row r="8" spans="1:1" x14ac:dyDescent="0.3">
      <c r="A8" t="s">
        <v>109</v>
      </c>
    </row>
    <row r="9" spans="1:1" x14ac:dyDescent="0.3">
      <c r="A9" t="s">
        <v>104</v>
      </c>
    </row>
    <row r="10" spans="1:1" x14ac:dyDescent="0.3">
      <c r="A10" t="s">
        <v>105</v>
      </c>
    </row>
    <row r="11" spans="1:1" x14ac:dyDescent="0.3">
      <c r="A11" t="s">
        <v>106</v>
      </c>
    </row>
    <row r="12" spans="1:1" x14ac:dyDescent="0.3">
      <c r="A12" t="s">
        <v>107</v>
      </c>
    </row>
    <row r="13" spans="1:1" x14ac:dyDescent="0.3">
      <c r="A13" t="s">
        <v>108</v>
      </c>
    </row>
    <row r="14" spans="1:1" x14ac:dyDescent="0.3">
      <c r="A14" t="s">
        <v>110</v>
      </c>
    </row>
    <row r="15" spans="1:1" x14ac:dyDescent="0.3">
      <c r="A15" t="s">
        <v>111</v>
      </c>
    </row>
    <row r="16" spans="1:1" x14ac:dyDescent="0.3">
      <c r="A16" t="s">
        <v>112</v>
      </c>
    </row>
    <row r="17" spans="1:1" x14ac:dyDescent="0.3">
      <c r="A17" t="s">
        <v>113</v>
      </c>
    </row>
    <row r="18" spans="1:1" x14ac:dyDescent="0.3">
      <c r="A18" t="s">
        <v>114</v>
      </c>
    </row>
    <row r="19" spans="1:1" x14ac:dyDescent="0.3">
      <c r="A19" t="s">
        <v>120</v>
      </c>
    </row>
    <row r="20" spans="1:1" ht="15.75" customHeight="1" x14ac:dyDescent="0.3">
      <c r="A20" t="s">
        <v>121</v>
      </c>
    </row>
    <row r="21" spans="1:1" ht="15.75" customHeight="1" x14ac:dyDescent="0.3"/>
    <row r="22" spans="1:1" x14ac:dyDescent="0.3">
      <c r="A22" t="s">
        <v>115</v>
      </c>
    </row>
    <row r="23" spans="1:1" x14ac:dyDescent="0.3">
      <c r="A23" t="s">
        <v>116</v>
      </c>
    </row>
    <row r="25" spans="1:1" x14ac:dyDescent="0.3">
      <c r="A25" t="s">
        <v>117</v>
      </c>
    </row>
    <row r="26" spans="1:1" x14ac:dyDescent="0.3">
      <c r="A26" t="s">
        <v>118</v>
      </c>
    </row>
    <row r="27" spans="1:1" x14ac:dyDescent="0.3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BOQ1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Sandip Das</cp:lastModifiedBy>
  <cp:lastPrinted>2026-06-20T12:35:59Z</cp:lastPrinted>
  <dcterms:created xsi:type="dcterms:W3CDTF">2021-04-03T12:13:55Z</dcterms:created>
  <dcterms:modified xsi:type="dcterms:W3CDTF">2026-06-20T12:36:38Z</dcterms:modified>
</cp:coreProperties>
</file>