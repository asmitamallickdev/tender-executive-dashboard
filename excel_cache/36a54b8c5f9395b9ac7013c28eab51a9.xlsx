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working\2023-24\09_SEPTEMBER 2023\KESCO-3CX120+95+16-11206\"/>
    </mc:Choice>
  </mc:AlternateContent>
  <bookViews>
    <workbookView xWindow="0" yWindow="0" windowWidth="20055" windowHeight="9510" firstSheet="1" activeTab="1"/>
  </bookViews>
  <sheets>
    <sheet name="Sheet1" sheetId="1" state="hidden" r:id="rId1"/>
    <sheet name="AUTO CALCULATION SHEET (2)" sheetId="4" r:id="rId2"/>
    <sheet name="LT ABC" sheetId="7" r:id="rId3"/>
  </sheets>
  <definedNames>
    <definedName name="_xlnm._FilterDatabase" localSheetId="0" hidden="1">Sheet1!$A$1:$CU$1</definedName>
  </definedNames>
  <calcPr calcId="162913"/>
</workbook>
</file>

<file path=xl/calcChain.xml><?xml version="1.0" encoding="utf-8"?>
<calcChain xmlns="http://schemas.openxmlformats.org/spreadsheetml/2006/main">
  <c r="BZ18" i="4" l="1"/>
  <c r="AE21" i="7" l="1"/>
  <c r="AC21" i="7"/>
  <c r="AB21" i="7"/>
  <c r="AA21" i="7"/>
  <c r="W21" i="7"/>
  <c r="V21" i="7"/>
  <c r="U21" i="7"/>
  <c r="T21" i="7"/>
  <c r="S21" i="7"/>
  <c r="R21" i="7"/>
  <c r="X21" i="7" s="1"/>
  <c r="A15" i="7"/>
  <c r="A21" i="7"/>
  <c r="AB20" i="7"/>
  <c r="AD21" i="7" s="1"/>
  <c r="AF21" i="7" l="1"/>
  <c r="T17" i="4"/>
  <c r="J21" i="4" l="1"/>
  <c r="BY18" i="4" l="1"/>
  <c r="BY16" i="4"/>
  <c r="BX18" i="4" l="1"/>
  <c r="BW18" i="4"/>
  <c r="BX16" i="4"/>
  <c r="BW16" i="4"/>
  <c r="BV18" i="4"/>
  <c r="BV16" i="4"/>
  <c r="B16" i="4"/>
  <c r="S17" i="4" l="1"/>
  <c r="AB18" i="4" l="1"/>
  <c r="AA18" i="4"/>
  <c r="Z18" i="4"/>
  <c r="Y18" i="4"/>
  <c r="X18" i="4"/>
  <c r="W18" i="4"/>
  <c r="V18" i="4"/>
  <c r="U18" i="4"/>
  <c r="S18" i="4"/>
  <c r="BU18" i="4"/>
  <c r="BT18" i="4"/>
  <c r="BS18" i="4"/>
  <c r="BR18" i="4"/>
  <c r="BQ18" i="4"/>
  <c r="BP18" i="4"/>
  <c r="BO18" i="4"/>
  <c r="BN18" i="4"/>
  <c r="BS17" i="4"/>
  <c r="BT17" i="4"/>
  <c r="BU17" i="4"/>
  <c r="BR17" i="4"/>
  <c r="BQ17" i="4"/>
  <c r="BP17" i="4"/>
  <c r="BN17" i="4"/>
  <c r="BO17" i="4"/>
  <c r="BM17" i="4"/>
  <c r="BM18" i="4"/>
  <c r="BL18" i="4"/>
  <c r="BK18" i="4"/>
  <c r="BJ18" i="4"/>
  <c r="BI18" i="4"/>
  <c r="BH18" i="4"/>
  <c r="BG18" i="4"/>
  <c r="BF18" i="4"/>
  <c r="BE18" i="4"/>
  <c r="BD18" i="4"/>
  <c r="BC18" i="4"/>
  <c r="BL17" i="4"/>
  <c r="BK17" i="4"/>
  <c r="BJ17" i="4"/>
  <c r="BI17" i="4"/>
  <c r="BH17" i="4"/>
  <c r="BG17" i="4"/>
  <c r="BF17" i="4"/>
  <c r="BE17" i="4"/>
  <c r="BD17" i="4"/>
  <c r="BC17" i="4"/>
  <c r="BB18" i="4"/>
  <c r="BA18" i="4"/>
  <c r="AZ18" i="4"/>
  <c r="AY18" i="4"/>
  <c r="AX18" i="4"/>
  <c r="AW18" i="4"/>
  <c r="AV18" i="4"/>
  <c r="AU18" i="4"/>
  <c r="AT18" i="4"/>
  <c r="AS18" i="4"/>
  <c r="BB17" i="4"/>
  <c r="BA17" i="4"/>
  <c r="AZ17" i="4"/>
  <c r="AY17" i="4"/>
  <c r="AX17" i="4"/>
  <c r="AW17" i="4"/>
  <c r="AV17" i="4"/>
  <c r="AU17" i="4"/>
  <c r="AT17" i="4"/>
  <c r="AS17" i="4"/>
  <c r="AR17" i="4"/>
  <c r="AR18" i="4"/>
  <c r="AQ18" i="4"/>
  <c r="AP18" i="4"/>
  <c r="AO18" i="4"/>
  <c r="AN18" i="4"/>
  <c r="AM18" i="4"/>
  <c r="AL18" i="4"/>
  <c r="AQ17" i="4"/>
  <c r="AP17" i="4"/>
  <c r="AO17" i="4"/>
  <c r="AN17" i="4"/>
  <c r="AM17" i="4"/>
  <c r="AL17" i="4"/>
  <c r="AK17" i="4"/>
  <c r="AK18" i="4"/>
  <c r="AJ18" i="4"/>
  <c r="AI18" i="4"/>
  <c r="AH18" i="4"/>
  <c r="AG18" i="4"/>
  <c r="AE18" i="4"/>
  <c r="AJ17" i="4"/>
  <c r="AI17" i="4"/>
  <c r="AH17" i="4"/>
  <c r="AE17" i="4"/>
  <c r="AG17" i="4"/>
  <c r="AD17" i="4"/>
  <c r="AD18" i="4"/>
  <c r="AC18" i="4"/>
  <c r="AC17" i="4"/>
  <c r="AB17" i="4" l="1"/>
  <c r="AA17" i="4"/>
  <c r="Z17" i="4"/>
  <c r="Y17" i="4"/>
  <c r="X17" i="4"/>
  <c r="W17" i="4"/>
  <c r="V17" i="4"/>
  <c r="U17" i="4"/>
  <c r="R17" i="4" l="1"/>
  <c r="Q17" i="4"/>
  <c r="P17" i="4"/>
  <c r="O17" i="4"/>
  <c r="R18" i="4"/>
  <c r="Q18" i="4"/>
  <c r="P18" i="4"/>
  <c r="O18" i="4"/>
  <c r="N15" i="4"/>
  <c r="L18" i="4"/>
  <c r="K18" i="4"/>
  <c r="E21" i="4" s="1"/>
  <c r="K21" i="4" s="1"/>
  <c r="M21" i="4" s="1"/>
  <c r="H18" i="4"/>
  <c r="CB18" i="4"/>
  <c r="D18" i="4"/>
  <c r="C18" i="4"/>
  <c r="A18" i="4"/>
  <c r="L21" i="4" l="1"/>
  <c r="F18" i="4"/>
  <c r="CA18" i="4"/>
  <c r="CC18" i="4" l="1"/>
  <c r="CE18" i="4"/>
  <c r="CG18" i="4"/>
  <c r="CH18" i="4" l="1"/>
  <c r="CJ18" i="4" l="1"/>
  <c r="CL18" i="4"/>
  <c r="E18" i="4" l="1"/>
  <c r="B15" i="7" s="1"/>
  <c r="Q21" i="7" s="1"/>
  <c r="Y21" i="7" s="1"/>
  <c r="Z21" i="7" s="1"/>
  <c r="AG21" i="7" s="1"/>
  <c r="AH21" i="7" s="1"/>
  <c r="AL21" i="7" s="1"/>
  <c r="G18" i="4" l="1"/>
  <c r="I18" i="4" s="1"/>
  <c r="J18" i="4" s="1"/>
  <c r="M18" i="4" s="1"/>
</calcChain>
</file>

<file path=xl/comments1.xml><?xml version="1.0" encoding="utf-8"?>
<comments xmlns="http://schemas.openxmlformats.org/spreadsheetml/2006/main">
  <authors>
    <author>Author</author>
  </authors>
  <commentList>
    <comment ref="I20" authorId="0" shape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<sst xmlns="http://schemas.openxmlformats.org/spreadsheetml/2006/main" count="305" uniqueCount="236">
  <si>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</si>
  <si>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</si>
  <si>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</si>
  <si>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</si>
  <si>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</si>
  <si>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</si>
  <si>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</si>
  <si>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</si>
  <si>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</si>
  <si>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</si>
  <si>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</si>
  <si>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</si>
  <si>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</si>
  <si>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</si>
  <si>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</si>
  <si>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</si>
  <si>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</si>
  <si>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</si>
  <si>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</si>
  <si>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</si>
  <si>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</si>
  <si>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</si>
  <si>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</si>
  <si>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</si>
  <si>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</si>
  <si>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</si>
  <si>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</si>
  <si>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</si>
  <si>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</si>
  <si>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</si>
  <si>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</si>
  <si>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</si>
  <si>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</si>
  <si>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</si>
  <si>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</si>
  <si>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</si>
  <si>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</si>
  <si>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</si>
  <si>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</si>
  <si>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</si>
  <si>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</si>
  <si>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</si>
  <si>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</si>
  <si>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</si>
  <si>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</si>
  <si>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</si>
  <si>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</si>
  <si>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</si>
  <si>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</si>
  <si>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</si>
  <si>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</si>
  <si>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</si>
  <si>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</si>
  <si>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</si>
  <si>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</si>
  <si>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</si>
  <si>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</si>
  <si>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</si>
  <si>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</si>
  <si>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</si>
  <si>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</si>
  <si>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</si>
  <si>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</si>
  <si>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</si>
  <si>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</si>
  <si>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</si>
  <si>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</si>
  <si>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</si>
  <si>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</si>
  <si>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</si>
  <si>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</si>
  <si>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</si>
  <si>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</si>
  <si>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</si>
  <si>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</si>
  <si>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</si>
  <si>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</si>
  <si>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</si>
  <si>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</si>
  <si>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</si>
  <si>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</si>
  <si>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</si>
  <si>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</si>
  <si>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</si>
  <si>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</si>
  <si>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</si>
  <si>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</si>
  <si>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</si>
  <si>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</si>
  <si>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</si>
  <si>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</si>
  <si>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</si>
  <si>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</si>
  <si>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</si>
  <si>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</si>
  <si>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</si>
  <si>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</si>
  <si>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</si>
  <si>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</si>
  <si>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</si>
  <si>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</si>
  <si>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</si>
  <si>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</si>
  <si>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</si>
  <si>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</si>
  <si>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</si>
  <si>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</si>
  <si>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</si>
  <si>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</si>
  <si>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</si>
  <si>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</si>
  <si>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</si>
  <si>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</si>
  <si>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</si>
  <si>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</si>
  <si>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</si>
  <si>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</si>
  <si>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</si>
  <si>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</si>
  <si>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</si>
  <si>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</si>
  <si>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</si>
  <si>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</si>
  <si>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</si>
  <si>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</si>
  <si>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</si>
  <si>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</si>
  <si>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</si>
  <si>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</si>
  <si>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</si>
  <si>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Payment Terms ()</t>
  </si>
  <si>
    <t>Standard length ()</t>
  </si>
  <si>
    <t>Packing  ()</t>
  </si>
  <si>
    <t>Technical Specification</t>
  </si>
  <si>
    <t>Base Date</t>
  </si>
  <si>
    <t>PROPOSE DRUM TYPE</t>
  </si>
  <si>
    <t>DRUM CODE</t>
  </si>
  <si>
    <t>DRUM SIZE (FxbXtx Ft)</t>
  </si>
  <si>
    <t>KANPUR ELECTRICITY SUPPLY COMPANY LIMITED</t>
  </si>
  <si>
    <t>40/NVY/23-24</t>
  </si>
  <si>
    <t>Tender description (brief details of supply): AB Cable Size (3x120+1x16+1x95)sqmm</t>
  </si>
  <si>
    <t>Not Mention.</t>
  </si>
  <si>
    <t xml:space="preserve">The bidder’s proposal must remain valid for acceptance for a period of 180 days from the date of opening of bid (Envelope-1) or any other extended date for their receipt or any other extended period consented upon by the bidders. KESCO may ask the bidder to extend the validity period of their bid) and during this period no bidder shall be allowed to withdraw their bid. Any such withdrawal during the said period will entail forfeiture of 
EMD deposited by the bidder with their bid. The bidders who agree to such extension shall confirm that they maintain the availability of the professional staff nominated in the proposal or in their confirmation of extension of validity of the proposal.
</t>
  </si>
  <si>
    <t>Ninety percent of the f.o.r. contract value of the plant in rupees on receipt by the purchaser of the contractor's invoice giving the number and date of railway receipt covering the dispatch of the plant from the Indian port and of 
the advice note giving case number and contents, together with a certificate by the contractor to the effect that the plant detailed in the said advice note has actually been dispatched under the says railway receipt and that the 
contract value of the said plant so dispatched is not less than the amount entered in the invoice.
Ten percent of the f.o.r. contract value on presentation of the contractor's invoice when each commercially useable section of the plant is completed and the last portion of such section has been dispatched and the whole 
material has been delivered at the place fixed for delivery and checked at the site of the work within one month of such delivery, whichever is earlier.</t>
  </si>
  <si>
    <t>The cable shall be supplied in standard drum lengths i.e. 500±5% meters Non-standard lengths of not less than 100 meters is acceptable. Total non-standard length should not exceed 5% of the ordered quantity.</t>
  </si>
  <si>
    <t>The cable shall be supplied on non-returnable wooden drums of heavy standard construction conforming to IS: 10418: 1982 and latest amendment thereof and being suitable for transport by goods train or truck and for storage at site. The wood used for construction of the drums shall be properly seasoned and wood preservative shall be applied to the entire drum.</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</si>
  <si>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</si>
  <si>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</si>
  <si>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</si>
  <si>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</si>
  <si>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</si>
  <si>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</si>
  <si>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</si>
  <si>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</si>
  <si>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</si>
  <si>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</si>
  <si>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</si>
  <si>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</si>
  <si>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</si>
  <si>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</si>
  <si>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</si>
  <si>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</si>
  <si>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</si>
  <si>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</si>
  <si>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</si>
  <si>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ENQ-11206-22-23</t>
  </si>
  <si>
    <t>FA0100001</t>
  </si>
  <si>
    <t>3 CORE X 120 SQ MM + 1 CORE X 16 SQ MM + 1 CORE X 95 SQ MM (AB CABLES) (BARE)</t>
  </si>
  <si>
    <t>WOOD</t>
  </si>
  <si>
    <t>Alumimium Alloy</t>
  </si>
  <si>
    <t>KMS</t>
  </si>
  <si>
    <t>MD0100013</t>
  </si>
  <si>
    <t>DRUM - 48 X 14 X 36 X 2.25</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</si>
  <si>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</si>
  <si>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</si>
  <si>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</si>
  <si>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</si>
  <si>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</si>
  <si>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</si>
  <si>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</si>
  <si>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</si>
  <si>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</si>
  <si>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</si>
  <si>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Terms (IEEMA CIRCULAR)</t>
  </si>
  <si>
    <t>Item</t>
  </si>
  <si>
    <t>Ex-Work</t>
  </si>
  <si>
    <t>Calculation part</t>
  </si>
  <si>
    <t>Date of Inspection</t>
  </si>
  <si>
    <t>Applicable Date</t>
  </si>
  <si>
    <t>BASE DATE</t>
  </si>
  <si>
    <t>FACTORS</t>
  </si>
  <si>
    <t>Ex-Work
Po</t>
  </si>
  <si>
    <t>PVC of Al</t>
  </si>
  <si>
    <t>Billing Price/PKM</t>
  </si>
  <si>
    <t>Date</t>
  </si>
  <si>
    <t>RMC</t>
  </si>
  <si>
    <t>Drum</t>
  </si>
  <si>
    <t>VA</t>
  </si>
  <si>
    <t>Groos VA%</t>
  </si>
  <si>
    <t>Mfg %</t>
  </si>
  <si>
    <t>Int %</t>
  </si>
  <si>
    <t>Ins%</t>
  </si>
  <si>
    <t>The base date for PV calculation will be 1st day of the month prior to the month of bid opening.
Price increase as per above PV formula will be allowed up to 20% of original price. There will be no limit for decrease in prices as per PV formula.</t>
  </si>
  <si>
    <r>
      <t xml:space="preserve">The base date for PV calculation will be 1st day of the month prior to the month of bid opening. (CACMAI FORMULA) Price increase as per above PV formula will be allowed up to 20% of original price. There will be no limit for decrease in prices as per PV formula. </t>
    </r>
    <r>
      <rPr>
        <b/>
        <sz val="11"/>
        <rFont val="Calibri"/>
        <family val="2"/>
        <scheme val="minor"/>
      </rPr>
      <t>(SHOULD BE IEEMA AFTER DISCUSSION WITH KESCO)</t>
    </r>
    <r>
      <rPr>
        <sz val="11"/>
        <rFont val="Calibri"/>
        <family val="2"/>
        <scheme val="minor"/>
      </rPr>
      <t xml:space="preserve">
</t>
    </r>
  </si>
  <si>
    <t>PV FORMULA (IEEMA)</t>
  </si>
  <si>
    <t xml:space="preserve">P = Po + AIph*n* (Al – Alo)+ AIm (Al – Alo)+ AIsl (Al – Alo)+CCFAIph*n*(CC-CCo)+CCFAIm(CC-CCo)+ CCFAIsl(CC-CCo)
</t>
  </si>
  <si>
    <t>n</t>
  </si>
  <si>
    <t>No. of Phase Conductor</t>
  </si>
  <si>
    <t xml:space="preserve">Alph </t>
  </si>
  <si>
    <t>Aluminium factor for phase conductor</t>
  </si>
  <si>
    <t>Alm</t>
  </si>
  <si>
    <t>Aluminium factor for messenger conductor</t>
  </si>
  <si>
    <t>CCFAIph</t>
  </si>
  <si>
    <t>XLPE factor for phase conductor</t>
  </si>
  <si>
    <t>CCFAIm</t>
  </si>
  <si>
    <t>XLPE factor for messenger conductor (For bare messenger,XLPE factor CCFAIm=0)</t>
  </si>
  <si>
    <t>PVC of AlM</t>
  </si>
  <si>
    <t>PVC of Alsl</t>
  </si>
  <si>
    <t xml:space="preserve">PVC of CCFAIph </t>
  </si>
  <si>
    <t>PVC of CCFAIm</t>
  </si>
  <si>
    <t>PVC of CCFAIsl</t>
  </si>
  <si>
    <t>PV/PKM</t>
  </si>
  <si>
    <r>
      <t>VALUE ADDITION CALCULATION</t>
    </r>
    <r>
      <rPr>
        <b/>
        <sz val="10"/>
        <color indexed="10"/>
        <rFont val="Arial"/>
        <family val="2"/>
      </rPr>
      <t xml:space="preserve"> WITH RESPECT TO PERCENTAGE</t>
    </r>
  </si>
  <si>
    <t>Al</t>
  </si>
  <si>
    <t>CC</t>
  </si>
  <si>
    <t>Alo</t>
  </si>
  <si>
    <t>Cco</t>
  </si>
  <si>
    <t>Alsl</t>
  </si>
  <si>
    <t>CCFAIsl</t>
  </si>
  <si>
    <t>Al @</t>
  </si>
  <si>
    <t>alloy</t>
  </si>
  <si>
    <t>RMC+Drum</t>
  </si>
  <si>
    <t>Net VA %</t>
  </si>
  <si>
    <t>PROVISIONAL</t>
  </si>
  <si>
    <t>CEILING</t>
  </si>
  <si>
    <t>19.09.2023 &amp; 15:00 PM.
27.09.2023 3:00 PM
03.10.2023 3:00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</si>
</sst>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 #,##0.00_ ;_ * \-#,##0.00_ ;_ * &quot;-&quot;??_ ;_ @_ "/>
    <numFmt numFmtId="164" formatCode="0.000%"/>
    <numFmt numFmtId="165" formatCode="_(* #,##0.00_);_(* \(#,##0.00\);_(* &quot;-&quot;??_);_(@_)"/>
    <numFmt numFmtId="166" formatCode="&quot;Rs. &quot;#,##0.00"/>
    <numFmt numFmtId="167" formatCode="&quot;Rs.&quot;#,##0"/>
    <numFmt numFmtId="168" formatCode="0.0"/>
    <numFmt numFmtId="169" formatCode="0.000"/>
    <numFmt numFmtId="170" formatCode="0.0000"/>
    <numFmt numFmtId="171" formatCode="0.00000"/>
  </numFmts>
  <fonts count="2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2"/>
      <name val="Calibri"/>
      <family val="2"/>
      <scheme val="minor"/>
    </font>
    <font>
      <b/>
      <sz val="10"/>
      <name val="Verdana"/>
      <family val="2"/>
    </font>
    <font>
      <sz val="10"/>
      <name val="Calibri"/>
      <family val="2"/>
      <scheme val="minor"/>
    </font>
    <font>
      <b/>
      <sz val="11"/>
      <name val="Calibri"/>
      <family val="2"/>
      <scheme val="minor"/>
    </font>
    <font>
      <b/>
      <sz val="10"/>
      <name val="Calibri"/>
      <family val="2"/>
      <scheme val="minor"/>
    </font>
    <font>
      <b/>
      <sz val="10"/>
      <name val="Arial"/>
      <family val="2"/>
    </font>
    <font>
      <sz val="11"/>
      <color rgb="FFFF0000"/>
      <name val="Calibri"/>
      <family val="2"/>
      <scheme val="minor"/>
    </font>
    <font>
      <b/>
      <sz val="10"/>
      <color indexed="10"/>
      <name val="Arial"/>
      <family val="2"/>
    </font>
    <font>
      <sz val="10"/>
      <color rgb="FFFF0000"/>
      <name val="Calibri"/>
      <family val="2"/>
      <scheme val="minor"/>
    </font>
    <font>
      <sz val="10"/>
      <color rgb="FF00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2" tint="-9.9978637043366805E-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style="medium">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xf numFmtId="9" fontId="11" fillId="0" borderId="0" applyFont="0" applyFill="0" applyBorder="0" applyAlignment="0" applyProtection="0"/>
  </cellStyleXfs>
  <cellXfs count="230">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5" borderId="1" xfId="0" applyFont="1" applyFill="1" applyBorder="1" applyAlignment="1">
      <alignment vertical="center" wrapText="1"/>
    </xf>
    <xf numFmtId="0" fontId="2" fillId="0" borderId="0" xfId="0" applyFont="1" applyFill="1" applyBorder="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165" fontId="0" fillId="0" borderId="1" xfId="0" applyNumberFormat="1" applyBorder="1" applyAlignment="1">
      <alignment wrapText="1"/>
    </xf>
    <xf numFmtId="0" fontId="16" fillId="0" borderId="7" xfId="4" applyFont="1" applyBorder="1" applyAlignment="1">
      <alignment horizontal="center" vertical="center"/>
    </xf>
    <xf numFmtId="0" fontId="11" fillId="0" borderId="0" xfId="4"/>
    <xf numFmtId="0" fontId="18" fillId="0" borderId="13" xfId="4" applyFont="1" applyBorder="1" applyAlignment="1">
      <alignment horizontal="center" vertical="center" wrapText="1"/>
    </xf>
    <xf numFmtId="0" fontId="11" fillId="0" borderId="0" xfId="4" applyAlignment="1">
      <alignment horizontal="center"/>
    </xf>
    <xf numFmtId="2" fontId="17" fillId="9" borderId="1" xfId="5" applyNumberFormat="1" applyFont="1" applyFill="1" applyBorder="1" applyAlignment="1">
      <alignment horizontal="center" vertical="center" wrapText="1"/>
    </xf>
    <xf numFmtId="0" fontId="11" fillId="0" borderId="0" xfId="4" applyAlignment="1">
      <alignment wrapText="1"/>
    </xf>
    <xf numFmtId="0" fontId="2"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9" fillId="0" borderId="0" xfId="4" applyFont="1" applyFill="1" applyAlignment="1"/>
    <xf numFmtId="0" fontId="17" fillId="0" borderId="0" xfId="6" applyFont="1" applyFill="1"/>
    <xf numFmtId="0" fontId="11" fillId="0" borderId="0" xfId="4" applyFont="1" applyFill="1"/>
    <xf numFmtId="0" fontId="11" fillId="0" borderId="0" xfId="4" applyFont="1" applyFill="1" applyAlignment="1"/>
    <xf numFmtId="0" fontId="19" fillId="0" borderId="0" xfId="4" applyFont="1" applyFill="1" applyBorder="1" applyAlignment="1">
      <alignment horizontal="center"/>
    </xf>
    <xf numFmtId="0" fontId="17" fillId="0" borderId="0" xfId="6" applyFont="1" applyFill="1" applyAlignment="1">
      <alignment horizontal="center"/>
    </xf>
    <xf numFmtId="0" fontId="11" fillId="0" borderId="0" xfId="4" applyFont="1" applyFill="1" applyAlignment="1">
      <alignment horizontal="center"/>
    </xf>
    <xf numFmtId="0" fontId="19" fillId="0" borderId="0" xfId="4" applyFont="1" applyFill="1" applyBorder="1" applyAlignment="1">
      <alignment horizontal="center" vertical="center"/>
    </xf>
    <xf numFmtId="0" fontId="19" fillId="0" borderId="0" xfId="4" applyFont="1" applyFill="1" applyBorder="1" applyAlignment="1">
      <alignment vertical="center"/>
    </xf>
    <xf numFmtId="0" fontId="11" fillId="0" borderId="0" xfId="4" applyFont="1" applyFill="1" applyBorder="1" applyAlignment="1">
      <alignment horizontal="center"/>
    </xf>
    <xf numFmtId="0" fontId="0" fillId="0" borderId="1" xfId="0" applyBorder="1" applyAlignment="1">
      <alignment horizontal="center" vertical="center"/>
    </xf>
    <xf numFmtId="0" fontId="17" fillId="0" borderId="1" xfId="4" applyFont="1" applyFill="1" applyBorder="1" applyAlignment="1">
      <alignment horizontal="center" vertical="center" wrapText="1"/>
    </xf>
    <xf numFmtId="0" fontId="2" fillId="0" borderId="14" xfId="0" applyFont="1"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170" fontId="19" fillId="0" borderId="0" xfId="4" applyNumberFormat="1" applyFont="1" applyFill="1" applyBorder="1" applyAlignment="1">
      <alignment vertical="center"/>
    </xf>
    <xf numFmtId="0" fontId="16" fillId="0" borderId="1" xfId="4" applyFont="1" applyFill="1" applyBorder="1" applyAlignment="1">
      <alignment horizontal="center"/>
    </xf>
    <xf numFmtId="0" fontId="19" fillId="0" borderId="1" xfId="4" applyFont="1" applyFill="1" applyBorder="1" applyAlignment="1">
      <alignment horizontal="center" vertical="center"/>
    </xf>
    <xf numFmtId="0" fontId="11" fillId="0" borderId="1" xfId="4" applyFont="1" applyFill="1" applyBorder="1" applyAlignment="1">
      <alignment horizontal="center" vertical="center" wrapText="1"/>
    </xf>
    <xf numFmtId="166" fontId="19" fillId="0" borderId="1" xfId="4" applyNumberFormat="1" applyFont="1" applyFill="1" applyBorder="1" applyAlignment="1">
      <alignment horizontal="center" vertical="center"/>
    </xf>
    <xf numFmtId="0" fontId="2" fillId="0" borderId="0" xfId="0" applyFont="1" applyBorder="1" applyAlignment="1">
      <alignment vertical="center"/>
    </xf>
    <xf numFmtId="0" fontId="11" fillId="0" borderId="0" xfId="4" applyFont="1" applyFill="1" applyBorder="1"/>
    <xf numFmtId="0" fontId="17" fillId="0" borderId="0" xfId="4" applyFont="1" applyFill="1" applyBorder="1" applyAlignment="1">
      <alignment horizontal="center"/>
    </xf>
    <xf numFmtId="14" fontId="17" fillId="0" borderId="0" xfId="4" applyNumberFormat="1" applyFont="1" applyFill="1" applyBorder="1" applyAlignment="1">
      <alignment horizontal="center"/>
    </xf>
    <xf numFmtId="0" fontId="19" fillId="0" borderId="6" xfId="6" applyFont="1" applyFill="1" applyBorder="1" applyAlignment="1">
      <alignment horizontal="center" vertical="center" wrapText="1"/>
    </xf>
    <xf numFmtId="0" fontId="19" fillId="0" borderId="2" xfId="6" applyFont="1" applyFill="1" applyBorder="1" applyAlignment="1">
      <alignment horizontal="center" vertical="center" wrapText="1"/>
    </xf>
    <xf numFmtId="0" fontId="19" fillId="0" borderId="35" xfId="6" applyFont="1" applyFill="1" applyBorder="1" applyAlignment="1">
      <alignment horizontal="center" vertical="center" wrapText="1"/>
    </xf>
    <xf numFmtId="0" fontId="20" fillId="0" borderId="6" xfId="6" applyFont="1" applyFill="1" applyBorder="1" applyAlignment="1">
      <alignment horizontal="center" vertical="center" wrapText="1"/>
    </xf>
    <xf numFmtId="0" fontId="20" fillId="0" borderId="1" xfId="6" applyFont="1" applyFill="1" applyBorder="1" applyAlignment="1">
      <alignment horizontal="center" vertical="center" wrapText="1"/>
    </xf>
    <xf numFmtId="0" fontId="12" fillId="0" borderId="1" xfId="6" applyFont="1" applyFill="1" applyBorder="1" applyAlignment="1">
      <alignment horizontal="center" vertical="center" wrapText="1"/>
    </xf>
    <xf numFmtId="0" fontId="20" fillId="0" borderId="35" xfId="6" applyFont="1" applyFill="1" applyBorder="1" applyAlignment="1">
      <alignment horizontal="center" vertical="center" wrapText="1"/>
    </xf>
    <xf numFmtId="0" fontId="11" fillId="0" borderId="24" xfId="4" applyFont="1" applyFill="1" applyBorder="1"/>
    <xf numFmtId="0" fontId="17" fillId="0" borderId="25" xfId="6" applyFont="1" applyFill="1" applyBorder="1"/>
    <xf numFmtId="0" fontId="17" fillId="0" borderId="6" xfId="6" applyFont="1" applyFill="1" applyBorder="1" applyAlignment="1">
      <alignment horizontal="left" vertical="center" wrapText="1"/>
    </xf>
    <xf numFmtId="14" fontId="17" fillId="0" borderId="1" xfId="6" applyNumberFormat="1" applyFont="1" applyFill="1" applyBorder="1" applyAlignment="1">
      <alignment horizontal="center" vertical="center" wrapText="1"/>
    </xf>
    <xf numFmtId="14" fontId="17" fillId="0" borderId="6" xfId="6" applyNumberFormat="1" applyFont="1" applyFill="1" applyBorder="1" applyAlignment="1">
      <alignment horizontal="center" vertical="center" wrapText="1"/>
    </xf>
    <xf numFmtId="14" fontId="17" fillId="0" borderId="2" xfId="6" applyNumberFormat="1" applyFont="1" applyFill="1" applyBorder="1" applyAlignment="1">
      <alignment horizontal="center" vertical="center" wrapText="1"/>
    </xf>
    <xf numFmtId="2" fontId="19" fillId="0" borderId="6" xfId="6" applyNumberFormat="1" applyFont="1" applyFill="1" applyBorder="1" applyAlignment="1">
      <alignment horizontal="center" vertical="center" wrapText="1"/>
    </xf>
    <xf numFmtId="2" fontId="19" fillId="0" borderId="2" xfId="6" applyNumberFormat="1" applyFont="1" applyFill="1" applyBorder="1" applyAlignment="1">
      <alignment horizontal="center" vertical="center" wrapText="1"/>
    </xf>
    <xf numFmtId="2" fontId="19" fillId="0" borderId="35" xfId="6" applyNumberFormat="1" applyFont="1" applyFill="1" applyBorder="1" applyAlignment="1">
      <alignment horizontal="center" vertical="center" wrapText="1"/>
    </xf>
    <xf numFmtId="2" fontId="19" fillId="0" borderId="34" xfId="6" applyNumberFormat="1" applyFont="1" applyFill="1" applyBorder="1" applyAlignment="1">
      <alignment horizontal="center" vertical="center" wrapText="1"/>
    </xf>
    <xf numFmtId="0" fontId="19" fillId="0" borderId="33" xfId="6" applyFont="1" applyFill="1" applyBorder="1" applyAlignment="1">
      <alignment horizontal="center" vertical="center" wrapText="1"/>
    </xf>
    <xf numFmtId="0" fontId="17" fillId="0" borderId="24" xfId="6" applyFont="1" applyFill="1" applyBorder="1" applyAlignment="1">
      <alignment horizontal="center" vertical="center" wrapText="1"/>
    </xf>
    <xf numFmtId="167" fontId="20" fillId="0" borderId="3" xfId="6" applyNumberFormat="1" applyFont="1" applyFill="1" applyBorder="1" applyAlignment="1">
      <alignment horizontal="center" vertical="center" wrapText="1"/>
    </xf>
    <xf numFmtId="167" fontId="20" fillId="0" borderId="6" xfId="6" applyNumberFormat="1" applyFont="1" applyFill="1" applyBorder="1" applyAlignment="1">
      <alignment horizontal="center"/>
    </xf>
    <xf numFmtId="167" fontId="20" fillId="0" borderId="1" xfId="6" applyNumberFormat="1" applyFont="1" applyFill="1" applyBorder="1" applyAlignment="1">
      <alignment horizontal="center"/>
    </xf>
    <xf numFmtId="1" fontId="12" fillId="0" borderId="1" xfId="6" applyNumberFormat="1" applyFont="1" applyFill="1" applyBorder="1"/>
    <xf numFmtId="1" fontId="20" fillId="0" borderId="1" xfId="6" applyNumberFormat="1" applyFont="1" applyFill="1" applyBorder="1"/>
    <xf numFmtId="1" fontId="12" fillId="0" borderId="1" xfId="6" applyNumberFormat="1" applyFont="1" applyFill="1" applyBorder="1" applyAlignment="1">
      <alignment horizontal="center"/>
    </xf>
    <xf numFmtId="0" fontId="12" fillId="0" borderId="1" xfId="6" applyFont="1" applyFill="1" applyBorder="1"/>
    <xf numFmtId="0" fontId="11" fillId="0" borderId="35" xfId="4" applyBorder="1"/>
    <xf numFmtId="0" fontId="11" fillId="0" borderId="2" xfId="4" applyFont="1" applyFill="1" applyBorder="1" applyAlignment="1">
      <alignment horizontal="center" wrapText="1"/>
    </xf>
    <xf numFmtId="0" fontId="11" fillId="0" borderId="24" xfId="4" applyFont="1" applyFill="1" applyBorder="1" applyAlignment="1">
      <alignment wrapText="1"/>
    </xf>
    <xf numFmtId="14" fontId="17" fillId="0" borderId="36" xfId="6" applyNumberFormat="1" applyFont="1" applyFill="1" applyBorder="1" applyAlignment="1">
      <alignment horizontal="center" vertical="center" wrapText="1"/>
    </xf>
    <xf numFmtId="14" fontId="19" fillId="8" borderId="6" xfId="6" applyNumberFormat="1" applyFont="1" applyFill="1" applyBorder="1" applyAlignment="1">
      <alignment horizontal="center" vertical="center" wrapText="1"/>
    </xf>
    <xf numFmtId="2" fontId="23" fillId="0" borderId="1" xfId="6" applyNumberFormat="1" applyFont="1" applyFill="1" applyBorder="1" applyAlignment="1">
      <alignment horizontal="center" vertical="center" wrapText="1"/>
    </xf>
    <xf numFmtId="168" fontId="17" fillId="0" borderId="1" xfId="6" applyNumberFormat="1" applyFont="1" applyFill="1" applyBorder="1" applyAlignment="1">
      <alignment horizontal="center" vertical="center" wrapText="1"/>
    </xf>
    <xf numFmtId="169" fontId="17" fillId="0" borderId="6" xfId="6" applyNumberFormat="1" applyFont="1" applyFill="1" applyBorder="1" applyAlignment="1">
      <alignment horizontal="center" vertical="center" wrapText="1"/>
    </xf>
    <xf numFmtId="169" fontId="17" fillId="0" borderId="2" xfId="6" applyNumberFormat="1" applyFont="1" applyFill="1" applyBorder="1" applyAlignment="1">
      <alignment horizontal="center" vertical="center" wrapText="1"/>
    </xf>
    <xf numFmtId="169" fontId="17" fillId="0" borderId="35" xfId="6" applyNumberFormat="1" applyFont="1" applyFill="1" applyBorder="1" applyAlignment="1">
      <alignment horizontal="center" vertical="center" wrapText="1"/>
    </xf>
    <xf numFmtId="2" fontId="17" fillId="0" borderId="34" xfId="6" applyNumberFormat="1" applyFont="1" applyFill="1" applyBorder="1" applyAlignment="1">
      <alignment horizontal="center" vertical="center" wrapText="1"/>
    </xf>
    <xf numFmtId="170" fontId="17" fillId="0" borderId="4" xfId="6" applyNumberFormat="1" applyFont="1" applyFill="1" applyBorder="1" applyAlignment="1">
      <alignment vertical="center" wrapText="1"/>
    </xf>
    <xf numFmtId="2" fontId="17" fillId="11" borderId="34" xfId="6" applyNumberFormat="1"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24" fillId="0" borderId="1" xfId="0" applyFont="1" applyBorder="1" applyAlignment="1">
      <alignment horizontal="center" vertical="center" wrapText="1"/>
    </xf>
    <xf numFmtId="2" fontId="20" fillId="0" borderId="1" xfId="6" applyNumberFormat="1" applyFont="1" applyFill="1" applyBorder="1" applyAlignment="1">
      <alignment vertical="center" wrapText="1"/>
    </xf>
    <xf numFmtId="2" fontId="12" fillId="0" borderId="1" xfId="6" applyNumberFormat="1" applyFont="1" applyFill="1" applyBorder="1" applyAlignment="1">
      <alignment vertical="center" wrapText="1"/>
    </xf>
    <xf numFmtId="10" fontId="20" fillId="10" borderId="1" xfId="2" applyNumberFormat="1" applyFont="1" applyFill="1" applyBorder="1" applyAlignment="1">
      <alignment vertical="center" wrapText="1"/>
    </xf>
    <xf numFmtId="10" fontId="12" fillId="0" borderId="1" xfId="2" applyNumberFormat="1" applyFont="1" applyFill="1" applyBorder="1" applyAlignment="1">
      <alignment vertical="center" wrapText="1"/>
    </xf>
    <xf numFmtId="10" fontId="16" fillId="0" borderId="35" xfId="2" applyNumberFormat="1" applyFont="1" applyBorder="1" applyAlignment="1">
      <alignment vertical="center" wrapText="1"/>
    </xf>
    <xf numFmtId="43" fontId="11" fillId="0" borderId="0" xfId="1" applyFont="1" applyAlignment="1">
      <alignment wrapText="1"/>
    </xf>
    <xf numFmtId="0" fontId="11" fillId="0" borderId="39" xfId="4" applyFont="1" applyFill="1" applyBorder="1" applyAlignment="1">
      <alignment wrapText="1"/>
    </xf>
    <xf numFmtId="14" fontId="17" fillId="0" borderId="40" xfId="6" applyNumberFormat="1" applyFont="1" applyFill="1" applyBorder="1" applyAlignment="1">
      <alignment horizontal="center" vertical="center" wrapText="1"/>
    </xf>
    <xf numFmtId="14" fontId="17" fillId="0" borderId="17" xfId="6" applyNumberFormat="1" applyFont="1" applyFill="1" applyBorder="1" applyAlignment="1">
      <alignment horizontal="center" vertical="center" wrapText="1"/>
    </xf>
    <xf numFmtId="2" fontId="17" fillId="0" borderId="18" xfId="6" applyNumberFormat="1" applyFont="1" applyFill="1" applyBorder="1" applyAlignment="1">
      <alignment horizontal="center" vertical="center" wrapText="1"/>
    </xf>
    <xf numFmtId="2" fontId="17" fillId="0" borderId="17" xfId="6" applyNumberFormat="1" applyFont="1" applyFill="1" applyBorder="1" applyAlignment="1">
      <alignment horizontal="center" vertical="center" wrapText="1"/>
    </xf>
    <xf numFmtId="168" fontId="17" fillId="0" borderId="18" xfId="6" applyNumberFormat="1" applyFont="1" applyFill="1" applyBorder="1" applyAlignment="1">
      <alignment horizontal="center" vertical="center" wrapText="1"/>
    </xf>
    <xf numFmtId="168" fontId="17" fillId="0" borderId="19" xfId="6" applyNumberFormat="1" applyFont="1" applyFill="1" applyBorder="1" applyAlignment="1">
      <alignment horizontal="center" vertical="center" wrapText="1"/>
    </xf>
    <xf numFmtId="2" fontId="17" fillId="0" borderId="19" xfId="6" applyNumberFormat="1" applyFont="1" applyFill="1" applyBorder="1" applyAlignment="1">
      <alignment horizontal="center" vertical="center" wrapText="1"/>
    </xf>
    <xf numFmtId="2" fontId="17" fillId="0" borderId="38" xfId="6" applyNumberFormat="1" applyFont="1" applyFill="1" applyBorder="1" applyAlignment="1">
      <alignment horizontal="center" vertical="center" wrapText="1"/>
    </xf>
    <xf numFmtId="2" fontId="17" fillId="0" borderId="37" xfId="6" applyNumberFormat="1" applyFont="1" applyFill="1" applyBorder="1" applyAlignment="1">
      <alignment horizontal="center" vertical="center" wrapText="1"/>
    </xf>
    <xf numFmtId="171" fontId="17" fillId="0" borderId="41" xfId="6" applyNumberFormat="1" applyFont="1" applyFill="1" applyBorder="1" applyAlignment="1">
      <alignment vertical="center" wrapText="1"/>
    </xf>
    <xf numFmtId="171" fontId="17" fillId="0" borderId="44" xfId="6" applyNumberFormat="1" applyFont="1" applyFill="1" applyBorder="1" applyAlignment="1">
      <alignment vertical="center" wrapText="1"/>
    </xf>
    <xf numFmtId="2" fontId="17" fillId="0" borderId="39" xfId="6" applyNumberFormat="1" applyFont="1" applyFill="1" applyBorder="1" applyAlignment="1">
      <alignment horizontal="center" vertical="center" wrapText="1"/>
    </xf>
    <xf numFmtId="0" fontId="11" fillId="0" borderId="28" xfId="4" applyFont="1" applyFill="1" applyBorder="1" applyAlignment="1">
      <alignment wrapText="1"/>
    </xf>
    <xf numFmtId="0" fontId="11" fillId="0" borderId="17" xfId="4" applyFont="1" applyFill="1" applyBorder="1" applyAlignment="1">
      <alignment wrapText="1"/>
    </xf>
    <xf numFmtId="0" fontId="11" fillId="0" borderId="18" xfId="4" applyFont="1" applyFill="1" applyBorder="1" applyAlignment="1">
      <alignment wrapText="1"/>
    </xf>
    <xf numFmtId="0" fontId="11" fillId="0" borderId="38" xfId="4" applyBorder="1" applyAlignment="1">
      <alignment wrapText="1"/>
    </xf>
    <xf numFmtId="0" fontId="16" fillId="0" borderId="0" xfId="4" applyFont="1" applyFill="1"/>
    <xf numFmtId="10" fontId="17" fillId="0" borderId="0" xfId="6" applyNumberFormat="1" applyFont="1" applyFill="1" applyBorder="1" applyAlignment="1">
      <alignment horizontal="center" vertical="center" wrapText="1"/>
    </xf>
    <xf numFmtId="2" fontId="17" fillId="11" borderId="3" xfId="6" applyNumberFormat="1" applyFont="1" applyFill="1" applyBorder="1" applyAlignment="1">
      <alignment horizontal="center" vertical="center" wrapText="1"/>
    </xf>
    <xf numFmtId="2" fontId="17" fillId="0" borderId="28" xfId="6" applyNumberFormat="1" applyFont="1" applyFill="1" applyBorder="1" applyAlignment="1">
      <alignment horizontal="center" vertical="center" wrapText="1"/>
    </xf>
    <xf numFmtId="0" fontId="10" fillId="0" borderId="1" xfId="0" applyFont="1" applyFill="1" applyBorder="1" applyAlignment="1">
      <alignment horizontal="left" vertical="top" wrapText="1"/>
    </xf>
    <xf numFmtId="0" fontId="10" fillId="0" borderId="1" xfId="0" applyFont="1" applyFill="1" applyBorder="1" applyAlignment="1">
      <alignment horizontal="left" vertical="top"/>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0" fillId="0" borderId="1" xfId="0" applyFont="1" applyBorder="1" applyAlignment="1">
      <alignment horizontal="center" vertical="center" wrapText="1"/>
    </xf>
    <xf numFmtId="0" fontId="15" fillId="0" borderId="10" xfId="4" applyFont="1" applyBorder="1" applyAlignment="1">
      <alignment horizontal="center" vertical="center" wrapText="1"/>
    </xf>
    <xf numFmtId="0" fontId="15" fillId="0" borderId="11" xfId="4" applyFont="1" applyBorder="1" applyAlignment="1">
      <alignment horizontal="center" vertical="center"/>
    </xf>
    <xf numFmtId="0" fontId="15" fillId="0" borderId="12" xfId="4" applyFont="1" applyBorder="1" applyAlignment="1">
      <alignment horizontal="center" vertical="center"/>
    </xf>
    <xf numFmtId="14" fontId="16" fillId="0" borderId="7" xfId="4" applyNumberFormat="1" applyFont="1" applyBorder="1" applyAlignment="1">
      <alignment horizontal="center" vertical="center"/>
    </xf>
    <xf numFmtId="0" fontId="16" fillId="0" borderId="8" xfId="4" applyFont="1" applyBorder="1" applyAlignment="1">
      <alignment horizontal="center" vertical="center"/>
    </xf>
    <xf numFmtId="0" fontId="16" fillId="0" borderId="9" xfId="4" applyFont="1" applyBorder="1" applyAlignment="1">
      <alignment horizontal="center" vertical="center"/>
    </xf>
    <xf numFmtId="0" fontId="10" fillId="0" borderId="7" xfId="4" applyFont="1" applyBorder="1" applyAlignment="1">
      <alignment horizontal="left" vertical="center" wrapText="1"/>
    </xf>
    <xf numFmtId="0" fontId="10" fillId="0" borderId="8" xfId="4" applyFont="1" applyBorder="1" applyAlignment="1">
      <alignment horizontal="left" vertical="center" wrapText="1"/>
    </xf>
    <xf numFmtId="0" fontId="19" fillId="0" borderId="1" xfId="4" applyFont="1" applyFill="1" applyBorder="1" applyAlignment="1">
      <alignment horizontal="center"/>
    </xf>
    <xf numFmtId="0" fontId="21" fillId="0" borderId="0" xfId="4" applyFont="1" applyFill="1" applyBorder="1" applyAlignment="1">
      <alignment horizontal="left" vertical="center" wrapText="1"/>
    </xf>
    <xf numFmtId="0" fontId="19" fillId="0" borderId="1" xfId="4" applyFont="1" applyFill="1" applyBorder="1" applyAlignment="1">
      <alignment horizontal="center" wrapText="1"/>
    </xf>
    <xf numFmtId="0" fontId="11" fillId="0" borderId="0" xfId="4" applyFont="1" applyFill="1" applyBorder="1" applyAlignment="1">
      <alignment horizontal="center"/>
    </xf>
    <xf numFmtId="0" fontId="16" fillId="0" borderId="20" xfId="4" applyFont="1" applyFill="1" applyBorder="1" applyAlignment="1">
      <alignment horizontal="center" vertical="center"/>
    </xf>
    <xf numFmtId="0" fontId="16" fillId="0" borderId="24" xfId="4" applyFont="1" applyFill="1" applyBorder="1" applyAlignment="1">
      <alignment horizontal="center" vertical="center"/>
    </xf>
    <xf numFmtId="0" fontId="16" fillId="0" borderId="29" xfId="4" applyFont="1" applyFill="1" applyBorder="1" applyAlignment="1">
      <alignment horizontal="center" vertical="center"/>
    </xf>
    <xf numFmtId="0" fontId="16" fillId="0" borderId="20" xfId="4" applyFont="1" applyFill="1" applyBorder="1" applyAlignment="1">
      <alignment horizontal="center" vertical="center" wrapText="1"/>
    </xf>
    <xf numFmtId="0" fontId="16" fillId="0" borderId="24" xfId="4" applyFont="1" applyFill="1" applyBorder="1" applyAlignment="1">
      <alignment horizontal="center" vertical="center" wrapText="1"/>
    </xf>
    <xf numFmtId="0" fontId="16" fillId="0" borderId="29" xfId="4" applyFont="1" applyFill="1" applyBorder="1" applyAlignment="1">
      <alignment horizontal="center" vertical="center" wrapText="1"/>
    </xf>
    <xf numFmtId="0" fontId="19" fillId="0" borderId="21" xfId="6" applyFont="1" applyFill="1" applyBorder="1" applyAlignment="1">
      <alignment horizontal="center" vertical="center" wrapText="1"/>
    </xf>
    <xf numFmtId="0" fontId="19" fillId="0" borderId="25" xfId="6" applyFont="1" applyFill="1" applyBorder="1" applyAlignment="1">
      <alignment horizontal="center" vertical="center" wrapText="1"/>
    </xf>
    <xf numFmtId="0" fontId="19" fillId="0" borderId="27" xfId="6" applyFont="1" applyFill="1" applyBorder="1" applyAlignment="1">
      <alignment horizontal="center" vertical="center" wrapText="1"/>
    </xf>
    <xf numFmtId="0" fontId="19" fillId="0" borderId="5" xfId="6" applyFont="1" applyFill="1" applyBorder="1" applyAlignment="1">
      <alignment horizontal="center" vertical="center" wrapText="1"/>
    </xf>
    <xf numFmtId="0" fontId="19" fillId="0" borderId="15" xfId="6" applyFont="1" applyFill="1" applyBorder="1" applyAlignment="1">
      <alignment horizontal="center" vertical="center" wrapText="1"/>
    </xf>
    <xf numFmtId="0" fontId="19" fillId="0" borderId="16" xfId="6" applyFont="1" applyFill="1" applyBorder="1" applyAlignment="1">
      <alignment horizontal="center" vertical="center" wrapText="1"/>
    </xf>
    <xf numFmtId="0" fontId="19" fillId="0" borderId="22" xfId="6" applyFont="1" applyFill="1" applyBorder="1" applyAlignment="1">
      <alignment horizontal="center" vertical="center" wrapText="1"/>
    </xf>
    <xf numFmtId="0" fontId="19" fillId="0" borderId="23" xfId="6" applyFont="1" applyFill="1" applyBorder="1" applyAlignment="1">
      <alignment horizontal="center" vertical="center" wrapText="1"/>
    </xf>
    <xf numFmtId="0" fontId="19" fillId="0" borderId="26" xfId="6" applyFont="1" applyFill="1" applyBorder="1" applyAlignment="1">
      <alignment horizontal="center" vertical="center" wrapText="1"/>
    </xf>
    <xf numFmtId="0" fontId="19" fillId="0" borderId="43" xfId="6" applyFont="1" applyFill="1" applyBorder="1" applyAlignment="1">
      <alignment horizontal="center" vertical="center" wrapText="1"/>
    </xf>
    <xf numFmtId="0" fontId="19" fillId="0" borderId="30" xfId="6" applyFont="1" applyFill="1" applyBorder="1" applyAlignment="1">
      <alignment horizontal="center" vertical="center" wrapText="1"/>
    </xf>
    <xf numFmtId="0" fontId="19" fillId="0" borderId="34" xfId="6" applyFont="1" applyFill="1" applyBorder="1" applyAlignment="1">
      <alignment horizontal="center" vertical="center" wrapText="1"/>
    </xf>
    <xf numFmtId="0" fontId="19" fillId="0" borderId="42" xfId="6" applyFont="1" applyFill="1" applyBorder="1" applyAlignment="1">
      <alignment horizontal="center" vertical="center" wrapText="1"/>
    </xf>
    <xf numFmtId="0" fontId="19" fillId="0" borderId="4" xfId="6" applyFont="1" applyFill="1" applyBorder="1" applyAlignment="1">
      <alignment horizontal="center" vertical="center" wrapText="1"/>
    </xf>
    <xf numFmtId="0" fontId="19" fillId="0" borderId="1" xfId="6" applyFont="1" applyFill="1" applyBorder="1" applyAlignment="1">
      <alignment horizontal="center" vertical="center" wrapText="1"/>
    </xf>
    <xf numFmtId="0" fontId="19" fillId="0" borderId="32" xfId="6" applyFont="1" applyFill="1" applyBorder="1" applyAlignment="1">
      <alignment horizontal="center" vertical="center" wrapText="1"/>
    </xf>
    <xf numFmtId="0" fontId="20" fillId="0" borderId="5" xfId="6" applyFont="1" applyFill="1" applyBorder="1" applyAlignment="1">
      <alignment horizontal="center" vertical="center"/>
    </xf>
    <xf numFmtId="0" fontId="20" fillId="0" borderId="15" xfId="6" applyFont="1" applyFill="1" applyBorder="1" applyAlignment="1">
      <alignment horizontal="center" vertical="center"/>
    </xf>
    <xf numFmtId="0" fontId="20" fillId="0" borderId="31" xfId="6" applyFont="1" applyFill="1" applyBorder="1" applyAlignment="1">
      <alignment horizontal="center" vertical="center"/>
    </xf>
    <xf numFmtId="0" fontId="20" fillId="0" borderId="6" xfId="6" applyFont="1" applyFill="1" applyBorder="1" applyAlignment="1">
      <alignment horizontal="center" vertical="center"/>
    </xf>
    <xf numFmtId="0" fontId="20" fillId="0" borderId="1" xfId="6" applyFont="1" applyFill="1" applyBorder="1" applyAlignment="1">
      <alignment horizontal="center" vertical="center"/>
    </xf>
    <xf numFmtId="0" fontId="20" fillId="0" borderId="35" xfId="6" applyFont="1" applyFill="1" applyBorder="1" applyAlignment="1">
      <alignment horizontal="center" vertical="center"/>
    </xf>
    <xf numFmtId="0" fontId="19" fillId="0" borderId="6" xfId="6" applyFont="1" applyFill="1" applyBorder="1" applyAlignment="1">
      <alignment horizontal="center" vertical="center" wrapText="1"/>
    </xf>
    <xf numFmtId="0" fontId="19" fillId="0" borderId="2" xfId="6" applyFont="1" applyFill="1" applyBorder="1" applyAlignment="1">
      <alignment horizontal="center" vertical="center" wrapText="1"/>
    </xf>
    <xf numFmtId="0" fontId="19" fillId="0" borderId="20" xfId="6" applyFont="1" applyFill="1" applyBorder="1" applyAlignment="1">
      <alignment horizontal="center" vertical="center" wrapText="1"/>
    </xf>
    <xf numFmtId="0" fontId="19" fillId="0" borderId="24" xfId="6" applyFont="1" applyFill="1" applyBorder="1" applyAlignment="1">
      <alignment horizontal="center" vertical="center" wrapText="1"/>
    </xf>
    <xf numFmtId="0" fontId="19" fillId="0" borderId="29" xfId="6" applyFont="1" applyFill="1" applyBorder="1" applyAlignment="1">
      <alignment horizontal="center" vertical="center" wrapText="1"/>
    </xf>
  </cellXfs>
  <cellStyles count="9">
    <cellStyle name="Comma" xfId="1" builtinId="3"/>
    <cellStyle name="Comma 3" xfId="7"/>
    <cellStyle name="Normal" xfId="0" builtinId="0"/>
    <cellStyle name="Normal 2" xfId="3"/>
    <cellStyle name="Normal 2 2" xfId="5"/>
    <cellStyle name="Normal 2 2 2" xfId="6"/>
    <cellStyle name="Normal 6 2" xfId="4"/>
    <cellStyle name="Percent" xfId="2" builtinId="5"/>
    <cellStyle name="Percent 2"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20"/>
  <sheetViews>
    <sheetView topLeftCell="BX1" workbookViewId="0">
      <selection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134</v>
      </c>
      <c r="C1" t="s">
        <v>1</v>
      </c>
      <c r="D1" t="s">
        <v>2</v>
      </c>
      <c r="E1" t="s">
        <v>135</v>
      </c>
      <c r="F1" t="s">
        <v>3</v>
      </c>
      <c r="G1" t="s">
        <v>146</v>
      </c>
      <c r="H1" t="s">
        <v>4</v>
      </c>
      <c r="I1" t="s">
        <v>5</v>
      </c>
      <c r="J1" t="s">
        <v>6</v>
      </c>
      <c r="K1" t="s">
        <v>147</v>
      </c>
      <c r="L1" t="s">
        <v>7</v>
      </c>
      <c r="M1" t="s">
        <v>8</v>
      </c>
      <c r="N1" t="s">
        <v>9</v>
      </c>
      <c r="O1" t="s">
        <v>148</v>
      </c>
      <c r="P1" t="s">
        <v>10</v>
      </c>
      <c r="Q1" t="s">
        <v>11</v>
      </c>
      <c r="R1" t="s">
        <v>12</v>
      </c>
      <c r="S1" t="s">
        <v>149</v>
      </c>
      <c r="T1" t="s">
        <v>13</v>
      </c>
      <c r="U1" t="s">
        <v>14</v>
      </c>
      <c r="V1" t="s">
        <v>15</v>
      </c>
      <c r="W1" t="s">
        <v>150</v>
      </c>
      <c r="X1" t="s">
        <v>16</v>
      </c>
      <c r="Y1" t="s">
        <v>17</v>
      </c>
      <c r="Z1" t="s">
        <v>18</v>
      </c>
      <c r="AA1" t="s">
        <v>151</v>
      </c>
      <c r="AB1" t="s">
        <v>19</v>
      </c>
      <c r="AC1" t="s">
        <v>20</v>
      </c>
      <c r="AD1" t="s">
        <v>21</v>
      </c>
      <c r="AE1" t="s">
        <v>152</v>
      </c>
      <c r="AF1" t="s">
        <v>22</v>
      </c>
      <c r="AG1" t="s">
        <v>23</v>
      </c>
      <c r="AH1" t="s">
        <v>24</v>
      </c>
      <c r="AI1" t="s">
        <v>153</v>
      </c>
      <c r="AJ1" t="s">
        <v>25</v>
      </c>
      <c r="AK1" t="s">
        <v>26</v>
      </c>
      <c r="AL1" t="s">
        <v>27</v>
      </c>
      <c r="AM1" t="s">
        <v>154</v>
      </c>
      <c r="AN1" t="s">
        <v>28</v>
      </c>
      <c r="AO1" t="s">
        <v>29</v>
      </c>
      <c r="AP1" t="s">
        <v>30</v>
      </c>
      <c r="AQ1" t="s">
        <v>155</v>
      </c>
      <c r="AR1" t="s">
        <v>31</v>
      </c>
      <c r="AS1" t="s">
        <v>32</v>
      </c>
      <c r="AT1" t="s">
        <v>33</v>
      </c>
      <c r="AU1" t="s">
        <v>156</v>
      </c>
      <c r="AV1" t="s">
        <v>34</v>
      </c>
      <c r="AW1" t="s">
        <v>35</v>
      </c>
      <c r="AX1" t="s">
        <v>36</v>
      </c>
      <c r="AY1" t="s">
        <v>157</v>
      </c>
      <c r="AZ1" t="s">
        <v>37</v>
      </c>
      <c r="BA1" t="s">
        <v>38</v>
      </c>
      <c r="BB1" t="s">
        <v>39</v>
      </c>
      <c r="BC1" t="s">
        <v>158</v>
      </c>
      <c r="BD1" t="s">
        <v>40</v>
      </c>
      <c r="BE1" t="s">
        <v>41</v>
      </c>
      <c r="BF1" t="s">
        <v>42</v>
      </c>
      <c r="BG1" t="s">
        <v>159</v>
      </c>
      <c r="BH1" t="s">
        <v>43</v>
      </c>
      <c r="BI1" t="s">
        <v>44</v>
      </c>
      <c r="BJ1" t="s">
        <v>45</v>
      </c>
      <c r="BK1" t="s">
        <v>160</v>
      </c>
      <c r="BL1" t="s">
        <v>46</v>
      </c>
      <c r="BM1" t="s">
        <v>47</v>
      </c>
      <c r="BN1" t="s">
        <v>48</v>
      </c>
      <c r="BO1" t="s">
        <v>161</v>
      </c>
      <c r="BP1" t="s">
        <v>49</v>
      </c>
      <c r="BQ1" t="s">
        <v>50</v>
      </c>
      <c r="BR1" t="s">
        <v>51</v>
      </c>
      <c r="BS1" t="s">
        <v>162</v>
      </c>
      <c r="BT1" t="s">
        <v>52</v>
      </c>
      <c r="BU1" t="s">
        <v>53</v>
      </c>
      <c r="BV1" t="s">
        <v>54</v>
      </c>
      <c r="BW1" t="s">
        <v>163</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164</v>
      </c>
    </row>
    <row r="2" spans="1:102" x14ac:dyDescent="0.25">
      <c r="A2" t="s">
        <v>165</v>
      </c>
      <c r="B2" s="60">
        <v>45139</v>
      </c>
      <c r="C2" t="s">
        <v>166</v>
      </c>
      <c r="D2" t="s">
        <v>167</v>
      </c>
      <c r="E2" t="s">
        <v>168</v>
      </c>
      <c r="J2" t="s">
        <v>80</v>
      </c>
      <c r="K2">
        <v>214</v>
      </c>
      <c r="L2">
        <v>1015</v>
      </c>
      <c r="M2">
        <v>217210</v>
      </c>
      <c r="N2" t="s">
        <v>169</v>
      </c>
      <c r="O2">
        <v>221</v>
      </c>
      <c r="P2">
        <v>256</v>
      </c>
      <c r="Q2">
        <v>56576</v>
      </c>
      <c r="T2">
        <v>0</v>
      </c>
      <c r="V2" t="s">
        <v>86</v>
      </c>
      <c r="W2">
        <v>109.5</v>
      </c>
      <c r="X2">
        <v>279</v>
      </c>
      <c r="Y2">
        <v>30550.5</v>
      </c>
      <c r="AB2">
        <v>0</v>
      </c>
      <c r="AF2">
        <v>0</v>
      </c>
      <c r="AJ2">
        <v>0</v>
      </c>
      <c r="AN2">
        <v>0</v>
      </c>
      <c r="AR2">
        <v>0</v>
      </c>
      <c r="AV2">
        <v>0</v>
      </c>
      <c r="AZ2">
        <v>0</v>
      </c>
      <c r="BD2">
        <v>0</v>
      </c>
      <c r="BH2">
        <v>0</v>
      </c>
      <c r="BL2">
        <v>0</v>
      </c>
      <c r="BP2">
        <v>0</v>
      </c>
      <c r="BT2">
        <v>0</v>
      </c>
      <c r="BX2">
        <v>0</v>
      </c>
      <c r="BZ2">
        <v>6509.6</v>
      </c>
      <c r="CA2">
        <v>310846.09999999998</v>
      </c>
      <c r="CH2">
        <v>310846.09999999998</v>
      </c>
      <c r="CM2">
        <v>310846.09999999998</v>
      </c>
      <c r="CN2">
        <v>6400</v>
      </c>
      <c r="CO2">
        <v>317246.09999999998</v>
      </c>
      <c r="CP2" s="61">
        <v>0.18</v>
      </c>
      <c r="CQ2">
        <v>57104.3</v>
      </c>
      <c r="CR2">
        <v>374350.4</v>
      </c>
      <c r="CS2">
        <v>45</v>
      </c>
      <c r="CT2" t="s">
        <v>170</v>
      </c>
      <c r="CU2" s="62">
        <v>16845768</v>
      </c>
      <c r="CV2" t="s">
        <v>171</v>
      </c>
      <c r="CW2" t="s">
        <v>172</v>
      </c>
      <c r="CX2">
        <v>500</v>
      </c>
    </row>
    <row r="3" spans="1:102" x14ac:dyDescent="0.25">
      <c r="A3" s="2"/>
      <c r="B3" s="55"/>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5"/>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21"/>
  <sheetViews>
    <sheetView tabSelected="1" topLeftCell="H13" workbookViewId="0">
      <selection activeCell="CD20" sqref="CD20"/>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19" width="7.85546875" style="30" hidden="1" customWidth="1"/>
    <col min="20" max="20" width="7.85546875" style="30" customWidth="1"/>
    <col min="21" max="31" width="7.85546875" style="30" hidden="1" customWidth="1"/>
    <col min="32" max="32" width="7.85546875" style="30" customWidth="1"/>
    <col min="33" max="73" width="7.85546875" style="30" hidden="1" customWidth="1"/>
    <col min="74" max="74" width="7.85546875" style="30" customWidth="1"/>
    <col min="75" max="75" width="10.85546875" style="30" customWidth="1"/>
    <col min="76" max="76" width="16.42578125" style="30" customWidth="1"/>
    <col min="77" max="77" width="11.140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90" s="46" customFormat="1" ht="15.75" thickBot="1" x14ac:dyDescent="0.3"/>
    <row r="2" spans="1:90" s="46" customFormat="1" ht="23.25" thickBot="1" x14ac:dyDescent="0.5">
      <c r="A2" s="175" t="s">
        <v>138</v>
      </c>
      <c r="B2" s="176"/>
      <c r="C2" s="176"/>
      <c r="D2" s="176"/>
      <c r="E2" s="176"/>
      <c r="F2" s="176"/>
      <c r="G2" s="176"/>
      <c r="H2" s="176"/>
      <c r="I2" s="176"/>
      <c r="J2" s="176"/>
      <c r="K2" s="176"/>
      <c r="L2" s="176"/>
      <c r="M2" s="176"/>
      <c r="N2" s="176"/>
      <c r="O2" s="176"/>
      <c r="P2" s="176"/>
      <c r="Q2" s="176"/>
      <c r="R2" s="177"/>
      <c r="S2" s="52"/>
      <c r="T2" s="49"/>
    </row>
    <row r="3" spans="1:90" s="46" customFormat="1" ht="15.75" thickBot="1" x14ac:dyDescent="0.3">
      <c r="A3"/>
      <c r="B3"/>
      <c r="C3"/>
      <c r="D3"/>
      <c r="E3"/>
      <c r="F3"/>
      <c r="G3"/>
      <c r="H3"/>
      <c r="I3"/>
      <c r="J3"/>
      <c r="K3"/>
      <c r="L3"/>
      <c r="M3"/>
      <c r="N3"/>
      <c r="O3"/>
      <c r="P3"/>
      <c r="Q3"/>
      <c r="R3"/>
      <c r="S3"/>
    </row>
    <row r="4" spans="1:90" s="46" customFormat="1" ht="51.75" customHeight="1" thickBot="1" x14ac:dyDescent="0.3">
      <c r="A4" s="47" t="s">
        <v>125</v>
      </c>
      <c r="B4" s="171" t="s">
        <v>139</v>
      </c>
      <c r="C4" s="171"/>
      <c r="D4" s="171"/>
      <c r="E4" s="171"/>
      <c r="F4" s="171"/>
      <c r="G4" s="171"/>
      <c r="H4" s="171"/>
      <c r="I4" s="171"/>
      <c r="J4" s="171"/>
      <c r="K4" s="171"/>
      <c r="L4" s="171"/>
      <c r="M4" s="171"/>
      <c r="N4" s="171"/>
      <c r="O4" s="171"/>
      <c r="P4" s="171"/>
      <c r="Q4" s="171"/>
      <c r="R4" s="171"/>
      <c r="S4"/>
    </row>
    <row r="5" spans="1:90" s="46" customFormat="1" ht="34.5" customHeight="1" x14ac:dyDescent="0.25">
      <c r="A5" s="47" t="s">
        <v>126</v>
      </c>
      <c r="B5" s="171" t="s">
        <v>140</v>
      </c>
      <c r="C5" s="171"/>
      <c r="D5" s="171"/>
      <c r="E5" s="171"/>
      <c r="F5" s="171"/>
      <c r="G5" s="171"/>
      <c r="H5" s="171"/>
      <c r="I5" s="171"/>
      <c r="J5" s="171"/>
      <c r="K5" s="171"/>
      <c r="L5" s="171"/>
      <c r="M5" s="171"/>
      <c r="N5" s="171"/>
      <c r="O5" s="171"/>
      <c r="P5" s="171"/>
      <c r="Q5" s="171"/>
      <c r="R5" s="171"/>
      <c r="S5"/>
    </row>
    <row r="6" spans="1:90" s="46" customFormat="1" ht="48" customHeight="1" x14ac:dyDescent="0.25">
      <c r="A6" s="48" t="s">
        <v>127</v>
      </c>
      <c r="B6" s="170" t="s">
        <v>235</v>
      </c>
      <c r="C6" s="171"/>
      <c r="D6" s="171"/>
      <c r="E6" s="171"/>
      <c r="F6" s="171"/>
      <c r="G6" s="171"/>
      <c r="H6" s="171"/>
      <c r="I6" s="171"/>
      <c r="J6" s="171"/>
      <c r="K6" s="171"/>
      <c r="L6" s="171"/>
      <c r="M6" s="171"/>
      <c r="N6" s="171"/>
      <c r="O6" s="171"/>
      <c r="P6" s="171"/>
      <c r="Q6" s="171"/>
      <c r="R6" s="171"/>
      <c r="S6"/>
    </row>
    <row r="7" spans="1:90" s="46" customFormat="1" ht="30" x14ac:dyDescent="0.25">
      <c r="A7" s="48" t="s">
        <v>124</v>
      </c>
      <c r="B7" s="170" t="s">
        <v>141</v>
      </c>
      <c r="C7" s="171"/>
      <c r="D7" s="171"/>
      <c r="E7" s="171"/>
      <c r="F7" s="171"/>
      <c r="G7" s="171"/>
      <c r="H7" s="171"/>
      <c r="I7" s="171"/>
      <c r="J7" s="171"/>
      <c r="K7" s="171"/>
      <c r="L7" s="171"/>
      <c r="M7" s="171"/>
      <c r="N7" s="171"/>
      <c r="O7" s="171"/>
      <c r="P7" s="171"/>
      <c r="Q7" s="171"/>
      <c r="R7" s="171"/>
      <c r="S7"/>
    </row>
    <row r="8" spans="1:90" s="46" customFormat="1" ht="32.25" customHeight="1" x14ac:dyDescent="0.25">
      <c r="A8" s="48" t="s">
        <v>128</v>
      </c>
      <c r="B8" s="170" t="s">
        <v>202</v>
      </c>
      <c r="C8" s="170"/>
      <c r="D8" s="170"/>
      <c r="E8" s="170"/>
      <c r="F8" s="170"/>
      <c r="G8" s="170"/>
      <c r="H8" s="170"/>
      <c r="I8" s="170"/>
      <c r="J8" s="170"/>
      <c r="K8" s="170"/>
      <c r="L8" s="170"/>
      <c r="M8" s="170"/>
      <c r="N8" s="170"/>
      <c r="O8" s="170"/>
      <c r="P8" s="170"/>
      <c r="Q8" s="170"/>
      <c r="R8" s="170"/>
      <c r="S8"/>
    </row>
    <row r="9" spans="1:90" s="46" customFormat="1" ht="61.5" customHeight="1" x14ac:dyDescent="0.25">
      <c r="A9" s="48" t="s">
        <v>129</v>
      </c>
      <c r="B9" s="172" t="s">
        <v>142</v>
      </c>
      <c r="C9" s="173"/>
      <c r="D9" s="173"/>
      <c r="E9" s="173"/>
      <c r="F9" s="173"/>
      <c r="G9" s="173"/>
      <c r="H9" s="173"/>
      <c r="I9" s="173"/>
      <c r="J9" s="173"/>
      <c r="K9" s="173"/>
      <c r="L9" s="173"/>
      <c r="M9" s="173"/>
      <c r="N9" s="173"/>
      <c r="O9" s="173"/>
      <c r="P9" s="173"/>
      <c r="Q9" s="173"/>
      <c r="R9" s="174"/>
    </row>
    <row r="10" spans="1:90" s="46" customFormat="1" ht="79.5" customHeight="1" x14ac:dyDescent="0.25">
      <c r="A10" s="48" t="s">
        <v>130</v>
      </c>
      <c r="B10" s="180" t="s">
        <v>143</v>
      </c>
      <c r="C10" s="181"/>
      <c r="D10" s="181"/>
      <c r="E10" s="181"/>
      <c r="F10" s="181"/>
      <c r="G10" s="181"/>
      <c r="H10" s="181"/>
      <c r="I10" s="181"/>
      <c r="J10" s="181"/>
      <c r="K10" s="181"/>
      <c r="L10" s="181"/>
      <c r="M10" s="181"/>
      <c r="N10" s="181"/>
      <c r="O10" s="181"/>
      <c r="P10" s="181"/>
      <c r="Q10" s="181"/>
      <c r="R10" s="182"/>
      <c r="S10"/>
    </row>
    <row r="11" spans="1:90" s="46" customFormat="1" ht="30" x14ac:dyDescent="0.25">
      <c r="A11" s="53" t="s">
        <v>131</v>
      </c>
      <c r="B11" s="183" t="s">
        <v>144</v>
      </c>
      <c r="C11" s="183"/>
      <c r="D11" s="183"/>
      <c r="E11" s="183"/>
      <c r="F11" s="183"/>
      <c r="G11" s="183"/>
      <c r="H11" s="183"/>
      <c r="I11" s="183"/>
      <c r="J11" s="183"/>
      <c r="K11" s="183"/>
      <c r="L11" s="183"/>
      <c r="M11" s="183"/>
      <c r="N11" s="183"/>
      <c r="O11" s="183"/>
      <c r="P11" s="183"/>
      <c r="Q11" s="183"/>
      <c r="R11" s="183"/>
    </row>
    <row r="12" spans="1:90" s="46" customFormat="1" ht="39.75" customHeight="1" x14ac:dyDescent="0.25">
      <c r="A12" s="53" t="s">
        <v>132</v>
      </c>
      <c r="B12" s="183" t="s">
        <v>145</v>
      </c>
      <c r="C12" s="183"/>
      <c r="D12" s="183"/>
      <c r="E12" s="183"/>
      <c r="F12" s="183"/>
      <c r="G12" s="183"/>
      <c r="H12" s="183"/>
      <c r="I12" s="183"/>
      <c r="J12" s="183"/>
      <c r="K12" s="183"/>
      <c r="L12" s="183"/>
      <c r="M12" s="183"/>
      <c r="N12" s="183"/>
      <c r="O12" s="183"/>
      <c r="P12" s="183"/>
      <c r="Q12" s="183"/>
      <c r="R12" s="183"/>
    </row>
    <row r="13" spans="1:90" s="46" customFormat="1" ht="30" x14ac:dyDescent="0.25">
      <c r="A13" s="54" t="s">
        <v>133</v>
      </c>
      <c r="B13" s="183"/>
      <c r="C13" s="183"/>
      <c r="D13" s="183"/>
      <c r="E13" s="183"/>
      <c r="F13" s="183"/>
      <c r="G13" s="183"/>
      <c r="H13" s="183"/>
      <c r="I13" s="183"/>
      <c r="J13" s="183"/>
      <c r="K13" s="183"/>
      <c r="L13" s="183"/>
      <c r="M13" s="183"/>
      <c r="N13" s="183"/>
      <c r="O13" s="183"/>
      <c r="P13" s="183"/>
      <c r="Q13" s="183"/>
      <c r="R13" s="183"/>
    </row>
    <row r="15" spans="1:90" s="37" customFormat="1" ht="28.9" customHeight="1" x14ac:dyDescent="0.25">
      <c r="E15" s="43"/>
      <c r="H15" s="44"/>
      <c r="N15" s="184" t="str">
        <f>Sheet1!J1</f>
        <v>Conductor</v>
      </c>
      <c r="O15" s="184"/>
      <c r="P15" s="184"/>
      <c r="Q15" s="184"/>
      <c r="R15" s="184"/>
      <c r="S15" s="184" t="s">
        <v>9</v>
      </c>
      <c r="T15" s="184"/>
      <c r="U15" s="184" t="s">
        <v>3</v>
      </c>
      <c r="V15" s="184"/>
      <c r="W15" s="184"/>
      <c r="X15" s="184"/>
      <c r="Y15" s="184"/>
      <c r="Z15" s="184"/>
      <c r="AA15" s="184"/>
      <c r="AB15" s="184"/>
      <c r="AC15" s="184" t="s">
        <v>12</v>
      </c>
      <c r="AD15" s="184"/>
      <c r="AE15" s="184" t="s">
        <v>15</v>
      </c>
      <c r="AF15" s="184"/>
      <c r="AG15" s="184"/>
      <c r="AH15" s="184"/>
      <c r="AI15" s="184"/>
      <c r="AJ15" s="184"/>
      <c r="AK15" s="38" t="s">
        <v>18</v>
      </c>
      <c r="AL15" s="178" t="s">
        <v>21</v>
      </c>
      <c r="AM15" s="179"/>
      <c r="AN15" s="179"/>
      <c r="AO15" s="179"/>
      <c r="AP15" s="179"/>
      <c r="AQ15" s="179"/>
      <c r="AR15" s="179"/>
      <c r="AS15" s="184" t="s">
        <v>24</v>
      </c>
      <c r="AT15" s="184"/>
      <c r="AU15" s="184"/>
      <c r="AV15" s="184"/>
      <c r="AW15" s="184"/>
      <c r="AX15" s="184"/>
      <c r="AY15" s="184"/>
      <c r="AZ15" s="184"/>
      <c r="BA15" s="184"/>
      <c r="BB15" s="184"/>
      <c r="BC15" s="184" t="s">
        <v>27</v>
      </c>
      <c r="BD15" s="184"/>
      <c r="BE15" s="184"/>
      <c r="BF15" s="184"/>
      <c r="BG15" s="184"/>
      <c r="BH15" s="184"/>
      <c r="BI15" s="184"/>
      <c r="BJ15" s="184"/>
      <c r="BK15" s="184"/>
      <c r="BL15" s="184"/>
      <c r="BM15" s="39" t="s">
        <v>30</v>
      </c>
      <c r="BN15" s="38" t="s">
        <v>33</v>
      </c>
      <c r="BO15" s="38" t="s">
        <v>36</v>
      </c>
      <c r="BP15" s="38" t="s">
        <v>39</v>
      </c>
      <c r="BQ15" s="38" t="s">
        <v>42</v>
      </c>
      <c r="BR15" s="38" t="s">
        <v>45</v>
      </c>
      <c r="BS15" s="38" t="s">
        <v>48</v>
      </c>
      <c r="BT15" s="38" t="s">
        <v>51</v>
      </c>
      <c r="BU15" s="38" t="s">
        <v>54</v>
      </c>
      <c r="BV15" s="50"/>
      <c r="BW15" s="50"/>
      <c r="BX15" s="50"/>
      <c r="BY15" s="59"/>
      <c r="BZ15" s="40" t="s">
        <v>57</v>
      </c>
      <c r="CA15" s="40" t="s">
        <v>58</v>
      </c>
      <c r="CB15" s="41" t="s">
        <v>79</v>
      </c>
      <c r="CC15" s="40" t="s">
        <v>123</v>
      </c>
      <c r="CD15" s="42"/>
      <c r="CE15" s="43"/>
      <c r="CF15" s="44"/>
      <c r="CG15" s="43"/>
      <c r="CH15" s="43"/>
      <c r="CI15" s="44"/>
      <c r="CK15" s="44"/>
    </row>
    <row r="16" spans="1:90" s="19" customFormat="1" ht="89.25" x14ac:dyDescent="0.25">
      <c r="A16" s="22" t="s">
        <v>0</v>
      </c>
      <c r="B16" s="22" t="str">
        <f>Sheet1!B1</f>
        <v>Base Date</v>
      </c>
      <c r="C16" s="22" t="s">
        <v>1</v>
      </c>
      <c r="D16" s="22" t="s">
        <v>2</v>
      </c>
      <c r="E16" s="5" t="s">
        <v>70</v>
      </c>
      <c r="F16" s="15" t="s">
        <v>71</v>
      </c>
      <c r="G16" s="15" t="s">
        <v>72</v>
      </c>
      <c r="H16" s="6" t="s">
        <v>73</v>
      </c>
      <c r="I16" s="15" t="s">
        <v>74</v>
      </c>
      <c r="J16" s="15" t="s">
        <v>75</v>
      </c>
      <c r="K16" s="15" t="s">
        <v>76</v>
      </c>
      <c r="L16" s="15" t="s">
        <v>77</v>
      </c>
      <c r="M16" s="15" t="s">
        <v>78</v>
      </c>
      <c r="N16" s="23" t="s">
        <v>80</v>
      </c>
      <c r="O16" s="23" t="s">
        <v>85</v>
      </c>
      <c r="P16" s="23" t="s">
        <v>82</v>
      </c>
      <c r="Q16" s="23" t="s">
        <v>83</v>
      </c>
      <c r="R16" s="23" t="s">
        <v>84</v>
      </c>
      <c r="S16" s="23" t="s">
        <v>80</v>
      </c>
      <c r="T16" s="23" t="s">
        <v>85</v>
      </c>
      <c r="U16" s="24" t="s">
        <v>92</v>
      </c>
      <c r="V16" s="24" t="s">
        <v>96</v>
      </c>
      <c r="W16" s="24" t="s">
        <v>99</v>
      </c>
      <c r="X16" s="24" t="s">
        <v>104</v>
      </c>
      <c r="Y16" s="24" t="s">
        <v>108</v>
      </c>
      <c r="Z16" s="24" t="s">
        <v>112</v>
      </c>
      <c r="AA16" s="24" t="s">
        <v>115</v>
      </c>
      <c r="AB16" s="24" t="s">
        <v>117</v>
      </c>
      <c r="AC16" s="24" t="s">
        <v>91</v>
      </c>
      <c r="AD16" s="24" t="s">
        <v>95</v>
      </c>
      <c r="AE16" s="24" t="s">
        <v>90</v>
      </c>
      <c r="AF16" s="24" t="s">
        <v>86</v>
      </c>
      <c r="AG16" s="24" t="s">
        <v>98</v>
      </c>
      <c r="AH16" s="24" t="s">
        <v>103</v>
      </c>
      <c r="AI16" s="24" t="s">
        <v>107</v>
      </c>
      <c r="AJ16" s="24" t="s">
        <v>111</v>
      </c>
      <c r="AK16" s="20" t="s">
        <v>18</v>
      </c>
      <c r="AL16" s="24" t="s">
        <v>93</v>
      </c>
      <c r="AM16" s="24" t="s">
        <v>97</v>
      </c>
      <c r="AN16" s="24" t="s">
        <v>100</v>
      </c>
      <c r="AO16" s="24" t="s">
        <v>105</v>
      </c>
      <c r="AP16" s="24" t="s">
        <v>109</v>
      </c>
      <c r="AQ16" s="24" t="s">
        <v>87</v>
      </c>
      <c r="AR16" s="24" t="s">
        <v>116</v>
      </c>
      <c r="AS16" s="24" t="s">
        <v>94</v>
      </c>
      <c r="AT16" s="24" t="s">
        <v>81</v>
      </c>
      <c r="AU16" s="24" t="s">
        <v>101</v>
      </c>
      <c r="AV16" s="24" t="s">
        <v>106</v>
      </c>
      <c r="AW16" s="24" t="s">
        <v>113</v>
      </c>
      <c r="AX16" s="24" t="s">
        <v>88</v>
      </c>
      <c r="AY16" s="24" t="s">
        <v>118</v>
      </c>
      <c r="AZ16" s="24" t="s">
        <v>119</v>
      </c>
      <c r="BA16" s="24" t="s">
        <v>120</v>
      </c>
      <c r="BB16" s="24" t="s">
        <v>122</v>
      </c>
      <c r="BC16" s="24" t="s">
        <v>93</v>
      </c>
      <c r="BD16" s="24" t="s">
        <v>97</v>
      </c>
      <c r="BE16" s="24" t="s">
        <v>102</v>
      </c>
      <c r="BF16" s="24" t="s">
        <v>100</v>
      </c>
      <c r="BG16" s="24" t="s">
        <v>110</v>
      </c>
      <c r="BH16" s="24" t="s">
        <v>114</v>
      </c>
      <c r="BI16" s="24" t="s">
        <v>105</v>
      </c>
      <c r="BJ16" s="24" t="s">
        <v>87</v>
      </c>
      <c r="BK16" s="24" t="s">
        <v>116</v>
      </c>
      <c r="BL16" s="24" t="s">
        <v>121</v>
      </c>
      <c r="BM16" s="20" t="s">
        <v>30</v>
      </c>
      <c r="BN16" s="20" t="s">
        <v>89</v>
      </c>
      <c r="BO16" s="21" t="s">
        <v>36</v>
      </c>
      <c r="BP16" s="25" t="s">
        <v>39</v>
      </c>
      <c r="BQ16" s="21" t="s">
        <v>42</v>
      </c>
      <c r="BR16" s="21" t="s">
        <v>45</v>
      </c>
      <c r="BS16" s="21" t="s">
        <v>48</v>
      </c>
      <c r="BT16" s="25" t="s">
        <v>51</v>
      </c>
      <c r="BU16" s="21" t="s">
        <v>54</v>
      </c>
      <c r="BV16" s="21" t="str">
        <f>Sheet1!E1</f>
        <v>PROPOSE DRUM TYPE</v>
      </c>
      <c r="BW16" s="58" t="str">
        <f>Sheet1!CV1</f>
        <v>DRUM CODE</v>
      </c>
      <c r="BX16" s="58" t="str">
        <f>Sheet1!CW1</f>
        <v>DRUM SIZE (FxbXtx Ft)</v>
      </c>
      <c r="BY16" s="58" t="str">
        <f>Sheet1!CX1</f>
        <v xml:space="preserve">PARTY STANDARD LENGTH (MTR) </v>
      </c>
      <c r="BZ16" s="29"/>
      <c r="CA16" s="29"/>
      <c r="CB16" s="26"/>
      <c r="CC16" s="29"/>
      <c r="CD16" s="13" t="s">
        <v>61</v>
      </c>
      <c r="CE16" s="5" t="s">
        <v>62</v>
      </c>
      <c r="CF16" s="6" t="s">
        <v>63</v>
      </c>
      <c r="CG16" s="5" t="s">
        <v>64</v>
      </c>
      <c r="CH16" s="5" t="s">
        <v>65</v>
      </c>
      <c r="CI16" s="6" t="s">
        <v>66</v>
      </c>
      <c r="CJ16" s="15" t="s">
        <v>67</v>
      </c>
      <c r="CK16" s="6" t="s">
        <v>68</v>
      </c>
      <c r="CL16" s="15" t="s">
        <v>69</v>
      </c>
    </row>
    <row r="17" spans="1:90" s="29" customFormat="1" x14ac:dyDescent="0.25">
      <c r="A17" s="31"/>
      <c r="B17" s="31"/>
      <c r="C17" s="31"/>
      <c r="D17" s="31"/>
      <c r="E17" s="5"/>
      <c r="F17" s="5"/>
      <c r="G17" s="5"/>
      <c r="H17" s="5"/>
      <c r="I17" s="5"/>
      <c r="J17" s="5"/>
      <c r="K17" s="5"/>
      <c r="L17" s="5"/>
      <c r="M17" s="5"/>
      <c r="N17" s="32">
        <v>211</v>
      </c>
      <c r="O17" s="32">
        <f>+IFERROR(VLOOKUP($O$16,Sheet1!J:L,2,0),0)</f>
        <v>0</v>
      </c>
      <c r="P17" s="32">
        <f>+IFERROR(VLOOKUP($P$16,Sheet1!J:M,2,0),0)</f>
        <v>0</v>
      </c>
      <c r="Q17" s="32">
        <f>+IFERROR(VLOOKUP($Q$16,Sheet1!J:M,2,0),0)</f>
        <v>0</v>
      </c>
      <c r="R17" s="32">
        <f>+IFERROR(VLOOKUP($R$16,Sheet1!J:M,2,0),0)</f>
        <v>0</v>
      </c>
      <c r="S17" s="32">
        <f>+IFERROR(VLOOKUP($S$16,Sheet1!N:Q,2,0),0)</f>
        <v>0</v>
      </c>
      <c r="T17" s="32">
        <f>N17+7</f>
        <v>218</v>
      </c>
      <c r="U17" s="33">
        <f>+IFERROR(VLOOKUP($U$16,Sheet1!F:I,2,0),0)</f>
        <v>0</v>
      </c>
      <c r="V17" s="33">
        <f>+IFERROR(VLOOKUP($V$16,Sheet1!F:I,2,0),0)</f>
        <v>0</v>
      </c>
      <c r="W17" s="33">
        <f>+IFERROR(VLOOKUP($W$16,Sheet1!F:I,2,0),0)</f>
        <v>0</v>
      </c>
      <c r="X17" s="33">
        <f>+IFERROR(VLOOKUP($X$16,Sheet1!F:I,2,0),0)</f>
        <v>0</v>
      </c>
      <c r="Y17" s="33">
        <f>+IFERROR(VLOOKUP($Y$16,Sheet1!F:I,2,0),0)</f>
        <v>0</v>
      </c>
      <c r="Z17" s="33">
        <f>+IFERROR(VLOOKUP($Z$16,Sheet1!F:I,2,0),0)</f>
        <v>0</v>
      </c>
      <c r="AA17" s="33">
        <f>+IFERROR(VLOOKUP($AA$16,Sheet1!F:I,2,0),0)</f>
        <v>0</v>
      </c>
      <c r="AB17" s="33">
        <f>+IFERROR(VLOOKUP($AB$16,Sheet1!F:I,2,0),0)</f>
        <v>0</v>
      </c>
      <c r="AC17" s="33">
        <f>+IFERROR(VLOOKUP($AC$16,Sheet1!R:U,2,0),0)</f>
        <v>0</v>
      </c>
      <c r="AD17" s="33">
        <f>+IFERROR(VLOOKUP($AD$16,Sheet1!R:U,2,0),0)</f>
        <v>0</v>
      </c>
      <c r="AE17" s="33">
        <f>+IFERROR(VLOOKUP($AE$16,Sheet1!V:Y,2,0),0)</f>
        <v>0</v>
      </c>
      <c r="AF17" s="33">
        <v>116</v>
      </c>
      <c r="AG17" s="33">
        <f>+IFERROR(VLOOKUP($AG$16,Sheet1!V:Y,2,0),0)</f>
        <v>0</v>
      </c>
      <c r="AH17" s="33">
        <f>+IFERROR(VLOOKUP($AH$16,Sheet1!V:Y,2,0),0)</f>
        <v>0</v>
      </c>
      <c r="AI17" s="33">
        <f>+IFERROR(VLOOKUP($AI$16,Sheet1!V:Y,2,0),0)</f>
        <v>0</v>
      </c>
      <c r="AJ17" s="33">
        <f>+IFERROR(VLOOKUP($AJ$16,Sheet1!V:Y,2,0),0)</f>
        <v>0</v>
      </c>
      <c r="AK17" s="34">
        <f>+IFERROR(VLOOKUP($AK$16,Sheet1!Z2:AA840,2,0),0)</f>
        <v>0</v>
      </c>
      <c r="AL17" s="33">
        <f>+IFERROR(VLOOKUP($AL$16,Sheet1!AD2:AG840,2,0),0)</f>
        <v>0</v>
      </c>
      <c r="AM17" s="33">
        <f>+IFERROR(VLOOKUP($AM$16,Sheet1!AD2:AG840,2,0),0)</f>
        <v>0</v>
      </c>
      <c r="AN17" s="33">
        <f>+IFERROR(VLOOKUP($AN$16,Sheet1!AD2:AG840,2,0),0)</f>
        <v>0</v>
      </c>
      <c r="AO17" s="33">
        <f>+IFERROR(VLOOKUP($AO$16,Sheet1!AD2:AG840,2,0),0)</f>
        <v>0</v>
      </c>
      <c r="AP17" s="33">
        <f>+IFERROR(VLOOKUP($AP$16,Sheet1!AD2:AG840,2,0),0)</f>
        <v>0</v>
      </c>
      <c r="AQ17" s="33">
        <f>+IFERROR(VLOOKUP($AQ$16,Sheet1!AD2:AG840,2,0),0)</f>
        <v>0</v>
      </c>
      <c r="AR17" s="33">
        <f>+IFERROR(VLOOKUP($AR$16,Sheet1!AD2:AG840,2,0),0)</f>
        <v>0</v>
      </c>
      <c r="AS17" s="33">
        <f>+IFERROR(VLOOKUP($AS$16,Sheet1!AH2:AK840,2,0),0)</f>
        <v>0</v>
      </c>
      <c r="AT17" s="33">
        <f>+IFERROR(VLOOKUP($AT$16,Sheet1!AH2:AK840,2,0),0)</f>
        <v>0</v>
      </c>
      <c r="AU17" s="33">
        <f>+IFERROR(VLOOKUP($AU$16,Sheet1!AH2:AK840,2,0),0)</f>
        <v>0</v>
      </c>
      <c r="AV17" s="33">
        <f>+IFERROR(VLOOKUP($AV$16,Sheet1!AH2:AK840,2,0),0)</f>
        <v>0</v>
      </c>
      <c r="AW17" s="33">
        <f>+IFERROR(VLOOKUP($AW$16,Sheet1!AH2:AK840,2,0),0)</f>
        <v>0</v>
      </c>
      <c r="AX17" s="33">
        <f>+IFERROR(VLOOKUP($AX$16,Sheet1!AH2:AK840,2,0),0)</f>
        <v>0</v>
      </c>
      <c r="AY17" s="33">
        <f>+IFERROR(VLOOKUP($AY$16,Sheet1!AH2:AK840,2,0),0)</f>
        <v>0</v>
      </c>
      <c r="AZ17" s="33">
        <f>+IFERROR(VLOOKUP($AZ$16,Sheet1!AH2:AK840,2,0),0)</f>
        <v>0</v>
      </c>
      <c r="BA17" s="33">
        <f>+IFERROR(VLOOKUP($BA$16,Sheet1!AH2:AK840,2,0),0)</f>
        <v>0</v>
      </c>
      <c r="BB17" s="33">
        <f>+IFERROR(VLOOKUP($BB$16,Sheet1!AH2:AK840,2,0),0)</f>
        <v>0</v>
      </c>
      <c r="BC17" s="33">
        <f>+IFERROR(VLOOKUP($BC$16,Sheet1!AL2:AO840,2,0),0)</f>
        <v>0</v>
      </c>
      <c r="BD17" s="33">
        <f>+IFERROR(VLOOKUP($BD$16,Sheet1!AL2:AO840,2,0),0)</f>
        <v>0</v>
      </c>
      <c r="BE17" s="33">
        <f>+IFERROR(VLOOKUP($BE$16,Sheet1!AL2:AO840,2,0),0)</f>
        <v>0</v>
      </c>
      <c r="BF17" s="33">
        <f>+IFERROR(VLOOKUP($BF$16,Sheet1!AL2:AO840,2,0),0)</f>
        <v>0</v>
      </c>
      <c r="BG17" s="33">
        <f>+IFERROR(VLOOKUP($BG$16,Sheet1!AL2:AO840,2,0),0)</f>
        <v>0</v>
      </c>
      <c r="BH17" s="33">
        <f>+IFERROR(VLOOKUP($BH$16,Sheet1!AL2:AO840,2,0),0)</f>
        <v>0</v>
      </c>
      <c r="BI17" s="33">
        <f>+IFERROR(VLOOKUP($BI$16,Sheet1!AL2:AO840,2,0),0)</f>
        <v>0</v>
      </c>
      <c r="BJ17" s="33">
        <f>+IFERROR(VLOOKUP($BJ$16,Sheet1!AL2:AO840,2,0),0)</f>
        <v>0</v>
      </c>
      <c r="BK17" s="33">
        <f>+IFERROR(VLOOKUP($BK$16,Sheet1!AL2:AO840,2,0),0)</f>
        <v>0</v>
      </c>
      <c r="BL17" s="33">
        <f>+IFERROR(VLOOKUP($BL$16,Sheet1!AL2:AO840,2,0),0)</f>
        <v>0</v>
      </c>
      <c r="BM17" s="34">
        <f>+IFERROR(VLOOKUP($BM$16,Sheet1!AP2:AS840,2,0),0)</f>
        <v>0</v>
      </c>
      <c r="BN17" s="34">
        <f>+IFERROR(VLOOKUP($BN$16,Sheet1!AT2:AW840,2,0),0)</f>
        <v>0</v>
      </c>
      <c r="BO17" s="35">
        <f>+IFERROR(VLOOKUP($BO$16,Sheet1!AX2:BA840,2,0),0)</f>
        <v>0</v>
      </c>
      <c r="BP17" s="36">
        <f>+IFERROR(VLOOKUP($BP$16,Sheet1!BB2:BE840,2,0),0)</f>
        <v>0</v>
      </c>
      <c r="BQ17" s="35">
        <f>+IFERROR(VLOOKUP($BQ$16,Sheet1!BF2:BI840,2,0),0)</f>
        <v>0</v>
      </c>
      <c r="BR17" s="35">
        <f>+IFERROR(VLOOKUP($BR$16,Sheet1!BJ2:BM840,2,0),0)</f>
        <v>0</v>
      </c>
      <c r="BS17" s="35">
        <f>+IFERROR(VLOOKUP($BS$16,Sheet1!BN2:BQ840,2,0),0)</f>
        <v>0</v>
      </c>
      <c r="BT17" s="36">
        <f>+IFERROR(VLOOKUP($BT$16,Sheet1!BR2:BU840,2,0),0)</f>
        <v>0</v>
      </c>
      <c r="BU17" s="35">
        <f>+IFERROR(VLOOKUP($BU$16,Sheet1!BV2:BY840,2,0),0)</f>
        <v>0</v>
      </c>
      <c r="BV17" s="57"/>
      <c r="BW17" s="57"/>
      <c r="BX17" s="57"/>
      <c r="BY17" s="57"/>
      <c r="CD17" s="5"/>
      <c r="CE17" s="5"/>
      <c r="CF17" s="5"/>
      <c r="CG17" s="5"/>
      <c r="CH17" s="5"/>
      <c r="CI17" s="5"/>
      <c r="CJ17" s="5"/>
      <c r="CK17" s="5"/>
      <c r="CL17" s="5"/>
    </row>
    <row r="18" spans="1:90" ht="45" x14ac:dyDescent="0.25">
      <c r="A18" s="1" t="str">
        <f>Sheet1!A2</f>
        <v>ENQ-11206-22-23</v>
      </c>
      <c r="B18" s="56">
        <v>45170</v>
      </c>
      <c r="C18" s="1" t="str">
        <f>Sheet1!C2</f>
        <v>FA0100001</v>
      </c>
      <c r="D18" s="1" t="str">
        <f>Sheet1!D2</f>
        <v>3 CORE X 120 SQ MM + 1 CORE X 16 SQ MM + 1 CORE X 95 SQ MM (AB CABLES) (BARE)</v>
      </c>
      <c r="E18" s="3">
        <f>CH18+CJ18+CL18</f>
        <v>429449.90399999998</v>
      </c>
      <c r="F18" s="68">
        <f>ROUNDUP(M21,0)</f>
        <v>5334</v>
      </c>
      <c r="G18" s="9">
        <f>E18+F18</f>
        <v>434783.90399999998</v>
      </c>
      <c r="H18" s="7">
        <f>Sheet1!CP2</f>
        <v>0.18</v>
      </c>
      <c r="I18" s="9">
        <f>G18*H18</f>
        <v>78261.102719999995</v>
      </c>
      <c r="J18" s="9">
        <f>G18+I18</f>
        <v>513045.00671999995</v>
      </c>
      <c r="K18" s="1">
        <f>Sheet1!CS2</f>
        <v>45</v>
      </c>
      <c r="L18" s="1" t="str">
        <f>Sheet1!CT2</f>
        <v>KMS</v>
      </c>
      <c r="M18" s="3">
        <f>J18*K18</f>
        <v>23087025.302399997</v>
      </c>
      <c r="N18" s="75">
        <v>1018</v>
      </c>
      <c r="O18" s="2">
        <f>+IFERROR(VLOOKUP($O$16,Sheet1!J2:L2,3,0),0)</f>
        <v>0</v>
      </c>
      <c r="P18" s="2">
        <f>+IFERROR(VLOOKUP($P$16,Sheet1!J2:M2,3,0),0)</f>
        <v>0</v>
      </c>
      <c r="Q18" s="2">
        <f>+IFERROR(VLOOKUP($Q$16,Sheet1!J2:M2,3,0),0)</f>
        <v>0</v>
      </c>
      <c r="R18" s="2">
        <f>+IFERROR(VLOOKUP($R$16,Sheet1!J2:M2,3,0),0)</f>
        <v>0</v>
      </c>
      <c r="S18" s="2">
        <f>+IFERROR(VLOOKUP($S$16,Sheet1!N2:Q2,3,0),0)</f>
        <v>0</v>
      </c>
      <c r="T18" s="75">
        <v>260</v>
      </c>
      <c r="U18" s="2">
        <f>+IFERROR(VLOOKUP($U$16,Sheet1!F2:I2,3,0),0)</f>
        <v>0</v>
      </c>
      <c r="V18" s="2">
        <f>+IFERROR(VLOOKUP($V$16,Sheet1!F2:I2,3,0),0)</f>
        <v>0</v>
      </c>
      <c r="W18" s="2">
        <f>+IFERROR(VLOOKUP($W$16,Sheet1!F2:I2,3,0),0)</f>
        <v>0</v>
      </c>
      <c r="X18" s="2">
        <f>+IFERROR(VLOOKUP($X$16,Sheet1!F2:I2,3,0),0)</f>
        <v>0</v>
      </c>
      <c r="Y18" s="2">
        <f>+IFERROR(VLOOKUP($Y$16,Sheet1!F2:I2,3,0),0)</f>
        <v>0</v>
      </c>
      <c r="Z18" s="2">
        <f>+IFERROR(VLOOKUP($Z$16,Sheet1!F2:I2,3,0),0)</f>
        <v>0</v>
      </c>
      <c r="AA18" s="2">
        <f>+IFERROR(VLOOKUP($AA$16,Sheet1!F2:I2,3,0),0)</f>
        <v>0</v>
      </c>
      <c r="AB18" s="2">
        <f>+IFERROR(VLOOKUP($AB$16,Sheet1!F2:I2,3,0),0)</f>
        <v>0</v>
      </c>
      <c r="AC18" s="2">
        <f>+IFERROR(VLOOKUP($AC$16,Sheet1!R2:U2,3,0),0)</f>
        <v>0</v>
      </c>
      <c r="AD18" s="15">
        <f>+IFERROR(VLOOKUP($AD$16,Sheet1!R2:U2,2,0),0)</f>
        <v>0</v>
      </c>
      <c r="AE18" s="2">
        <f>+IFERROR(VLOOKUP($AE$16,Sheet1!V2:Y2,3,0),0)</f>
        <v>0</v>
      </c>
      <c r="AF18" s="76">
        <v>232</v>
      </c>
      <c r="AG18" s="15">
        <f>+IFERROR(VLOOKUP($AG$16,Sheet1!V2:Y2,3,0),0)</f>
        <v>0</v>
      </c>
      <c r="AH18" s="15">
        <f>+IFERROR(VLOOKUP($AH$16,Sheet1!V2:Y2,3,0),0)</f>
        <v>0</v>
      </c>
      <c r="AI18" s="15">
        <f>+IFERROR(VLOOKUP($AI$16,Sheet1!V2:Y2,3,0),0)</f>
        <v>0</v>
      </c>
      <c r="AJ18" s="15">
        <f>+IFERROR(VLOOKUP($AJ$16,Sheet1!V2:Y2,3,0),0)</f>
        <v>0</v>
      </c>
      <c r="AK18" s="15">
        <f>+IFERROR(VLOOKUP($AK$16,Sheet1!Z2:AB2,3,0),0)</f>
        <v>0</v>
      </c>
      <c r="AL18" s="15">
        <f>+IFERROR(VLOOKUP($AL$16,Sheet1!AD2:AG2,3,0),0)</f>
        <v>0</v>
      </c>
      <c r="AM18" s="15">
        <f>+IFERROR(VLOOKUP($AM$16,Sheet1!AD2:AG2,3,0),0)</f>
        <v>0</v>
      </c>
      <c r="AN18" s="15">
        <f>+IFERROR(VLOOKUP($AN$16,Sheet1!AD2:AG2,3,0),0)</f>
        <v>0</v>
      </c>
      <c r="AO18" s="15">
        <f>+IFERROR(VLOOKUP($AO$16,Sheet1!AD2:AG2,3,0),0)</f>
        <v>0</v>
      </c>
      <c r="AP18" s="15">
        <f>+IFERROR(VLOOKUP($AP$16,Sheet1!AD2:AG2,3,0),0)</f>
        <v>0</v>
      </c>
      <c r="AQ18" s="15">
        <f>+IFERROR(VLOOKUP($AQ$16,Sheet1!AD2:AG2,3,0),0)</f>
        <v>0</v>
      </c>
      <c r="AR18" s="15">
        <f>+IFERROR(VLOOKUP($AR$16,Sheet1!AD2:AG2,3,0),0)</f>
        <v>0</v>
      </c>
      <c r="AS18" s="15">
        <f>+IFERROR(VLOOKUP($AS$16,Sheet1!AH2:AK2,3,0),0)</f>
        <v>0</v>
      </c>
      <c r="AT18" s="15">
        <f>+IFERROR(VLOOKUP($AT$16,Sheet1!AH2:AK2,3,0),0)</f>
        <v>0</v>
      </c>
      <c r="AU18" s="15">
        <f>+IFERROR(VLOOKUP($AU$16,Sheet1!AH2:AK2,3,0),0)</f>
        <v>0</v>
      </c>
      <c r="AV18" s="15">
        <f>+IFERROR(VLOOKUP($AV$16,Sheet1!AH2:AK2,3,0),0)</f>
        <v>0</v>
      </c>
      <c r="AW18" s="15">
        <f>+IFERROR(VLOOKUP($AW$16,Sheet1!AH2:AK2,3,0),0)</f>
        <v>0</v>
      </c>
      <c r="AX18" s="15">
        <f>+IFERROR(VLOOKUP($AX$16,Sheet1!AH2:AK2,3,0),0)</f>
        <v>0</v>
      </c>
      <c r="AY18" s="15">
        <f>+IFERROR(VLOOKUP($AY$16,Sheet1!AH2:AK2,3,0),0)</f>
        <v>0</v>
      </c>
      <c r="AZ18" s="15">
        <f>+IFERROR(VLOOKUP($AZ$16,Sheet1!AH2:AK2,3,0),0)</f>
        <v>0</v>
      </c>
      <c r="BA18" s="15">
        <f>+IFERROR(VLOOKUP($BA$16,Sheet1!AH2:AK2,3,0),0)</f>
        <v>0</v>
      </c>
      <c r="BB18" s="15">
        <f>+IFERROR(VLOOKUP($BB$16,Sheet1!AH2:AK2,3,0),0)</f>
        <v>0</v>
      </c>
      <c r="BC18" s="15">
        <f>+IFERROR(VLOOKUP($BC$16,Sheet1!AL2:AO2,3,0),0)</f>
        <v>0</v>
      </c>
      <c r="BD18" s="15">
        <f>+IFERROR(VLOOKUP($BD$16,Sheet1!AL2:AO2,3,0),0)</f>
        <v>0</v>
      </c>
      <c r="BE18" s="15">
        <f>+IFERROR(VLOOKUP($BE$16,Sheet1!AL2:AO2,3,0),0)</f>
        <v>0</v>
      </c>
      <c r="BF18" s="15">
        <f>+IFERROR(VLOOKUP($BF$16,Sheet1!AL2:AO2,3,0),0)</f>
        <v>0</v>
      </c>
      <c r="BG18" s="15">
        <f>+IFERROR(VLOOKUP($BG$16,Sheet1!AL2:AO2,3,0),0)</f>
        <v>0</v>
      </c>
      <c r="BH18" s="15">
        <f>+IFERROR(VLOOKUP($BH$16,Sheet1!AL2:AO2,3,0),0)</f>
        <v>0</v>
      </c>
      <c r="BI18" s="15">
        <f>+IFERROR(VLOOKUP($BI$16,Sheet1!AL2:AO2,3,0),0)</f>
        <v>0</v>
      </c>
      <c r="BJ18" s="15">
        <f>+IFERROR(VLOOKUP($BJ$16,Sheet1!AL2:AO2,3,0),0)</f>
        <v>0</v>
      </c>
      <c r="BK18" s="15">
        <f>+IFERROR(VLOOKUP($BK$16,Sheet1!AL2:AO2,3,0),0)</f>
        <v>0</v>
      </c>
      <c r="BL18" s="15">
        <f>+IFERROR(VLOOKUP($BL$16,Sheet1!AL2:AO2,3,0),0)</f>
        <v>0</v>
      </c>
      <c r="BM18" s="15">
        <f>+IFERROR(VLOOKUP($BM$16,Sheet1!AP2:AS2,3,0),0)</f>
        <v>0</v>
      </c>
      <c r="BN18" s="15">
        <f>+IFERROR(VLOOKUP($BN$16,Sheet1!AT2:AW2,3,0),0)</f>
        <v>0</v>
      </c>
      <c r="BO18" s="15">
        <f>+IFERROR(VLOOKUP($BO$16,Sheet1!AX2:BA2,3,0),0)</f>
        <v>0</v>
      </c>
      <c r="BP18" s="15">
        <f>+IFERROR(VLOOKUP($BP$16,Sheet1!BB2:BE2,3,0),0)</f>
        <v>0</v>
      </c>
      <c r="BQ18" s="15">
        <f>+IFERROR(VLOOKUP($BQ$16,Sheet1!BF2:BI2,3,0),0)</f>
        <v>0</v>
      </c>
      <c r="BR18" s="15">
        <f>+IFERROR(VLOOKUP($BR$16,Sheet1!BJ2:BM2,3,0),0)</f>
        <v>0</v>
      </c>
      <c r="BS18" s="15">
        <f>+IFERROR(VLOOKUP($BS$16,Sheet1!BN2:BQ2,3,0),0)</f>
        <v>0</v>
      </c>
      <c r="BT18" s="15">
        <f>+IFERROR(VLOOKUP($BT$16,Sheet1!BR2:BU2,3,0),0)</f>
        <v>0</v>
      </c>
      <c r="BU18" s="15">
        <f>+IFERROR(VLOOKUP($BU$16,Sheet1!BV2:BY2,3,0),0)</f>
        <v>0</v>
      </c>
      <c r="BV18" s="15" t="str">
        <f>Sheet1!E2</f>
        <v>WOOD</v>
      </c>
      <c r="BW18" s="15" t="str">
        <f>Sheet1!CV2</f>
        <v>MD0100013</v>
      </c>
      <c r="BX18" s="15" t="str">
        <f>Sheet1!CW2</f>
        <v>DRUM - 48 X 14 X 36 X 2.25</v>
      </c>
      <c r="BY18" s="15">
        <f>Sheet1!CX2</f>
        <v>500</v>
      </c>
      <c r="BZ18" s="3">
        <f>ROUNDUP(3743/0.5,0)</f>
        <v>7486</v>
      </c>
      <c r="CA18" s="3">
        <f>SUMPRODUCT($N$17:$BU$17,N18:BU18)+BZ18</f>
        <v>305876</v>
      </c>
      <c r="CB18" s="27">
        <f>Sheet1!CB2</f>
        <v>0</v>
      </c>
      <c r="CC18" s="3">
        <f>CA18*CB18</f>
        <v>0</v>
      </c>
      <c r="CD18" s="51">
        <v>0.35</v>
      </c>
      <c r="CE18" s="3">
        <f>CA18*CD18</f>
        <v>107056.59999999999</v>
      </c>
      <c r="CF18" s="51">
        <v>0</v>
      </c>
      <c r="CG18" s="3">
        <f>CA18*CF18</f>
        <v>0</v>
      </c>
      <c r="CH18" s="3">
        <f>CA18+CC18+CE18+CG18</f>
        <v>412932.6</v>
      </c>
      <c r="CI18" s="51">
        <v>0.02</v>
      </c>
      <c r="CJ18" s="1">
        <f>CH18*CI18</f>
        <v>8258.652</v>
      </c>
      <c r="CK18" s="51">
        <v>0.02</v>
      </c>
      <c r="CL18" s="1">
        <f>CH18*CK18</f>
        <v>8258.652</v>
      </c>
    </row>
    <row r="20" spans="1:90" ht="30" x14ac:dyDescent="0.25">
      <c r="E20" s="2" t="s">
        <v>173</v>
      </c>
      <c r="F20" s="2" t="s">
        <v>174</v>
      </c>
      <c r="G20" s="63" t="s">
        <v>175</v>
      </c>
      <c r="H20" s="45" t="s">
        <v>176</v>
      </c>
      <c r="I20" s="2" t="s">
        <v>177</v>
      </c>
      <c r="J20" s="2" t="s">
        <v>178</v>
      </c>
      <c r="K20" s="2" t="s">
        <v>179</v>
      </c>
      <c r="L20" s="2" t="s">
        <v>180</v>
      </c>
      <c r="M20" s="64" t="s">
        <v>181</v>
      </c>
    </row>
    <row r="21" spans="1:90" x14ac:dyDescent="0.25">
      <c r="E21" s="63">
        <f>K18</f>
        <v>45</v>
      </c>
      <c r="F21" s="65">
        <v>0.5</v>
      </c>
      <c r="G21" s="63" t="s">
        <v>182</v>
      </c>
      <c r="H21" s="66">
        <v>48000</v>
      </c>
      <c r="I21" s="65">
        <v>18</v>
      </c>
      <c r="J21" s="63">
        <f>F21*I21</f>
        <v>9</v>
      </c>
      <c r="K21" s="63">
        <f>ROUNDUP((E21/J21),0)</f>
        <v>5</v>
      </c>
      <c r="L21" s="63">
        <f>M21*E21</f>
        <v>240000</v>
      </c>
      <c r="M21" s="67">
        <f>(H21*K21)/E21</f>
        <v>5333.333333333333</v>
      </c>
    </row>
  </sheetData>
  <mergeCells count="19">
    <mergeCell ref="AS15:BB15"/>
    <mergeCell ref="BC15:BL15"/>
    <mergeCell ref="N15:R15"/>
    <mergeCell ref="S15:T15"/>
    <mergeCell ref="U15:AB15"/>
    <mergeCell ref="AC15:AD15"/>
    <mergeCell ref="AE15:AJ15"/>
    <mergeCell ref="B7:R7"/>
    <mergeCell ref="B8:R8"/>
    <mergeCell ref="B9:R9"/>
    <mergeCell ref="A2:R2"/>
    <mergeCell ref="AL15:AR15"/>
    <mergeCell ref="B10:R10"/>
    <mergeCell ref="B11:R11"/>
    <mergeCell ref="B12:R12"/>
    <mergeCell ref="B13:R13"/>
    <mergeCell ref="B4:R4"/>
    <mergeCell ref="B5:R5"/>
    <mergeCell ref="B6:R6"/>
  </mergeCells>
  <dataValidations count="1">
    <dataValidation type="list" allowBlank="1" showInputMessage="1" showErrorMessage="1" sqref="G21">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M23"/>
  <sheetViews>
    <sheetView showZeros="0" topLeftCell="A16" zoomScaleNormal="100" workbookViewId="0">
      <selection activeCell="A21" sqref="A21"/>
    </sheetView>
  </sheetViews>
  <sheetFormatPr defaultRowHeight="12.75" x14ac:dyDescent="0.2"/>
  <cols>
    <col min="1" max="1" width="41" style="70" customWidth="1"/>
    <col min="2" max="2" width="19.5703125" style="70" bestFit="1" customWidth="1"/>
    <col min="3" max="3" width="10.140625" style="70" customWidth="1"/>
    <col min="4" max="4" width="11.5703125" style="70" customWidth="1"/>
    <col min="5" max="5" width="9.42578125" style="70" bestFit="1" customWidth="1"/>
    <col min="6" max="6" width="8.42578125" style="70" bestFit="1" customWidth="1"/>
    <col min="7" max="7" width="10.7109375" style="70" bestFit="1" customWidth="1"/>
    <col min="8" max="8" width="9.140625" style="70"/>
    <col min="9" max="9" width="8.42578125" style="70" customWidth="1"/>
    <col min="10" max="10" width="6.42578125" style="70" bestFit="1" customWidth="1"/>
    <col min="11" max="11" width="6.28515625" style="70" customWidth="1"/>
    <col min="12" max="12" width="6.5703125" style="70" customWidth="1"/>
    <col min="13" max="13" width="6" style="70" customWidth="1"/>
    <col min="14" max="14" width="7.42578125" style="70" bestFit="1" customWidth="1"/>
    <col min="15" max="15" width="7" style="70" bestFit="1" customWidth="1"/>
    <col min="16" max="16" width="6.5703125" style="70" bestFit="1" customWidth="1"/>
    <col min="17" max="17" width="9.42578125" style="70" bestFit="1" customWidth="1"/>
    <col min="18" max="18" width="10.42578125" style="70" bestFit="1" customWidth="1"/>
    <col min="19" max="19" width="10" style="70" bestFit="1" customWidth="1"/>
    <col min="20" max="20" width="9.28515625" style="70" bestFit="1" customWidth="1"/>
    <col min="21" max="22" width="10" style="70" customWidth="1"/>
    <col min="23" max="23" width="8.85546875" style="70" customWidth="1"/>
    <col min="24" max="27" width="10.85546875" style="70" customWidth="1"/>
    <col min="28" max="28" width="9.5703125" style="70" customWidth="1"/>
    <col min="29" max="29" width="9.5703125" style="70" bestFit="1" customWidth="1"/>
    <col min="30" max="30" width="10.5703125" style="70" bestFit="1" customWidth="1"/>
    <col min="31" max="31" width="9.5703125" style="70" customWidth="1"/>
    <col min="32" max="32" width="9.5703125" style="70" bestFit="1" customWidth="1"/>
    <col min="33" max="33" width="10.5703125" style="70" bestFit="1" customWidth="1"/>
    <col min="34" max="34" width="8.140625" style="70" customWidth="1"/>
    <col min="35" max="35" width="8.85546875" style="70" customWidth="1"/>
    <col min="36" max="37" width="9.140625" style="70"/>
    <col min="38" max="38" width="9.5703125" style="70" bestFit="1" customWidth="1"/>
    <col min="39" max="253" width="9.140625" style="70"/>
    <col min="254" max="254" width="41" style="70" customWidth="1"/>
    <col min="255" max="255" width="19.5703125" style="70" bestFit="1" customWidth="1"/>
    <col min="256" max="256" width="10.140625" style="70" customWidth="1"/>
    <col min="257" max="257" width="10.42578125" style="70" bestFit="1" customWidth="1"/>
    <col min="258" max="258" width="11.28515625" style="70" customWidth="1"/>
    <col min="259" max="259" width="9.42578125" style="70" customWidth="1"/>
    <col min="260" max="260" width="10.140625" style="70" bestFit="1" customWidth="1"/>
    <col min="261" max="262" width="9.140625" style="70"/>
    <col min="263" max="263" width="7.28515625" style="70" customWidth="1"/>
    <col min="264" max="269" width="7.42578125" style="70" customWidth="1"/>
    <col min="270" max="270" width="9.42578125" style="70" bestFit="1" customWidth="1"/>
    <col min="271" max="271" width="12" style="70" bestFit="1" customWidth="1"/>
    <col min="272" max="273" width="12" style="70" customWidth="1"/>
    <col min="274" max="274" width="13.140625" style="70" bestFit="1" customWidth="1"/>
    <col min="275" max="276" width="13.140625" style="70" customWidth="1"/>
    <col min="277" max="278" width="14.42578125" style="70" bestFit="1" customWidth="1"/>
    <col min="279" max="280" width="9.140625" style="70" customWidth="1"/>
    <col min="281" max="281" width="9.5703125" style="70" customWidth="1"/>
    <col min="282" max="283" width="9.5703125" style="70" bestFit="1" customWidth="1"/>
    <col min="284" max="285" width="10.140625" style="70" bestFit="1" customWidth="1"/>
    <col min="286" max="286" width="9.5703125" style="70" bestFit="1" customWidth="1"/>
    <col min="287" max="287" width="9.5703125" style="70" customWidth="1"/>
    <col min="288" max="288" width="9" style="70" customWidth="1"/>
    <col min="289" max="289" width="10.5703125" style="70" bestFit="1" customWidth="1"/>
    <col min="290" max="290" width="11.42578125" style="70" bestFit="1" customWidth="1"/>
    <col min="291" max="291" width="18" style="70" bestFit="1" customWidth="1"/>
    <col min="292" max="509" width="9.140625" style="70"/>
    <col min="510" max="510" width="41" style="70" customWidth="1"/>
    <col min="511" max="511" width="19.5703125" style="70" bestFit="1" customWidth="1"/>
    <col min="512" max="512" width="10.140625" style="70" customWidth="1"/>
    <col min="513" max="513" width="10.42578125" style="70" bestFit="1" customWidth="1"/>
    <col min="514" max="514" width="11.28515625" style="70" customWidth="1"/>
    <col min="515" max="515" width="9.42578125" style="70" customWidth="1"/>
    <col min="516" max="516" width="10.140625" style="70" bestFit="1" customWidth="1"/>
    <col min="517" max="518" width="9.140625" style="70"/>
    <col min="519" max="519" width="7.28515625" style="70" customWidth="1"/>
    <col min="520" max="525" width="7.42578125" style="70" customWidth="1"/>
    <col min="526" max="526" width="9.42578125" style="70" bestFit="1" customWidth="1"/>
    <col min="527" max="527" width="12" style="70" bestFit="1" customWidth="1"/>
    <col min="528" max="529" width="12" style="70" customWidth="1"/>
    <col min="530" max="530" width="13.140625" style="70" bestFit="1" customWidth="1"/>
    <col min="531" max="532" width="13.140625" style="70" customWidth="1"/>
    <col min="533" max="534" width="14.42578125" style="70" bestFit="1" customWidth="1"/>
    <col min="535" max="536" width="9.140625" style="70" customWidth="1"/>
    <col min="537" max="537" width="9.5703125" style="70" customWidth="1"/>
    <col min="538" max="539" width="9.5703125" style="70" bestFit="1" customWidth="1"/>
    <col min="540" max="541" width="10.140625" style="70" bestFit="1" customWidth="1"/>
    <col min="542" max="542" width="9.5703125" style="70" bestFit="1" customWidth="1"/>
    <col min="543" max="543" width="9.5703125" style="70" customWidth="1"/>
    <col min="544" max="544" width="9" style="70" customWidth="1"/>
    <col min="545" max="545" width="10.5703125" style="70" bestFit="1" customWidth="1"/>
    <col min="546" max="546" width="11.42578125" style="70" bestFit="1" customWidth="1"/>
    <col min="547" max="547" width="18" style="70" bestFit="1" customWidth="1"/>
    <col min="548" max="765" width="9.140625" style="70"/>
    <col min="766" max="766" width="41" style="70" customWidth="1"/>
    <col min="767" max="767" width="19.5703125" style="70" bestFit="1" customWidth="1"/>
    <col min="768" max="768" width="10.140625" style="70" customWidth="1"/>
    <col min="769" max="769" width="10.42578125" style="70" bestFit="1" customWidth="1"/>
    <col min="770" max="770" width="11.28515625" style="70" customWidth="1"/>
    <col min="771" max="771" width="9.42578125" style="70" customWidth="1"/>
    <col min="772" max="772" width="10.140625" style="70" bestFit="1" customWidth="1"/>
    <col min="773" max="774" width="9.140625" style="70"/>
    <col min="775" max="775" width="7.28515625" style="70" customWidth="1"/>
    <col min="776" max="781" width="7.42578125" style="70" customWidth="1"/>
    <col min="782" max="782" width="9.42578125" style="70" bestFit="1" customWidth="1"/>
    <col min="783" max="783" width="12" style="70" bestFit="1" customWidth="1"/>
    <col min="784" max="785" width="12" style="70" customWidth="1"/>
    <col min="786" max="786" width="13.140625" style="70" bestFit="1" customWidth="1"/>
    <col min="787" max="788" width="13.140625" style="70" customWidth="1"/>
    <col min="789" max="790" width="14.42578125" style="70" bestFit="1" customWidth="1"/>
    <col min="791" max="792" width="9.140625" style="70" customWidth="1"/>
    <col min="793" max="793" width="9.5703125" style="70" customWidth="1"/>
    <col min="794" max="795" width="9.5703125" style="70" bestFit="1" customWidth="1"/>
    <col min="796" max="797" width="10.140625" style="70" bestFit="1" customWidth="1"/>
    <col min="798" max="798" width="9.5703125" style="70" bestFit="1" customWidth="1"/>
    <col min="799" max="799" width="9.5703125" style="70" customWidth="1"/>
    <col min="800" max="800" width="9" style="70" customWidth="1"/>
    <col min="801" max="801" width="10.5703125" style="70" bestFit="1" customWidth="1"/>
    <col min="802" max="802" width="11.42578125" style="70" bestFit="1" customWidth="1"/>
    <col min="803" max="803" width="18" style="70" bestFit="1" customWidth="1"/>
    <col min="804" max="1021" width="9.140625" style="70"/>
    <col min="1022" max="1022" width="41" style="70" customWidth="1"/>
    <col min="1023" max="1023" width="19.5703125" style="70" bestFit="1" customWidth="1"/>
    <col min="1024" max="1024" width="10.140625" style="70" customWidth="1"/>
    <col min="1025" max="1025" width="10.42578125" style="70" bestFit="1" customWidth="1"/>
    <col min="1026" max="1026" width="11.28515625" style="70" customWidth="1"/>
    <col min="1027" max="1027" width="9.42578125" style="70" customWidth="1"/>
    <col min="1028" max="1028" width="10.140625" style="70" bestFit="1" customWidth="1"/>
    <col min="1029" max="1030" width="9.140625" style="70"/>
    <col min="1031" max="1031" width="7.28515625" style="70" customWidth="1"/>
    <col min="1032" max="1037" width="7.42578125" style="70" customWidth="1"/>
    <col min="1038" max="1038" width="9.42578125" style="70" bestFit="1" customWidth="1"/>
    <col min="1039" max="1039" width="12" style="70" bestFit="1" customWidth="1"/>
    <col min="1040" max="1041" width="12" style="70" customWidth="1"/>
    <col min="1042" max="1042" width="13.140625" style="70" bestFit="1" customWidth="1"/>
    <col min="1043" max="1044" width="13.140625" style="70" customWidth="1"/>
    <col min="1045" max="1046" width="14.42578125" style="70" bestFit="1" customWidth="1"/>
    <col min="1047" max="1048" width="9.140625" style="70" customWidth="1"/>
    <col min="1049" max="1049" width="9.5703125" style="70" customWidth="1"/>
    <col min="1050" max="1051" width="9.5703125" style="70" bestFit="1" customWidth="1"/>
    <col min="1052" max="1053" width="10.140625" style="70" bestFit="1" customWidth="1"/>
    <col min="1054" max="1054" width="9.5703125" style="70" bestFit="1" customWidth="1"/>
    <col min="1055" max="1055" width="9.5703125" style="70" customWidth="1"/>
    <col min="1056" max="1056" width="9" style="70" customWidth="1"/>
    <col min="1057" max="1057" width="10.5703125" style="70" bestFit="1" customWidth="1"/>
    <col min="1058" max="1058" width="11.42578125" style="70" bestFit="1" customWidth="1"/>
    <col min="1059" max="1059" width="18" style="70" bestFit="1" customWidth="1"/>
    <col min="1060" max="1277" width="9.140625" style="70"/>
    <col min="1278" max="1278" width="41" style="70" customWidth="1"/>
    <col min="1279" max="1279" width="19.5703125" style="70" bestFit="1" customWidth="1"/>
    <col min="1280" max="1280" width="10.140625" style="70" customWidth="1"/>
    <col min="1281" max="1281" width="10.42578125" style="70" bestFit="1" customWidth="1"/>
    <col min="1282" max="1282" width="11.28515625" style="70" customWidth="1"/>
    <col min="1283" max="1283" width="9.42578125" style="70" customWidth="1"/>
    <col min="1284" max="1284" width="10.140625" style="70" bestFit="1" customWidth="1"/>
    <col min="1285" max="1286" width="9.140625" style="70"/>
    <col min="1287" max="1287" width="7.28515625" style="70" customWidth="1"/>
    <col min="1288" max="1293" width="7.42578125" style="70" customWidth="1"/>
    <col min="1294" max="1294" width="9.42578125" style="70" bestFit="1" customWidth="1"/>
    <col min="1295" max="1295" width="12" style="70" bestFit="1" customWidth="1"/>
    <col min="1296" max="1297" width="12" style="70" customWidth="1"/>
    <col min="1298" max="1298" width="13.140625" style="70" bestFit="1" customWidth="1"/>
    <col min="1299" max="1300" width="13.140625" style="70" customWidth="1"/>
    <col min="1301" max="1302" width="14.42578125" style="70" bestFit="1" customWidth="1"/>
    <col min="1303" max="1304" width="9.140625" style="70" customWidth="1"/>
    <col min="1305" max="1305" width="9.5703125" style="70" customWidth="1"/>
    <col min="1306" max="1307" width="9.5703125" style="70" bestFit="1" customWidth="1"/>
    <col min="1308" max="1309" width="10.140625" style="70" bestFit="1" customWidth="1"/>
    <col min="1310" max="1310" width="9.5703125" style="70" bestFit="1" customWidth="1"/>
    <col min="1311" max="1311" width="9.5703125" style="70" customWidth="1"/>
    <col min="1312" max="1312" width="9" style="70" customWidth="1"/>
    <col min="1313" max="1313" width="10.5703125" style="70" bestFit="1" customWidth="1"/>
    <col min="1314" max="1314" width="11.42578125" style="70" bestFit="1" customWidth="1"/>
    <col min="1315" max="1315" width="18" style="70" bestFit="1" customWidth="1"/>
    <col min="1316" max="1533" width="9.140625" style="70"/>
    <col min="1534" max="1534" width="41" style="70" customWidth="1"/>
    <col min="1535" max="1535" width="19.5703125" style="70" bestFit="1" customWidth="1"/>
    <col min="1536" max="1536" width="10.140625" style="70" customWidth="1"/>
    <col min="1537" max="1537" width="10.42578125" style="70" bestFit="1" customWidth="1"/>
    <col min="1538" max="1538" width="11.28515625" style="70" customWidth="1"/>
    <col min="1539" max="1539" width="9.42578125" style="70" customWidth="1"/>
    <col min="1540" max="1540" width="10.140625" style="70" bestFit="1" customWidth="1"/>
    <col min="1541" max="1542" width="9.140625" style="70"/>
    <col min="1543" max="1543" width="7.28515625" style="70" customWidth="1"/>
    <col min="1544" max="1549" width="7.42578125" style="70" customWidth="1"/>
    <col min="1550" max="1550" width="9.42578125" style="70" bestFit="1" customWidth="1"/>
    <col min="1551" max="1551" width="12" style="70" bestFit="1" customWidth="1"/>
    <col min="1552" max="1553" width="12" style="70" customWidth="1"/>
    <col min="1554" max="1554" width="13.140625" style="70" bestFit="1" customWidth="1"/>
    <col min="1555" max="1556" width="13.140625" style="70" customWidth="1"/>
    <col min="1557" max="1558" width="14.42578125" style="70" bestFit="1" customWidth="1"/>
    <col min="1559" max="1560" width="9.140625" style="70" customWidth="1"/>
    <col min="1561" max="1561" width="9.5703125" style="70" customWidth="1"/>
    <col min="1562" max="1563" width="9.5703125" style="70" bestFit="1" customWidth="1"/>
    <col min="1564" max="1565" width="10.140625" style="70" bestFit="1" customWidth="1"/>
    <col min="1566" max="1566" width="9.5703125" style="70" bestFit="1" customWidth="1"/>
    <col min="1567" max="1567" width="9.5703125" style="70" customWidth="1"/>
    <col min="1568" max="1568" width="9" style="70" customWidth="1"/>
    <col min="1569" max="1569" width="10.5703125" style="70" bestFit="1" customWidth="1"/>
    <col min="1570" max="1570" width="11.42578125" style="70" bestFit="1" customWidth="1"/>
    <col min="1571" max="1571" width="18" style="70" bestFit="1" customWidth="1"/>
    <col min="1572" max="1789" width="9.140625" style="70"/>
    <col min="1790" max="1790" width="41" style="70" customWidth="1"/>
    <col min="1791" max="1791" width="19.5703125" style="70" bestFit="1" customWidth="1"/>
    <col min="1792" max="1792" width="10.140625" style="70" customWidth="1"/>
    <col min="1793" max="1793" width="10.42578125" style="70" bestFit="1" customWidth="1"/>
    <col min="1794" max="1794" width="11.28515625" style="70" customWidth="1"/>
    <col min="1795" max="1795" width="9.42578125" style="70" customWidth="1"/>
    <col min="1796" max="1796" width="10.140625" style="70" bestFit="1" customWidth="1"/>
    <col min="1797" max="1798" width="9.140625" style="70"/>
    <col min="1799" max="1799" width="7.28515625" style="70" customWidth="1"/>
    <col min="1800" max="1805" width="7.42578125" style="70" customWidth="1"/>
    <col min="1806" max="1806" width="9.42578125" style="70" bestFit="1" customWidth="1"/>
    <col min="1807" max="1807" width="12" style="70" bestFit="1" customWidth="1"/>
    <col min="1808" max="1809" width="12" style="70" customWidth="1"/>
    <col min="1810" max="1810" width="13.140625" style="70" bestFit="1" customWidth="1"/>
    <col min="1811" max="1812" width="13.140625" style="70" customWidth="1"/>
    <col min="1813" max="1814" width="14.42578125" style="70" bestFit="1" customWidth="1"/>
    <col min="1815" max="1816" width="9.140625" style="70" customWidth="1"/>
    <col min="1817" max="1817" width="9.5703125" style="70" customWidth="1"/>
    <col min="1818" max="1819" width="9.5703125" style="70" bestFit="1" customWidth="1"/>
    <col min="1820" max="1821" width="10.140625" style="70" bestFit="1" customWidth="1"/>
    <col min="1822" max="1822" width="9.5703125" style="70" bestFit="1" customWidth="1"/>
    <col min="1823" max="1823" width="9.5703125" style="70" customWidth="1"/>
    <col min="1824" max="1824" width="9" style="70" customWidth="1"/>
    <col min="1825" max="1825" width="10.5703125" style="70" bestFit="1" customWidth="1"/>
    <col min="1826" max="1826" width="11.42578125" style="70" bestFit="1" customWidth="1"/>
    <col min="1827" max="1827" width="18" style="70" bestFit="1" customWidth="1"/>
    <col min="1828" max="2045" width="9.140625" style="70"/>
    <col min="2046" max="2046" width="41" style="70" customWidth="1"/>
    <col min="2047" max="2047" width="19.5703125" style="70" bestFit="1" customWidth="1"/>
    <col min="2048" max="2048" width="10.140625" style="70" customWidth="1"/>
    <col min="2049" max="2049" width="10.42578125" style="70" bestFit="1" customWidth="1"/>
    <col min="2050" max="2050" width="11.28515625" style="70" customWidth="1"/>
    <col min="2051" max="2051" width="9.42578125" style="70" customWidth="1"/>
    <col min="2052" max="2052" width="10.140625" style="70" bestFit="1" customWidth="1"/>
    <col min="2053" max="2054" width="9.140625" style="70"/>
    <col min="2055" max="2055" width="7.28515625" style="70" customWidth="1"/>
    <col min="2056" max="2061" width="7.42578125" style="70" customWidth="1"/>
    <col min="2062" max="2062" width="9.42578125" style="70" bestFit="1" customWidth="1"/>
    <col min="2063" max="2063" width="12" style="70" bestFit="1" customWidth="1"/>
    <col min="2064" max="2065" width="12" style="70" customWidth="1"/>
    <col min="2066" max="2066" width="13.140625" style="70" bestFit="1" customWidth="1"/>
    <col min="2067" max="2068" width="13.140625" style="70" customWidth="1"/>
    <col min="2069" max="2070" width="14.42578125" style="70" bestFit="1" customWidth="1"/>
    <col min="2071" max="2072" width="9.140625" style="70" customWidth="1"/>
    <col min="2073" max="2073" width="9.5703125" style="70" customWidth="1"/>
    <col min="2074" max="2075" width="9.5703125" style="70" bestFit="1" customWidth="1"/>
    <col min="2076" max="2077" width="10.140625" style="70" bestFit="1" customWidth="1"/>
    <col min="2078" max="2078" width="9.5703125" style="70" bestFit="1" customWidth="1"/>
    <col min="2079" max="2079" width="9.5703125" style="70" customWidth="1"/>
    <col min="2080" max="2080" width="9" style="70" customWidth="1"/>
    <col min="2081" max="2081" width="10.5703125" style="70" bestFit="1" customWidth="1"/>
    <col min="2082" max="2082" width="11.42578125" style="70" bestFit="1" customWidth="1"/>
    <col min="2083" max="2083" width="18" style="70" bestFit="1" customWidth="1"/>
    <col min="2084" max="2301" width="9.140625" style="70"/>
    <col min="2302" max="2302" width="41" style="70" customWidth="1"/>
    <col min="2303" max="2303" width="19.5703125" style="70" bestFit="1" customWidth="1"/>
    <col min="2304" max="2304" width="10.140625" style="70" customWidth="1"/>
    <col min="2305" max="2305" width="10.42578125" style="70" bestFit="1" customWidth="1"/>
    <col min="2306" max="2306" width="11.28515625" style="70" customWidth="1"/>
    <col min="2307" max="2307" width="9.42578125" style="70" customWidth="1"/>
    <col min="2308" max="2308" width="10.140625" style="70" bestFit="1" customWidth="1"/>
    <col min="2309" max="2310" width="9.140625" style="70"/>
    <col min="2311" max="2311" width="7.28515625" style="70" customWidth="1"/>
    <col min="2312" max="2317" width="7.42578125" style="70" customWidth="1"/>
    <col min="2318" max="2318" width="9.42578125" style="70" bestFit="1" customWidth="1"/>
    <col min="2319" max="2319" width="12" style="70" bestFit="1" customWidth="1"/>
    <col min="2320" max="2321" width="12" style="70" customWidth="1"/>
    <col min="2322" max="2322" width="13.140625" style="70" bestFit="1" customWidth="1"/>
    <col min="2323" max="2324" width="13.140625" style="70" customWidth="1"/>
    <col min="2325" max="2326" width="14.42578125" style="70" bestFit="1" customWidth="1"/>
    <col min="2327" max="2328" width="9.140625" style="70" customWidth="1"/>
    <col min="2329" max="2329" width="9.5703125" style="70" customWidth="1"/>
    <col min="2330" max="2331" width="9.5703125" style="70" bestFit="1" customWidth="1"/>
    <col min="2332" max="2333" width="10.140625" style="70" bestFit="1" customWidth="1"/>
    <col min="2334" max="2334" width="9.5703125" style="70" bestFit="1" customWidth="1"/>
    <col min="2335" max="2335" width="9.5703125" style="70" customWidth="1"/>
    <col min="2336" max="2336" width="9" style="70" customWidth="1"/>
    <col min="2337" max="2337" width="10.5703125" style="70" bestFit="1" customWidth="1"/>
    <col min="2338" max="2338" width="11.42578125" style="70" bestFit="1" customWidth="1"/>
    <col min="2339" max="2339" width="18" style="70" bestFit="1" customWidth="1"/>
    <col min="2340" max="2557" width="9.140625" style="70"/>
    <col min="2558" max="2558" width="41" style="70" customWidth="1"/>
    <col min="2559" max="2559" width="19.5703125" style="70" bestFit="1" customWidth="1"/>
    <col min="2560" max="2560" width="10.140625" style="70" customWidth="1"/>
    <col min="2561" max="2561" width="10.42578125" style="70" bestFit="1" customWidth="1"/>
    <col min="2562" max="2562" width="11.28515625" style="70" customWidth="1"/>
    <col min="2563" max="2563" width="9.42578125" style="70" customWidth="1"/>
    <col min="2564" max="2564" width="10.140625" style="70" bestFit="1" customWidth="1"/>
    <col min="2565" max="2566" width="9.140625" style="70"/>
    <col min="2567" max="2567" width="7.28515625" style="70" customWidth="1"/>
    <col min="2568" max="2573" width="7.42578125" style="70" customWidth="1"/>
    <col min="2574" max="2574" width="9.42578125" style="70" bestFit="1" customWidth="1"/>
    <col min="2575" max="2575" width="12" style="70" bestFit="1" customWidth="1"/>
    <col min="2576" max="2577" width="12" style="70" customWidth="1"/>
    <col min="2578" max="2578" width="13.140625" style="70" bestFit="1" customWidth="1"/>
    <col min="2579" max="2580" width="13.140625" style="70" customWidth="1"/>
    <col min="2581" max="2582" width="14.42578125" style="70" bestFit="1" customWidth="1"/>
    <col min="2583" max="2584" width="9.140625" style="70" customWidth="1"/>
    <col min="2585" max="2585" width="9.5703125" style="70" customWidth="1"/>
    <col min="2586" max="2587" width="9.5703125" style="70" bestFit="1" customWidth="1"/>
    <col min="2588" max="2589" width="10.140625" style="70" bestFit="1" customWidth="1"/>
    <col min="2590" max="2590" width="9.5703125" style="70" bestFit="1" customWidth="1"/>
    <col min="2591" max="2591" width="9.5703125" style="70" customWidth="1"/>
    <col min="2592" max="2592" width="9" style="70" customWidth="1"/>
    <col min="2593" max="2593" width="10.5703125" style="70" bestFit="1" customWidth="1"/>
    <col min="2594" max="2594" width="11.42578125" style="70" bestFit="1" customWidth="1"/>
    <col min="2595" max="2595" width="18" style="70" bestFit="1" customWidth="1"/>
    <col min="2596" max="2813" width="9.140625" style="70"/>
    <col min="2814" max="2814" width="41" style="70" customWidth="1"/>
    <col min="2815" max="2815" width="19.5703125" style="70" bestFit="1" customWidth="1"/>
    <col min="2816" max="2816" width="10.140625" style="70" customWidth="1"/>
    <col min="2817" max="2817" width="10.42578125" style="70" bestFit="1" customWidth="1"/>
    <col min="2818" max="2818" width="11.28515625" style="70" customWidth="1"/>
    <col min="2819" max="2819" width="9.42578125" style="70" customWidth="1"/>
    <col min="2820" max="2820" width="10.140625" style="70" bestFit="1" customWidth="1"/>
    <col min="2821" max="2822" width="9.140625" style="70"/>
    <col min="2823" max="2823" width="7.28515625" style="70" customWidth="1"/>
    <col min="2824" max="2829" width="7.42578125" style="70" customWidth="1"/>
    <col min="2830" max="2830" width="9.42578125" style="70" bestFit="1" customWidth="1"/>
    <col min="2831" max="2831" width="12" style="70" bestFit="1" customWidth="1"/>
    <col min="2832" max="2833" width="12" style="70" customWidth="1"/>
    <col min="2834" max="2834" width="13.140625" style="70" bestFit="1" customWidth="1"/>
    <col min="2835" max="2836" width="13.140625" style="70" customWidth="1"/>
    <col min="2837" max="2838" width="14.42578125" style="70" bestFit="1" customWidth="1"/>
    <col min="2839" max="2840" width="9.140625" style="70" customWidth="1"/>
    <col min="2841" max="2841" width="9.5703125" style="70" customWidth="1"/>
    <col min="2842" max="2843" width="9.5703125" style="70" bestFit="1" customWidth="1"/>
    <col min="2844" max="2845" width="10.140625" style="70" bestFit="1" customWidth="1"/>
    <col min="2846" max="2846" width="9.5703125" style="70" bestFit="1" customWidth="1"/>
    <col min="2847" max="2847" width="9.5703125" style="70" customWidth="1"/>
    <col min="2848" max="2848" width="9" style="70" customWidth="1"/>
    <col min="2849" max="2849" width="10.5703125" style="70" bestFit="1" customWidth="1"/>
    <col min="2850" max="2850" width="11.42578125" style="70" bestFit="1" customWidth="1"/>
    <col min="2851" max="2851" width="18" style="70" bestFit="1" customWidth="1"/>
    <col min="2852" max="3069" width="9.140625" style="70"/>
    <col min="3070" max="3070" width="41" style="70" customWidth="1"/>
    <col min="3071" max="3071" width="19.5703125" style="70" bestFit="1" customWidth="1"/>
    <col min="3072" max="3072" width="10.140625" style="70" customWidth="1"/>
    <col min="3073" max="3073" width="10.42578125" style="70" bestFit="1" customWidth="1"/>
    <col min="3074" max="3074" width="11.28515625" style="70" customWidth="1"/>
    <col min="3075" max="3075" width="9.42578125" style="70" customWidth="1"/>
    <col min="3076" max="3076" width="10.140625" style="70" bestFit="1" customWidth="1"/>
    <col min="3077" max="3078" width="9.140625" style="70"/>
    <col min="3079" max="3079" width="7.28515625" style="70" customWidth="1"/>
    <col min="3080" max="3085" width="7.42578125" style="70" customWidth="1"/>
    <col min="3086" max="3086" width="9.42578125" style="70" bestFit="1" customWidth="1"/>
    <col min="3087" max="3087" width="12" style="70" bestFit="1" customWidth="1"/>
    <col min="3088" max="3089" width="12" style="70" customWidth="1"/>
    <col min="3090" max="3090" width="13.140625" style="70" bestFit="1" customWidth="1"/>
    <col min="3091" max="3092" width="13.140625" style="70" customWidth="1"/>
    <col min="3093" max="3094" width="14.42578125" style="70" bestFit="1" customWidth="1"/>
    <col min="3095" max="3096" width="9.140625" style="70" customWidth="1"/>
    <col min="3097" max="3097" width="9.5703125" style="70" customWidth="1"/>
    <col min="3098" max="3099" width="9.5703125" style="70" bestFit="1" customWidth="1"/>
    <col min="3100" max="3101" width="10.140625" style="70" bestFit="1" customWidth="1"/>
    <col min="3102" max="3102" width="9.5703125" style="70" bestFit="1" customWidth="1"/>
    <col min="3103" max="3103" width="9.5703125" style="70" customWidth="1"/>
    <col min="3104" max="3104" width="9" style="70" customWidth="1"/>
    <col min="3105" max="3105" width="10.5703125" style="70" bestFit="1" customWidth="1"/>
    <col min="3106" max="3106" width="11.42578125" style="70" bestFit="1" customWidth="1"/>
    <col min="3107" max="3107" width="18" style="70" bestFit="1" customWidth="1"/>
    <col min="3108" max="3325" width="9.140625" style="70"/>
    <col min="3326" max="3326" width="41" style="70" customWidth="1"/>
    <col min="3327" max="3327" width="19.5703125" style="70" bestFit="1" customWidth="1"/>
    <col min="3328" max="3328" width="10.140625" style="70" customWidth="1"/>
    <col min="3329" max="3329" width="10.42578125" style="70" bestFit="1" customWidth="1"/>
    <col min="3330" max="3330" width="11.28515625" style="70" customWidth="1"/>
    <col min="3331" max="3331" width="9.42578125" style="70" customWidth="1"/>
    <col min="3332" max="3332" width="10.140625" style="70" bestFit="1" customWidth="1"/>
    <col min="3333" max="3334" width="9.140625" style="70"/>
    <col min="3335" max="3335" width="7.28515625" style="70" customWidth="1"/>
    <col min="3336" max="3341" width="7.42578125" style="70" customWidth="1"/>
    <col min="3342" max="3342" width="9.42578125" style="70" bestFit="1" customWidth="1"/>
    <col min="3343" max="3343" width="12" style="70" bestFit="1" customWidth="1"/>
    <col min="3344" max="3345" width="12" style="70" customWidth="1"/>
    <col min="3346" max="3346" width="13.140625" style="70" bestFit="1" customWidth="1"/>
    <col min="3347" max="3348" width="13.140625" style="70" customWidth="1"/>
    <col min="3349" max="3350" width="14.42578125" style="70" bestFit="1" customWidth="1"/>
    <col min="3351" max="3352" width="9.140625" style="70" customWidth="1"/>
    <col min="3353" max="3353" width="9.5703125" style="70" customWidth="1"/>
    <col min="3354" max="3355" width="9.5703125" style="70" bestFit="1" customWidth="1"/>
    <col min="3356" max="3357" width="10.140625" style="70" bestFit="1" customWidth="1"/>
    <col min="3358" max="3358" width="9.5703125" style="70" bestFit="1" customWidth="1"/>
    <col min="3359" max="3359" width="9.5703125" style="70" customWidth="1"/>
    <col min="3360" max="3360" width="9" style="70" customWidth="1"/>
    <col min="3361" max="3361" width="10.5703125" style="70" bestFit="1" customWidth="1"/>
    <col min="3362" max="3362" width="11.42578125" style="70" bestFit="1" customWidth="1"/>
    <col min="3363" max="3363" width="18" style="70" bestFit="1" customWidth="1"/>
    <col min="3364" max="3581" width="9.140625" style="70"/>
    <col min="3582" max="3582" width="41" style="70" customWidth="1"/>
    <col min="3583" max="3583" width="19.5703125" style="70" bestFit="1" customWidth="1"/>
    <col min="3584" max="3584" width="10.140625" style="70" customWidth="1"/>
    <col min="3585" max="3585" width="10.42578125" style="70" bestFit="1" customWidth="1"/>
    <col min="3586" max="3586" width="11.28515625" style="70" customWidth="1"/>
    <col min="3587" max="3587" width="9.42578125" style="70" customWidth="1"/>
    <col min="3588" max="3588" width="10.140625" style="70" bestFit="1" customWidth="1"/>
    <col min="3589" max="3590" width="9.140625" style="70"/>
    <col min="3591" max="3591" width="7.28515625" style="70" customWidth="1"/>
    <col min="3592" max="3597" width="7.42578125" style="70" customWidth="1"/>
    <col min="3598" max="3598" width="9.42578125" style="70" bestFit="1" customWidth="1"/>
    <col min="3599" max="3599" width="12" style="70" bestFit="1" customWidth="1"/>
    <col min="3600" max="3601" width="12" style="70" customWidth="1"/>
    <col min="3602" max="3602" width="13.140625" style="70" bestFit="1" customWidth="1"/>
    <col min="3603" max="3604" width="13.140625" style="70" customWidth="1"/>
    <col min="3605" max="3606" width="14.42578125" style="70" bestFit="1" customWidth="1"/>
    <col min="3607" max="3608" width="9.140625" style="70" customWidth="1"/>
    <col min="3609" max="3609" width="9.5703125" style="70" customWidth="1"/>
    <col min="3610" max="3611" width="9.5703125" style="70" bestFit="1" customWidth="1"/>
    <col min="3612" max="3613" width="10.140625" style="70" bestFit="1" customWidth="1"/>
    <col min="3614" max="3614" width="9.5703125" style="70" bestFit="1" customWidth="1"/>
    <col min="3615" max="3615" width="9.5703125" style="70" customWidth="1"/>
    <col min="3616" max="3616" width="9" style="70" customWidth="1"/>
    <col min="3617" max="3617" width="10.5703125" style="70" bestFit="1" customWidth="1"/>
    <col min="3618" max="3618" width="11.42578125" style="70" bestFit="1" customWidth="1"/>
    <col min="3619" max="3619" width="18" style="70" bestFit="1" customWidth="1"/>
    <col min="3620" max="3837" width="9.140625" style="70"/>
    <col min="3838" max="3838" width="41" style="70" customWidth="1"/>
    <col min="3839" max="3839" width="19.5703125" style="70" bestFit="1" customWidth="1"/>
    <col min="3840" max="3840" width="10.140625" style="70" customWidth="1"/>
    <col min="3841" max="3841" width="10.42578125" style="70" bestFit="1" customWidth="1"/>
    <col min="3842" max="3842" width="11.28515625" style="70" customWidth="1"/>
    <col min="3843" max="3843" width="9.42578125" style="70" customWidth="1"/>
    <col min="3844" max="3844" width="10.140625" style="70" bestFit="1" customWidth="1"/>
    <col min="3845" max="3846" width="9.140625" style="70"/>
    <col min="3847" max="3847" width="7.28515625" style="70" customWidth="1"/>
    <col min="3848" max="3853" width="7.42578125" style="70" customWidth="1"/>
    <col min="3854" max="3854" width="9.42578125" style="70" bestFit="1" customWidth="1"/>
    <col min="3855" max="3855" width="12" style="70" bestFit="1" customWidth="1"/>
    <col min="3856" max="3857" width="12" style="70" customWidth="1"/>
    <col min="3858" max="3858" width="13.140625" style="70" bestFit="1" customWidth="1"/>
    <col min="3859" max="3860" width="13.140625" style="70" customWidth="1"/>
    <col min="3861" max="3862" width="14.42578125" style="70" bestFit="1" customWidth="1"/>
    <col min="3863" max="3864" width="9.140625" style="70" customWidth="1"/>
    <col min="3865" max="3865" width="9.5703125" style="70" customWidth="1"/>
    <col min="3866" max="3867" width="9.5703125" style="70" bestFit="1" customWidth="1"/>
    <col min="3868" max="3869" width="10.140625" style="70" bestFit="1" customWidth="1"/>
    <col min="3870" max="3870" width="9.5703125" style="70" bestFit="1" customWidth="1"/>
    <col min="3871" max="3871" width="9.5703125" style="70" customWidth="1"/>
    <col min="3872" max="3872" width="9" style="70" customWidth="1"/>
    <col min="3873" max="3873" width="10.5703125" style="70" bestFit="1" customWidth="1"/>
    <col min="3874" max="3874" width="11.42578125" style="70" bestFit="1" customWidth="1"/>
    <col min="3875" max="3875" width="18" style="70" bestFit="1" customWidth="1"/>
    <col min="3876" max="4093" width="9.140625" style="70"/>
    <col min="4094" max="4094" width="41" style="70" customWidth="1"/>
    <col min="4095" max="4095" width="19.5703125" style="70" bestFit="1" customWidth="1"/>
    <col min="4096" max="4096" width="10.140625" style="70" customWidth="1"/>
    <col min="4097" max="4097" width="10.42578125" style="70" bestFit="1" customWidth="1"/>
    <col min="4098" max="4098" width="11.28515625" style="70" customWidth="1"/>
    <col min="4099" max="4099" width="9.42578125" style="70" customWidth="1"/>
    <col min="4100" max="4100" width="10.140625" style="70" bestFit="1" customWidth="1"/>
    <col min="4101" max="4102" width="9.140625" style="70"/>
    <col min="4103" max="4103" width="7.28515625" style="70" customWidth="1"/>
    <col min="4104" max="4109" width="7.42578125" style="70" customWidth="1"/>
    <col min="4110" max="4110" width="9.42578125" style="70" bestFit="1" customWidth="1"/>
    <col min="4111" max="4111" width="12" style="70" bestFit="1" customWidth="1"/>
    <col min="4112" max="4113" width="12" style="70" customWidth="1"/>
    <col min="4114" max="4114" width="13.140625" style="70" bestFit="1" customWidth="1"/>
    <col min="4115" max="4116" width="13.140625" style="70" customWidth="1"/>
    <col min="4117" max="4118" width="14.42578125" style="70" bestFit="1" customWidth="1"/>
    <col min="4119" max="4120" width="9.140625" style="70" customWidth="1"/>
    <col min="4121" max="4121" width="9.5703125" style="70" customWidth="1"/>
    <col min="4122" max="4123" width="9.5703125" style="70" bestFit="1" customWidth="1"/>
    <col min="4124" max="4125" width="10.140625" style="70" bestFit="1" customWidth="1"/>
    <col min="4126" max="4126" width="9.5703125" style="70" bestFit="1" customWidth="1"/>
    <col min="4127" max="4127" width="9.5703125" style="70" customWidth="1"/>
    <col min="4128" max="4128" width="9" style="70" customWidth="1"/>
    <col min="4129" max="4129" width="10.5703125" style="70" bestFit="1" customWidth="1"/>
    <col min="4130" max="4130" width="11.42578125" style="70" bestFit="1" customWidth="1"/>
    <col min="4131" max="4131" width="18" style="70" bestFit="1" customWidth="1"/>
    <col min="4132" max="4349" width="9.140625" style="70"/>
    <col min="4350" max="4350" width="41" style="70" customWidth="1"/>
    <col min="4351" max="4351" width="19.5703125" style="70" bestFit="1" customWidth="1"/>
    <col min="4352" max="4352" width="10.140625" style="70" customWidth="1"/>
    <col min="4353" max="4353" width="10.42578125" style="70" bestFit="1" customWidth="1"/>
    <col min="4354" max="4354" width="11.28515625" style="70" customWidth="1"/>
    <col min="4355" max="4355" width="9.42578125" style="70" customWidth="1"/>
    <col min="4356" max="4356" width="10.140625" style="70" bestFit="1" customWidth="1"/>
    <col min="4357" max="4358" width="9.140625" style="70"/>
    <col min="4359" max="4359" width="7.28515625" style="70" customWidth="1"/>
    <col min="4360" max="4365" width="7.42578125" style="70" customWidth="1"/>
    <col min="4366" max="4366" width="9.42578125" style="70" bestFit="1" customWidth="1"/>
    <col min="4367" max="4367" width="12" style="70" bestFit="1" customWidth="1"/>
    <col min="4368" max="4369" width="12" style="70" customWidth="1"/>
    <col min="4370" max="4370" width="13.140625" style="70" bestFit="1" customWidth="1"/>
    <col min="4371" max="4372" width="13.140625" style="70" customWidth="1"/>
    <col min="4373" max="4374" width="14.42578125" style="70" bestFit="1" customWidth="1"/>
    <col min="4375" max="4376" width="9.140625" style="70" customWidth="1"/>
    <col min="4377" max="4377" width="9.5703125" style="70" customWidth="1"/>
    <col min="4378" max="4379" width="9.5703125" style="70" bestFit="1" customWidth="1"/>
    <col min="4380" max="4381" width="10.140625" style="70" bestFit="1" customWidth="1"/>
    <col min="4382" max="4382" width="9.5703125" style="70" bestFit="1" customWidth="1"/>
    <col min="4383" max="4383" width="9.5703125" style="70" customWidth="1"/>
    <col min="4384" max="4384" width="9" style="70" customWidth="1"/>
    <col min="4385" max="4385" width="10.5703125" style="70" bestFit="1" customWidth="1"/>
    <col min="4386" max="4386" width="11.42578125" style="70" bestFit="1" customWidth="1"/>
    <col min="4387" max="4387" width="18" style="70" bestFit="1" customWidth="1"/>
    <col min="4388" max="4605" width="9.140625" style="70"/>
    <col min="4606" max="4606" width="41" style="70" customWidth="1"/>
    <col min="4607" max="4607" width="19.5703125" style="70" bestFit="1" customWidth="1"/>
    <col min="4608" max="4608" width="10.140625" style="70" customWidth="1"/>
    <col min="4609" max="4609" width="10.42578125" style="70" bestFit="1" customWidth="1"/>
    <col min="4610" max="4610" width="11.28515625" style="70" customWidth="1"/>
    <col min="4611" max="4611" width="9.42578125" style="70" customWidth="1"/>
    <col min="4612" max="4612" width="10.140625" style="70" bestFit="1" customWidth="1"/>
    <col min="4613" max="4614" width="9.140625" style="70"/>
    <col min="4615" max="4615" width="7.28515625" style="70" customWidth="1"/>
    <col min="4616" max="4621" width="7.42578125" style="70" customWidth="1"/>
    <col min="4622" max="4622" width="9.42578125" style="70" bestFit="1" customWidth="1"/>
    <col min="4623" max="4623" width="12" style="70" bestFit="1" customWidth="1"/>
    <col min="4624" max="4625" width="12" style="70" customWidth="1"/>
    <col min="4626" max="4626" width="13.140625" style="70" bestFit="1" customWidth="1"/>
    <col min="4627" max="4628" width="13.140625" style="70" customWidth="1"/>
    <col min="4629" max="4630" width="14.42578125" style="70" bestFit="1" customWidth="1"/>
    <col min="4631" max="4632" width="9.140625" style="70" customWidth="1"/>
    <col min="4633" max="4633" width="9.5703125" style="70" customWidth="1"/>
    <col min="4634" max="4635" width="9.5703125" style="70" bestFit="1" customWidth="1"/>
    <col min="4636" max="4637" width="10.140625" style="70" bestFit="1" customWidth="1"/>
    <col min="4638" max="4638" width="9.5703125" style="70" bestFit="1" customWidth="1"/>
    <col min="4639" max="4639" width="9.5703125" style="70" customWidth="1"/>
    <col min="4640" max="4640" width="9" style="70" customWidth="1"/>
    <col min="4641" max="4641" width="10.5703125" style="70" bestFit="1" customWidth="1"/>
    <col min="4642" max="4642" width="11.42578125" style="70" bestFit="1" customWidth="1"/>
    <col min="4643" max="4643" width="18" style="70" bestFit="1" customWidth="1"/>
    <col min="4644" max="4861" width="9.140625" style="70"/>
    <col min="4862" max="4862" width="41" style="70" customWidth="1"/>
    <col min="4863" max="4863" width="19.5703125" style="70" bestFit="1" customWidth="1"/>
    <col min="4864" max="4864" width="10.140625" style="70" customWidth="1"/>
    <col min="4865" max="4865" width="10.42578125" style="70" bestFit="1" customWidth="1"/>
    <col min="4866" max="4866" width="11.28515625" style="70" customWidth="1"/>
    <col min="4867" max="4867" width="9.42578125" style="70" customWidth="1"/>
    <col min="4868" max="4868" width="10.140625" style="70" bestFit="1" customWidth="1"/>
    <col min="4869" max="4870" width="9.140625" style="70"/>
    <col min="4871" max="4871" width="7.28515625" style="70" customWidth="1"/>
    <col min="4872" max="4877" width="7.42578125" style="70" customWidth="1"/>
    <col min="4878" max="4878" width="9.42578125" style="70" bestFit="1" customWidth="1"/>
    <col min="4879" max="4879" width="12" style="70" bestFit="1" customWidth="1"/>
    <col min="4880" max="4881" width="12" style="70" customWidth="1"/>
    <col min="4882" max="4882" width="13.140625" style="70" bestFit="1" customWidth="1"/>
    <col min="4883" max="4884" width="13.140625" style="70" customWidth="1"/>
    <col min="4885" max="4886" width="14.42578125" style="70" bestFit="1" customWidth="1"/>
    <col min="4887" max="4888" width="9.140625" style="70" customWidth="1"/>
    <col min="4889" max="4889" width="9.5703125" style="70" customWidth="1"/>
    <col min="4890" max="4891" width="9.5703125" style="70" bestFit="1" customWidth="1"/>
    <col min="4892" max="4893" width="10.140625" style="70" bestFit="1" customWidth="1"/>
    <col min="4894" max="4894" width="9.5703125" style="70" bestFit="1" customWidth="1"/>
    <col min="4895" max="4895" width="9.5703125" style="70" customWidth="1"/>
    <col min="4896" max="4896" width="9" style="70" customWidth="1"/>
    <col min="4897" max="4897" width="10.5703125" style="70" bestFit="1" customWidth="1"/>
    <col min="4898" max="4898" width="11.42578125" style="70" bestFit="1" customWidth="1"/>
    <col min="4899" max="4899" width="18" style="70" bestFit="1" customWidth="1"/>
    <col min="4900" max="5117" width="9.140625" style="70"/>
    <col min="5118" max="5118" width="41" style="70" customWidth="1"/>
    <col min="5119" max="5119" width="19.5703125" style="70" bestFit="1" customWidth="1"/>
    <col min="5120" max="5120" width="10.140625" style="70" customWidth="1"/>
    <col min="5121" max="5121" width="10.42578125" style="70" bestFit="1" customWidth="1"/>
    <col min="5122" max="5122" width="11.28515625" style="70" customWidth="1"/>
    <col min="5123" max="5123" width="9.42578125" style="70" customWidth="1"/>
    <col min="5124" max="5124" width="10.140625" style="70" bestFit="1" customWidth="1"/>
    <col min="5125" max="5126" width="9.140625" style="70"/>
    <col min="5127" max="5127" width="7.28515625" style="70" customWidth="1"/>
    <col min="5128" max="5133" width="7.42578125" style="70" customWidth="1"/>
    <col min="5134" max="5134" width="9.42578125" style="70" bestFit="1" customWidth="1"/>
    <col min="5135" max="5135" width="12" style="70" bestFit="1" customWidth="1"/>
    <col min="5136" max="5137" width="12" style="70" customWidth="1"/>
    <col min="5138" max="5138" width="13.140625" style="70" bestFit="1" customWidth="1"/>
    <col min="5139" max="5140" width="13.140625" style="70" customWidth="1"/>
    <col min="5141" max="5142" width="14.42578125" style="70" bestFit="1" customWidth="1"/>
    <col min="5143" max="5144" width="9.140625" style="70" customWidth="1"/>
    <col min="5145" max="5145" width="9.5703125" style="70" customWidth="1"/>
    <col min="5146" max="5147" width="9.5703125" style="70" bestFit="1" customWidth="1"/>
    <col min="5148" max="5149" width="10.140625" style="70" bestFit="1" customWidth="1"/>
    <col min="5150" max="5150" width="9.5703125" style="70" bestFit="1" customWidth="1"/>
    <col min="5151" max="5151" width="9.5703125" style="70" customWidth="1"/>
    <col min="5152" max="5152" width="9" style="70" customWidth="1"/>
    <col min="5153" max="5153" width="10.5703125" style="70" bestFit="1" customWidth="1"/>
    <col min="5154" max="5154" width="11.42578125" style="70" bestFit="1" customWidth="1"/>
    <col min="5155" max="5155" width="18" style="70" bestFit="1" customWidth="1"/>
    <col min="5156" max="5373" width="9.140625" style="70"/>
    <col min="5374" max="5374" width="41" style="70" customWidth="1"/>
    <col min="5375" max="5375" width="19.5703125" style="70" bestFit="1" customWidth="1"/>
    <col min="5376" max="5376" width="10.140625" style="70" customWidth="1"/>
    <col min="5377" max="5377" width="10.42578125" style="70" bestFit="1" customWidth="1"/>
    <col min="5378" max="5378" width="11.28515625" style="70" customWidth="1"/>
    <col min="5379" max="5379" width="9.42578125" style="70" customWidth="1"/>
    <col min="5380" max="5380" width="10.140625" style="70" bestFit="1" customWidth="1"/>
    <col min="5381" max="5382" width="9.140625" style="70"/>
    <col min="5383" max="5383" width="7.28515625" style="70" customWidth="1"/>
    <col min="5384" max="5389" width="7.42578125" style="70" customWidth="1"/>
    <col min="5390" max="5390" width="9.42578125" style="70" bestFit="1" customWidth="1"/>
    <col min="5391" max="5391" width="12" style="70" bestFit="1" customWidth="1"/>
    <col min="5392" max="5393" width="12" style="70" customWidth="1"/>
    <col min="5394" max="5394" width="13.140625" style="70" bestFit="1" customWidth="1"/>
    <col min="5395" max="5396" width="13.140625" style="70" customWidth="1"/>
    <col min="5397" max="5398" width="14.42578125" style="70" bestFit="1" customWidth="1"/>
    <col min="5399" max="5400" width="9.140625" style="70" customWidth="1"/>
    <col min="5401" max="5401" width="9.5703125" style="70" customWidth="1"/>
    <col min="5402" max="5403" width="9.5703125" style="70" bestFit="1" customWidth="1"/>
    <col min="5404" max="5405" width="10.140625" style="70" bestFit="1" customWidth="1"/>
    <col min="5406" max="5406" width="9.5703125" style="70" bestFit="1" customWidth="1"/>
    <col min="5407" max="5407" width="9.5703125" style="70" customWidth="1"/>
    <col min="5408" max="5408" width="9" style="70" customWidth="1"/>
    <col min="5409" max="5409" width="10.5703125" style="70" bestFit="1" customWidth="1"/>
    <col min="5410" max="5410" width="11.42578125" style="70" bestFit="1" customWidth="1"/>
    <col min="5411" max="5411" width="18" style="70" bestFit="1" customWidth="1"/>
    <col min="5412" max="5629" width="9.140625" style="70"/>
    <col min="5630" max="5630" width="41" style="70" customWidth="1"/>
    <col min="5631" max="5631" width="19.5703125" style="70" bestFit="1" customWidth="1"/>
    <col min="5632" max="5632" width="10.140625" style="70" customWidth="1"/>
    <col min="5633" max="5633" width="10.42578125" style="70" bestFit="1" customWidth="1"/>
    <col min="5634" max="5634" width="11.28515625" style="70" customWidth="1"/>
    <col min="5635" max="5635" width="9.42578125" style="70" customWidth="1"/>
    <col min="5636" max="5636" width="10.140625" style="70" bestFit="1" customWidth="1"/>
    <col min="5637" max="5638" width="9.140625" style="70"/>
    <col min="5639" max="5639" width="7.28515625" style="70" customWidth="1"/>
    <col min="5640" max="5645" width="7.42578125" style="70" customWidth="1"/>
    <col min="5646" max="5646" width="9.42578125" style="70" bestFit="1" customWidth="1"/>
    <col min="5647" max="5647" width="12" style="70" bestFit="1" customWidth="1"/>
    <col min="5648" max="5649" width="12" style="70" customWidth="1"/>
    <col min="5650" max="5650" width="13.140625" style="70" bestFit="1" customWidth="1"/>
    <col min="5651" max="5652" width="13.140625" style="70" customWidth="1"/>
    <col min="5653" max="5654" width="14.42578125" style="70" bestFit="1" customWidth="1"/>
    <col min="5655" max="5656" width="9.140625" style="70" customWidth="1"/>
    <col min="5657" max="5657" width="9.5703125" style="70" customWidth="1"/>
    <col min="5658" max="5659" width="9.5703125" style="70" bestFit="1" customWidth="1"/>
    <col min="5660" max="5661" width="10.140625" style="70" bestFit="1" customWidth="1"/>
    <col min="5662" max="5662" width="9.5703125" style="70" bestFit="1" customWidth="1"/>
    <col min="5663" max="5663" width="9.5703125" style="70" customWidth="1"/>
    <col min="5664" max="5664" width="9" style="70" customWidth="1"/>
    <col min="5665" max="5665" width="10.5703125" style="70" bestFit="1" customWidth="1"/>
    <col min="5666" max="5666" width="11.42578125" style="70" bestFit="1" customWidth="1"/>
    <col min="5667" max="5667" width="18" style="70" bestFit="1" customWidth="1"/>
    <col min="5668" max="5885" width="9.140625" style="70"/>
    <col min="5886" max="5886" width="41" style="70" customWidth="1"/>
    <col min="5887" max="5887" width="19.5703125" style="70" bestFit="1" customWidth="1"/>
    <col min="5888" max="5888" width="10.140625" style="70" customWidth="1"/>
    <col min="5889" max="5889" width="10.42578125" style="70" bestFit="1" customWidth="1"/>
    <col min="5890" max="5890" width="11.28515625" style="70" customWidth="1"/>
    <col min="5891" max="5891" width="9.42578125" style="70" customWidth="1"/>
    <col min="5892" max="5892" width="10.140625" style="70" bestFit="1" customWidth="1"/>
    <col min="5893" max="5894" width="9.140625" style="70"/>
    <col min="5895" max="5895" width="7.28515625" style="70" customWidth="1"/>
    <col min="5896" max="5901" width="7.42578125" style="70" customWidth="1"/>
    <col min="5902" max="5902" width="9.42578125" style="70" bestFit="1" customWidth="1"/>
    <col min="5903" max="5903" width="12" style="70" bestFit="1" customWidth="1"/>
    <col min="5904" max="5905" width="12" style="70" customWidth="1"/>
    <col min="5906" max="5906" width="13.140625" style="70" bestFit="1" customWidth="1"/>
    <col min="5907" max="5908" width="13.140625" style="70" customWidth="1"/>
    <col min="5909" max="5910" width="14.42578125" style="70" bestFit="1" customWidth="1"/>
    <col min="5911" max="5912" width="9.140625" style="70" customWidth="1"/>
    <col min="5913" max="5913" width="9.5703125" style="70" customWidth="1"/>
    <col min="5914" max="5915" width="9.5703125" style="70" bestFit="1" customWidth="1"/>
    <col min="5916" max="5917" width="10.140625" style="70" bestFit="1" customWidth="1"/>
    <col min="5918" max="5918" width="9.5703125" style="70" bestFit="1" customWidth="1"/>
    <col min="5919" max="5919" width="9.5703125" style="70" customWidth="1"/>
    <col min="5920" max="5920" width="9" style="70" customWidth="1"/>
    <col min="5921" max="5921" width="10.5703125" style="70" bestFit="1" customWidth="1"/>
    <col min="5922" max="5922" width="11.42578125" style="70" bestFit="1" customWidth="1"/>
    <col min="5923" max="5923" width="18" style="70" bestFit="1" customWidth="1"/>
    <col min="5924" max="6141" width="9.140625" style="70"/>
    <col min="6142" max="6142" width="41" style="70" customWidth="1"/>
    <col min="6143" max="6143" width="19.5703125" style="70" bestFit="1" customWidth="1"/>
    <col min="6144" max="6144" width="10.140625" style="70" customWidth="1"/>
    <col min="6145" max="6145" width="10.42578125" style="70" bestFit="1" customWidth="1"/>
    <col min="6146" max="6146" width="11.28515625" style="70" customWidth="1"/>
    <col min="6147" max="6147" width="9.42578125" style="70" customWidth="1"/>
    <col min="6148" max="6148" width="10.140625" style="70" bestFit="1" customWidth="1"/>
    <col min="6149" max="6150" width="9.140625" style="70"/>
    <col min="6151" max="6151" width="7.28515625" style="70" customWidth="1"/>
    <col min="6152" max="6157" width="7.42578125" style="70" customWidth="1"/>
    <col min="6158" max="6158" width="9.42578125" style="70" bestFit="1" customWidth="1"/>
    <col min="6159" max="6159" width="12" style="70" bestFit="1" customWidth="1"/>
    <col min="6160" max="6161" width="12" style="70" customWidth="1"/>
    <col min="6162" max="6162" width="13.140625" style="70" bestFit="1" customWidth="1"/>
    <col min="6163" max="6164" width="13.140625" style="70" customWidth="1"/>
    <col min="6165" max="6166" width="14.42578125" style="70" bestFit="1" customWidth="1"/>
    <col min="6167" max="6168" width="9.140625" style="70" customWidth="1"/>
    <col min="6169" max="6169" width="9.5703125" style="70" customWidth="1"/>
    <col min="6170" max="6171" width="9.5703125" style="70" bestFit="1" customWidth="1"/>
    <col min="6172" max="6173" width="10.140625" style="70" bestFit="1" customWidth="1"/>
    <col min="6174" max="6174" width="9.5703125" style="70" bestFit="1" customWidth="1"/>
    <col min="6175" max="6175" width="9.5703125" style="70" customWidth="1"/>
    <col min="6176" max="6176" width="9" style="70" customWidth="1"/>
    <col min="6177" max="6177" width="10.5703125" style="70" bestFit="1" customWidth="1"/>
    <col min="6178" max="6178" width="11.42578125" style="70" bestFit="1" customWidth="1"/>
    <col min="6179" max="6179" width="18" style="70" bestFit="1" customWidth="1"/>
    <col min="6180" max="6397" width="9.140625" style="70"/>
    <col min="6398" max="6398" width="41" style="70" customWidth="1"/>
    <col min="6399" max="6399" width="19.5703125" style="70" bestFit="1" customWidth="1"/>
    <col min="6400" max="6400" width="10.140625" style="70" customWidth="1"/>
    <col min="6401" max="6401" width="10.42578125" style="70" bestFit="1" customWidth="1"/>
    <col min="6402" max="6402" width="11.28515625" style="70" customWidth="1"/>
    <col min="6403" max="6403" width="9.42578125" style="70" customWidth="1"/>
    <col min="6404" max="6404" width="10.140625" style="70" bestFit="1" customWidth="1"/>
    <col min="6405" max="6406" width="9.140625" style="70"/>
    <col min="6407" max="6407" width="7.28515625" style="70" customWidth="1"/>
    <col min="6408" max="6413" width="7.42578125" style="70" customWidth="1"/>
    <col min="6414" max="6414" width="9.42578125" style="70" bestFit="1" customWidth="1"/>
    <col min="6415" max="6415" width="12" style="70" bestFit="1" customWidth="1"/>
    <col min="6416" max="6417" width="12" style="70" customWidth="1"/>
    <col min="6418" max="6418" width="13.140625" style="70" bestFit="1" customWidth="1"/>
    <col min="6419" max="6420" width="13.140625" style="70" customWidth="1"/>
    <col min="6421" max="6422" width="14.42578125" style="70" bestFit="1" customWidth="1"/>
    <col min="6423" max="6424" width="9.140625" style="70" customWidth="1"/>
    <col min="6425" max="6425" width="9.5703125" style="70" customWidth="1"/>
    <col min="6426" max="6427" width="9.5703125" style="70" bestFit="1" customWidth="1"/>
    <col min="6428" max="6429" width="10.140625" style="70" bestFit="1" customWidth="1"/>
    <col min="6430" max="6430" width="9.5703125" style="70" bestFit="1" customWidth="1"/>
    <col min="6431" max="6431" width="9.5703125" style="70" customWidth="1"/>
    <col min="6432" max="6432" width="9" style="70" customWidth="1"/>
    <col min="6433" max="6433" width="10.5703125" style="70" bestFit="1" customWidth="1"/>
    <col min="6434" max="6434" width="11.42578125" style="70" bestFit="1" customWidth="1"/>
    <col min="6435" max="6435" width="18" style="70" bestFit="1" customWidth="1"/>
    <col min="6436" max="6653" width="9.140625" style="70"/>
    <col min="6654" max="6654" width="41" style="70" customWidth="1"/>
    <col min="6655" max="6655" width="19.5703125" style="70" bestFit="1" customWidth="1"/>
    <col min="6656" max="6656" width="10.140625" style="70" customWidth="1"/>
    <col min="6657" max="6657" width="10.42578125" style="70" bestFit="1" customWidth="1"/>
    <col min="6658" max="6658" width="11.28515625" style="70" customWidth="1"/>
    <col min="6659" max="6659" width="9.42578125" style="70" customWidth="1"/>
    <col min="6660" max="6660" width="10.140625" style="70" bestFit="1" customWidth="1"/>
    <col min="6661" max="6662" width="9.140625" style="70"/>
    <col min="6663" max="6663" width="7.28515625" style="70" customWidth="1"/>
    <col min="6664" max="6669" width="7.42578125" style="70" customWidth="1"/>
    <col min="6670" max="6670" width="9.42578125" style="70" bestFit="1" customWidth="1"/>
    <col min="6671" max="6671" width="12" style="70" bestFit="1" customWidth="1"/>
    <col min="6672" max="6673" width="12" style="70" customWidth="1"/>
    <col min="6674" max="6674" width="13.140625" style="70" bestFit="1" customWidth="1"/>
    <col min="6675" max="6676" width="13.140625" style="70" customWidth="1"/>
    <col min="6677" max="6678" width="14.42578125" style="70" bestFit="1" customWidth="1"/>
    <col min="6679" max="6680" width="9.140625" style="70" customWidth="1"/>
    <col min="6681" max="6681" width="9.5703125" style="70" customWidth="1"/>
    <col min="6682" max="6683" width="9.5703125" style="70" bestFit="1" customWidth="1"/>
    <col min="6684" max="6685" width="10.140625" style="70" bestFit="1" customWidth="1"/>
    <col min="6686" max="6686" width="9.5703125" style="70" bestFit="1" customWidth="1"/>
    <col min="6687" max="6687" width="9.5703125" style="70" customWidth="1"/>
    <col min="6688" max="6688" width="9" style="70" customWidth="1"/>
    <col min="6689" max="6689" width="10.5703125" style="70" bestFit="1" customWidth="1"/>
    <col min="6690" max="6690" width="11.42578125" style="70" bestFit="1" customWidth="1"/>
    <col min="6691" max="6691" width="18" style="70" bestFit="1" customWidth="1"/>
    <col min="6692" max="6909" width="9.140625" style="70"/>
    <col min="6910" max="6910" width="41" style="70" customWidth="1"/>
    <col min="6911" max="6911" width="19.5703125" style="70" bestFit="1" customWidth="1"/>
    <col min="6912" max="6912" width="10.140625" style="70" customWidth="1"/>
    <col min="6913" max="6913" width="10.42578125" style="70" bestFit="1" customWidth="1"/>
    <col min="6914" max="6914" width="11.28515625" style="70" customWidth="1"/>
    <col min="6915" max="6915" width="9.42578125" style="70" customWidth="1"/>
    <col min="6916" max="6916" width="10.140625" style="70" bestFit="1" customWidth="1"/>
    <col min="6917" max="6918" width="9.140625" style="70"/>
    <col min="6919" max="6919" width="7.28515625" style="70" customWidth="1"/>
    <col min="6920" max="6925" width="7.42578125" style="70" customWidth="1"/>
    <col min="6926" max="6926" width="9.42578125" style="70" bestFit="1" customWidth="1"/>
    <col min="6927" max="6927" width="12" style="70" bestFit="1" customWidth="1"/>
    <col min="6928" max="6929" width="12" style="70" customWidth="1"/>
    <col min="6930" max="6930" width="13.140625" style="70" bestFit="1" customWidth="1"/>
    <col min="6931" max="6932" width="13.140625" style="70" customWidth="1"/>
    <col min="6933" max="6934" width="14.42578125" style="70" bestFit="1" customWidth="1"/>
    <col min="6935" max="6936" width="9.140625" style="70" customWidth="1"/>
    <col min="6937" max="6937" width="9.5703125" style="70" customWidth="1"/>
    <col min="6938" max="6939" width="9.5703125" style="70" bestFit="1" customWidth="1"/>
    <col min="6940" max="6941" width="10.140625" style="70" bestFit="1" customWidth="1"/>
    <col min="6942" max="6942" width="9.5703125" style="70" bestFit="1" customWidth="1"/>
    <col min="6943" max="6943" width="9.5703125" style="70" customWidth="1"/>
    <col min="6944" max="6944" width="9" style="70" customWidth="1"/>
    <col min="6945" max="6945" width="10.5703125" style="70" bestFit="1" customWidth="1"/>
    <col min="6946" max="6946" width="11.42578125" style="70" bestFit="1" customWidth="1"/>
    <col min="6947" max="6947" width="18" style="70" bestFit="1" customWidth="1"/>
    <col min="6948" max="7165" width="9.140625" style="70"/>
    <col min="7166" max="7166" width="41" style="70" customWidth="1"/>
    <col min="7167" max="7167" width="19.5703125" style="70" bestFit="1" customWidth="1"/>
    <col min="7168" max="7168" width="10.140625" style="70" customWidth="1"/>
    <col min="7169" max="7169" width="10.42578125" style="70" bestFit="1" customWidth="1"/>
    <col min="7170" max="7170" width="11.28515625" style="70" customWidth="1"/>
    <col min="7171" max="7171" width="9.42578125" style="70" customWidth="1"/>
    <col min="7172" max="7172" width="10.140625" style="70" bestFit="1" customWidth="1"/>
    <col min="7173" max="7174" width="9.140625" style="70"/>
    <col min="7175" max="7175" width="7.28515625" style="70" customWidth="1"/>
    <col min="7176" max="7181" width="7.42578125" style="70" customWidth="1"/>
    <col min="7182" max="7182" width="9.42578125" style="70" bestFit="1" customWidth="1"/>
    <col min="7183" max="7183" width="12" style="70" bestFit="1" customWidth="1"/>
    <col min="7184" max="7185" width="12" style="70" customWidth="1"/>
    <col min="7186" max="7186" width="13.140625" style="70" bestFit="1" customWidth="1"/>
    <col min="7187" max="7188" width="13.140625" style="70" customWidth="1"/>
    <col min="7189" max="7190" width="14.42578125" style="70" bestFit="1" customWidth="1"/>
    <col min="7191" max="7192" width="9.140625" style="70" customWidth="1"/>
    <col min="7193" max="7193" width="9.5703125" style="70" customWidth="1"/>
    <col min="7194" max="7195" width="9.5703125" style="70" bestFit="1" customWidth="1"/>
    <col min="7196" max="7197" width="10.140625" style="70" bestFit="1" customWidth="1"/>
    <col min="7198" max="7198" width="9.5703125" style="70" bestFit="1" customWidth="1"/>
    <col min="7199" max="7199" width="9.5703125" style="70" customWidth="1"/>
    <col min="7200" max="7200" width="9" style="70" customWidth="1"/>
    <col min="7201" max="7201" width="10.5703125" style="70" bestFit="1" customWidth="1"/>
    <col min="7202" max="7202" width="11.42578125" style="70" bestFit="1" customWidth="1"/>
    <col min="7203" max="7203" width="18" style="70" bestFit="1" customWidth="1"/>
    <col min="7204" max="7421" width="9.140625" style="70"/>
    <col min="7422" max="7422" width="41" style="70" customWidth="1"/>
    <col min="7423" max="7423" width="19.5703125" style="70" bestFit="1" customWidth="1"/>
    <col min="7424" max="7424" width="10.140625" style="70" customWidth="1"/>
    <col min="7425" max="7425" width="10.42578125" style="70" bestFit="1" customWidth="1"/>
    <col min="7426" max="7426" width="11.28515625" style="70" customWidth="1"/>
    <col min="7427" max="7427" width="9.42578125" style="70" customWidth="1"/>
    <col min="7428" max="7428" width="10.140625" style="70" bestFit="1" customWidth="1"/>
    <col min="7429" max="7430" width="9.140625" style="70"/>
    <col min="7431" max="7431" width="7.28515625" style="70" customWidth="1"/>
    <col min="7432" max="7437" width="7.42578125" style="70" customWidth="1"/>
    <col min="7438" max="7438" width="9.42578125" style="70" bestFit="1" customWidth="1"/>
    <col min="7439" max="7439" width="12" style="70" bestFit="1" customWidth="1"/>
    <col min="7440" max="7441" width="12" style="70" customWidth="1"/>
    <col min="7442" max="7442" width="13.140625" style="70" bestFit="1" customWidth="1"/>
    <col min="7443" max="7444" width="13.140625" style="70" customWidth="1"/>
    <col min="7445" max="7446" width="14.42578125" style="70" bestFit="1" customWidth="1"/>
    <col min="7447" max="7448" width="9.140625" style="70" customWidth="1"/>
    <col min="7449" max="7449" width="9.5703125" style="70" customWidth="1"/>
    <col min="7450" max="7451" width="9.5703125" style="70" bestFit="1" customWidth="1"/>
    <col min="7452" max="7453" width="10.140625" style="70" bestFit="1" customWidth="1"/>
    <col min="7454" max="7454" width="9.5703125" style="70" bestFit="1" customWidth="1"/>
    <col min="7455" max="7455" width="9.5703125" style="70" customWidth="1"/>
    <col min="7456" max="7456" width="9" style="70" customWidth="1"/>
    <col min="7457" max="7457" width="10.5703125" style="70" bestFit="1" customWidth="1"/>
    <col min="7458" max="7458" width="11.42578125" style="70" bestFit="1" customWidth="1"/>
    <col min="7459" max="7459" width="18" style="70" bestFit="1" customWidth="1"/>
    <col min="7460" max="7677" width="9.140625" style="70"/>
    <col min="7678" max="7678" width="41" style="70" customWidth="1"/>
    <col min="7679" max="7679" width="19.5703125" style="70" bestFit="1" customWidth="1"/>
    <col min="7680" max="7680" width="10.140625" style="70" customWidth="1"/>
    <col min="7681" max="7681" width="10.42578125" style="70" bestFit="1" customWidth="1"/>
    <col min="7682" max="7682" width="11.28515625" style="70" customWidth="1"/>
    <col min="7683" max="7683" width="9.42578125" style="70" customWidth="1"/>
    <col min="7684" max="7684" width="10.140625" style="70" bestFit="1" customWidth="1"/>
    <col min="7685" max="7686" width="9.140625" style="70"/>
    <col min="7687" max="7687" width="7.28515625" style="70" customWidth="1"/>
    <col min="7688" max="7693" width="7.42578125" style="70" customWidth="1"/>
    <col min="7694" max="7694" width="9.42578125" style="70" bestFit="1" customWidth="1"/>
    <col min="7695" max="7695" width="12" style="70" bestFit="1" customWidth="1"/>
    <col min="7696" max="7697" width="12" style="70" customWidth="1"/>
    <col min="7698" max="7698" width="13.140625" style="70" bestFit="1" customWidth="1"/>
    <col min="7699" max="7700" width="13.140625" style="70" customWidth="1"/>
    <col min="7701" max="7702" width="14.42578125" style="70" bestFit="1" customWidth="1"/>
    <col min="7703" max="7704" width="9.140625" style="70" customWidth="1"/>
    <col min="7705" max="7705" width="9.5703125" style="70" customWidth="1"/>
    <col min="7706" max="7707" width="9.5703125" style="70" bestFit="1" customWidth="1"/>
    <col min="7708" max="7709" width="10.140625" style="70" bestFit="1" customWidth="1"/>
    <col min="7710" max="7710" width="9.5703125" style="70" bestFit="1" customWidth="1"/>
    <col min="7711" max="7711" width="9.5703125" style="70" customWidth="1"/>
    <col min="7712" max="7712" width="9" style="70" customWidth="1"/>
    <col min="7713" max="7713" width="10.5703125" style="70" bestFit="1" customWidth="1"/>
    <col min="7714" max="7714" width="11.42578125" style="70" bestFit="1" customWidth="1"/>
    <col min="7715" max="7715" width="18" style="70" bestFit="1" customWidth="1"/>
    <col min="7716" max="7933" width="9.140625" style="70"/>
    <col min="7934" max="7934" width="41" style="70" customWidth="1"/>
    <col min="7935" max="7935" width="19.5703125" style="70" bestFit="1" customWidth="1"/>
    <col min="7936" max="7936" width="10.140625" style="70" customWidth="1"/>
    <col min="7937" max="7937" width="10.42578125" style="70" bestFit="1" customWidth="1"/>
    <col min="7938" max="7938" width="11.28515625" style="70" customWidth="1"/>
    <col min="7939" max="7939" width="9.42578125" style="70" customWidth="1"/>
    <col min="7940" max="7940" width="10.140625" style="70" bestFit="1" customWidth="1"/>
    <col min="7941" max="7942" width="9.140625" style="70"/>
    <col min="7943" max="7943" width="7.28515625" style="70" customWidth="1"/>
    <col min="7944" max="7949" width="7.42578125" style="70" customWidth="1"/>
    <col min="7950" max="7950" width="9.42578125" style="70" bestFit="1" customWidth="1"/>
    <col min="7951" max="7951" width="12" style="70" bestFit="1" customWidth="1"/>
    <col min="7952" max="7953" width="12" style="70" customWidth="1"/>
    <col min="7954" max="7954" width="13.140625" style="70" bestFit="1" customWidth="1"/>
    <col min="7955" max="7956" width="13.140625" style="70" customWidth="1"/>
    <col min="7957" max="7958" width="14.42578125" style="70" bestFit="1" customWidth="1"/>
    <col min="7959" max="7960" width="9.140625" style="70" customWidth="1"/>
    <col min="7961" max="7961" width="9.5703125" style="70" customWidth="1"/>
    <col min="7962" max="7963" width="9.5703125" style="70" bestFit="1" customWidth="1"/>
    <col min="7964" max="7965" width="10.140625" style="70" bestFit="1" customWidth="1"/>
    <col min="7966" max="7966" width="9.5703125" style="70" bestFit="1" customWidth="1"/>
    <col min="7967" max="7967" width="9.5703125" style="70" customWidth="1"/>
    <col min="7968" max="7968" width="9" style="70" customWidth="1"/>
    <col min="7969" max="7969" width="10.5703125" style="70" bestFit="1" customWidth="1"/>
    <col min="7970" max="7970" width="11.42578125" style="70" bestFit="1" customWidth="1"/>
    <col min="7971" max="7971" width="18" style="70" bestFit="1" customWidth="1"/>
    <col min="7972" max="8189" width="9.140625" style="70"/>
    <col min="8190" max="8190" width="41" style="70" customWidth="1"/>
    <col min="8191" max="8191" width="19.5703125" style="70" bestFit="1" customWidth="1"/>
    <col min="8192" max="8192" width="10.140625" style="70" customWidth="1"/>
    <col min="8193" max="8193" width="10.42578125" style="70" bestFit="1" customWidth="1"/>
    <col min="8194" max="8194" width="11.28515625" style="70" customWidth="1"/>
    <col min="8195" max="8195" width="9.42578125" style="70" customWidth="1"/>
    <col min="8196" max="8196" width="10.140625" style="70" bestFit="1" customWidth="1"/>
    <col min="8197" max="8198" width="9.140625" style="70"/>
    <col min="8199" max="8199" width="7.28515625" style="70" customWidth="1"/>
    <col min="8200" max="8205" width="7.42578125" style="70" customWidth="1"/>
    <col min="8206" max="8206" width="9.42578125" style="70" bestFit="1" customWidth="1"/>
    <col min="8207" max="8207" width="12" style="70" bestFit="1" customWidth="1"/>
    <col min="8208" max="8209" width="12" style="70" customWidth="1"/>
    <col min="8210" max="8210" width="13.140625" style="70" bestFit="1" customWidth="1"/>
    <col min="8211" max="8212" width="13.140625" style="70" customWidth="1"/>
    <col min="8213" max="8214" width="14.42578125" style="70" bestFit="1" customWidth="1"/>
    <col min="8215" max="8216" width="9.140625" style="70" customWidth="1"/>
    <col min="8217" max="8217" width="9.5703125" style="70" customWidth="1"/>
    <col min="8218" max="8219" width="9.5703125" style="70" bestFit="1" customWidth="1"/>
    <col min="8220" max="8221" width="10.140625" style="70" bestFit="1" customWidth="1"/>
    <col min="8222" max="8222" width="9.5703125" style="70" bestFit="1" customWidth="1"/>
    <col min="8223" max="8223" width="9.5703125" style="70" customWidth="1"/>
    <col min="8224" max="8224" width="9" style="70" customWidth="1"/>
    <col min="8225" max="8225" width="10.5703125" style="70" bestFit="1" customWidth="1"/>
    <col min="8226" max="8226" width="11.42578125" style="70" bestFit="1" customWidth="1"/>
    <col min="8227" max="8227" width="18" style="70" bestFit="1" customWidth="1"/>
    <col min="8228" max="8445" width="9.140625" style="70"/>
    <col min="8446" max="8446" width="41" style="70" customWidth="1"/>
    <col min="8447" max="8447" width="19.5703125" style="70" bestFit="1" customWidth="1"/>
    <col min="8448" max="8448" width="10.140625" style="70" customWidth="1"/>
    <col min="8449" max="8449" width="10.42578125" style="70" bestFit="1" customWidth="1"/>
    <col min="8450" max="8450" width="11.28515625" style="70" customWidth="1"/>
    <col min="8451" max="8451" width="9.42578125" style="70" customWidth="1"/>
    <col min="8452" max="8452" width="10.140625" style="70" bestFit="1" customWidth="1"/>
    <col min="8453" max="8454" width="9.140625" style="70"/>
    <col min="8455" max="8455" width="7.28515625" style="70" customWidth="1"/>
    <col min="8456" max="8461" width="7.42578125" style="70" customWidth="1"/>
    <col min="8462" max="8462" width="9.42578125" style="70" bestFit="1" customWidth="1"/>
    <col min="8463" max="8463" width="12" style="70" bestFit="1" customWidth="1"/>
    <col min="8464" max="8465" width="12" style="70" customWidth="1"/>
    <col min="8466" max="8466" width="13.140625" style="70" bestFit="1" customWidth="1"/>
    <col min="8467" max="8468" width="13.140625" style="70" customWidth="1"/>
    <col min="8469" max="8470" width="14.42578125" style="70" bestFit="1" customWidth="1"/>
    <col min="8471" max="8472" width="9.140625" style="70" customWidth="1"/>
    <col min="8473" max="8473" width="9.5703125" style="70" customWidth="1"/>
    <col min="8474" max="8475" width="9.5703125" style="70" bestFit="1" customWidth="1"/>
    <col min="8476" max="8477" width="10.140625" style="70" bestFit="1" customWidth="1"/>
    <col min="8478" max="8478" width="9.5703125" style="70" bestFit="1" customWidth="1"/>
    <col min="8479" max="8479" width="9.5703125" style="70" customWidth="1"/>
    <col min="8480" max="8480" width="9" style="70" customWidth="1"/>
    <col min="8481" max="8481" width="10.5703125" style="70" bestFit="1" customWidth="1"/>
    <col min="8482" max="8482" width="11.42578125" style="70" bestFit="1" customWidth="1"/>
    <col min="8483" max="8483" width="18" style="70" bestFit="1" customWidth="1"/>
    <col min="8484" max="8701" width="9.140625" style="70"/>
    <col min="8702" max="8702" width="41" style="70" customWidth="1"/>
    <col min="8703" max="8703" width="19.5703125" style="70" bestFit="1" customWidth="1"/>
    <col min="8704" max="8704" width="10.140625" style="70" customWidth="1"/>
    <col min="8705" max="8705" width="10.42578125" style="70" bestFit="1" customWidth="1"/>
    <col min="8706" max="8706" width="11.28515625" style="70" customWidth="1"/>
    <col min="8707" max="8707" width="9.42578125" style="70" customWidth="1"/>
    <col min="8708" max="8708" width="10.140625" style="70" bestFit="1" customWidth="1"/>
    <col min="8709" max="8710" width="9.140625" style="70"/>
    <col min="8711" max="8711" width="7.28515625" style="70" customWidth="1"/>
    <col min="8712" max="8717" width="7.42578125" style="70" customWidth="1"/>
    <col min="8718" max="8718" width="9.42578125" style="70" bestFit="1" customWidth="1"/>
    <col min="8719" max="8719" width="12" style="70" bestFit="1" customWidth="1"/>
    <col min="8720" max="8721" width="12" style="70" customWidth="1"/>
    <col min="8722" max="8722" width="13.140625" style="70" bestFit="1" customWidth="1"/>
    <col min="8723" max="8724" width="13.140625" style="70" customWidth="1"/>
    <col min="8725" max="8726" width="14.42578125" style="70" bestFit="1" customWidth="1"/>
    <col min="8727" max="8728" width="9.140625" style="70" customWidth="1"/>
    <col min="8729" max="8729" width="9.5703125" style="70" customWidth="1"/>
    <col min="8730" max="8731" width="9.5703125" style="70" bestFit="1" customWidth="1"/>
    <col min="8732" max="8733" width="10.140625" style="70" bestFit="1" customWidth="1"/>
    <col min="8734" max="8734" width="9.5703125" style="70" bestFit="1" customWidth="1"/>
    <col min="8735" max="8735" width="9.5703125" style="70" customWidth="1"/>
    <col min="8736" max="8736" width="9" style="70" customWidth="1"/>
    <col min="8737" max="8737" width="10.5703125" style="70" bestFit="1" customWidth="1"/>
    <col min="8738" max="8738" width="11.42578125" style="70" bestFit="1" customWidth="1"/>
    <col min="8739" max="8739" width="18" style="70" bestFit="1" customWidth="1"/>
    <col min="8740" max="8957" width="9.140625" style="70"/>
    <col min="8958" max="8958" width="41" style="70" customWidth="1"/>
    <col min="8959" max="8959" width="19.5703125" style="70" bestFit="1" customWidth="1"/>
    <col min="8960" max="8960" width="10.140625" style="70" customWidth="1"/>
    <col min="8961" max="8961" width="10.42578125" style="70" bestFit="1" customWidth="1"/>
    <col min="8962" max="8962" width="11.28515625" style="70" customWidth="1"/>
    <col min="8963" max="8963" width="9.42578125" style="70" customWidth="1"/>
    <col min="8964" max="8964" width="10.140625" style="70" bestFit="1" customWidth="1"/>
    <col min="8965" max="8966" width="9.140625" style="70"/>
    <col min="8967" max="8967" width="7.28515625" style="70" customWidth="1"/>
    <col min="8968" max="8973" width="7.42578125" style="70" customWidth="1"/>
    <col min="8974" max="8974" width="9.42578125" style="70" bestFit="1" customWidth="1"/>
    <col min="8975" max="8975" width="12" style="70" bestFit="1" customWidth="1"/>
    <col min="8976" max="8977" width="12" style="70" customWidth="1"/>
    <col min="8978" max="8978" width="13.140625" style="70" bestFit="1" customWidth="1"/>
    <col min="8979" max="8980" width="13.140625" style="70" customWidth="1"/>
    <col min="8981" max="8982" width="14.42578125" style="70" bestFit="1" customWidth="1"/>
    <col min="8983" max="8984" width="9.140625" style="70" customWidth="1"/>
    <col min="8985" max="8985" width="9.5703125" style="70" customWidth="1"/>
    <col min="8986" max="8987" width="9.5703125" style="70" bestFit="1" customWidth="1"/>
    <col min="8988" max="8989" width="10.140625" style="70" bestFit="1" customWidth="1"/>
    <col min="8990" max="8990" width="9.5703125" style="70" bestFit="1" customWidth="1"/>
    <col min="8991" max="8991" width="9.5703125" style="70" customWidth="1"/>
    <col min="8992" max="8992" width="9" style="70" customWidth="1"/>
    <col min="8993" max="8993" width="10.5703125" style="70" bestFit="1" customWidth="1"/>
    <col min="8994" max="8994" width="11.42578125" style="70" bestFit="1" customWidth="1"/>
    <col min="8995" max="8995" width="18" style="70" bestFit="1" customWidth="1"/>
    <col min="8996" max="9213" width="9.140625" style="70"/>
    <col min="9214" max="9214" width="41" style="70" customWidth="1"/>
    <col min="9215" max="9215" width="19.5703125" style="70" bestFit="1" customWidth="1"/>
    <col min="9216" max="9216" width="10.140625" style="70" customWidth="1"/>
    <col min="9217" max="9217" width="10.42578125" style="70" bestFit="1" customWidth="1"/>
    <col min="9218" max="9218" width="11.28515625" style="70" customWidth="1"/>
    <col min="9219" max="9219" width="9.42578125" style="70" customWidth="1"/>
    <col min="9220" max="9220" width="10.140625" style="70" bestFit="1" customWidth="1"/>
    <col min="9221" max="9222" width="9.140625" style="70"/>
    <col min="9223" max="9223" width="7.28515625" style="70" customWidth="1"/>
    <col min="9224" max="9229" width="7.42578125" style="70" customWidth="1"/>
    <col min="9230" max="9230" width="9.42578125" style="70" bestFit="1" customWidth="1"/>
    <col min="9231" max="9231" width="12" style="70" bestFit="1" customWidth="1"/>
    <col min="9232" max="9233" width="12" style="70" customWidth="1"/>
    <col min="9234" max="9234" width="13.140625" style="70" bestFit="1" customWidth="1"/>
    <col min="9235" max="9236" width="13.140625" style="70" customWidth="1"/>
    <col min="9237" max="9238" width="14.42578125" style="70" bestFit="1" customWidth="1"/>
    <col min="9239" max="9240" width="9.140625" style="70" customWidth="1"/>
    <col min="9241" max="9241" width="9.5703125" style="70" customWidth="1"/>
    <col min="9242" max="9243" width="9.5703125" style="70" bestFit="1" customWidth="1"/>
    <col min="9244" max="9245" width="10.140625" style="70" bestFit="1" customWidth="1"/>
    <col min="9246" max="9246" width="9.5703125" style="70" bestFit="1" customWidth="1"/>
    <col min="9247" max="9247" width="9.5703125" style="70" customWidth="1"/>
    <col min="9248" max="9248" width="9" style="70" customWidth="1"/>
    <col min="9249" max="9249" width="10.5703125" style="70" bestFit="1" customWidth="1"/>
    <col min="9250" max="9250" width="11.42578125" style="70" bestFit="1" customWidth="1"/>
    <col min="9251" max="9251" width="18" style="70" bestFit="1" customWidth="1"/>
    <col min="9252" max="9469" width="9.140625" style="70"/>
    <col min="9470" max="9470" width="41" style="70" customWidth="1"/>
    <col min="9471" max="9471" width="19.5703125" style="70" bestFit="1" customWidth="1"/>
    <col min="9472" max="9472" width="10.140625" style="70" customWidth="1"/>
    <col min="9473" max="9473" width="10.42578125" style="70" bestFit="1" customWidth="1"/>
    <col min="9474" max="9474" width="11.28515625" style="70" customWidth="1"/>
    <col min="9475" max="9475" width="9.42578125" style="70" customWidth="1"/>
    <col min="9476" max="9476" width="10.140625" style="70" bestFit="1" customWidth="1"/>
    <col min="9477" max="9478" width="9.140625" style="70"/>
    <col min="9479" max="9479" width="7.28515625" style="70" customWidth="1"/>
    <col min="9480" max="9485" width="7.42578125" style="70" customWidth="1"/>
    <col min="9486" max="9486" width="9.42578125" style="70" bestFit="1" customWidth="1"/>
    <col min="9487" max="9487" width="12" style="70" bestFit="1" customWidth="1"/>
    <col min="9488" max="9489" width="12" style="70" customWidth="1"/>
    <col min="9490" max="9490" width="13.140625" style="70" bestFit="1" customWidth="1"/>
    <col min="9491" max="9492" width="13.140625" style="70" customWidth="1"/>
    <col min="9493" max="9494" width="14.42578125" style="70" bestFit="1" customWidth="1"/>
    <col min="9495" max="9496" width="9.140625" style="70" customWidth="1"/>
    <col min="9497" max="9497" width="9.5703125" style="70" customWidth="1"/>
    <col min="9498" max="9499" width="9.5703125" style="70" bestFit="1" customWidth="1"/>
    <col min="9500" max="9501" width="10.140625" style="70" bestFit="1" customWidth="1"/>
    <col min="9502" max="9502" width="9.5703125" style="70" bestFit="1" customWidth="1"/>
    <col min="9503" max="9503" width="9.5703125" style="70" customWidth="1"/>
    <col min="9504" max="9504" width="9" style="70" customWidth="1"/>
    <col min="9505" max="9505" width="10.5703125" style="70" bestFit="1" customWidth="1"/>
    <col min="9506" max="9506" width="11.42578125" style="70" bestFit="1" customWidth="1"/>
    <col min="9507" max="9507" width="18" style="70" bestFit="1" customWidth="1"/>
    <col min="9508" max="9725" width="9.140625" style="70"/>
    <col min="9726" max="9726" width="41" style="70" customWidth="1"/>
    <col min="9727" max="9727" width="19.5703125" style="70" bestFit="1" customWidth="1"/>
    <col min="9728" max="9728" width="10.140625" style="70" customWidth="1"/>
    <col min="9729" max="9729" width="10.42578125" style="70" bestFit="1" customWidth="1"/>
    <col min="9730" max="9730" width="11.28515625" style="70" customWidth="1"/>
    <col min="9731" max="9731" width="9.42578125" style="70" customWidth="1"/>
    <col min="9732" max="9732" width="10.140625" style="70" bestFit="1" customWidth="1"/>
    <col min="9733" max="9734" width="9.140625" style="70"/>
    <col min="9735" max="9735" width="7.28515625" style="70" customWidth="1"/>
    <col min="9736" max="9741" width="7.42578125" style="70" customWidth="1"/>
    <col min="9742" max="9742" width="9.42578125" style="70" bestFit="1" customWidth="1"/>
    <col min="9743" max="9743" width="12" style="70" bestFit="1" customWidth="1"/>
    <col min="9744" max="9745" width="12" style="70" customWidth="1"/>
    <col min="9746" max="9746" width="13.140625" style="70" bestFit="1" customWidth="1"/>
    <col min="9747" max="9748" width="13.140625" style="70" customWidth="1"/>
    <col min="9749" max="9750" width="14.42578125" style="70" bestFit="1" customWidth="1"/>
    <col min="9751" max="9752" width="9.140625" style="70" customWidth="1"/>
    <col min="9753" max="9753" width="9.5703125" style="70" customWidth="1"/>
    <col min="9754" max="9755" width="9.5703125" style="70" bestFit="1" customWidth="1"/>
    <col min="9756" max="9757" width="10.140625" style="70" bestFit="1" customWidth="1"/>
    <col min="9758" max="9758" width="9.5703125" style="70" bestFit="1" customWidth="1"/>
    <col min="9759" max="9759" width="9.5703125" style="70" customWidth="1"/>
    <col min="9760" max="9760" width="9" style="70" customWidth="1"/>
    <col min="9761" max="9761" width="10.5703125" style="70" bestFit="1" customWidth="1"/>
    <col min="9762" max="9762" width="11.42578125" style="70" bestFit="1" customWidth="1"/>
    <col min="9763" max="9763" width="18" style="70" bestFit="1" customWidth="1"/>
    <col min="9764" max="9981" width="9.140625" style="70"/>
    <col min="9982" max="9982" width="41" style="70" customWidth="1"/>
    <col min="9983" max="9983" width="19.5703125" style="70" bestFit="1" customWidth="1"/>
    <col min="9984" max="9984" width="10.140625" style="70" customWidth="1"/>
    <col min="9985" max="9985" width="10.42578125" style="70" bestFit="1" customWidth="1"/>
    <col min="9986" max="9986" width="11.28515625" style="70" customWidth="1"/>
    <col min="9987" max="9987" width="9.42578125" style="70" customWidth="1"/>
    <col min="9988" max="9988" width="10.140625" style="70" bestFit="1" customWidth="1"/>
    <col min="9989" max="9990" width="9.140625" style="70"/>
    <col min="9991" max="9991" width="7.28515625" style="70" customWidth="1"/>
    <col min="9992" max="9997" width="7.42578125" style="70" customWidth="1"/>
    <col min="9998" max="9998" width="9.42578125" style="70" bestFit="1" customWidth="1"/>
    <col min="9999" max="9999" width="12" style="70" bestFit="1" customWidth="1"/>
    <col min="10000" max="10001" width="12" style="70" customWidth="1"/>
    <col min="10002" max="10002" width="13.140625" style="70" bestFit="1" customWidth="1"/>
    <col min="10003" max="10004" width="13.140625" style="70" customWidth="1"/>
    <col min="10005" max="10006" width="14.42578125" style="70" bestFit="1" customWidth="1"/>
    <col min="10007" max="10008" width="9.140625" style="70" customWidth="1"/>
    <col min="10009" max="10009" width="9.5703125" style="70" customWidth="1"/>
    <col min="10010" max="10011" width="9.5703125" style="70" bestFit="1" customWidth="1"/>
    <col min="10012" max="10013" width="10.140625" style="70" bestFit="1" customWidth="1"/>
    <col min="10014" max="10014" width="9.5703125" style="70" bestFit="1" customWidth="1"/>
    <col min="10015" max="10015" width="9.5703125" style="70" customWidth="1"/>
    <col min="10016" max="10016" width="9" style="70" customWidth="1"/>
    <col min="10017" max="10017" width="10.5703125" style="70" bestFit="1" customWidth="1"/>
    <col min="10018" max="10018" width="11.42578125" style="70" bestFit="1" customWidth="1"/>
    <col min="10019" max="10019" width="18" style="70" bestFit="1" customWidth="1"/>
    <col min="10020" max="10237" width="9.140625" style="70"/>
    <col min="10238" max="10238" width="41" style="70" customWidth="1"/>
    <col min="10239" max="10239" width="19.5703125" style="70" bestFit="1" customWidth="1"/>
    <col min="10240" max="10240" width="10.140625" style="70" customWidth="1"/>
    <col min="10241" max="10241" width="10.42578125" style="70" bestFit="1" customWidth="1"/>
    <col min="10242" max="10242" width="11.28515625" style="70" customWidth="1"/>
    <col min="10243" max="10243" width="9.42578125" style="70" customWidth="1"/>
    <col min="10244" max="10244" width="10.140625" style="70" bestFit="1" customWidth="1"/>
    <col min="10245" max="10246" width="9.140625" style="70"/>
    <col min="10247" max="10247" width="7.28515625" style="70" customWidth="1"/>
    <col min="10248" max="10253" width="7.42578125" style="70" customWidth="1"/>
    <col min="10254" max="10254" width="9.42578125" style="70" bestFit="1" customWidth="1"/>
    <col min="10255" max="10255" width="12" style="70" bestFit="1" customWidth="1"/>
    <col min="10256" max="10257" width="12" style="70" customWidth="1"/>
    <col min="10258" max="10258" width="13.140625" style="70" bestFit="1" customWidth="1"/>
    <col min="10259" max="10260" width="13.140625" style="70" customWidth="1"/>
    <col min="10261" max="10262" width="14.42578125" style="70" bestFit="1" customWidth="1"/>
    <col min="10263" max="10264" width="9.140625" style="70" customWidth="1"/>
    <col min="10265" max="10265" width="9.5703125" style="70" customWidth="1"/>
    <col min="10266" max="10267" width="9.5703125" style="70" bestFit="1" customWidth="1"/>
    <col min="10268" max="10269" width="10.140625" style="70" bestFit="1" customWidth="1"/>
    <col min="10270" max="10270" width="9.5703125" style="70" bestFit="1" customWidth="1"/>
    <col min="10271" max="10271" width="9.5703125" style="70" customWidth="1"/>
    <col min="10272" max="10272" width="9" style="70" customWidth="1"/>
    <col min="10273" max="10273" width="10.5703125" style="70" bestFit="1" customWidth="1"/>
    <col min="10274" max="10274" width="11.42578125" style="70" bestFit="1" customWidth="1"/>
    <col min="10275" max="10275" width="18" style="70" bestFit="1" customWidth="1"/>
    <col min="10276" max="10493" width="9.140625" style="70"/>
    <col min="10494" max="10494" width="41" style="70" customWidth="1"/>
    <col min="10495" max="10495" width="19.5703125" style="70" bestFit="1" customWidth="1"/>
    <col min="10496" max="10496" width="10.140625" style="70" customWidth="1"/>
    <col min="10497" max="10497" width="10.42578125" style="70" bestFit="1" customWidth="1"/>
    <col min="10498" max="10498" width="11.28515625" style="70" customWidth="1"/>
    <col min="10499" max="10499" width="9.42578125" style="70" customWidth="1"/>
    <col min="10500" max="10500" width="10.140625" style="70" bestFit="1" customWidth="1"/>
    <col min="10501" max="10502" width="9.140625" style="70"/>
    <col min="10503" max="10503" width="7.28515625" style="70" customWidth="1"/>
    <col min="10504" max="10509" width="7.42578125" style="70" customWidth="1"/>
    <col min="10510" max="10510" width="9.42578125" style="70" bestFit="1" customWidth="1"/>
    <col min="10511" max="10511" width="12" style="70" bestFit="1" customWidth="1"/>
    <col min="10512" max="10513" width="12" style="70" customWidth="1"/>
    <col min="10514" max="10514" width="13.140625" style="70" bestFit="1" customWidth="1"/>
    <col min="10515" max="10516" width="13.140625" style="70" customWidth="1"/>
    <col min="10517" max="10518" width="14.42578125" style="70" bestFit="1" customWidth="1"/>
    <col min="10519" max="10520" width="9.140625" style="70" customWidth="1"/>
    <col min="10521" max="10521" width="9.5703125" style="70" customWidth="1"/>
    <col min="10522" max="10523" width="9.5703125" style="70" bestFit="1" customWidth="1"/>
    <col min="10524" max="10525" width="10.140625" style="70" bestFit="1" customWidth="1"/>
    <col min="10526" max="10526" width="9.5703125" style="70" bestFit="1" customWidth="1"/>
    <col min="10527" max="10527" width="9.5703125" style="70" customWidth="1"/>
    <col min="10528" max="10528" width="9" style="70" customWidth="1"/>
    <col min="10529" max="10529" width="10.5703125" style="70" bestFit="1" customWidth="1"/>
    <col min="10530" max="10530" width="11.42578125" style="70" bestFit="1" customWidth="1"/>
    <col min="10531" max="10531" width="18" style="70" bestFit="1" customWidth="1"/>
    <col min="10532" max="10749" width="9.140625" style="70"/>
    <col min="10750" max="10750" width="41" style="70" customWidth="1"/>
    <col min="10751" max="10751" width="19.5703125" style="70" bestFit="1" customWidth="1"/>
    <col min="10752" max="10752" width="10.140625" style="70" customWidth="1"/>
    <col min="10753" max="10753" width="10.42578125" style="70" bestFit="1" customWidth="1"/>
    <col min="10754" max="10754" width="11.28515625" style="70" customWidth="1"/>
    <col min="10755" max="10755" width="9.42578125" style="70" customWidth="1"/>
    <col min="10756" max="10756" width="10.140625" style="70" bestFit="1" customWidth="1"/>
    <col min="10757" max="10758" width="9.140625" style="70"/>
    <col min="10759" max="10759" width="7.28515625" style="70" customWidth="1"/>
    <col min="10760" max="10765" width="7.42578125" style="70" customWidth="1"/>
    <col min="10766" max="10766" width="9.42578125" style="70" bestFit="1" customWidth="1"/>
    <col min="10767" max="10767" width="12" style="70" bestFit="1" customWidth="1"/>
    <col min="10768" max="10769" width="12" style="70" customWidth="1"/>
    <col min="10770" max="10770" width="13.140625" style="70" bestFit="1" customWidth="1"/>
    <col min="10771" max="10772" width="13.140625" style="70" customWidth="1"/>
    <col min="10773" max="10774" width="14.42578125" style="70" bestFit="1" customWidth="1"/>
    <col min="10775" max="10776" width="9.140625" style="70" customWidth="1"/>
    <col min="10777" max="10777" width="9.5703125" style="70" customWidth="1"/>
    <col min="10778" max="10779" width="9.5703125" style="70" bestFit="1" customWidth="1"/>
    <col min="10780" max="10781" width="10.140625" style="70" bestFit="1" customWidth="1"/>
    <col min="10782" max="10782" width="9.5703125" style="70" bestFit="1" customWidth="1"/>
    <col min="10783" max="10783" width="9.5703125" style="70" customWidth="1"/>
    <col min="10784" max="10784" width="9" style="70" customWidth="1"/>
    <col min="10785" max="10785" width="10.5703125" style="70" bestFit="1" customWidth="1"/>
    <col min="10786" max="10786" width="11.42578125" style="70" bestFit="1" customWidth="1"/>
    <col min="10787" max="10787" width="18" style="70" bestFit="1" customWidth="1"/>
    <col min="10788" max="11005" width="9.140625" style="70"/>
    <col min="11006" max="11006" width="41" style="70" customWidth="1"/>
    <col min="11007" max="11007" width="19.5703125" style="70" bestFit="1" customWidth="1"/>
    <col min="11008" max="11008" width="10.140625" style="70" customWidth="1"/>
    <col min="11009" max="11009" width="10.42578125" style="70" bestFit="1" customWidth="1"/>
    <col min="11010" max="11010" width="11.28515625" style="70" customWidth="1"/>
    <col min="11011" max="11011" width="9.42578125" style="70" customWidth="1"/>
    <col min="11012" max="11012" width="10.140625" style="70" bestFit="1" customWidth="1"/>
    <col min="11013" max="11014" width="9.140625" style="70"/>
    <col min="11015" max="11015" width="7.28515625" style="70" customWidth="1"/>
    <col min="11016" max="11021" width="7.42578125" style="70" customWidth="1"/>
    <col min="11022" max="11022" width="9.42578125" style="70" bestFit="1" customWidth="1"/>
    <col min="11023" max="11023" width="12" style="70" bestFit="1" customWidth="1"/>
    <col min="11024" max="11025" width="12" style="70" customWidth="1"/>
    <col min="11026" max="11026" width="13.140625" style="70" bestFit="1" customWidth="1"/>
    <col min="11027" max="11028" width="13.140625" style="70" customWidth="1"/>
    <col min="11029" max="11030" width="14.42578125" style="70" bestFit="1" customWidth="1"/>
    <col min="11031" max="11032" width="9.140625" style="70" customWidth="1"/>
    <col min="11033" max="11033" width="9.5703125" style="70" customWidth="1"/>
    <col min="11034" max="11035" width="9.5703125" style="70" bestFit="1" customWidth="1"/>
    <col min="11036" max="11037" width="10.140625" style="70" bestFit="1" customWidth="1"/>
    <col min="11038" max="11038" width="9.5703125" style="70" bestFit="1" customWidth="1"/>
    <col min="11039" max="11039" width="9.5703125" style="70" customWidth="1"/>
    <col min="11040" max="11040" width="9" style="70" customWidth="1"/>
    <col min="11041" max="11041" width="10.5703125" style="70" bestFit="1" customWidth="1"/>
    <col min="11042" max="11042" width="11.42578125" style="70" bestFit="1" customWidth="1"/>
    <col min="11043" max="11043" width="18" style="70" bestFit="1" customWidth="1"/>
    <col min="11044" max="11261" width="9.140625" style="70"/>
    <col min="11262" max="11262" width="41" style="70" customWidth="1"/>
    <col min="11263" max="11263" width="19.5703125" style="70" bestFit="1" customWidth="1"/>
    <col min="11264" max="11264" width="10.140625" style="70" customWidth="1"/>
    <col min="11265" max="11265" width="10.42578125" style="70" bestFit="1" customWidth="1"/>
    <col min="11266" max="11266" width="11.28515625" style="70" customWidth="1"/>
    <col min="11267" max="11267" width="9.42578125" style="70" customWidth="1"/>
    <col min="11268" max="11268" width="10.140625" style="70" bestFit="1" customWidth="1"/>
    <col min="11269" max="11270" width="9.140625" style="70"/>
    <col min="11271" max="11271" width="7.28515625" style="70" customWidth="1"/>
    <col min="11272" max="11277" width="7.42578125" style="70" customWidth="1"/>
    <col min="11278" max="11278" width="9.42578125" style="70" bestFit="1" customWidth="1"/>
    <col min="11279" max="11279" width="12" style="70" bestFit="1" customWidth="1"/>
    <col min="11280" max="11281" width="12" style="70" customWidth="1"/>
    <col min="11282" max="11282" width="13.140625" style="70" bestFit="1" customWidth="1"/>
    <col min="11283" max="11284" width="13.140625" style="70" customWidth="1"/>
    <col min="11285" max="11286" width="14.42578125" style="70" bestFit="1" customWidth="1"/>
    <col min="11287" max="11288" width="9.140625" style="70" customWidth="1"/>
    <col min="11289" max="11289" width="9.5703125" style="70" customWidth="1"/>
    <col min="11290" max="11291" width="9.5703125" style="70" bestFit="1" customWidth="1"/>
    <col min="11292" max="11293" width="10.140625" style="70" bestFit="1" customWidth="1"/>
    <col min="11294" max="11294" width="9.5703125" style="70" bestFit="1" customWidth="1"/>
    <col min="11295" max="11295" width="9.5703125" style="70" customWidth="1"/>
    <col min="11296" max="11296" width="9" style="70" customWidth="1"/>
    <col min="11297" max="11297" width="10.5703125" style="70" bestFit="1" customWidth="1"/>
    <col min="11298" max="11298" width="11.42578125" style="70" bestFit="1" customWidth="1"/>
    <col min="11299" max="11299" width="18" style="70" bestFit="1" customWidth="1"/>
    <col min="11300" max="11517" width="9.140625" style="70"/>
    <col min="11518" max="11518" width="41" style="70" customWidth="1"/>
    <col min="11519" max="11519" width="19.5703125" style="70" bestFit="1" customWidth="1"/>
    <col min="11520" max="11520" width="10.140625" style="70" customWidth="1"/>
    <col min="11521" max="11521" width="10.42578125" style="70" bestFit="1" customWidth="1"/>
    <col min="11522" max="11522" width="11.28515625" style="70" customWidth="1"/>
    <col min="11523" max="11523" width="9.42578125" style="70" customWidth="1"/>
    <col min="11524" max="11524" width="10.140625" style="70" bestFit="1" customWidth="1"/>
    <col min="11525" max="11526" width="9.140625" style="70"/>
    <col min="11527" max="11527" width="7.28515625" style="70" customWidth="1"/>
    <col min="11528" max="11533" width="7.42578125" style="70" customWidth="1"/>
    <col min="11534" max="11534" width="9.42578125" style="70" bestFit="1" customWidth="1"/>
    <col min="11535" max="11535" width="12" style="70" bestFit="1" customWidth="1"/>
    <col min="11536" max="11537" width="12" style="70" customWidth="1"/>
    <col min="11538" max="11538" width="13.140625" style="70" bestFit="1" customWidth="1"/>
    <col min="11539" max="11540" width="13.140625" style="70" customWidth="1"/>
    <col min="11541" max="11542" width="14.42578125" style="70" bestFit="1" customWidth="1"/>
    <col min="11543" max="11544" width="9.140625" style="70" customWidth="1"/>
    <col min="11545" max="11545" width="9.5703125" style="70" customWidth="1"/>
    <col min="11546" max="11547" width="9.5703125" style="70" bestFit="1" customWidth="1"/>
    <col min="11548" max="11549" width="10.140625" style="70" bestFit="1" customWidth="1"/>
    <col min="11550" max="11550" width="9.5703125" style="70" bestFit="1" customWidth="1"/>
    <col min="11551" max="11551" width="9.5703125" style="70" customWidth="1"/>
    <col min="11552" max="11552" width="9" style="70" customWidth="1"/>
    <col min="11553" max="11553" width="10.5703125" style="70" bestFit="1" customWidth="1"/>
    <col min="11554" max="11554" width="11.42578125" style="70" bestFit="1" customWidth="1"/>
    <col min="11555" max="11555" width="18" style="70" bestFit="1" customWidth="1"/>
    <col min="11556" max="11773" width="9.140625" style="70"/>
    <col min="11774" max="11774" width="41" style="70" customWidth="1"/>
    <col min="11775" max="11775" width="19.5703125" style="70" bestFit="1" customWidth="1"/>
    <col min="11776" max="11776" width="10.140625" style="70" customWidth="1"/>
    <col min="11777" max="11777" width="10.42578125" style="70" bestFit="1" customWidth="1"/>
    <col min="11778" max="11778" width="11.28515625" style="70" customWidth="1"/>
    <col min="11779" max="11779" width="9.42578125" style="70" customWidth="1"/>
    <col min="11780" max="11780" width="10.140625" style="70" bestFit="1" customWidth="1"/>
    <col min="11781" max="11782" width="9.140625" style="70"/>
    <col min="11783" max="11783" width="7.28515625" style="70" customWidth="1"/>
    <col min="11784" max="11789" width="7.42578125" style="70" customWidth="1"/>
    <col min="11790" max="11790" width="9.42578125" style="70" bestFit="1" customWidth="1"/>
    <col min="11791" max="11791" width="12" style="70" bestFit="1" customWidth="1"/>
    <col min="11792" max="11793" width="12" style="70" customWidth="1"/>
    <col min="11794" max="11794" width="13.140625" style="70" bestFit="1" customWidth="1"/>
    <col min="11795" max="11796" width="13.140625" style="70" customWidth="1"/>
    <col min="11797" max="11798" width="14.42578125" style="70" bestFit="1" customWidth="1"/>
    <col min="11799" max="11800" width="9.140625" style="70" customWidth="1"/>
    <col min="11801" max="11801" width="9.5703125" style="70" customWidth="1"/>
    <col min="11802" max="11803" width="9.5703125" style="70" bestFit="1" customWidth="1"/>
    <col min="11804" max="11805" width="10.140625" style="70" bestFit="1" customWidth="1"/>
    <col min="11806" max="11806" width="9.5703125" style="70" bestFit="1" customWidth="1"/>
    <col min="11807" max="11807" width="9.5703125" style="70" customWidth="1"/>
    <col min="11808" max="11808" width="9" style="70" customWidth="1"/>
    <col min="11809" max="11809" width="10.5703125" style="70" bestFit="1" customWidth="1"/>
    <col min="11810" max="11810" width="11.42578125" style="70" bestFit="1" customWidth="1"/>
    <col min="11811" max="11811" width="18" style="70" bestFit="1" customWidth="1"/>
    <col min="11812" max="12029" width="9.140625" style="70"/>
    <col min="12030" max="12030" width="41" style="70" customWidth="1"/>
    <col min="12031" max="12031" width="19.5703125" style="70" bestFit="1" customWidth="1"/>
    <col min="12032" max="12032" width="10.140625" style="70" customWidth="1"/>
    <col min="12033" max="12033" width="10.42578125" style="70" bestFit="1" customWidth="1"/>
    <col min="12034" max="12034" width="11.28515625" style="70" customWidth="1"/>
    <col min="12035" max="12035" width="9.42578125" style="70" customWidth="1"/>
    <col min="12036" max="12036" width="10.140625" style="70" bestFit="1" customWidth="1"/>
    <col min="12037" max="12038" width="9.140625" style="70"/>
    <col min="12039" max="12039" width="7.28515625" style="70" customWidth="1"/>
    <col min="12040" max="12045" width="7.42578125" style="70" customWidth="1"/>
    <col min="12046" max="12046" width="9.42578125" style="70" bestFit="1" customWidth="1"/>
    <col min="12047" max="12047" width="12" style="70" bestFit="1" customWidth="1"/>
    <col min="12048" max="12049" width="12" style="70" customWidth="1"/>
    <col min="12050" max="12050" width="13.140625" style="70" bestFit="1" customWidth="1"/>
    <col min="12051" max="12052" width="13.140625" style="70" customWidth="1"/>
    <col min="12053" max="12054" width="14.42578125" style="70" bestFit="1" customWidth="1"/>
    <col min="12055" max="12056" width="9.140625" style="70" customWidth="1"/>
    <col min="12057" max="12057" width="9.5703125" style="70" customWidth="1"/>
    <col min="12058" max="12059" width="9.5703125" style="70" bestFit="1" customWidth="1"/>
    <col min="12060" max="12061" width="10.140625" style="70" bestFit="1" customWidth="1"/>
    <col min="12062" max="12062" width="9.5703125" style="70" bestFit="1" customWidth="1"/>
    <col min="12063" max="12063" width="9.5703125" style="70" customWidth="1"/>
    <col min="12064" max="12064" width="9" style="70" customWidth="1"/>
    <col min="12065" max="12065" width="10.5703125" style="70" bestFit="1" customWidth="1"/>
    <col min="12066" max="12066" width="11.42578125" style="70" bestFit="1" customWidth="1"/>
    <col min="12067" max="12067" width="18" style="70" bestFit="1" customWidth="1"/>
    <col min="12068" max="12285" width="9.140625" style="70"/>
    <col min="12286" max="12286" width="41" style="70" customWidth="1"/>
    <col min="12287" max="12287" width="19.5703125" style="70" bestFit="1" customWidth="1"/>
    <col min="12288" max="12288" width="10.140625" style="70" customWidth="1"/>
    <col min="12289" max="12289" width="10.42578125" style="70" bestFit="1" customWidth="1"/>
    <col min="12290" max="12290" width="11.28515625" style="70" customWidth="1"/>
    <col min="12291" max="12291" width="9.42578125" style="70" customWidth="1"/>
    <col min="12292" max="12292" width="10.140625" style="70" bestFit="1" customWidth="1"/>
    <col min="12293" max="12294" width="9.140625" style="70"/>
    <col min="12295" max="12295" width="7.28515625" style="70" customWidth="1"/>
    <col min="12296" max="12301" width="7.42578125" style="70" customWidth="1"/>
    <col min="12302" max="12302" width="9.42578125" style="70" bestFit="1" customWidth="1"/>
    <col min="12303" max="12303" width="12" style="70" bestFit="1" customWidth="1"/>
    <col min="12304" max="12305" width="12" style="70" customWidth="1"/>
    <col min="12306" max="12306" width="13.140625" style="70" bestFit="1" customWidth="1"/>
    <col min="12307" max="12308" width="13.140625" style="70" customWidth="1"/>
    <col min="12309" max="12310" width="14.42578125" style="70" bestFit="1" customWidth="1"/>
    <col min="12311" max="12312" width="9.140625" style="70" customWidth="1"/>
    <col min="12313" max="12313" width="9.5703125" style="70" customWidth="1"/>
    <col min="12314" max="12315" width="9.5703125" style="70" bestFit="1" customWidth="1"/>
    <col min="12316" max="12317" width="10.140625" style="70" bestFit="1" customWidth="1"/>
    <col min="12318" max="12318" width="9.5703125" style="70" bestFit="1" customWidth="1"/>
    <col min="12319" max="12319" width="9.5703125" style="70" customWidth="1"/>
    <col min="12320" max="12320" width="9" style="70" customWidth="1"/>
    <col min="12321" max="12321" width="10.5703125" style="70" bestFit="1" customWidth="1"/>
    <col min="12322" max="12322" width="11.42578125" style="70" bestFit="1" customWidth="1"/>
    <col min="12323" max="12323" width="18" style="70" bestFit="1" customWidth="1"/>
    <col min="12324" max="12541" width="9.140625" style="70"/>
    <col min="12542" max="12542" width="41" style="70" customWidth="1"/>
    <col min="12543" max="12543" width="19.5703125" style="70" bestFit="1" customWidth="1"/>
    <col min="12544" max="12544" width="10.140625" style="70" customWidth="1"/>
    <col min="12545" max="12545" width="10.42578125" style="70" bestFit="1" customWidth="1"/>
    <col min="12546" max="12546" width="11.28515625" style="70" customWidth="1"/>
    <col min="12547" max="12547" width="9.42578125" style="70" customWidth="1"/>
    <col min="12548" max="12548" width="10.140625" style="70" bestFit="1" customWidth="1"/>
    <col min="12549" max="12550" width="9.140625" style="70"/>
    <col min="12551" max="12551" width="7.28515625" style="70" customWidth="1"/>
    <col min="12552" max="12557" width="7.42578125" style="70" customWidth="1"/>
    <col min="12558" max="12558" width="9.42578125" style="70" bestFit="1" customWidth="1"/>
    <col min="12559" max="12559" width="12" style="70" bestFit="1" customWidth="1"/>
    <col min="12560" max="12561" width="12" style="70" customWidth="1"/>
    <col min="12562" max="12562" width="13.140625" style="70" bestFit="1" customWidth="1"/>
    <col min="12563" max="12564" width="13.140625" style="70" customWidth="1"/>
    <col min="12565" max="12566" width="14.42578125" style="70" bestFit="1" customWidth="1"/>
    <col min="12567" max="12568" width="9.140625" style="70" customWidth="1"/>
    <col min="12569" max="12569" width="9.5703125" style="70" customWidth="1"/>
    <col min="12570" max="12571" width="9.5703125" style="70" bestFit="1" customWidth="1"/>
    <col min="12572" max="12573" width="10.140625" style="70" bestFit="1" customWidth="1"/>
    <col min="12574" max="12574" width="9.5703125" style="70" bestFit="1" customWidth="1"/>
    <col min="12575" max="12575" width="9.5703125" style="70" customWidth="1"/>
    <col min="12576" max="12576" width="9" style="70" customWidth="1"/>
    <col min="12577" max="12577" width="10.5703125" style="70" bestFit="1" customWidth="1"/>
    <col min="12578" max="12578" width="11.42578125" style="70" bestFit="1" customWidth="1"/>
    <col min="12579" max="12579" width="18" style="70" bestFit="1" customWidth="1"/>
    <col min="12580" max="12797" width="9.140625" style="70"/>
    <col min="12798" max="12798" width="41" style="70" customWidth="1"/>
    <col min="12799" max="12799" width="19.5703125" style="70" bestFit="1" customWidth="1"/>
    <col min="12800" max="12800" width="10.140625" style="70" customWidth="1"/>
    <col min="12801" max="12801" width="10.42578125" style="70" bestFit="1" customWidth="1"/>
    <col min="12802" max="12802" width="11.28515625" style="70" customWidth="1"/>
    <col min="12803" max="12803" width="9.42578125" style="70" customWidth="1"/>
    <col min="12804" max="12804" width="10.140625" style="70" bestFit="1" customWidth="1"/>
    <col min="12805" max="12806" width="9.140625" style="70"/>
    <col min="12807" max="12807" width="7.28515625" style="70" customWidth="1"/>
    <col min="12808" max="12813" width="7.42578125" style="70" customWidth="1"/>
    <col min="12814" max="12814" width="9.42578125" style="70" bestFit="1" customWidth="1"/>
    <col min="12815" max="12815" width="12" style="70" bestFit="1" customWidth="1"/>
    <col min="12816" max="12817" width="12" style="70" customWidth="1"/>
    <col min="12818" max="12818" width="13.140625" style="70" bestFit="1" customWidth="1"/>
    <col min="12819" max="12820" width="13.140625" style="70" customWidth="1"/>
    <col min="12821" max="12822" width="14.42578125" style="70" bestFit="1" customWidth="1"/>
    <col min="12823" max="12824" width="9.140625" style="70" customWidth="1"/>
    <col min="12825" max="12825" width="9.5703125" style="70" customWidth="1"/>
    <col min="12826" max="12827" width="9.5703125" style="70" bestFit="1" customWidth="1"/>
    <col min="12828" max="12829" width="10.140625" style="70" bestFit="1" customWidth="1"/>
    <col min="12830" max="12830" width="9.5703125" style="70" bestFit="1" customWidth="1"/>
    <col min="12831" max="12831" width="9.5703125" style="70" customWidth="1"/>
    <col min="12832" max="12832" width="9" style="70" customWidth="1"/>
    <col min="12833" max="12833" width="10.5703125" style="70" bestFit="1" customWidth="1"/>
    <col min="12834" max="12834" width="11.42578125" style="70" bestFit="1" customWidth="1"/>
    <col min="12835" max="12835" width="18" style="70" bestFit="1" customWidth="1"/>
    <col min="12836" max="13053" width="9.140625" style="70"/>
    <col min="13054" max="13054" width="41" style="70" customWidth="1"/>
    <col min="13055" max="13055" width="19.5703125" style="70" bestFit="1" customWidth="1"/>
    <col min="13056" max="13056" width="10.140625" style="70" customWidth="1"/>
    <col min="13057" max="13057" width="10.42578125" style="70" bestFit="1" customWidth="1"/>
    <col min="13058" max="13058" width="11.28515625" style="70" customWidth="1"/>
    <col min="13059" max="13059" width="9.42578125" style="70" customWidth="1"/>
    <col min="13060" max="13060" width="10.140625" style="70" bestFit="1" customWidth="1"/>
    <col min="13061" max="13062" width="9.140625" style="70"/>
    <col min="13063" max="13063" width="7.28515625" style="70" customWidth="1"/>
    <col min="13064" max="13069" width="7.42578125" style="70" customWidth="1"/>
    <col min="13070" max="13070" width="9.42578125" style="70" bestFit="1" customWidth="1"/>
    <col min="13071" max="13071" width="12" style="70" bestFit="1" customWidth="1"/>
    <col min="13072" max="13073" width="12" style="70" customWidth="1"/>
    <col min="13074" max="13074" width="13.140625" style="70" bestFit="1" customWidth="1"/>
    <col min="13075" max="13076" width="13.140625" style="70" customWidth="1"/>
    <col min="13077" max="13078" width="14.42578125" style="70" bestFit="1" customWidth="1"/>
    <col min="13079" max="13080" width="9.140625" style="70" customWidth="1"/>
    <col min="13081" max="13081" width="9.5703125" style="70" customWidth="1"/>
    <col min="13082" max="13083" width="9.5703125" style="70" bestFit="1" customWidth="1"/>
    <col min="13084" max="13085" width="10.140625" style="70" bestFit="1" customWidth="1"/>
    <col min="13086" max="13086" width="9.5703125" style="70" bestFit="1" customWidth="1"/>
    <col min="13087" max="13087" width="9.5703125" style="70" customWidth="1"/>
    <col min="13088" max="13088" width="9" style="70" customWidth="1"/>
    <col min="13089" max="13089" width="10.5703125" style="70" bestFit="1" customWidth="1"/>
    <col min="13090" max="13090" width="11.42578125" style="70" bestFit="1" customWidth="1"/>
    <col min="13091" max="13091" width="18" style="70" bestFit="1" customWidth="1"/>
    <col min="13092" max="13309" width="9.140625" style="70"/>
    <col min="13310" max="13310" width="41" style="70" customWidth="1"/>
    <col min="13311" max="13311" width="19.5703125" style="70" bestFit="1" customWidth="1"/>
    <col min="13312" max="13312" width="10.140625" style="70" customWidth="1"/>
    <col min="13313" max="13313" width="10.42578125" style="70" bestFit="1" customWidth="1"/>
    <col min="13314" max="13314" width="11.28515625" style="70" customWidth="1"/>
    <col min="13315" max="13315" width="9.42578125" style="70" customWidth="1"/>
    <col min="13316" max="13316" width="10.140625" style="70" bestFit="1" customWidth="1"/>
    <col min="13317" max="13318" width="9.140625" style="70"/>
    <col min="13319" max="13319" width="7.28515625" style="70" customWidth="1"/>
    <col min="13320" max="13325" width="7.42578125" style="70" customWidth="1"/>
    <col min="13326" max="13326" width="9.42578125" style="70" bestFit="1" customWidth="1"/>
    <col min="13327" max="13327" width="12" style="70" bestFit="1" customWidth="1"/>
    <col min="13328" max="13329" width="12" style="70" customWidth="1"/>
    <col min="13330" max="13330" width="13.140625" style="70" bestFit="1" customWidth="1"/>
    <col min="13331" max="13332" width="13.140625" style="70" customWidth="1"/>
    <col min="13333" max="13334" width="14.42578125" style="70" bestFit="1" customWidth="1"/>
    <col min="13335" max="13336" width="9.140625" style="70" customWidth="1"/>
    <col min="13337" max="13337" width="9.5703125" style="70" customWidth="1"/>
    <col min="13338" max="13339" width="9.5703125" style="70" bestFit="1" customWidth="1"/>
    <col min="13340" max="13341" width="10.140625" style="70" bestFit="1" customWidth="1"/>
    <col min="13342" max="13342" width="9.5703125" style="70" bestFit="1" customWidth="1"/>
    <col min="13343" max="13343" width="9.5703125" style="70" customWidth="1"/>
    <col min="13344" max="13344" width="9" style="70" customWidth="1"/>
    <col min="13345" max="13345" width="10.5703125" style="70" bestFit="1" customWidth="1"/>
    <col min="13346" max="13346" width="11.42578125" style="70" bestFit="1" customWidth="1"/>
    <col min="13347" max="13347" width="18" style="70" bestFit="1" customWidth="1"/>
    <col min="13348" max="13565" width="9.140625" style="70"/>
    <col min="13566" max="13566" width="41" style="70" customWidth="1"/>
    <col min="13567" max="13567" width="19.5703125" style="70" bestFit="1" customWidth="1"/>
    <col min="13568" max="13568" width="10.140625" style="70" customWidth="1"/>
    <col min="13569" max="13569" width="10.42578125" style="70" bestFit="1" customWidth="1"/>
    <col min="13570" max="13570" width="11.28515625" style="70" customWidth="1"/>
    <col min="13571" max="13571" width="9.42578125" style="70" customWidth="1"/>
    <col min="13572" max="13572" width="10.140625" style="70" bestFit="1" customWidth="1"/>
    <col min="13573" max="13574" width="9.140625" style="70"/>
    <col min="13575" max="13575" width="7.28515625" style="70" customWidth="1"/>
    <col min="13576" max="13581" width="7.42578125" style="70" customWidth="1"/>
    <col min="13582" max="13582" width="9.42578125" style="70" bestFit="1" customWidth="1"/>
    <col min="13583" max="13583" width="12" style="70" bestFit="1" customWidth="1"/>
    <col min="13584" max="13585" width="12" style="70" customWidth="1"/>
    <col min="13586" max="13586" width="13.140625" style="70" bestFit="1" customWidth="1"/>
    <col min="13587" max="13588" width="13.140625" style="70" customWidth="1"/>
    <col min="13589" max="13590" width="14.42578125" style="70" bestFit="1" customWidth="1"/>
    <col min="13591" max="13592" width="9.140625" style="70" customWidth="1"/>
    <col min="13593" max="13593" width="9.5703125" style="70" customWidth="1"/>
    <col min="13594" max="13595" width="9.5703125" style="70" bestFit="1" customWidth="1"/>
    <col min="13596" max="13597" width="10.140625" style="70" bestFit="1" customWidth="1"/>
    <col min="13598" max="13598" width="9.5703125" style="70" bestFit="1" customWidth="1"/>
    <col min="13599" max="13599" width="9.5703125" style="70" customWidth="1"/>
    <col min="13600" max="13600" width="9" style="70" customWidth="1"/>
    <col min="13601" max="13601" width="10.5703125" style="70" bestFit="1" customWidth="1"/>
    <col min="13602" max="13602" width="11.42578125" style="70" bestFit="1" customWidth="1"/>
    <col min="13603" max="13603" width="18" style="70" bestFit="1" customWidth="1"/>
    <col min="13604" max="13821" width="9.140625" style="70"/>
    <col min="13822" max="13822" width="41" style="70" customWidth="1"/>
    <col min="13823" max="13823" width="19.5703125" style="70" bestFit="1" customWidth="1"/>
    <col min="13824" max="13824" width="10.140625" style="70" customWidth="1"/>
    <col min="13825" max="13825" width="10.42578125" style="70" bestFit="1" customWidth="1"/>
    <col min="13826" max="13826" width="11.28515625" style="70" customWidth="1"/>
    <col min="13827" max="13827" width="9.42578125" style="70" customWidth="1"/>
    <col min="13828" max="13828" width="10.140625" style="70" bestFit="1" customWidth="1"/>
    <col min="13829" max="13830" width="9.140625" style="70"/>
    <col min="13831" max="13831" width="7.28515625" style="70" customWidth="1"/>
    <col min="13832" max="13837" width="7.42578125" style="70" customWidth="1"/>
    <col min="13838" max="13838" width="9.42578125" style="70" bestFit="1" customWidth="1"/>
    <col min="13839" max="13839" width="12" style="70" bestFit="1" customWidth="1"/>
    <col min="13840" max="13841" width="12" style="70" customWidth="1"/>
    <col min="13842" max="13842" width="13.140625" style="70" bestFit="1" customWidth="1"/>
    <col min="13843" max="13844" width="13.140625" style="70" customWidth="1"/>
    <col min="13845" max="13846" width="14.42578125" style="70" bestFit="1" customWidth="1"/>
    <col min="13847" max="13848" width="9.140625" style="70" customWidth="1"/>
    <col min="13849" max="13849" width="9.5703125" style="70" customWidth="1"/>
    <col min="13850" max="13851" width="9.5703125" style="70" bestFit="1" customWidth="1"/>
    <col min="13852" max="13853" width="10.140625" style="70" bestFit="1" customWidth="1"/>
    <col min="13854" max="13854" width="9.5703125" style="70" bestFit="1" customWidth="1"/>
    <col min="13855" max="13855" width="9.5703125" style="70" customWidth="1"/>
    <col min="13856" max="13856" width="9" style="70" customWidth="1"/>
    <col min="13857" max="13857" width="10.5703125" style="70" bestFit="1" customWidth="1"/>
    <col min="13858" max="13858" width="11.42578125" style="70" bestFit="1" customWidth="1"/>
    <col min="13859" max="13859" width="18" style="70" bestFit="1" customWidth="1"/>
    <col min="13860" max="14077" width="9.140625" style="70"/>
    <col min="14078" max="14078" width="41" style="70" customWidth="1"/>
    <col min="14079" max="14079" width="19.5703125" style="70" bestFit="1" customWidth="1"/>
    <col min="14080" max="14080" width="10.140625" style="70" customWidth="1"/>
    <col min="14081" max="14081" width="10.42578125" style="70" bestFit="1" customWidth="1"/>
    <col min="14082" max="14082" width="11.28515625" style="70" customWidth="1"/>
    <col min="14083" max="14083" width="9.42578125" style="70" customWidth="1"/>
    <col min="14084" max="14084" width="10.140625" style="70" bestFit="1" customWidth="1"/>
    <col min="14085" max="14086" width="9.140625" style="70"/>
    <col min="14087" max="14087" width="7.28515625" style="70" customWidth="1"/>
    <col min="14088" max="14093" width="7.42578125" style="70" customWidth="1"/>
    <col min="14094" max="14094" width="9.42578125" style="70" bestFit="1" customWidth="1"/>
    <col min="14095" max="14095" width="12" style="70" bestFit="1" customWidth="1"/>
    <col min="14096" max="14097" width="12" style="70" customWidth="1"/>
    <col min="14098" max="14098" width="13.140625" style="70" bestFit="1" customWidth="1"/>
    <col min="14099" max="14100" width="13.140625" style="70" customWidth="1"/>
    <col min="14101" max="14102" width="14.42578125" style="70" bestFit="1" customWidth="1"/>
    <col min="14103" max="14104" width="9.140625" style="70" customWidth="1"/>
    <col min="14105" max="14105" width="9.5703125" style="70" customWidth="1"/>
    <col min="14106" max="14107" width="9.5703125" style="70" bestFit="1" customWidth="1"/>
    <col min="14108" max="14109" width="10.140625" style="70" bestFit="1" customWidth="1"/>
    <col min="14110" max="14110" width="9.5703125" style="70" bestFit="1" customWidth="1"/>
    <col min="14111" max="14111" width="9.5703125" style="70" customWidth="1"/>
    <col min="14112" max="14112" width="9" style="70" customWidth="1"/>
    <col min="14113" max="14113" width="10.5703125" style="70" bestFit="1" customWidth="1"/>
    <col min="14114" max="14114" width="11.42578125" style="70" bestFit="1" customWidth="1"/>
    <col min="14115" max="14115" width="18" style="70" bestFit="1" customWidth="1"/>
    <col min="14116" max="14333" width="9.140625" style="70"/>
    <col min="14334" max="14334" width="41" style="70" customWidth="1"/>
    <col min="14335" max="14335" width="19.5703125" style="70" bestFit="1" customWidth="1"/>
    <col min="14336" max="14336" width="10.140625" style="70" customWidth="1"/>
    <col min="14337" max="14337" width="10.42578125" style="70" bestFit="1" customWidth="1"/>
    <col min="14338" max="14338" width="11.28515625" style="70" customWidth="1"/>
    <col min="14339" max="14339" width="9.42578125" style="70" customWidth="1"/>
    <col min="14340" max="14340" width="10.140625" style="70" bestFit="1" customWidth="1"/>
    <col min="14341" max="14342" width="9.140625" style="70"/>
    <col min="14343" max="14343" width="7.28515625" style="70" customWidth="1"/>
    <col min="14344" max="14349" width="7.42578125" style="70" customWidth="1"/>
    <col min="14350" max="14350" width="9.42578125" style="70" bestFit="1" customWidth="1"/>
    <col min="14351" max="14351" width="12" style="70" bestFit="1" customWidth="1"/>
    <col min="14352" max="14353" width="12" style="70" customWidth="1"/>
    <col min="14354" max="14354" width="13.140625" style="70" bestFit="1" customWidth="1"/>
    <col min="14355" max="14356" width="13.140625" style="70" customWidth="1"/>
    <col min="14357" max="14358" width="14.42578125" style="70" bestFit="1" customWidth="1"/>
    <col min="14359" max="14360" width="9.140625" style="70" customWidth="1"/>
    <col min="14361" max="14361" width="9.5703125" style="70" customWidth="1"/>
    <col min="14362" max="14363" width="9.5703125" style="70" bestFit="1" customWidth="1"/>
    <col min="14364" max="14365" width="10.140625" style="70" bestFit="1" customWidth="1"/>
    <col min="14366" max="14366" width="9.5703125" style="70" bestFit="1" customWidth="1"/>
    <col min="14367" max="14367" width="9.5703125" style="70" customWidth="1"/>
    <col min="14368" max="14368" width="9" style="70" customWidth="1"/>
    <col min="14369" max="14369" width="10.5703125" style="70" bestFit="1" customWidth="1"/>
    <col min="14370" max="14370" width="11.42578125" style="70" bestFit="1" customWidth="1"/>
    <col min="14371" max="14371" width="18" style="70" bestFit="1" customWidth="1"/>
    <col min="14372" max="14589" width="9.140625" style="70"/>
    <col min="14590" max="14590" width="41" style="70" customWidth="1"/>
    <col min="14591" max="14591" width="19.5703125" style="70" bestFit="1" customWidth="1"/>
    <col min="14592" max="14592" width="10.140625" style="70" customWidth="1"/>
    <col min="14593" max="14593" width="10.42578125" style="70" bestFit="1" customWidth="1"/>
    <col min="14594" max="14594" width="11.28515625" style="70" customWidth="1"/>
    <col min="14595" max="14595" width="9.42578125" style="70" customWidth="1"/>
    <col min="14596" max="14596" width="10.140625" style="70" bestFit="1" customWidth="1"/>
    <col min="14597" max="14598" width="9.140625" style="70"/>
    <col min="14599" max="14599" width="7.28515625" style="70" customWidth="1"/>
    <col min="14600" max="14605" width="7.42578125" style="70" customWidth="1"/>
    <col min="14606" max="14606" width="9.42578125" style="70" bestFit="1" customWidth="1"/>
    <col min="14607" max="14607" width="12" style="70" bestFit="1" customWidth="1"/>
    <col min="14608" max="14609" width="12" style="70" customWidth="1"/>
    <col min="14610" max="14610" width="13.140625" style="70" bestFit="1" customWidth="1"/>
    <col min="14611" max="14612" width="13.140625" style="70" customWidth="1"/>
    <col min="14613" max="14614" width="14.42578125" style="70" bestFit="1" customWidth="1"/>
    <col min="14615" max="14616" width="9.140625" style="70" customWidth="1"/>
    <col min="14617" max="14617" width="9.5703125" style="70" customWidth="1"/>
    <col min="14618" max="14619" width="9.5703125" style="70" bestFit="1" customWidth="1"/>
    <col min="14620" max="14621" width="10.140625" style="70" bestFit="1" customWidth="1"/>
    <col min="14622" max="14622" width="9.5703125" style="70" bestFit="1" customWidth="1"/>
    <col min="14623" max="14623" width="9.5703125" style="70" customWidth="1"/>
    <col min="14624" max="14624" width="9" style="70" customWidth="1"/>
    <col min="14625" max="14625" width="10.5703125" style="70" bestFit="1" customWidth="1"/>
    <col min="14626" max="14626" width="11.42578125" style="70" bestFit="1" customWidth="1"/>
    <col min="14627" max="14627" width="18" style="70" bestFit="1" customWidth="1"/>
    <col min="14628" max="14845" width="9.140625" style="70"/>
    <col min="14846" max="14846" width="41" style="70" customWidth="1"/>
    <col min="14847" max="14847" width="19.5703125" style="70" bestFit="1" customWidth="1"/>
    <col min="14848" max="14848" width="10.140625" style="70" customWidth="1"/>
    <col min="14849" max="14849" width="10.42578125" style="70" bestFit="1" customWidth="1"/>
    <col min="14850" max="14850" width="11.28515625" style="70" customWidth="1"/>
    <col min="14851" max="14851" width="9.42578125" style="70" customWidth="1"/>
    <col min="14852" max="14852" width="10.140625" style="70" bestFit="1" customWidth="1"/>
    <col min="14853" max="14854" width="9.140625" style="70"/>
    <col min="14855" max="14855" width="7.28515625" style="70" customWidth="1"/>
    <col min="14856" max="14861" width="7.42578125" style="70" customWidth="1"/>
    <col min="14862" max="14862" width="9.42578125" style="70" bestFit="1" customWidth="1"/>
    <col min="14863" max="14863" width="12" style="70" bestFit="1" customWidth="1"/>
    <col min="14864" max="14865" width="12" style="70" customWidth="1"/>
    <col min="14866" max="14866" width="13.140625" style="70" bestFit="1" customWidth="1"/>
    <col min="14867" max="14868" width="13.140625" style="70" customWidth="1"/>
    <col min="14869" max="14870" width="14.42578125" style="70" bestFit="1" customWidth="1"/>
    <col min="14871" max="14872" width="9.140625" style="70" customWidth="1"/>
    <col min="14873" max="14873" width="9.5703125" style="70" customWidth="1"/>
    <col min="14874" max="14875" width="9.5703125" style="70" bestFit="1" customWidth="1"/>
    <col min="14876" max="14877" width="10.140625" style="70" bestFit="1" customWidth="1"/>
    <col min="14878" max="14878" width="9.5703125" style="70" bestFit="1" customWidth="1"/>
    <col min="14879" max="14879" width="9.5703125" style="70" customWidth="1"/>
    <col min="14880" max="14880" width="9" style="70" customWidth="1"/>
    <col min="14881" max="14881" width="10.5703125" style="70" bestFit="1" customWidth="1"/>
    <col min="14882" max="14882" width="11.42578125" style="70" bestFit="1" customWidth="1"/>
    <col min="14883" max="14883" width="18" style="70" bestFit="1" customWidth="1"/>
    <col min="14884" max="15101" width="9.140625" style="70"/>
    <col min="15102" max="15102" width="41" style="70" customWidth="1"/>
    <col min="15103" max="15103" width="19.5703125" style="70" bestFit="1" customWidth="1"/>
    <col min="15104" max="15104" width="10.140625" style="70" customWidth="1"/>
    <col min="15105" max="15105" width="10.42578125" style="70" bestFit="1" customWidth="1"/>
    <col min="15106" max="15106" width="11.28515625" style="70" customWidth="1"/>
    <col min="15107" max="15107" width="9.42578125" style="70" customWidth="1"/>
    <col min="15108" max="15108" width="10.140625" style="70" bestFit="1" customWidth="1"/>
    <col min="15109" max="15110" width="9.140625" style="70"/>
    <col min="15111" max="15111" width="7.28515625" style="70" customWidth="1"/>
    <col min="15112" max="15117" width="7.42578125" style="70" customWidth="1"/>
    <col min="15118" max="15118" width="9.42578125" style="70" bestFit="1" customWidth="1"/>
    <col min="15119" max="15119" width="12" style="70" bestFit="1" customWidth="1"/>
    <col min="15120" max="15121" width="12" style="70" customWidth="1"/>
    <col min="15122" max="15122" width="13.140625" style="70" bestFit="1" customWidth="1"/>
    <col min="15123" max="15124" width="13.140625" style="70" customWidth="1"/>
    <col min="15125" max="15126" width="14.42578125" style="70" bestFit="1" customWidth="1"/>
    <col min="15127" max="15128" width="9.140625" style="70" customWidth="1"/>
    <col min="15129" max="15129" width="9.5703125" style="70" customWidth="1"/>
    <col min="15130" max="15131" width="9.5703125" style="70" bestFit="1" customWidth="1"/>
    <col min="15132" max="15133" width="10.140625" style="70" bestFit="1" customWidth="1"/>
    <col min="15134" max="15134" width="9.5703125" style="70" bestFit="1" customWidth="1"/>
    <col min="15135" max="15135" width="9.5703125" style="70" customWidth="1"/>
    <col min="15136" max="15136" width="9" style="70" customWidth="1"/>
    <col min="15137" max="15137" width="10.5703125" style="70" bestFit="1" customWidth="1"/>
    <col min="15138" max="15138" width="11.42578125" style="70" bestFit="1" customWidth="1"/>
    <col min="15139" max="15139" width="18" style="70" bestFit="1" customWidth="1"/>
    <col min="15140" max="15357" width="9.140625" style="70"/>
    <col min="15358" max="15358" width="41" style="70" customWidth="1"/>
    <col min="15359" max="15359" width="19.5703125" style="70" bestFit="1" customWidth="1"/>
    <col min="15360" max="15360" width="10.140625" style="70" customWidth="1"/>
    <col min="15361" max="15361" width="10.42578125" style="70" bestFit="1" customWidth="1"/>
    <col min="15362" max="15362" width="11.28515625" style="70" customWidth="1"/>
    <col min="15363" max="15363" width="9.42578125" style="70" customWidth="1"/>
    <col min="15364" max="15364" width="10.140625" style="70" bestFit="1" customWidth="1"/>
    <col min="15365" max="15366" width="9.140625" style="70"/>
    <col min="15367" max="15367" width="7.28515625" style="70" customWidth="1"/>
    <col min="15368" max="15373" width="7.42578125" style="70" customWidth="1"/>
    <col min="15374" max="15374" width="9.42578125" style="70" bestFit="1" customWidth="1"/>
    <col min="15375" max="15375" width="12" style="70" bestFit="1" customWidth="1"/>
    <col min="15376" max="15377" width="12" style="70" customWidth="1"/>
    <col min="15378" max="15378" width="13.140625" style="70" bestFit="1" customWidth="1"/>
    <col min="15379" max="15380" width="13.140625" style="70" customWidth="1"/>
    <col min="15381" max="15382" width="14.42578125" style="70" bestFit="1" customWidth="1"/>
    <col min="15383" max="15384" width="9.140625" style="70" customWidth="1"/>
    <col min="15385" max="15385" width="9.5703125" style="70" customWidth="1"/>
    <col min="15386" max="15387" width="9.5703125" style="70" bestFit="1" customWidth="1"/>
    <col min="15388" max="15389" width="10.140625" style="70" bestFit="1" customWidth="1"/>
    <col min="15390" max="15390" width="9.5703125" style="70" bestFit="1" customWidth="1"/>
    <col min="15391" max="15391" width="9.5703125" style="70" customWidth="1"/>
    <col min="15392" max="15392" width="9" style="70" customWidth="1"/>
    <col min="15393" max="15393" width="10.5703125" style="70" bestFit="1" customWidth="1"/>
    <col min="15394" max="15394" width="11.42578125" style="70" bestFit="1" customWidth="1"/>
    <col min="15395" max="15395" width="18" style="70" bestFit="1" customWidth="1"/>
    <col min="15396" max="15613" width="9.140625" style="70"/>
    <col min="15614" max="15614" width="41" style="70" customWidth="1"/>
    <col min="15615" max="15615" width="19.5703125" style="70" bestFit="1" customWidth="1"/>
    <col min="15616" max="15616" width="10.140625" style="70" customWidth="1"/>
    <col min="15617" max="15617" width="10.42578125" style="70" bestFit="1" customWidth="1"/>
    <col min="15618" max="15618" width="11.28515625" style="70" customWidth="1"/>
    <col min="15619" max="15619" width="9.42578125" style="70" customWidth="1"/>
    <col min="15620" max="15620" width="10.140625" style="70" bestFit="1" customWidth="1"/>
    <col min="15621" max="15622" width="9.140625" style="70"/>
    <col min="15623" max="15623" width="7.28515625" style="70" customWidth="1"/>
    <col min="15624" max="15629" width="7.42578125" style="70" customWidth="1"/>
    <col min="15630" max="15630" width="9.42578125" style="70" bestFit="1" customWidth="1"/>
    <col min="15631" max="15631" width="12" style="70" bestFit="1" customWidth="1"/>
    <col min="15632" max="15633" width="12" style="70" customWidth="1"/>
    <col min="15634" max="15634" width="13.140625" style="70" bestFit="1" customWidth="1"/>
    <col min="15635" max="15636" width="13.140625" style="70" customWidth="1"/>
    <col min="15637" max="15638" width="14.42578125" style="70" bestFit="1" customWidth="1"/>
    <col min="15639" max="15640" width="9.140625" style="70" customWidth="1"/>
    <col min="15641" max="15641" width="9.5703125" style="70" customWidth="1"/>
    <col min="15642" max="15643" width="9.5703125" style="70" bestFit="1" customWidth="1"/>
    <col min="15644" max="15645" width="10.140625" style="70" bestFit="1" customWidth="1"/>
    <col min="15646" max="15646" width="9.5703125" style="70" bestFit="1" customWidth="1"/>
    <col min="15647" max="15647" width="9.5703125" style="70" customWidth="1"/>
    <col min="15648" max="15648" width="9" style="70" customWidth="1"/>
    <col min="15649" max="15649" width="10.5703125" style="70" bestFit="1" customWidth="1"/>
    <col min="15650" max="15650" width="11.42578125" style="70" bestFit="1" customWidth="1"/>
    <col min="15651" max="15651" width="18" style="70" bestFit="1" customWidth="1"/>
    <col min="15652" max="15869" width="9.140625" style="70"/>
    <col min="15870" max="15870" width="41" style="70" customWidth="1"/>
    <col min="15871" max="15871" width="19.5703125" style="70" bestFit="1" customWidth="1"/>
    <col min="15872" max="15872" width="10.140625" style="70" customWidth="1"/>
    <col min="15873" max="15873" width="10.42578125" style="70" bestFit="1" customWidth="1"/>
    <col min="15874" max="15874" width="11.28515625" style="70" customWidth="1"/>
    <col min="15875" max="15875" width="9.42578125" style="70" customWidth="1"/>
    <col min="15876" max="15876" width="10.140625" style="70" bestFit="1" customWidth="1"/>
    <col min="15877" max="15878" width="9.140625" style="70"/>
    <col min="15879" max="15879" width="7.28515625" style="70" customWidth="1"/>
    <col min="15880" max="15885" width="7.42578125" style="70" customWidth="1"/>
    <col min="15886" max="15886" width="9.42578125" style="70" bestFit="1" customWidth="1"/>
    <col min="15887" max="15887" width="12" style="70" bestFit="1" customWidth="1"/>
    <col min="15888" max="15889" width="12" style="70" customWidth="1"/>
    <col min="15890" max="15890" width="13.140625" style="70" bestFit="1" customWidth="1"/>
    <col min="15891" max="15892" width="13.140625" style="70" customWidth="1"/>
    <col min="15893" max="15894" width="14.42578125" style="70" bestFit="1" customWidth="1"/>
    <col min="15895" max="15896" width="9.140625" style="70" customWidth="1"/>
    <col min="15897" max="15897" width="9.5703125" style="70" customWidth="1"/>
    <col min="15898" max="15899" width="9.5703125" style="70" bestFit="1" customWidth="1"/>
    <col min="15900" max="15901" width="10.140625" style="70" bestFit="1" customWidth="1"/>
    <col min="15902" max="15902" width="9.5703125" style="70" bestFit="1" customWidth="1"/>
    <col min="15903" max="15903" width="9.5703125" style="70" customWidth="1"/>
    <col min="15904" max="15904" width="9" style="70" customWidth="1"/>
    <col min="15905" max="15905" width="10.5703125" style="70" bestFit="1" customWidth="1"/>
    <col min="15906" max="15906" width="11.42578125" style="70" bestFit="1" customWidth="1"/>
    <col min="15907" max="15907" width="18" style="70" bestFit="1" customWidth="1"/>
    <col min="15908" max="16125" width="9.140625" style="70"/>
    <col min="16126" max="16126" width="41" style="70" customWidth="1"/>
    <col min="16127" max="16127" width="19.5703125" style="70" bestFit="1" customWidth="1"/>
    <col min="16128" max="16128" width="10.140625" style="70" customWidth="1"/>
    <col min="16129" max="16129" width="10.42578125" style="70" bestFit="1" customWidth="1"/>
    <col min="16130" max="16130" width="11.28515625" style="70" customWidth="1"/>
    <col min="16131" max="16131" width="9.42578125" style="70" customWidth="1"/>
    <col min="16132" max="16132" width="10.140625" style="70" bestFit="1" customWidth="1"/>
    <col min="16133" max="16134" width="9.140625" style="70"/>
    <col min="16135" max="16135" width="7.28515625" style="70" customWidth="1"/>
    <col min="16136" max="16141" width="7.42578125" style="70" customWidth="1"/>
    <col min="16142" max="16142" width="9.42578125" style="70" bestFit="1" customWidth="1"/>
    <col min="16143" max="16143" width="12" style="70" bestFit="1" customWidth="1"/>
    <col min="16144" max="16145" width="12" style="70" customWidth="1"/>
    <col min="16146" max="16146" width="13.140625" style="70" bestFit="1" customWidth="1"/>
    <col min="16147" max="16148" width="13.140625" style="70" customWidth="1"/>
    <col min="16149" max="16150" width="14.42578125" style="70" bestFit="1" customWidth="1"/>
    <col min="16151" max="16152" width="9.140625" style="70" customWidth="1"/>
    <col min="16153" max="16153" width="9.5703125" style="70" customWidth="1"/>
    <col min="16154" max="16155" width="9.5703125" style="70" bestFit="1" customWidth="1"/>
    <col min="16156" max="16157" width="10.140625" style="70" bestFit="1" customWidth="1"/>
    <col min="16158" max="16158" width="9.5703125" style="70" bestFit="1" customWidth="1"/>
    <col min="16159" max="16159" width="9.5703125" style="70" customWidth="1"/>
    <col min="16160" max="16160" width="9" style="70" customWidth="1"/>
    <col min="16161" max="16161" width="10.5703125" style="70" bestFit="1" customWidth="1"/>
    <col min="16162" max="16162" width="11.42578125" style="70" bestFit="1" customWidth="1"/>
    <col min="16163" max="16163" width="18" style="70" bestFit="1" customWidth="1"/>
    <col min="16164" max="16384" width="9.140625" style="70"/>
  </cols>
  <sheetData>
    <row r="1" spans="1:33" ht="24" customHeight="1" thickBot="1" x14ac:dyDescent="0.25">
      <c r="A1" s="185" t="s">
        <v>138</v>
      </c>
      <c r="B1" s="186"/>
      <c r="C1" s="186"/>
      <c r="D1" s="186"/>
      <c r="E1" s="186"/>
      <c r="F1" s="186"/>
      <c r="G1" s="186"/>
      <c r="H1" s="187"/>
      <c r="I1" s="77"/>
      <c r="J1" s="77"/>
      <c r="K1" s="77"/>
      <c r="L1" s="77"/>
      <c r="M1" s="77"/>
      <c r="N1" s="77"/>
      <c r="O1" s="77"/>
      <c r="P1" s="77"/>
      <c r="Q1" s="77"/>
      <c r="R1" s="78"/>
      <c r="S1" s="78"/>
      <c r="T1" s="78"/>
      <c r="U1" s="78"/>
      <c r="V1" s="79"/>
      <c r="W1" s="79"/>
      <c r="X1" s="79"/>
      <c r="Y1" s="79"/>
      <c r="Z1" s="79"/>
      <c r="AA1" s="79"/>
      <c r="AB1" s="79"/>
      <c r="AC1" s="79"/>
      <c r="AD1" s="79"/>
      <c r="AE1" s="79"/>
      <c r="AF1" s="79"/>
      <c r="AG1" s="79"/>
    </row>
    <row r="2" spans="1:33" ht="76.5" customHeight="1" thickBot="1" x14ac:dyDescent="0.25">
      <c r="A2" s="69" t="s">
        <v>134</v>
      </c>
      <c r="B2" s="188">
        <v>45170</v>
      </c>
      <c r="C2" s="189"/>
      <c r="D2" s="189"/>
      <c r="E2" s="189"/>
      <c r="F2" s="189"/>
      <c r="G2" s="189"/>
      <c r="H2" s="190"/>
      <c r="I2" s="77"/>
      <c r="J2" s="77"/>
      <c r="K2" s="77"/>
      <c r="L2" s="77"/>
      <c r="M2" s="77"/>
      <c r="N2" s="77"/>
      <c r="O2" s="77"/>
      <c r="P2" s="77"/>
      <c r="Q2" s="77"/>
      <c r="R2" s="78"/>
      <c r="S2" s="78"/>
      <c r="T2" s="78"/>
      <c r="U2" s="78"/>
      <c r="V2" s="79"/>
      <c r="W2" s="79"/>
      <c r="X2" s="79"/>
      <c r="Y2" s="79"/>
      <c r="Z2" s="79"/>
      <c r="AA2" s="79"/>
      <c r="AB2" s="79"/>
      <c r="AC2" s="79"/>
      <c r="AD2" s="79"/>
      <c r="AE2" s="79"/>
      <c r="AF2" s="79"/>
      <c r="AG2" s="79"/>
    </row>
    <row r="3" spans="1:33" ht="76.5" customHeight="1" thickBot="1" x14ac:dyDescent="0.25">
      <c r="A3" s="71" t="s">
        <v>183</v>
      </c>
      <c r="B3" s="191" t="s">
        <v>203</v>
      </c>
      <c r="C3" s="192"/>
      <c r="D3" s="192"/>
      <c r="E3" s="192"/>
      <c r="F3" s="192"/>
      <c r="G3" s="192"/>
      <c r="H3" s="192"/>
      <c r="I3" s="77"/>
      <c r="J3" s="77"/>
      <c r="K3" s="77"/>
      <c r="L3" s="77"/>
      <c r="M3" s="77"/>
      <c r="N3" s="77"/>
      <c r="O3" s="77"/>
      <c r="P3" s="77"/>
      <c r="Q3" s="77"/>
      <c r="R3" s="78"/>
      <c r="S3" s="78"/>
      <c r="T3" s="78"/>
      <c r="U3" s="78"/>
      <c r="V3" s="79"/>
      <c r="W3" s="79"/>
      <c r="X3" s="79"/>
      <c r="Y3" s="79"/>
      <c r="Z3" s="79"/>
      <c r="AA3" s="79"/>
      <c r="AB3" s="79"/>
      <c r="AC3" s="79"/>
      <c r="AD3" s="79"/>
      <c r="AE3" s="79"/>
      <c r="AF3" s="79"/>
      <c r="AG3" s="79"/>
    </row>
    <row r="4" spans="1:33" ht="12.75" customHeight="1" x14ac:dyDescent="0.2">
      <c r="A4" s="193" t="s">
        <v>204</v>
      </c>
      <c r="B4" s="193"/>
      <c r="C4" s="193"/>
      <c r="D4" s="193"/>
      <c r="E4" s="193"/>
      <c r="F4" s="193"/>
      <c r="G4" s="193"/>
      <c r="H4" s="194"/>
      <c r="I4" s="194"/>
      <c r="J4" s="194"/>
      <c r="K4" s="194"/>
      <c r="L4" s="194"/>
      <c r="M4" s="194"/>
      <c r="N4" s="194"/>
      <c r="O4" s="194"/>
      <c r="P4" s="194"/>
      <c r="Q4" s="80"/>
      <c r="R4" s="80"/>
      <c r="S4" s="80"/>
      <c r="T4" s="80"/>
      <c r="U4" s="80"/>
      <c r="V4" s="79"/>
      <c r="W4" s="79"/>
      <c r="X4" s="79"/>
      <c r="Y4" s="79"/>
      <c r="Z4" s="79"/>
      <c r="AA4" s="79"/>
      <c r="AB4" s="79"/>
      <c r="AC4" s="79"/>
      <c r="AD4" s="79"/>
      <c r="AE4" s="79"/>
      <c r="AF4" s="79"/>
      <c r="AG4" s="79"/>
    </row>
    <row r="5" spans="1:33" s="72" customFormat="1" ht="12.75" customHeight="1" x14ac:dyDescent="0.2">
      <c r="A5" s="195" t="s">
        <v>205</v>
      </c>
      <c r="B5" s="193"/>
      <c r="C5" s="193"/>
      <c r="D5" s="193"/>
      <c r="E5" s="193"/>
      <c r="F5" s="193"/>
      <c r="G5" s="193"/>
      <c r="H5" s="194"/>
      <c r="I5" s="194"/>
      <c r="J5" s="194"/>
      <c r="K5" s="194"/>
      <c r="L5" s="194"/>
      <c r="M5" s="194"/>
      <c r="N5" s="194"/>
      <c r="O5" s="194"/>
      <c r="P5" s="194"/>
      <c r="Q5" s="81"/>
      <c r="R5" s="82"/>
      <c r="S5" s="82"/>
      <c r="T5" s="82"/>
      <c r="U5" s="82"/>
      <c r="V5" s="83"/>
      <c r="W5" s="83"/>
      <c r="X5" s="83"/>
      <c r="Y5" s="83"/>
      <c r="Z5" s="83"/>
      <c r="AA5" s="83"/>
      <c r="AB5" s="83"/>
      <c r="AC5" s="83"/>
      <c r="AD5" s="83"/>
      <c r="AE5" s="83"/>
      <c r="AF5" s="83"/>
      <c r="AG5" s="83"/>
    </row>
    <row r="6" spans="1:33" s="72" customFormat="1" ht="25.5" customHeight="1" x14ac:dyDescent="0.2">
      <c r="A6" s="193"/>
      <c r="B6" s="193"/>
      <c r="C6" s="193"/>
      <c r="D6" s="193"/>
      <c r="E6" s="193"/>
      <c r="F6" s="193"/>
      <c r="G6" s="193"/>
      <c r="H6" s="81"/>
      <c r="I6" s="81"/>
      <c r="J6" s="81"/>
      <c r="K6" s="81"/>
      <c r="L6" s="81"/>
      <c r="M6" s="81"/>
      <c r="N6" s="81"/>
      <c r="O6" s="81"/>
      <c r="P6" s="81"/>
      <c r="Q6" s="81"/>
      <c r="R6" s="196"/>
      <c r="S6" s="196"/>
      <c r="T6" s="196"/>
      <c r="U6" s="196"/>
      <c r="V6" s="83"/>
      <c r="W6" s="83"/>
      <c r="X6" s="83"/>
      <c r="Y6" s="83"/>
      <c r="Z6" s="83"/>
      <c r="AA6" s="83"/>
      <c r="AB6" s="83"/>
      <c r="AC6" s="83"/>
      <c r="AD6" s="83"/>
      <c r="AE6" s="83"/>
      <c r="AF6" s="83"/>
      <c r="AG6" s="83"/>
    </row>
    <row r="7" spans="1:33" x14ac:dyDescent="0.2">
      <c r="A7" s="84"/>
      <c r="B7" s="84"/>
      <c r="C7" s="84"/>
      <c r="D7" s="84"/>
      <c r="E7" s="84"/>
      <c r="F7" s="84"/>
      <c r="G7" s="84"/>
      <c r="H7" s="84"/>
      <c r="I7" s="85"/>
      <c r="J7" s="85"/>
      <c r="K7" s="85"/>
      <c r="L7" s="85"/>
      <c r="M7" s="85"/>
      <c r="N7" s="85"/>
      <c r="O7" s="85"/>
      <c r="P7" s="85"/>
      <c r="Q7" s="85"/>
      <c r="R7" s="86"/>
      <c r="S7" s="86"/>
      <c r="T7" s="86"/>
      <c r="U7" s="86"/>
      <c r="V7" s="79"/>
      <c r="W7" s="79"/>
      <c r="X7" s="79"/>
      <c r="Y7" s="79"/>
      <c r="Z7" s="79"/>
      <c r="AA7" s="79"/>
      <c r="AB7" s="79"/>
      <c r="AC7" s="79"/>
      <c r="AD7" s="79"/>
      <c r="AE7" s="79"/>
      <c r="AF7" s="79"/>
      <c r="AG7" s="79"/>
    </row>
    <row r="8" spans="1:33" ht="18.75" customHeight="1" x14ac:dyDescent="0.2">
      <c r="A8" s="87" t="s">
        <v>206</v>
      </c>
      <c r="B8" s="88" t="s">
        <v>207</v>
      </c>
      <c r="C8" s="84"/>
      <c r="D8" s="84"/>
      <c r="E8" s="84"/>
      <c r="F8" s="84"/>
      <c r="G8" s="84"/>
      <c r="H8" s="84"/>
      <c r="I8" s="85"/>
      <c r="J8" s="85"/>
      <c r="K8" s="85"/>
      <c r="L8" s="85"/>
      <c r="M8" s="85"/>
      <c r="N8" s="85"/>
      <c r="O8" s="85"/>
      <c r="P8" s="85"/>
      <c r="Q8" s="85"/>
      <c r="R8" s="86"/>
      <c r="S8" s="86"/>
      <c r="T8" s="86"/>
      <c r="U8" s="86"/>
      <c r="V8" s="79"/>
      <c r="W8" s="79"/>
      <c r="X8" s="79"/>
      <c r="Y8" s="79"/>
      <c r="Z8" s="79"/>
      <c r="AA8" s="79"/>
      <c r="AB8" s="79"/>
      <c r="AC8" s="79"/>
      <c r="AD8" s="79"/>
      <c r="AE8" s="79"/>
      <c r="AF8" s="79"/>
      <c r="AG8" s="79"/>
    </row>
    <row r="9" spans="1:33" ht="25.5" x14ac:dyDescent="0.2">
      <c r="A9" s="87" t="s">
        <v>208</v>
      </c>
      <c r="B9" s="88" t="s">
        <v>209</v>
      </c>
      <c r="C9" s="89"/>
      <c r="D9" s="90"/>
      <c r="E9" s="90"/>
      <c r="F9" s="90"/>
      <c r="G9" s="90"/>
      <c r="H9" s="90"/>
      <c r="I9" s="90"/>
      <c r="J9" s="90"/>
      <c r="K9" s="90"/>
      <c r="L9" s="90"/>
      <c r="M9" s="90"/>
      <c r="N9" s="91"/>
      <c r="O9" s="85"/>
      <c r="P9" s="92"/>
      <c r="Q9" s="92"/>
      <c r="R9" s="86"/>
      <c r="S9" s="86"/>
      <c r="T9" s="86"/>
      <c r="U9" s="86"/>
      <c r="V9" s="79"/>
      <c r="W9" s="79"/>
      <c r="X9" s="79"/>
      <c r="Y9" s="79"/>
      <c r="Z9" s="79"/>
      <c r="AA9" s="79"/>
      <c r="AB9" s="79"/>
      <c r="AC9" s="79"/>
      <c r="AD9" s="79"/>
      <c r="AE9" s="79"/>
      <c r="AF9" s="79"/>
      <c r="AG9" s="79"/>
    </row>
    <row r="10" spans="1:33" ht="25.5" x14ac:dyDescent="0.2">
      <c r="A10" s="87" t="s">
        <v>210</v>
      </c>
      <c r="B10" s="88" t="s">
        <v>211</v>
      </c>
      <c r="C10" s="89"/>
      <c r="D10" s="90"/>
      <c r="E10" s="90"/>
      <c r="F10" s="90"/>
      <c r="G10" s="90"/>
      <c r="H10" s="90"/>
      <c r="I10" s="90"/>
      <c r="J10" s="90"/>
      <c r="K10" s="90"/>
      <c r="L10" s="90"/>
      <c r="M10" s="90"/>
      <c r="N10" s="90"/>
      <c r="O10" s="90"/>
      <c r="P10" s="90"/>
      <c r="Q10" s="90"/>
      <c r="R10" s="90"/>
      <c r="S10" s="86"/>
      <c r="T10" s="86"/>
      <c r="U10" s="86"/>
      <c r="V10" s="79"/>
      <c r="W10" s="79"/>
      <c r="X10" s="79"/>
      <c r="Y10" s="79"/>
      <c r="Z10" s="79"/>
      <c r="AA10" s="79"/>
      <c r="AB10" s="79"/>
      <c r="AC10" s="79"/>
      <c r="AD10" s="79"/>
      <c r="AE10" s="79"/>
      <c r="AF10" s="79"/>
      <c r="AG10" s="79"/>
    </row>
    <row r="11" spans="1:33" ht="25.5" x14ac:dyDescent="0.2">
      <c r="A11" s="87" t="s">
        <v>212</v>
      </c>
      <c r="B11" s="88" t="s">
        <v>213</v>
      </c>
      <c r="C11" s="84"/>
      <c r="D11" s="84"/>
      <c r="E11" s="84"/>
      <c r="F11" s="84"/>
      <c r="G11" s="84"/>
      <c r="H11" s="84"/>
      <c r="I11" s="85"/>
      <c r="J11" s="85"/>
      <c r="K11" s="85"/>
      <c r="L11" s="85"/>
      <c r="M11" s="85"/>
      <c r="N11" s="85"/>
      <c r="O11" s="85"/>
      <c r="P11" s="92"/>
      <c r="Q11" s="92"/>
      <c r="R11" s="86"/>
      <c r="S11" s="86"/>
      <c r="T11" s="86"/>
      <c r="U11" s="86"/>
      <c r="V11" s="79"/>
      <c r="W11" s="79"/>
      <c r="X11" s="79"/>
      <c r="Y11" s="79"/>
      <c r="Z11" s="79"/>
      <c r="AA11" s="79"/>
      <c r="AB11" s="79"/>
      <c r="AC11" s="79"/>
      <c r="AD11" s="79"/>
      <c r="AE11" s="79"/>
      <c r="AF11" s="79"/>
      <c r="AG11" s="79"/>
    </row>
    <row r="12" spans="1:33" ht="63.75" x14ac:dyDescent="0.2">
      <c r="A12" s="87" t="s">
        <v>214</v>
      </c>
      <c r="B12" s="88" t="s">
        <v>215</v>
      </c>
      <c r="C12" s="84"/>
      <c r="D12" s="84"/>
      <c r="E12" s="84"/>
      <c r="F12" s="84"/>
      <c r="G12" s="84"/>
      <c r="H12" s="84"/>
      <c r="I12" s="85"/>
      <c r="J12" s="85"/>
      <c r="K12" s="85"/>
      <c r="L12" s="85"/>
      <c r="M12" s="85"/>
      <c r="N12" s="85"/>
      <c r="O12" s="85"/>
      <c r="P12" s="92"/>
      <c r="Q12" s="92"/>
      <c r="R12" s="86"/>
      <c r="S12" s="86"/>
      <c r="T12" s="86"/>
      <c r="U12" s="86"/>
      <c r="V12" s="79"/>
      <c r="W12" s="79"/>
      <c r="X12" s="79"/>
      <c r="Y12" s="79"/>
      <c r="Z12" s="79"/>
      <c r="AA12" s="79"/>
      <c r="AB12" s="79"/>
      <c r="AC12" s="79"/>
      <c r="AD12" s="79"/>
      <c r="AE12" s="79"/>
      <c r="AF12" s="79"/>
      <c r="AG12" s="79"/>
    </row>
    <row r="13" spans="1:33" x14ac:dyDescent="0.2">
      <c r="A13" s="79"/>
      <c r="B13" s="84"/>
      <c r="C13" s="84"/>
      <c r="D13" s="84"/>
      <c r="E13" s="84"/>
      <c r="F13" s="84"/>
      <c r="G13" s="84"/>
      <c r="H13" s="84"/>
      <c r="I13" s="85"/>
      <c r="J13" s="85"/>
      <c r="K13" s="85"/>
      <c r="L13" s="85"/>
      <c r="M13" s="85"/>
      <c r="N13" s="85"/>
      <c r="O13" s="85"/>
      <c r="P13" s="85"/>
      <c r="Q13" s="85"/>
      <c r="R13" s="86"/>
      <c r="S13" s="86"/>
      <c r="T13" s="86"/>
      <c r="U13" s="86"/>
      <c r="V13" s="79"/>
      <c r="W13" s="79"/>
      <c r="X13" s="79"/>
      <c r="Y13" s="79"/>
      <c r="Z13" s="79"/>
      <c r="AA13" s="79"/>
      <c r="AB13" s="79"/>
      <c r="AC13" s="79"/>
      <c r="AD13" s="79"/>
      <c r="AE13" s="79"/>
      <c r="AF13" s="79"/>
      <c r="AG13" s="79"/>
    </row>
    <row r="14" spans="1:33" x14ac:dyDescent="0.2">
      <c r="A14" s="93" t="s">
        <v>184</v>
      </c>
      <c r="B14" s="94" t="s">
        <v>185</v>
      </c>
      <c r="C14" s="84"/>
      <c r="D14" s="84"/>
      <c r="E14" s="84"/>
      <c r="F14" s="84"/>
      <c r="G14" s="84"/>
      <c r="H14" s="84"/>
      <c r="I14" s="85"/>
      <c r="J14" s="85"/>
      <c r="K14" s="85"/>
      <c r="L14" s="85"/>
      <c r="M14" s="85"/>
      <c r="N14" s="85"/>
      <c r="O14" s="85"/>
      <c r="P14" s="85"/>
      <c r="Q14" s="85"/>
      <c r="R14" s="86"/>
      <c r="S14" s="86"/>
      <c r="T14" s="86"/>
      <c r="U14" s="86"/>
      <c r="V14" s="79"/>
      <c r="W14" s="79"/>
      <c r="X14" s="79"/>
      <c r="Y14" s="79"/>
      <c r="Z14" s="79"/>
      <c r="AA14" s="79"/>
      <c r="AB14" s="79"/>
      <c r="AC14" s="79"/>
      <c r="AD14" s="79"/>
      <c r="AE14" s="79"/>
      <c r="AF14" s="79"/>
      <c r="AG14" s="79"/>
    </row>
    <row r="15" spans="1:33" ht="38.25" x14ac:dyDescent="0.2">
      <c r="A15" s="95" t="str">
        <f>'AUTO CALCULATION SHEET (2)'!D18</f>
        <v>3 CORE X 120 SQ MM + 1 CORE X 16 SQ MM + 1 CORE X 95 SQ MM (AB CABLES) (BARE)</v>
      </c>
      <c r="B15" s="96">
        <f>'AUTO CALCULATION SHEET (2)'!E18</f>
        <v>429449.90399999998</v>
      </c>
      <c r="C15" s="84"/>
      <c r="D15" s="97"/>
      <c r="E15" s="97"/>
      <c r="F15" s="97"/>
      <c r="G15" s="97"/>
      <c r="H15" s="97"/>
      <c r="I15" s="97"/>
      <c r="J15" s="97"/>
      <c r="K15" s="97"/>
      <c r="L15" s="85"/>
      <c r="M15" s="85"/>
      <c r="N15" s="85"/>
      <c r="O15" s="85"/>
      <c r="P15" s="85"/>
      <c r="Q15" s="85"/>
      <c r="R15" s="86"/>
      <c r="S15" s="86"/>
      <c r="T15" s="86"/>
      <c r="U15" s="86"/>
      <c r="V15" s="79"/>
      <c r="W15" s="79"/>
      <c r="X15" s="79"/>
      <c r="Y15" s="79"/>
      <c r="Z15" s="79"/>
      <c r="AA15" s="79"/>
      <c r="AB15" s="79"/>
      <c r="AC15" s="79"/>
      <c r="AD15" s="79"/>
      <c r="AE15" s="79"/>
      <c r="AF15" s="79"/>
      <c r="AG15" s="79"/>
    </row>
    <row r="16" spans="1:33" ht="30" customHeight="1" thickBot="1" x14ac:dyDescent="0.25">
      <c r="A16" s="79"/>
      <c r="B16" s="98"/>
      <c r="C16" s="99"/>
      <c r="D16" s="100"/>
      <c r="E16" s="85"/>
      <c r="F16" s="85"/>
      <c r="G16" s="85"/>
      <c r="H16" s="85"/>
      <c r="I16" s="85"/>
      <c r="J16" s="85"/>
      <c r="K16" s="85"/>
      <c r="L16" s="85"/>
      <c r="M16" s="85"/>
      <c r="N16" s="85"/>
      <c r="O16" s="85"/>
      <c r="P16" s="85"/>
      <c r="Q16" s="85"/>
      <c r="R16" s="78"/>
      <c r="S16" s="78"/>
      <c r="T16" s="78"/>
      <c r="U16" s="78"/>
      <c r="V16" s="79"/>
      <c r="W16" s="79"/>
      <c r="X16" s="79"/>
      <c r="Y16" s="79"/>
      <c r="Z16" s="79"/>
      <c r="AA16" s="79"/>
      <c r="AB16" s="79"/>
      <c r="AC16" s="79"/>
      <c r="AD16" s="79"/>
      <c r="AE16" s="79"/>
      <c r="AF16" s="79"/>
      <c r="AG16" s="79"/>
    </row>
    <row r="17" spans="1:39" ht="12.75" customHeight="1" x14ac:dyDescent="0.2">
      <c r="A17" s="197" t="s">
        <v>184</v>
      </c>
      <c r="B17" s="200" t="s">
        <v>186</v>
      </c>
      <c r="C17" s="203" t="s">
        <v>187</v>
      </c>
      <c r="D17" s="206" t="s">
        <v>188</v>
      </c>
      <c r="E17" s="207"/>
      <c r="F17" s="207"/>
      <c r="G17" s="206" t="s">
        <v>189</v>
      </c>
      <c r="H17" s="207"/>
      <c r="I17" s="208"/>
      <c r="J17" s="209" t="s">
        <v>190</v>
      </c>
      <c r="K17" s="210"/>
      <c r="L17" s="210"/>
      <c r="M17" s="210"/>
      <c r="N17" s="210"/>
      <c r="O17" s="210"/>
      <c r="P17" s="203"/>
      <c r="Q17" s="213" t="s">
        <v>191</v>
      </c>
      <c r="R17" s="215" t="s">
        <v>192</v>
      </c>
      <c r="S17" s="207" t="s">
        <v>216</v>
      </c>
      <c r="T17" s="207" t="s">
        <v>217</v>
      </c>
      <c r="U17" s="207" t="s">
        <v>218</v>
      </c>
      <c r="V17" s="207" t="s">
        <v>219</v>
      </c>
      <c r="W17" s="207" t="s">
        <v>220</v>
      </c>
      <c r="X17" s="213" t="s">
        <v>221</v>
      </c>
      <c r="Y17" s="227" t="s">
        <v>234</v>
      </c>
      <c r="Z17" s="209" t="s">
        <v>193</v>
      </c>
      <c r="AA17" s="219" t="s">
        <v>222</v>
      </c>
      <c r="AB17" s="220"/>
      <c r="AC17" s="220"/>
      <c r="AD17" s="220"/>
      <c r="AE17" s="220"/>
      <c r="AF17" s="220"/>
      <c r="AG17" s="220"/>
      <c r="AH17" s="220"/>
      <c r="AI17" s="220"/>
      <c r="AJ17" s="220"/>
      <c r="AK17" s="220"/>
      <c r="AL17" s="221"/>
    </row>
    <row r="18" spans="1:39" x14ac:dyDescent="0.2">
      <c r="A18" s="198"/>
      <c r="B18" s="201"/>
      <c r="C18" s="204"/>
      <c r="D18" s="225" t="s">
        <v>194</v>
      </c>
      <c r="E18" s="217" t="s">
        <v>223</v>
      </c>
      <c r="F18" s="217" t="s">
        <v>224</v>
      </c>
      <c r="G18" s="225" t="s">
        <v>194</v>
      </c>
      <c r="H18" s="217" t="s">
        <v>225</v>
      </c>
      <c r="I18" s="226" t="s">
        <v>226</v>
      </c>
      <c r="J18" s="211"/>
      <c r="K18" s="212"/>
      <c r="L18" s="212"/>
      <c r="M18" s="212"/>
      <c r="N18" s="212"/>
      <c r="O18" s="212"/>
      <c r="P18" s="205"/>
      <c r="Q18" s="214"/>
      <c r="R18" s="216"/>
      <c r="S18" s="217"/>
      <c r="T18" s="217"/>
      <c r="U18" s="217"/>
      <c r="V18" s="217"/>
      <c r="W18" s="217"/>
      <c r="X18" s="214"/>
      <c r="Y18" s="228"/>
      <c r="Z18" s="218"/>
      <c r="AA18" s="222"/>
      <c r="AB18" s="223"/>
      <c r="AC18" s="223"/>
      <c r="AD18" s="223"/>
      <c r="AE18" s="223"/>
      <c r="AF18" s="223"/>
      <c r="AG18" s="223"/>
      <c r="AH18" s="223"/>
      <c r="AI18" s="223"/>
      <c r="AJ18" s="223"/>
      <c r="AK18" s="223"/>
      <c r="AL18" s="224"/>
    </row>
    <row r="19" spans="1:39" ht="42.75" customHeight="1" x14ac:dyDescent="0.2">
      <c r="A19" s="199"/>
      <c r="B19" s="202"/>
      <c r="C19" s="205"/>
      <c r="D19" s="225"/>
      <c r="E19" s="217"/>
      <c r="F19" s="217"/>
      <c r="G19" s="225"/>
      <c r="H19" s="217"/>
      <c r="I19" s="226"/>
      <c r="J19" s="101" t="s">
        <v>206</v>
      </c>
      <c r="K19" s="102" t="s">
        <v>208</v>
      </c>
      <c r="L19" s="102" t="s">
        <v>210</v>
      </c>
      <c r="M19" s="102" t="s">
        <v>227</v>
      </c>
      <c r="N19" s="102" t="s">
        <v>212</v>
      </c>
      <c r="O19" s="102" t="s">
        <v>214</v>
      </c>
      <c r="P19" s="103" t="s">
        <v>228</v>
      </c>
      <c r="Q19" s="214"/>
      <c r="R19" s="216"/>
      <c r="S19" s="217"/>
      <c r="T19" s="217"/>
      <c r="U19" s="217"/>
      <c r="V19" s="217"/>
      <c r="W19" s="217"/>
      <c r="X19" s="214"/>
      <c r="Y19" s="229"/>
      <c r="Z19" s="211"/>
      <c r="AA19" s="104" t="s">
        <v>229</v>
      </c>
      <c r="AB19" s="105" t="s">
        <v>230</v>
      </c>
      <c r="AC19" s="105" t="s">
        <v>86</v>
      </c>
      <c r="AD19" s="105" t="s">
        <v>195</v>
      </c>
      <c r="AE19" s="106" t="s">
        <v>196</v>
      </c>
      <c r="AF19" s="105" t="s">
        <v>231</v>
      </c>
      <c r="AG19" s="106" t="s">
        <v>197</v>
      </c>
      <c r="AH19" s="105" t="s">
        <v>198</v>
      </c>
      <c r="AI19" s="106" t="s">
        <v>199</v>
      </c>
      <c r="AJ19" s="106" t="s">
        <v>200</v>
      </c>
      <c r="AK19" s="106" t="s">
        <v>201</v>
      </c>
      <c r="AL19" s="107" t="s">
        <v>232</v>
      </c>
    </row>
    <row r="20" spans="1:39" ht="19.5" customHeight="1" x14ac:dyDescent="0.2">
      <c r="A20" s="108"/>
      <c r="B20" s="108"/>
      <c r="C20" s="109"/>
      <c r="D20" s="110"/>
      <c r="E20" s="111"/>
      <c r="F20" s="111"/>
      <c r="G20" s="112"/>
      <c r="H20" s="111"/>
      <c r="I20" s="113"/>
      <c r="J20" s="114"/>
      <c r="K20" s="115"/>
      <c r="L20" s="115"/>
      <c r="M20" s="115"/>
      <c r="N20" s="115"/>
      <c r="O20" s="115"/>
      <c r="P20" s="116"/>
      <c r="Q20" s="117"/>
      <c r="R20" s="118"/>
      <c r="S20" s="118"/>
      <c r="T20" s="118"/>
      <c r="U20" s="118"/>
      <c r="V20" s="118"/>
      <c r="W20" s="118"/>
      <c r="X20" s="119"/>
      <c r="Y20" s="167">
        <v>0.2</v>
      </c>
      <c r="Z20" s="120"/>
      <c r="AA20" s="121">
        <v>216</v>
      </c>
      <c r="AB20" s="122">
        <f>AA20+7</f>
        <v>223</v>
      </c>
      <c r="AC20" s="122">
        <v>116</v>
      </c>
      <c r="AD20" s="123"/>
      <c r="AE20" s="124"/>
      <c r="AF20" s="123"/>
      <c r="AG20" s="124"/>
      <c r="AH20" s="123"/>
      <c r="AI20" s="125"/>
      <c r="AJ20" s="123"/>
      <c r="AK20" s="126"/>
      <c r="AL20" s="127"/>
    </row>
    <row r="21" spans="1:39" s="74" customFormat="1" ht="38.25" x14ac:dyDescent="0.2">
      <c r="A21" s="128" t="str">
        <f>A15</f>
        <v>3 CORE X 120 SQ MM + 1 CORE X 16 SQ MM + 1 CORE X 95 SQ MM (AB CABLES) (BARE)</v>
      </c>
      <c r="B21" s="129"/>
      <c r="C21" s="130" t="s">
        <v>233</v>
      </c>
      <c r="D21" s="131">
        <v>45196</v>
      </c>
      <c r="E21" s="132">
        <v>207418.13</v>
      </c>
      <c r="F21" s="133">
        <v>148653</v>
      </c>
      <c r="G21" s="131">
        <v>45170</v>
      </c>
      <c r="H21" s="132">
        <v>207418.13</v>
      </c>
      <c r="I21" s="133">
        <v>148653</v>
      </c>
      <c r="J21" s="134">
        <v>3</v>
      </c>
      <c r="K21" s="135">
        <v>0.34599999999999997</v>
      </c>
      <c r="L21" s="135">
        <v>0.27400000000000002</v>
      </c>
      <c r="M21" s="135">
        <v>4.5999999999999999E-2</v>
      </c>
      <c r="N21" s="135">
        <v>7.2999999999999995E-2</v>
      </c>
      <c r="O21" s="135"/>
      <c r="P21" s="136">
        <v>2.4E-2</v>
      </c>
      <c r="Q21" s="137">
        <f>B15</f>
        <v>429449.90399999998</v>
      </c>
      <c r="R21" s="138">
        <f>(K21*J21*(E21-H21))</f>
        <v>0</v>
      </c>
      <c r="S21" s="138">
        <f>L21*(E21-H21)</f>
        <v>0</v>
      </c>
      <c r="T21" s="138">
        <f>M21*(E21-H21)</f>
        <v>0</v>
      </c>
      <c r="U21" s="138">
        <f>(N21*J21*(F21-I21))</f>
        <v>0</v>
      </c>
      <c r="V21" s="138">
        <f>O21*(F21-I21)</f>
        <v>0</v>
      </c>
      <c r="W21" s="138">
        <f>P21*(F21-I21)</f>
        <v>0</v>
      </c>
      <c r="X21" s="139">
        <f>R21+S21+T21+U21+V21+W21</f>
        <v>0</v>
      </c>
      <c r="Y21" s="168">
        <f>Q21*Y20</f>
        <v>85889.980800000005</v>
      </c>
      <c r="Z21" s="73">
        <f>IF(X21&gt;Y21,Q21+Y21,Q21+X21)</f>
        <v>429449.90399999998</v>
      </c>
      <c r="AA21" s="140">
        <f>'AUTO CALCULATION SHEET (2)'!N18</f>
        <v>1018</v>
      </c>
      <c r="AB21" s="141">
        <f>'AUTO CALCULATION SHEET (2)'!T18</f>
        <v>260</v>
      </c>
      <c r="AC21" s="142">
        <f>'AUTO CALCULATION SHEET (2)'!AF18</f>
        <v>232</v>
      </c>
      <c r="AD21" s="143">
        <f>SUMPRODUCT($AA$20:$AC$20,AA21:AC21)</f>
        <v>304780</v>
      </c>
      <c r="AE21" s="144">
        <f>'AUTO CALCULATION SHEET (2)'!BZ18</f>
        <v>7486</v>
      </c>
      <c r="AF21" s="143">
        <f>+AD21+AE21</f>
        <v>312266</v>
      </c>
      <c r="AG21" s="143">
        <f>+Z21-AF21</f>
        <v>117183.90399999998</v>
      </c>
      <c r="AH21" s="145">
        <f>+AG21/AF21</f>
        <v>0.3752694945975546</v>
      </c>
      <c r="AI21" s="146"/>
      <c r="AJ21" s="146">
        <v>0.02</v>
      </c>
      <c r="AK21" s="146">
        <v>0.02</v>
      </c>
      <c r="AL21" s="147">
        <f>+AH21-(AI21+AJ21+AK21)</f>
        <v>0.33526949459755462</v>
      </c>
      <c r="AM21" s="148"/>
    </row>
    <row r="22" spans="1:39" s="74" customFormat="1" ht="15.75" customHeight="1" thickBot="1" x14ac:dyDescent="0.25">
      <c r="A22" s="149"/>
      <c r="B22" s="149"/>
      <c r="C22" s="150"/>
      <c r="D22" s="151"/>
      <c r="E22" s="152"/>
      <c r="F22" s="152"/>
      <c r="G22" s="153"/>
      <c r="H22" s="154"/>
      <c r="I22" s="155"/>
      <c r="J22" s="153"/>
      <c r="K22" s="156"/>
      <c r="L22" s="156"/>
      <c r="M22" s="156"/>
      <c r="N22" s="156"/>
      <c r="O22" s="156"/>
      <c r="P22" s="157"/>
      <c r="Q22" s="158"/>
      <c r="R22" s="159"/>
      <c r="S22" s="159"/>
      <c r="T22" s="159"/>
      <c r="U22" s="159"/>
      <c r="V22" s="160"/>
      <c r="W22" s="160"/>
      <c r="X22" s="161"/>
      <c r="Y22" s="169"/>
      <c r="Z22" s="162"/>
      <c r="AA22" s="163"/>
      <c r="AB22" s="164"/>
      <c r="AC22" s="164"/>
      <c r="AD22" s="164"/>
      <c r="AE22" s="164"/>
      <c r="AF22" s="164"/>
      <c r="AG22" s="164"/>
      <c r="AH22" s="164"/>
      <c r="AI22" s="164"/>
      <c r="AJ22" s="164"/>
      <c r="AK22" s="164"/>
      <c r="AL22" s="165"/>
    </row>
    <row r="23" spans="1:39" x14ac:dyDescent="0.2">
      <c r="A23" s="79"/>
      <c r="B23" s="79"/>
      <c r="C23" s="79"/>
      <c r="D23" s="79"/>
      <c r="E23" s="166"/>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row>
  </sheetData>
  <mergeCells count="30">
    <mergeCell ref="Z17:Z19"/>
    <mergeCell ref="AA17:AL18"/>
    <mergeCell ref="D18:D19"/>
    <mergeCell ref="E18:E19"/>
    <mergeCell ref="F18:F19"/>
    <mergeCell ref="G18:G19"/>
    <mergeCell ref="H18:H19"/>
    <mergeCell ref="I18:I19"/>
    <mergeCell ref="T17:T19"/>
    <mergeCell ref="U17:U19"/>
    <mergeCell ref="V17:V19"/>
    <mergeCell ref="W17:W19"/>
    <mergeCell ref="X17:X19"/>
    <mergeCell ref="Y17:Y19"/>
    <mergeCell ref="R6:U6"/>
    <mergeCell ref="A17:A19"/>
    <mergeCell ref="B17:B19"/>
    <mergeCell ref="C17:C19"/>
    <mergeCell ref="D17:F17"/>
    <mergeCell ref="G17:I17"/>
    <mergeCell ref="J17:P18"/>
    <mergeCell ref="Q17:Q19"/>
    <mergeCell ref="R17:R19"/>
    <mergeCell ref="S17:S19"/>
    <mergeCell ref="A1:H1"/>
    <mergeCell ref="B2:H2"/>
    <mergeCell ref="B3:H3"/>
    <mergeCell ref="A4:G4"/>
    <mergeCell ref="H4:P5"/>
    <mergeCell ref="A5:G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LT ABC</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2023-09-28T12:13:51Z</dcterms:modified>
</cp:coreProperties>
</file>