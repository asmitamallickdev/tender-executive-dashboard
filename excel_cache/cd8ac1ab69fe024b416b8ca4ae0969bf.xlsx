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02_FEBRUARY 2024\TPCODL-549-LTABC-12174\"/>
    </mc:Choice>
  </mc:AlternateContent>
  <xr:revisionPtr revIDLastSave="0" documentId="13_ncr:1_{93A71CDF-C013-4A4B-97F8-E8F43AE7DDD7}"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AUTO CALCULATION SHEET (2)" sheetId="4" r:id="rId2"/>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8" i="4" l="1"/>
  <c r="K39" i="4"/>
  <c r="K40" i="4"/>
  <c r="K41" i="4"/>
  <c r="K42" i="4"/>
  <c r="K37" i="4"/>
  <c r="J42" i="4"/>
  <c r="J41" i="4"/>
  <c r="J40" i="4"/>
  <c r="J39" i="4"/>
  <c r="J38" i="4"/>
  <c r="J37" i="4"/>
  <c r="I42" i="4"/>
  <c r="I41" i="4"/>
  <c r="I40" i="4"/>
  <c r="I39" i="4"/>
  <c r="I38" i="4"/>
  <c r="I37" i="4"/>
  <c r="G42" i="4"/>
  <c r="G41" i="4"/>
  <c r="G40" i="4"/>
  <c r="G39" i="4"/>
  <c r="G38" i="4"/>
  <c r="G37" i="4"/>
  <c r="F38" i="4"/>
  <c r="F39" i="4"/>
  <c r="F40" i="4"/>
  <c r="F41" i="4"/>
  <c r="F42" i="4"/>
  <c r="F37" i="4"/>
  <c r="E38" i="4"/>
  <c r="E39" i="4"/>
  <c r="E40" i="4"/>
  <c r="E41" i="4"/>
  <c r="E42" i="4"/>
  <c r="E37" i="4"/>
  <c r="A38" i="4"/>
  <c r="B38" i="4"/>
  <c r="C38" i="4"/>
  <c r="D38" i="4"/>
  <c r="A39" i="4"/>
  <c r="B39" i="4"/>
  <c r="C39" i="4"/>
  <c r="D39" i="4"/>
  <c r="A40" i="4"/>
  <c r="B40" i="4"/>
  <c r="C40" i="4"/>
  <c r="D40" i="4"/>
  <c r="A41" i="4"/>
  <c r="B41" i="4"/>
  <c r="C41" i="4"/>
  <c r="D41" i="4"/>
  <c r="A42" i="4"/>
  <c r="B42" i="4"/>
  <c r="C42" i="4"/>
  <c r="D42" i="4"/>
  <c r="D37" i="4"/>
  <c r="C37" i="4"/>
  <c r="B37" i="4"/>
  <c r="A37" i="4"/>
  <c r="M38" i="4" l="1"/>
  <c r="M40" i="4"/>
  <c r="M42" i="4"/>
  <c r="M37" i="4"/>
  <c r="M39" i="4"/>
  <c r="M41" i="4"/>
  <c r="F22" i="4" l="1"/>
  <c r="T18" i="4" l="1"/>
  <c r="BY21" i="4"/>
  <c r="F29" i="4" s="1"/>
  <c r="J29" i="4" s="1"/>
  <c r="BY22" i="4"/>
  <c r="F30" i="4" s="1"/>
  <c r="J30" i="4" s="1"/>
  <c r="BY19" i="4"/>
  <c r="F27" i="4" s="1"/>
  <c r="J27" i="4" s="1"/>
  <c r="BY20" i="4"/>
  <c r="F28" i="4" s="1"/>
  <c r="J28" i="4" s="1"/>
  <c r="BY23" i="4"/>
  <c r="F31" i="4" s="1"/>
  <c r="J31" i="4" s="1"/>
  <c r="BY24" i="4"/>
  <c r="F32" i="4" s="1"/>
  <c r="J32" i="4" s="1"/>
  <c r="BY17" i="4"/>
  <c r="A21" i="4"/>
  <c r="C21" i="4"/>
  <c r="D21" i="4"/>
  <c r="D29" i="4" s="1"/>
  <c r="K21" i="4"/>
  <c r="E29" i="4" s="1"/>
  <c r="L21" i="4"/>
  <c r="O21" i="4"/>
  <c r="P21" i="4"/>
  <c r="Q21" i="4"/>
  <c r="R21" i="4"/>
  <c r="S21" i="4"/>
  <c r="U21" i="4"/>
  <c r="V21" i="4"/>
  <c r="W21" i="4"/>
  <c r="X21" i="4"/>
  <c r="Y21" i="4"/>
  <c r="Z21" i="4"/>
  <c r="AA21" i="4"/>
  <c r="AB21" i="4"/>
  <c r="AC21" i="4"/>
  <c r="AD21" i="4"/>
  <c r="AE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F21" i="4"/>
  <c r="BG21" i="4"/>
  <c r="BH21" i="4"/>
  <c r="BI21" i="4"/>
  <c r="BJ21" i="4"/>
  <c r="BK21" i="4"/>
  <c r="BL21" i="4"/>
  <c r="BM21" i="4"/>
  <c r="BN21" i="4"/>
  <c r="BO21" i="4"/>
  <c r="BP21" i="4"/>
  <c r="BQ21" i="4"/>
  <c r="BR21" i="4"/>
  <c r="BS21" i="4"/>
  <c r="BT21" i="4"/>
  <c r="BU21" i="4"/>
  <c r="BV21" i="4"/>
  <c r="BW21" i="4"/>
  <c r="BX21" i="4"/>
  <c r="BZ21" i="4"/>
  <c r="CB21" i="4"/>
  <c r="A22" i="4"/>
  <c r="C22" i="4"/>
  <c r="D22" i="4"/>
  <c r="D30" i="4" s="1"/>
  <c r="K22" i="4"/>
  <c r="E30" i="4" s="1"/>
  <c r="K30" i="4" s="1"/>
  <c r="M30" i="4" s="1"/>
  <c r="L30" i="4" s="1"/>
  <c r="L22" i="4"/>
  <c r="O22" i="4"/>
  <c r="P22" i="4"/>
  <c r="Q22" i="4"/>
  <c r="R22" i="4"/>
  <c r="S22" i="4"/>
  <c r="U22" i="4"/>
  <c r="V22" i="4"/>
  <c r="W22" i="4"/>
  <c r="X22" i="4"/>
  <c r="Y22" i="4"/>
  <c r="Z22" i="4"/>
  <c r="AA22" i="4"/>
  <c r="AB22" i="4"/>
  <c r="AC22" i="4"/>
  <c r="AD22" i="4"/>
  <c r="AE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BF22" i="4"/>
  <c r="BG22" i="4"/>
  <c r="BH22" i="4"/>
  <c r="BI22" i="4"/>
  <c r="BJ22" i="4"/>
  <c r="BK22" i="4"/>
  <c r="BL22" i="4"/>
  <c r="BM22" i="4"/>
  <c r="BN22" i="4"/>
  <c r="BO22" i="4"/>
  <c r="BP22" i="4"/>
  <c r="BQ22" i="4"/>
  <c r="BR22" i="4"/>
  <c r="BS22" i="4"/>
  <c r="BT22" i="4"/>
  <c r="BU22" i="4"/>
  <c r="BV22" i="4"/>
  <c r="BW22" i="4"/>
  <c r="BX22" i="4"/>
  <c r="BZ22" i="4"/>
  <c r="CB22" i="4"/>
  <c r="A19" i="4"/>
  <c r="C19" i="4"/>
  <c r="D19" i="4"/>
  <c r="D27" i="4" s="1"/>
  <c r="K19" i="4"/>
  <c r="E27" i="4" s="1"/>
  <c r="L19" i="4"/>
  <c r="N19" i="4"/>
  <c r="O19" i="4"/>
  <c r="P19" i="4"/>
  <c r="Q19" i="4"/>
  <c r="R19" i="4"/>
  <c r="S19" i="4"/>
  <c r="U19" i="4"/>
  <c r="V19" i="4"/>
  <c r="W19" i="4"/>
  <c r="X19" i="4"/>
  <c r="Y19" i="4"/>
  <c r="Z19" i="4"/>
  <c r="AA19" i="4"/>
  <c r="AB19" i="4"/>
  <c r="AC19" i="4"/>
  <c r="AD19" i="4"/>
  <c r="AE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BF19" i="4"/>
  <c r="BG19" i="4"/>
  <c r="BH19" i="4"/>
  <c r="BI19" i="4"/>
  <c r="BJ19" i="4"/>
  <c r="BK19" i="4"/>
  <c r="BL19" i="4"/>
  <c r="BM19" i="4"/>
  <c r="BN19" i="4"/>
  <c r="BO19" i="4"/>
  <c r="BP19" i="4"/>
  <c r="BQ19" i="4"/>
  <c r="BR19" i="4"/>
  <c r="BS19" i="4"/>
  <c r="BT19" i="4"/>
  <c r="BU19" i="4"/>
  <c r="BV19" i="4"/>
  <c r="BW19" i="4"/>
  <c r="BX19" i="4"/>
  <c r="BZ19" i="4"/>
  <c r="CB19" i="4"/>
  <c r="A20" i="4"/>
  <c r="C20" i="4"/>
  <c r="D20" i="4"/>
  <c r="D28" i="4" s="1"/>
  <c r="K20" i="4"/>
  <c r="E28" i="4" s="1"/>
  <c r="L20" i="4"/>
  <c r="O20" i="4"/>
  <c r="P20" i="4"/>
  <c r="Q20" i="4"/>
  <c r="R20" i="4"/>
  <c r="S20" i="4"/>
  <c r="U20" i="4"/>
  <c r="V20" i="4"/>
  <c r="W20" i="4"/>
  <c r="X20" i="4"/>
  <c r="Y20" i="4"/>
  <c r="Z20" i="4"/>
  <c r="AA20" i="4"/>
  <c r="AB20" i="4"/>
  <c r="AC20" i="4"/>
  <c r="AD20" i="4"/>
  <c r="AE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M20" i="4"/>
  <c r="BN20" i="4"/>
  <c r="BO20" i="4"/>
  <c r="BP20" i="4"/>
  <c r="BQ20" i="4"/>
  <c r="BR20" i="4"/>
  <c r="BS20" i="4"/>
  <c r="BT20" i="4"/>
  <c r="BU20" i="4"/>
  <c r="BV20" i="4"/>
  <c r="BW20" i="4"/>
  <c r="BX20" i="4"/>
  <c r="BZ20" i="4"/>
  <c r="CB20" i="4"/>
  <c r="A23" i="4"/>
  <c r="C23" i="4"/>
  <c r="D23" i="4"/>
  <c r="D31" i="4" s="1"/>
  <c r="K23" i="4"/>
  <c r="E31" i="4" s="1"/>
  <c r="L23" i="4"/>
  <c r="N23" i="4"/>
  <c r="O23" i="4"/>
  <c r="P23" i="4"/>
  <c r="Q23" i="4"/>
  <c r="R23" i="4"/>
  <c r="S23" i="4"/>
  <c r="T23" i="4"/>
  <c r="U23" i="4"/>
  <c r="V23" i="4"/>
  <c r="W23" i="4"/>
  <c r="X23" i="4"/>
  <c r="Y23" i="4"/>
  <c r="Z23" i="4"/>
  <c r="AA23" i="4"/>
  <c r="AB23" i="4"/>
  <c r="AC23" i="4"/>
  <c r="AD23" i="4"/>
  <c r="AE23" i="4"/>
  <c r="AF23" i="4"/>
  <c r="AG23" i="4"/>
  <c r="AH23" i="4"/>
  <c r="AI23" i="4"/>
  <c r="AJ23" i="4"/>
  <c r="AK23" i="4"/>
  <c r="AL23" i="4"/>
  <c r="AM23" i="4"/>
  <c r="AN23" i="4"/>
  <c r="AO23" i="4"/>
  <c r="AP23" i="4"/>
  <c r="AQ23" i="4"/>
  <c r="AR23" i="4"/>
  <c r="AS23" i="4"/>
  <c r="AT23" i="4"/>
  <c r="AU23" i="4"/>
  <c r="AV23" i="4"/>
  <c r="AW23" i="4"/>
  <c r="AX23" i="4"/>
  <c r="AY23" i="4"/>
  <c r="AZ23" i="4"/>
  <c r="BA23" i="4"/>
  <c r="BB23" i="4"/>
  <c r="BC23" i="4"/>
  <c r="BD23" i="4"/>
  <c r="BE23" i="4"/>
  <c r="BF23" i="4"/>
  <c r="BG23" i="4"/>
  <c r="BH23" i="4"/>
  <c r="BI23" i="4"/>
  <c r="BJ23" i="4"/>
  <c r="BK23" i="4"/>
  <c r="BL23" i="4"/>
  <c r="BM23" i="4"/>
  <c r="BN23" i="4"/>
  <c r="BO23" i="4"/>
  <c r="BP23" i="4"/>
  <c r="BQ23" i="4"/>
  <c r="BR23" i="4"/>
  <c r="BS23" i="4"/>
  <c r="BT23" i="4"/>
  <c r="BU23" i="4"/>
  <c r="BV23" i="4"/>
  <c r="BW23" i="4"/>
  <c r="BX23" i="4"/>
  <c r="BZ23" i="4"/>
  <c r="CB23" i="4"/>
  <c r="K27" i="4" l="1"/>
  <c r="M27" i="4" s="1"/>
  <c r="K31" i="4"/>
  <c r="M31" i="4" s="1"/>
  <c r="K28" i="4"/>
  <c r="M28" i="4" s="1"/>
  <c r="K29" i="4"/>
  <c r="M29" i="4" s="1"/>
  <c r="L29" i="4" l="1"/>
  <c r="F21" i="4"/>
  <c r="L28" i="4"/>
  <c r="F20" i="4"/>
  <c r="L27" i="4"/>
  <c r="F19" i="4"/>
  <c r="L31" i="4"/>
  <c r="F23" i="4"/>
  <c r="BX24" i="4"/>
  <c r="BW24" i="4"/>
  <c r="BX17" i="4"/>
  <c r="BW17" i="4"/>
  <c r="BV24" i="4"/>
  <c r="BV17" i="4"/>
  <c r="B17" i="4"/>
  <c r="S18" i="4" l="1"/>
  <c r="AB24" i="4" l="1"/>
  <c r="AA24" i="4"/>
  <c r="Z24" i="4"/>
  <c r="Y24" i="4"/>
  <c r="X24" i="4"/>
  <c r="W24" i="4"/>
  <c r="V24" i="4"/>
  <c r="U24" i="4"/>
  <c r="S24" i="4"/>
  <c r="BU24" i="4"/>
  <c r="BT24" i="4"/>
  <c r="BS24" i="4"/>
  <c r="BR24" i="4"/>
  <c r="BQ24" i="4"/>
  <c r="BP24" i="4"/>
  <c r="BO24" i="4"/>
  <c r="BN24" i="4"/>
  <c r="BS18" i="4"/>
  <c r="BT18" i="4"/>
  <c r="BU18" i="4"/>
  <c r="BR18" i="4"/>
  <c r="BQ18" i="4"/>
  <c r="BP18" i="4"/>
  <c r="BN18" i="4"/>
  <c r="BO18" i="4"/>
  <c r="BM18" i="4"/>
  <c r="BM24" i="4"/>
  <c r="BL24" i="4"/>
  <c r="BK24" i="4"/>
  <c r="BJ24" i="4"/>
  <c r="BI24" i="4"/>
  <c r="BH24" i="4"/>
  <c r="BG24" i="4"/>
  <c r="BF24" i="4"/>
  <c r="BE24" i="4"/>
  <c r="BD24" i="4"/>
  <c r="BC24" i="4"/>
  <c r="BL18" i="4"/>
  <c r="BK18" i="4"/>
  <c r="BJ18" i="4"/>
  <c r="BI18" i="4"/>
  <c r="BH18" i="4"/>
  <c r="BG18" i="4"/>
  <c r="BF18" i="4"/>
  <c r="BE18" i="4"/>
  <c r="BD18" i="4"/>
  <c r="BC18" i="4"/>
  <c r="BB24" i="4"/>
  <c r="BA24" i="4"/>
  <c r="AZ24" i="4"/>
  <c r="AY24" i="4"/>
  <c r="AX24" i="4"/>
  <c r="AW24" i="4"/>
  <c r="AV24" i="4"/>
  <c r="AU24" i="4"/>
  <c r="AT24" i="4"/>
  <c r="AS24" i="4"/>
  <c r="BB18" i="4"/>
  <c r="BA18" i="4"/>
  <c r="AZ18" i="4"/>
  <c r="AY18" i="4"/>
  <c r="AX18" i="4"/>
  <c r="AW18" i="4"/>
  <c r="AV18" i="4"/>
  <c r="AU18" i="4"/>
  <c r="AT18" i="4"/>
  <c r="AS18" i="4"/>
  <c r="AR18" i="4"/>
  <c r="AR24" i="4"/>
  <c r="AQ24" i="4"/>
  <c r="AP24" i="4"/>
  <c r="AO24" i="4"/>
  <c r="AN24" i="4"/>
  <c r="AM24" i="4"/>
  <c r="AL24" i="4"/>
  <c r="AQ18" i="4"/>
  <c r="AP18" i="4"/>
  <c r="AO18" i="4"/>
  <c r="AN18" i="4"/>
  <c r="AM18" i="4"/>
  <c r="AL18" i="4"/>
  <c r="AK18" i="4"/>
  <c r="AK24" i="4"/>
  <c r="AJ24" i="4"/>
  <c r="AI24" i="4"/>
  <c r="AH24" i="4"/>
  <c r="AG24" i="4"/>
  <c r="AE24" i="4"/>
  <c r="AJ18" i="4"/>
  <c r="AI18" i="4"/>
  <c r="AH18" i="4"/>
  <c r="AE18" i="4"/>
  <c r="AG18" i="4"/>
  <c r="AD18" i="4"/>
  <c r="AD24" i="4"/>
  <c r="AC24" i="4"/>
  <c r="AC18" i="4"/>
  <c r="AB18" i="4" l="1"/>
  <c r="AA18" i="4"/>
  <c r="Z18" i="4"/>
  <c r="Y18" i="4"/>
  <c r="X18" i="4"/>
  <c r="W18" i="4"/>
  <c r="V18" i="4"/>
  <c r="U18" i="4"/>
  <c r="R18" i="4" l="1"/>
  <c r="Q18" i="4"/>
  <c r="P18" i="4"/>
  <c r="O18" i="4"/>
  <c r="N24" i="4"/>
  <c r="R24" i="4"/>
  <c r="Q24" i="4"/>
  <c r="P24" i="4"/>
  <c r="O24" i="4"/>
  <c r="N16" i="4"/>
  <c r="L24" i="4"/>
  <c r="K24" i="4"/>
  <c r="E32" i="4" s="1"/>
  <c r="K32" i="4" s="1"/>
  <c r="M32" i="4" s="1"/>
  <c r="CB24" i="4"/>
  <c r="BZ24" i="4"/>
  <c r="D24" i="4"/>
  <c r="D32" i="4" s="1"/>
  <c r="C24" i="4"/>
  <c r="A24" i="4"/>
  <c r="L32" i="4" l="1"/>
  <c r="F24" i="4"/>
  <c r="CA19" i="4"/>
  <c r="CA23" i="4"/>
  <c r="CA20" i="4"/>
  <c r="CA22" i="4"/>
  <c r="CA21" i="4"/>
  <c r="CA24" i="4"/>
  <c r="CE21" i="4" l="1"/>
  <c r="CG21" i="4"/>
  <c r="CC21" i="4"/>
  <c r="CC22" i="4"/>
  <c r="CG22" i="4"/>
  <c r="CE22" i="4"/>
  <c r="CE23" i="4"/>
  <c r="CC23" i="4"/>
  <c r="CG23" i="4"/>
  <c r="CC20" i="4"/>
  <c r="CG20" i="4"/>
  <c r="CE20" i="4"/>
  <c r="CC19" i="4"/>
  <c r="CG19" i="4"/>
  <c r="CE19" i="4"/>
  <c r="CC24" i="4"/>
  <c r="CE24" i="4"/>
  <c r="CG24" i="4"/>
  <c r="CH21" i="4" l="1"/>
  <c r="CL21" i="4" s="1"/>
  <c r="CH20" i="4"/>
  <c r="CH19" i="4"/>
  <c r="CH23" i="4"/>
  <c r="CH22" i="4"/>
  <c r="CH24" i="4"/>
  <c r="CJ21" i="4" l="1"/>
  <c r="E21" i="4" s="1"/>
  <c r="G21" i="4" s="1"/>
  <c r="I21" i="4" s="1"/>
  <c r="J21" i="4" s="1"/>
  <c r="M21" i="4" s="1"/>
  <c r="CJ22" i="4"/>
  <c r="CL22" i="4"/>
  <c r="CL23" i="4"/>
  <c r="CJ23" i="4"/>
  <c r="CL20" i="4"/>
  <c r="CJ20" i="4"/>
  <c r="CJ19" i="4"/>
  <c r="CL19" i="4"/>
  <c r="CJ24" i="4"/>
  <c r="CL24" i="4"/>
  <c r="E20" i="4" l="1"/>
  <c r="G20" i="4" s="1"/>
  <c r="I20" i="4" s="1"/>
  <c r="J20" i="4" s="1"/>
  <c r="M20" i="4" s="1"/>
  <c r="E22" i="4"/>
  <c r="G22" i="4" s="1"/>
  <c r="I22" i="4" s="1"/>
  <c r="J22" i="4" s="1"/>
  <c r="M22" i="4" s="1"/>
  <c r="E23" i="4"/>
  <c r="G23" i="4" s="1"/>
  <c r="E19" i="4"/>
  <c r="G19" i="4" s="1"/>
  <c r="I19" i="4" s="1"/>
  <c r="J19" i="4" s="1"/>
  <c r="M19" i="4" s="1"/>
  <c r="E24" i="4"/>
  <c r="I23" i="4" l="1"/>
  <c r="J23" i="4" s="1"/>
  <c r="M23" i="4" s="1"/>
  <c r="G24" i="4"/>
  <c r="I24" i="4" s="1"/>
  <c r="J24" i="4" s="1"/>
  <c r="M2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6" authorId="0" shapeId="0" xr:uid="{2A48DE89-B8E7-43D2-9CF1-06EB676AF017}">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<sst xmlns="http://schemas.openxmlformats.org/spreadsheetml/2006/main" count="320" uniqueCount="210">
  <si>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</si>
  <si>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</si>
  <si>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</si>
  <si>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</si>
  <si>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</si>
  <si>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</si>
  <si>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</si>
  <si>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</si>
  <si>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</si>
  <si>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</si>
  <si>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</si>
  <si>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</si>
  <si>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</si>
  <si>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</si>
  <si>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</si>
  <si>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</si>
  <si>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</si>
  <si>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</si>
  <si>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</si>
  <si>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</si>
  <si>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</si>
  <si>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</si>
  <si>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</si>
  <si>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</si>
  <si>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</si>
  <si>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</si>
  <si>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</si>
  <si>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</si>
  <si>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</si>
  <si>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</si>
  <si>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</si>
  <si>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</si>
  <si>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</si>
  <si>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</si>
  <si>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</si>
  <si>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</si>
  <si>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</si>
  <si>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</si>
  <si>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</si>
  <si>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</si>
  <si>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</si>
  <si>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</si>
  <si>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</si>
  <si>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</si>
  <si>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</si>
  <si>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</si>
  <si>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</si>
  <si>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</si>
  <si>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</si>
  <si>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</si>
  <si>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</si>
  <si>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</si>
  <si>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</si>
  <si>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</si>
  <si>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</si>
  <si>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</si>
  <si>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</si>
  <si>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</si>
  <si>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</si>
  <si>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</si>
  <si>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</si>
  <si>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</si>
  <si>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</si>
  <si>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</si>
  <si>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</si>
  <si>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</si>
  <si>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</si>
  <si>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</si>
  <si>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</si>
  <si>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</si>
  <si>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</si>
  <si>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</si>
  <si>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</si>
  <si>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</si>
  <si>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</si>
  <si>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</si>
  <si>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</si>
  <si>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</si>
  <si>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</si>
  <si>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</si>
  <si>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</si>
  <si>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</si>
  <si>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</si>
  <si>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</si>
  <si>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</si>
  <si>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</si>
  <si>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</si>
  <si>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</si>
  <si>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</si>
  <si>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</si>
  <si>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</si>
  <si>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</si>
  <si>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</si>
  <si>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</si>
  <si>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</si>
  <si>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</si>
  <si>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</si>
  <si>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</si>
  <si>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</si>
  <si>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</si>
  <si>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</si>
  <si>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</si>
  <si>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</si>
  <si>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</si>
  <si>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</si>
  <si>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</si>
  <si>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</si>
  <si>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</si>
  <si>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</si>
  <si>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</si>
  <si>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</si>
  <si>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</si>
  <si>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</si>
  <si>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</si>
  <si>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</si>
  <si>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</si>
  <si>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</si>
  <si>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</si>
  <si>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</si>
  <si>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</si>
  <si>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</si>
  <si>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</si>
  <si>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</si>
  <si>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</si>
  <si>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</si>
  <si>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</si>
  <si>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</si>
  <si>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</si>
  <si>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</si>
  <si>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</si>
  <si>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</si>
  <si>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</si>
  <si>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</si>
  <si>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</si>
  <si>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</si>
  <si>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</si>
  <si>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</si>
  <si>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</si>
  <si>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</si>
  <si>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Rate Contract - Supply of LT AB Cable at TPCODL, TPNODL &amp; TPSODL for One Year.</t>
  </si>
  <si>
    <t>TPCODL / CCG / 23-24 / 1000000549</t>
  </si>
  <si>
    <t xml:space="preserve"> 05/02/24 [15:00 Hrs.] </t>
  </si>
  <si>
    <t xml:space="preserve">Tata Power Odisha DISCOMs </t>
  </si>
  <si>
    <t xml:space="preserve">No of bidders allowed to participate in RA process shall be: Total No of bidders on whom tender would be split PLUS 3 more bidders  Illustrative example: Total no of qualified bidders is 10 &amp; tender needs to split amongst 3 bidders.  
PLUS 3 means (03 + 03 = 06) means lowest 6 bidders i.e., L1 to L6 bidders would be allowed in the RA process. Balance, H1 to H4 bidders would not be allowed in the RA process. In case – Total no of qualified bidders is equal to or less than the PLUS 3 number, all qualified bidders shall be allowed in the RA process. 
Illustrative example: Total no of qualified bidders is 6 &amp; tender needs to split amongst 3 bidders. PLUS 3 means (03 + 03 = 06), so all 6 qualified bidders would be allowed in the RA process Illustrative example: Total no of qualified bidders is 4 &amp; tender would be awarded to single party only.
 PLUS 3 means (01 + 03 = 04), so all 4 qualified bidders would be allowed in the RA process </t>
  </si>
  <si>
    <t>Price will be fixed and firm during the contractual period.</t>
  </si>
  <si>
    <t xml:space="preserve">Bids shall remain valid for 180 days from the due date of submission of the bid.
Notwithstanding clause above, CCG may solicit the Bidder’s consent to an extension of the Period of Bid Validity. The request and responses thereto shall be made in writing. </t>
  </si>
  <si>
    <t xml:space="preserve">Delivery period shall be 60 days from date of receipt of release order / CAT-A issuance, whichever is later. </t>
  </si>
  <si>
    <t xml:space="preserve">100% payment within 60 days of submission of error-free Invoice complete in all respects. However, for MSME the payment cycle shall be 45 days. </t>
  </si>
  <si>
    <t>Cables shall be furnished in the specified reels or coil lengths of 500 meters.</t>
  </si>
  <si>
    <t xml:space="preserve">Drums shall be of non-returnable wooden drums as per IS 10418:1982 and the drums should be free from defects such as through cracks, knots, warps and split. The ends of the cables shall be suitably sealed by means of non-hygroscopic sealing. The tolerance on the Drum length shall be +/- 5% / as per PO terms.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</si>
  <si>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</si>
  <si>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</si>
  <si>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</si>
  <si>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</si>
  <si>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</si>
  <si>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</si>
  <si>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</si>
  <si>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</si>
  <si>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</si>
  <si>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</si>
  <si>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</si>
  <si>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</si>
  <si>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</si>
  <si>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</si>
  <si>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</si>
  <si>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</si>
  <si>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</si>
  <si>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</si>
  <si>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</si>
  <si>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ENQ-12174-22-23</t>
  </si>
  <si>
    <t>FA1500004</t>
  </si>
  <si>
    <t>1 CORE X 35 SQ. MM. + 1 CORE X 25 SQ. MM. AB CABLE ( INSULATED)</t>
  </si>
  <si>
    <t>WOOD</t>
  </si>
  <si>
    <t>Alumimium Alloy</t>
  </si>
  <si>
    <t>KMS</t>
  </si>
  <si>
    <t>MD0100004</t>
  </si>
  <si>
    <t>DRUM - 28 X 10 X 23 X 2</t>
  </si>
  <si>
    <t>FA0100081</t>
  </si>
  <si>
    <t>4 CORE X 70 SQ MM + 1 CORE X 16 SQ MM + 1 CORE X 70 SQ. MM. (AB CABLES) (BARE)</t>
  </si>
  <si>
    <t>MD0100013</t>
  </si>
  <si>
    <t>DRUM - 48 X 14 X 36 X 2.25</t>
  </si>
  <si>
    <t>FA0100082</t>
  </si>
  <si>
    <t>4 CORE X 95 SQ MM + 1 CORE X 16 SQ MM + 1 CORE X 95 SQ MM (AB CABLES) (BARE)</t>
  </si>
  <si>
    <t>MD0100017</t>
  </si>
  <si>
    <t>DRUM - 52 X 18 X 36 X 2.5</t>
  </si>
  <si>
    <t>FA1500122</t>
  </si>
  <si>
    <t>4 CORE X 35 SQ MM + 1 CORE X 16 SQ MM + 1 CORE X 35 SQ MM (AB CABLES) (BARE)</t>
  </si>
  <si>
    <t>MD0100015</t>
  </si>
  <si>
    <t>DRUM - 48 X 20 X 28 X 2.25 - RDSO</t>
  </si>
  <si>
    <t>FA1500120</t>
  </si>
  <si>
    <t>4 CORE X 50 SQ MM + 1 CORE X 16 SQ MM + 1 CORE X 50 SQ MM (AB CABLES) (BARE)</t>
  </si>
  <si>
    <t>FA1500133</t>
  </si>
  <si>
    <t>2 CORE X 35 SQ MM + 1 CORE X 25 SQ MM (AB CABLES) (BARE)</t>
  </si>
  <si>
    <t>MD0100005</t>
  </si>
  <si>
    <t>DRUM - 36 X 14 X 23 X 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</si>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</sst>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000%"/>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80">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3" fontId="0" fillId="0" borderId="0" xfId="0" applyNumberFormat="1"/>
    <xf numFmtId="14"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2"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164" fontId="2" fillId="0" borderId="1" xfId="0" applyNumberFormat="1" applyFont="1" applyBorder="1" applyAlignment="1">
      <alignment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7"/>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135</v>
      </c>
      <c r="C1" t="s">
        <v>1</v>
      </c>
      <c r="D1" t="s">
        <v>2</v>
      </c>
      <c r="E1" t="s">
        <v>136</v>
      </c>
      <c r="F1" t="s">
        <v>3</v>
      </c>
      <c r="G1" t="s">
        <v>150</v>
      </c>
      <c r="H1" t="s">
        <v>4</v>
      </c>
      <c r="I1" t="s">
        <v>5</v>
      </c>
      <c r="J1" t="s">
        <v>6</v>
      </c>
      <c r="K1" t="s">
        <v>151</v>
      </c>
      <c r="L1" t="s">
        <v>7</v>
      </c>
      <c r="M1" t="s">
        <v>8</v>
      </c>
      <c r="N1" t="s">
        <v>9</v>
      </c>
      <c r="O1" t="s">
        <v>152</v>
      </c>
      <c r="P1" t="s">
        <v>10</v>
      </c>
      <c r="Q1" t="s">
        <v>11</v>
      </c>
      <c r="R1" t="s">
        <v>12</v>
      </c>
      <c r="S1" t="s">
        <v>153</v>
      </c>
      <c r="T1" t="s">
        <v>13</v>
      </c>
      <c r="U1" t="s">
        <v>14</v>
      </c>
      <c r="V1" t="s">
        <v>15</v>
      </c>
      <c r="W1" t="s">
        <v>154</v>
      </c>
      <c r="X1" t="s">
        <v>16</v>
      </c>
      <c r="Y1" t="s">
        <v>17</v>
      </c>
      <c r="Z1" t="s">
        <v>18</v>
      </c>
      <c r="AA1" t="s">
        <v>155</v>
      </c>
      <c r="AB1" t="s">
        <v>19</v>
      </c>
      <c r="AC1" t="s">
        <v>20</v>
      </c>
      <c r="AD1" t="s">
        <v>21</v>
      </c>
      <c r="AE1" t="s">
        <v>156</v>
      </c>
      <c r="AF1" t="s">
        <v>22</v>
      </c>
      <c r="AG1" t="s">
        <v>23</v>
      </c>
      <c r="AH1" t="s">
        <v>24</v>
      </c>
      <c r="AI1" t="s">
        <v>157</v>
      </c>
      <c r="AJ1" t="s">
        <v>25</v>
      </c>
      <c r="AK1" t="s">
        <v>26</v>
      </c>
      <c r="AL1" t="s">
        <v>27</v>
      </c>
      <c r="AM1" t="s">
        <v>158</v>
      </c>
      <c r="AN1" t="s">
        <v>28</v>
      </c>
      <c r="AO1" t="s">
        <v>29</v>
      </c>
      <c r="AP1" t="s">
        <v>30</v>
      </c>
      <c r="AQ1" t="s">
        <v>159</v>
      </c>
      <c r="AR1" t="s">
        <v>31</v>
      </c>
      <c r="AS1" t="s">
        <v>32</v>
      </c>
      <c r="AT1" t="s">
        <v>33</v>
      </c>
      <c r="AU1" t="s">
        <v>160</v>
      </c>
      <c r="AV1" t="s">
        <v>34</v>
      </c>
      <c r="AW1" t="s">
        <v>35</v>
      </c>
      <c r="AX1" t="s">
        <v>36</v>
      </c>
      <c r="AY1" t="s">
        <v>161</v>
      </c>
      <c r="AZ1" t="s">
        <v>37</v>
      </c>
      <c r="BA1" t="s">
        <v>38</v>
      </c>
      <c r="BB1" t="s">
        <v>39</v>
      </c>
      <c r="BC1" t="s">
        <v>162</v>
      </c>
      <c r="BD1" t="s">
        <v>40</v>
      </c>
      <c r="BE1" t="s">
        <v>41</v>
      </c>
      <c r="BF1" t="s">
        <v>42</v>
      </c>
      <c r="BG1" t="s">
        <v>163</v>
      </c>
      <c r="BH1" t="s">
        <v>43</v>
      </c>
      <c r="BI1" t="s">
        <v>44</v>
      </c>
      <c r="BJ1" t="s">
        <v>45</v>
      </c>
      <c r="BK1" t="s">
        <v>164</v>
      </c>
      <c r="BL1" t="s">
        <v>46</v>
      </c>
      <c r="BM1" t="s">
        <v>47</v>
      </c>
      <c r="BN1" t="s">
        <v>48</v>
      </c>
      <c r="BO1" t="s">
        <v>165</v>
      </c>
      <c r="BP1" t="s">
        <v>49</v>
      </c>
      <c r="BQ1" t="s">
        <v>50</v>
      </c>
      <c r="BR1" t="s">
        <v>51</v>
      </c>
      <c r="BS1" t="s">
        <v>166</v>
      </c>
      <c r="BT1" t="s">
        <v>52</v>
      </c>
      <c r="BU1" t="s">
        <v>53</v>
      </c>
      <c r="BV1" t="s">
        <v>54</v>
      </c>
      <c r="BW1" t="s">
        <v>167</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168</v>
      </c>
    </row>
    <row r="2" spans="1:102" x14ac:dyDescent="0.25">
      <c r="A2" t="s">
        <v>169</v>
      </c>
      <c r="B2" s="55">
        <v>45321</v>
      </c>
      <c r="C2" t="s">
        <v>170</v>
      </c>
      <c r="D2" t="s">
        <v>171</v>
      </c>
      <c r="E2" t="s">
        <v>172</v>
      </c>
      <c r="J2" t="s">
        <v>80</v>
      </c>
      <c r="K2">
        <v>217</v>
      </c>
      <c r="L2">
        <v>95</v>
      </c>
      <c r="M2">
        <v>20615</v>
      </c>
      <c r="N2" t="s">
        <v>173</v>
      </c>
      <c r="O2">
        <v>224</v>
      </c>
      <c r="P2">
        <v>67.5</v>
      </c>
      <c r="Q2">
        <v>15120</v>
      </c>
      <c r="T2">
        <v>0</v>
      </c>
      <c r="V2" t="s">
        <v>86</v>
      </c>
      <c r="W2">
        <v>107</v>
      </c>
      <c r="X2">
        <v>60</v>
      </c>
      <c r="Y2">
        <v>6420</v>
      </c>
      <c r="AB2">
        <v>0</v>
      </c>
      <c r="AF2">
        <v>0</v>
      </c>
      <c r="AJ2">
        <v>0</v>
      </c>
      <c r="AN2">
        <v>0</v>
      </c>
      <c r="AR2">
        <v>0</v>
      </c>
      <c r="AV2">
        <v>0</v>
      </c>
      <c r="AZ2">
        <v>0</v>
      </c>
      <c r="BD2">
        <v>0</v>
      </c>
      <c r="BH2">
        <v>0</v>
      </c>
      <c r="BL2">
        <v>0</v>
      </c>
      <c r="BP2">
        <v>0</v>
      </c>
      <c r="BT2">
        <v>0</v>
      </c>
      <c r="BX2">
        <v>0</v>
      </c>
      <c r="BZ2">
        <v>3751.68</v>
      </c>
      <c r="CA2">
        <v>45906.68</v>
      </c>
      <c r="CH2">
        <v>45906.68</v>
      </c>
      <c r="CM2">
        <v>45906.68</v>
      </c>
      <c r="CO2">
        <v>45906.68</v>
      </c>
      <c r="CR2">
        <v>45906.68</v>
      </c>
      <c r="CS2">
        <v>27</v>
      </c>
      <c r="CT2" t="s">
        <v>174</v>
      </c>
      <c r="CU2" s="54">
        <v>1239480</v>
      </c>
      <c r="CV2" t="s">
        <v>175</v>
      </c>
      <c r="CW2" t="s">
        <v>176</v>
      </c>
      <c r="CX2">
        <v>500</v>
      </c>
    </row>
    <row r="3" spans="1:102" x14ac:dyDescent="0.25">
      <c r="A3" t="s">
        <v>169</v>
      </c>
      <c r="B3" s="55">
        <v>45321</v>
      </c>
      <c r="C3" t="s">
        <v>177</v>
      </c>
      <c r="D3" t="s">
        <v>178</v>
      </c>
      <c r="E3" t="s">
        <v>172</v>
      </c>
      <c r="J3" t="s">
        <v>80</v>
      </c>
      <c r="K3">
        <v>217</v>
      </c>
      <c r="L3">
        <v>815</v>
      </c>
      <c r="M3">
        <v>176855</v>
      </c>
      <c r="N3" t="s">
        <v>173</v>
      </c>
      <c r="O3">
        <v>224</v>
      </c>
      <c r="P3">
        <v>193</v>
      </c>
      <c r="Q3">
        <v>43232</v>
      </c>
      <c r="T3">
        <v>0</v>
      </c>
      <c r="V3" t="s">
        <v>86</v>
      </c>
      <c r="W3">
        <v>107</v>
      </c>
      <c r="X3">
        <v>233</v>
      </c>
      <c r="Y3">
        <v>24931</v>
      </c>
      <c r="AB3">
        <v>0</v>
      </c>
      <c r="AF3">
        <v>0</v>
      </c>
      <c r="AJ3">
        <v>0</v>
      </c>
      <c r="AN3">
        <v>0</v>
      </c>
      <c r="AR3">
        <v>0</v>
      </c>
      <c r="AV3">
        <v>0</v>
      </c>
      <c r="AZ3">
        <v>0</v>
      </c>
      <c r="BD3">
        <v>0</v>
      </c>
      <c r="BH3">
        <v>0</v>
      </c>
      <c r="BL3">
        <v>0</v>
      </c>
      <c r="BP3">
        <v>0</v>
      </c>
      <c r="BT3">
        <v>0</v>
      </c>
      <c r="BX3">
        <v>0</v>
      </c>
      <c r="BZ3">
        <v>7486.04</v>
      </c>
      <c r="CA3">
        <v>252504.04</v>
      </c>
      <c r="CH3">
        <v>252504.04</v>
      </c>
      <c r="CM3">
        <v>252504.04</v>
      </c>
      <c r="CO3">
        <v>252504.04</v>
      </c>
      <c r="CR3">
        <v>252504.04</v>
      </c>
      <c r="CS3">
        <v>275.60000000000002</v>
      </c>
      <c r="CT3" t="s">
        <v>174</v>
      </c>
      <c r="CU3" s="54">
        <v>69590113</v>
      </c>
      <c r="CV3" t="s">
        <v>179</v>
      </c>
      <c r="CW3" t="s">
        <v>180</v>
      </c>
      <c r="CX3">
        <v>500</v>
      </c>
    </row>
    <row r="4" spans="1:102" x14ac:dyDescent="0.25">
      <c r="A4" t="s">
        <v>169</v>
      </c>
      <c r="B4" s="55">
        <v>45321</v>
      </c>
      <c r="C4" t="s">
        <v>181</v>
      </c>
      <c r="D4" t="s">
        <v>182</v>
      </c>
      <c r="E4" t="s">
        <v>172</v>
      </c>
      <c r="J4" t="s">
        <v>80</v>
      </c>
      <c r="K4">
        <v>217</v>
      </c>
      <c r="L4">
        <v>1091</v>
      </c>
      <c r="M4">
        <v>236747</v>
      </c>
      <c r="N4" t="s">
        <v>173</v>
      </c>
      <c r="O4">
        <v>224</v>
      </c>
      <c r="P4">
        <v>262</v>
      </c>
      <c r="Q4">
        <v>58688</v>
      </c>
      <c r="T4">
        <v>0</v>
      </c>
      <c r="V4" t="s">
        <v>86</v>
      </c>
      <c r="W4">
        <v>107</v>
      </c>
      <c r="X4">
        <v>259</v>
      </c>
      <c r="Y4">
        <v>27713</v>
      </c>
      <c r="AB4">
        <v>0</v>
      </c>
      <c r="AF4">
        <v>0</v>
      </c>
      <c r="AJ4">
        <v>0</v>
      </c>
      <c r="AN4">
        <v>0</v>
      </c>
      <c r="AR4">
        <v>0</v>
      </c>
      <c r="AV4">
        <v>0</v>
      </c>
      <c r="AZ4">
        <v>0</v>
      </c>
      <c r="BD4">
        <v>0</v>
      </c>
      <c r="BH4">
        <v>0</v>
      </c>
      <c r="BL4">
        <v>0</v>
      </c>
      <c r="BP4">
        <v>0</v>
      </c>
      <c r="BT4">
        <v>0</v>
      </c>
      <c r="BX4">
        <v>0</v>
      </c>
      <c r="BZ4">
        <v>9913.67</v>
      </c>
      <c r="CA4">
        <v>333061.67</v>
      </c>
      <c r="CH4">
        <v>333061.67</v>
      </c>
      <c r="CM4">
        <v>333061.67</v>
      </c>
      <c r="CO4">
        <v>333061.67</v>
      </c>
      <c r="CR4">
        <v>333061.67</v>
      </c>
      <c r="CS4">
        <v>637.77</v>
      </c>
      <c r="CT4" t="s">
        <v>174</v>
      </c>
      <c r="CU4" s="54">
        <v>212416741</v>
      </c>
      <c r="CV4" t="s">
        <v>183</v>
      </c>
      <c r="CW4" t="s">
        <v>184</v>
      </c>
      <c r="CX4">
        <v>500</v>
      </c>
    </row>
    <row r="5" spans="1:102" x14ac:dyDescent="0.25">
      <c r="A5" t="s">
        <v>169</v>
      </c>
      <c r="B5" s="55">
        <v>45321</v>
      </c>
      <c r="C5" t="s">
        <v>185</v>
      </c>
      <c r="D5" t="s">
        <v>186</v>
      </c>
      <c r="E5" t="s">
        <v>172</v>
      </c>
      <c r="J5" t="s">
        <v>80</v>
      </c>
      <c r="K5">
        <v>217</v>
      </c>
      <c r="L5">
        <v>421</v>
      </c>
      <c r="M5">
        <v>91357</v>
      </c>
      <c r="N5" t="s">
        <v>173</v>
      </c>
      <c r="O5">
        <v>224</v>
      </c>
      <c r="P5">
        <v>99</v>
      </c>
      <c r="Q5">
        <v>22176</v>
      </c>
      <c r="T5">
        <v>0</v>
      </c>
      <c r="V5" t="s">
        <v>86</v>
      </c>
      <c r="W5">
        <v>107</v>
      </c>
      <c r="X5">
        <v>185</v>
      </c>
      <c r="Y5">
        <v>19795</v>
      </c>
      <c r="AB5">
        <v>0</v>
      </c>
      <c r="AF5">
        <v>0</v>
      </c>
      <c r="AJ5">
        <v>0</v>
      </c>
      <c r="AN5">
        <v>0</v>
      </c>
      <c r="AR5">
        <v>0</v>
      </c>
      <c r="AV5">
        <v>0</v>
      </c>
      <c r="AZ5">
        <v>0</v>
      </c>
      <c r="BD5">
        <v>0</v>
      </c>
      <c r="BH5">
        <v>0</v>
      </c>
      <c r="BL5">
        <v>0</v>
      </c>
      <c r="BP5">
        <v>0</v>
      </c>
      <c r="BT5">
        <v>0</v>
      </c>
      <c r="BX5">
        <v>0</v>
      </c>
      <c r="BZ5">
        <v>7317.08</v>
      </c>
      <c r="CA5">
        <v>140645.07999999999</v>
      </c>
      <c r="CH5">
        <v>140645.07999999999</v>
      </c>
      <c r="CM5">
        <v>140645.07999999999</v>
      </c>
      <c r="CO5">
        <v>140645.07999999999</v>
      </c>
      <c r="CR5">
        <v>140645.07999999999</v>
      </c>
      <c r="CS5">
        <v>690.6</v>
      </c>
      <c r="CT5" t="s">
        <v>174</v>
      </c>
      <c r="CU5" s="54">
        <v>97129492</v>
      </c>
      <c r="CV5" t="s">
        <v>187</v>
      </c>
      <c r="CW5" t="s">
        <v>188</v>
      </c>
      <c r="CX5">
        <v>500</v>
      </c>
    </row>
    <row r="6" spans="1:102" x14ac:dyDescent="0.25">
      <c r="A6" t="s">
        <v>169</v>
      </c>
      <c r="B6" s="55">
        <v>45321</v>
      </c>
      <c r="C6" t="s">
        <v>189</v>
      </c>
      <c r="D6" t="s">
        <v>190</v>
      </c>
      <c r="E6" t="s">
        <v>172</v>
      </c>
      <c r="J6" t="s">
        <v>80</v>
      </c>
      <c r="K6">
        <v>217</v>
      </c>
      <c r="L6">
        <v>584</v>
      </c>
      <c r="M6">
        <v>126728</v>
      </c>
      <c r="N6" t="s">
        <v>173</v>
      </c>
      <c r="O6">
        <v>224</v>
      </c>
      <c r="P6">
        <v>140</v>
      </c>
      <c r="Q6">
        <v>31360</v>
      </c>
      <c r="T6">
        <v>0</v>
      </c>
      <c r="V6" t="s">
        <v>86</v>
      </c>
      <c r="W6">
        <v>107</v>
      </c>
      <c r="X6">
        <v>210</v>
      </c>
      <c r="Y6">
        <v>22470</v>
      </c>
      <c r="AB6">
        <v>0</v>
      </c>
      <c r="AF6">
        <v>0</v>
      </c>
      <c r="AJ6">
        <v>0</v>
      </c>
      <c r="AN6">
        <v>0</v>
      </c>
      <c r="AR6">
        <v>0</v>
      </c>
      <c r="AV6">
        <v>0</v>
      </c>
      <c r="AZ6">
        <v>0</v>
      </c>
      <c r="BD6">
        <v>0</v>
      </c>
      <c r="BH6">
        <v>0</v>
      </c>
      <c r="BL6">
        <v>0</v>
      </c>
      <c r="BP6">
        <v>0</v>
      </c>
      <c r="BT6">
        <v>0</v>
      </c>
      <c r="BX6">
        <v>0</v>
      </c>
      <c r="BZ6">
        <v>7486.04</v>
      </c>
      <c r="CA6">
        <v>188044.04</v>
      </c>
      <c r="CH6">
        <v>188044.04</v>
      </c>
      <c r="CM6">
        <v>188044.04</v>
      </c>
      <c r="CO6">
        <v>188044.04</v>
      </c>
      <c r="CR6">
        <v>188044.04</v>
      </c>
      <c r="CS6">
        <v>1143.3800000000001</v>
      </c>
      <c r="CT6" t="s">
        <v>174</v>
      </c>
      <c r="CU6" s="54">
        <v>215005794</v>
      </c>
      <c r="CV6" t="s">
        <v>179</v>
      </c>
      <c r="CW6" t="s">
        <v>180</v>
      </c>
      <c r="CX6">
        <v>500</v>
      </c>
    </row>
    <row r="7" spans="1:102" x14ac:dyDescent="0.25">
      <c r="A7" t="s">
        <v>169</v>
      </c>
      <c r="B7" s="55">
        <v>45321</v>
      </c>
      <c r="C7" t="s">
        <v>191</v>
      </c>
      <c r="D7" t="s">
        <v>192</v>
      </c>
      <c r="E7" t="s">
        <v>172</v>
      </c>
      <c r="J7" t="s">
        <v>80</v>
      </c>
      <c r="K7">
        <v>217</v>
      </c>
      <c r="L7">
        <v>189</v>
      </c>
      <c r="M7">
        <v>41013</v>
      </c>
      <c r="N7" t="s">
        <v>173</v>
      </c>
      <c r="O7">
        <v>224</v>
      </c>
      <c r="P7">
        <v>69</v>
      </c>
      <c r="Q7">
        <v>15456</v>
      </c>
      <c r="T7">
        <v>0</v>
      </c>
      <c r="V7" t="s">
        <v>86</v>
      </c>
      <c r="W7">
        <v>107</v>
      </c>
      <c r="X7">
        <v>66</v>
      </c>
      <c r="Y7">
        <v>7062</v>
      </c>
      <c r="AB7">
        <v>0</v>
      </c>
      <c r="AF7">
        <v>0</v>
      </c>
      <c r="AJ7">
        <v>0</v>
      </c>
      <c r="AN7">
        <v>0</v>
      </c>
      <c r="AR7">
        <v>0</v>
      </c>
      <c r="AV7">
        <v>0</v>
      </c>
      <c r="AZ7">
        <v>0</v>
      </c>
      <c r="BD7">
        <v>0</v>
      </c>
      <c r="BH7">
        <v>0</v>
      </c>
      <c r="BL7">
        <v>0</v>
      </c>
      <c r="BP7">
        <v>0</v>
      </c>
      <c r="BT7">
        <v>0</v>
      </c>
      <c r="BX7">
        <v>0</v>
      </c>
      <c r="BZ7">
        <v>4610.79</v>
      </c>
      <c r="CA7">
        <v>68141.789999999994</v>
      </c>
      <c r="CH7">
        <v>68141.789999999994</v>
      </c>
      <c r="CM7">
        <v>68141.789999999994</v>
      </c>
      <c r="CO7">
        <v>68141.789999999994</v>
      </c>
      <c r="CR7">
        <v>68141.789999999994</v>
      </c>
      <c r="CS7">
        <v>1372</v>
      </c>
      <c r="CT7" t="s">
        <v>174</v>
      </c>
      <c r="CU7" s="54">
        <v>93490536</v>
      </c>
      <c r="CV7" t="s">
        <v>193</v>
      </c>
      <c r="CW7" t="s">
        <v>194</v>
      </c>
      <c r="CX7">
        <v>500</v>
      </c>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42"/>
  <sheetViews>
    <sheetView tabSelected="1" topLeftCell="A17" workbookViewId="0">
      <selection activeCell="L38" sqref="L38:L42"/>
    </sheetView>
  </sheetViews>
  <sheetFormatPr defaultRowHeight="15" x14ac:dyDescent="0.25"/>
  <cols>
    <col min="1" max="1" width="15.140625" bestFit="1" customWidth="1"/>
    <col min="2" max="2" width="10.7109375" bestFit="1" customWidth="1"/>
    <col min="3" max="3" width="10.28515625" bestFit="1" customWidth="1"/>
    <col min="4" max="4" width="36"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4" width="7.85546875" style="30" customWidth="1"/>
    <col min="15" max="19" width="7.85546875" style="30" hidden="1" customWidth="1"/>
    <col min="20" max="20" width="7.85546875" style="30" customWidth="1"/>
    <col min="21" max="31" width="7.85546875" style="30" hidden="1" customWidth="1"/>
    <col min="32" max="32" width="7.85546875" style="30" customWidth="1"/>
    <col min="33" max="73" width="7.85546875" style="30" hidden="1" customWidth="1"/>
    <col min="74" max="74" width="7.85546875" style="30" customWidth="1"/>
    <col min="75" max="75" width="12.5703125" style="30" customWidth="1"/>
    <col min="76" max="76" width="14.5703125" style="30" customWidth="1"/>
    <col min="77" max="77" width="10.7109375" style="30" customWidth="1"/>
    <col min="78" max="78" width="11.28515625" style="4"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76" t="s">
        <v>142</v>
      </c>
      <c r="B2" s="77"/>
      <c r="C2" s="77"/>
      <c r="D2" s="77"/>
      <c r="E2" s="77"/>
      <c r="F2" s="77"/>
      <c r="G2" s="77"/>
      <c r="H2" s="77"/>
      <c r="I2" s="77"/>
      <c r="J2" s="77"/>
      <c r="K2" s="77"/>
      <c r="L2" s="77"/>
      <c r="M2" s="77"/>
      <c r="N2" s="77"/>
      <c r="O2" s="77"/>
      <c r="P2" s="77"/>
      <c r="Q2" s="77"/>
      <c r="R2" s="78"/>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68" t="s">
        <v>140</v>
      </c>
      <c r="C4" s="69"/>
      <c r="D4" s="69"/>
      <c r="E4" s="69"/>
      <c r="F4" s="69"/>
      <c r="G4" s="69"/>
      <c r="H4" s="69"/>
      <c r="I4" s="69"/>
      <c r="J4" s="69"/>
      <c r="K4" s="69"/>
      <c r="L4" s="69"/>
      <c r="M4" s="69"/>
      <c r="N4" s="69"/>
      <c r="O4" s="69"/>
      <c r="P4" s="69"/>
      <c r="Q4" s="69"/>
      <c r="R4" s="69"/>
      <c r="S4"/>
    </row>
    <row r="5" spans="1:89" s="44" customFormat="1" ht="34.5" customHeight="1" x14ac:dyDescent="0.25">
      <c r="A5" s="45" t="s">
        <v>126</v>
      </c>
      <c r="B5" s="69" t="s">
        <v>139</v>
      </c>
      <c r="C5" s="69"/>
      <c r="D5" s="69"/>
      <c r="E5" s="69"/>
      <c r="F5" s="69"/>
      <c r="G5" s="69"/>
      <c r="H5" s="69"/>
      <c r="I5" s="69"/>
      <c r="J5" s="69"/>
      <c r="K5" s="69"/>
      <c r="L5" s="69"/>
      <c r="M5" s="69"/>
      <c r="N5" s="69"/>
      <c r="O5" s="69"/>
      <c r="P5" s="69"/>
      <c r="Q5" s="69"/>
      <c r="R5" s="69"/>
      <c r="S5"/>
    </row>
    <row r="6" spans="1:89" s="44" customFormat="1" ht="45.75" customHeight="1" x14ac:dyDescent="0.25">
      <c r="A6" s="46" t="s">
        <v>127</v>
      </c>
      <c r="B6" s="68" t="s">
        <v>141</v>
      </c>
      <c r="C6" s="69"/>
      <c r="D6" s="69"/>
      <c r="E6" s="69"/>
      <c r="F6" s="69"/>
      <c r="G6" s="69"/>
      <c r="H6" s="69"/>
      <c r="I6" s="69"/>
      <c r="J6" s="69"/>
      <c r="K6" s="69"/>
      <c r="L6" s="69"/>
      <c r="M6" s="69"/>
      <c r="N6" s="69"/>
      <c r="O6" s="69"/>
      <c r="P6" s="69"/>
      <c r="Q6" s="69"/>
      <c r="R6" s="69"/>
      <c r="S6"/>
    </row>
    <row r="7" spans="1:89" s="44" customFormat="1" ht="92.25" customHeight="1" x14ac:dyDescent="0.25">
      <c r="A7" s="46" t="s">
        <v>124</v>
      </c>
      <c r="B7" s="68" t="s">
        <v>143</v>
      </c>
      <c r="C7" s="69"/>
      <c r="D7" s="69"/>
      <c r="E7" s="69"/>
      <c r="F7" s="69"/>
      <c r="G7" s="69"/>
      <c r="H7" s="69"/>
      <c r="I7" s="69"/>
      <c r="J7" s="69"/>
      <c r="K7" s="69"/>
      <c r="L7" s="69"/>
      <c r="M7" s="69"/>
      <c r="N7" s="69"/>
      <c r="O7" s="69"/>
      <c r="P7" s="69"/>
      <c r="Q7" s="69"/>
      <c r="R7" s="69"/>
      <c r="S7"/>
    </row>
    <row r="8" spans="1:89" s="44" customFormat="1" ht="28.5" customHeight="1" x14ac:dyDescent="0.25">
      <c r="A8" s="46" t="s">
        <v>128</v>
      </c>
      <c r="B8" s="68" t="s">
        <v>144</v>
      </c>
      <c r="C8" s="68"/>
      <c r="D8" s="68"/>
      <c r="E8" s="68"/>
      <c r="F8" s="68"/>
      <c r="G8" s="68"/>
      <c r="H8" s="68"/>
      <c r="I8" s="68"/>
      <c r="J8" s="68"/>
      <c r="K8" s="68"/>
      <c r="L8" s="68"/>
      <c r="M8" s="68"/>
      <c r="N8" s="68"/>
      <c r="O8" s="68"/>
      <c r="P8" s="68"/>
      <c r="Q8" s="68"/>
      <c r="R8" s="68"/>
      <c r="S8"/>
    </row>
    <row r="9" spans="1:89" s="44" customFormat="1" ht="39.75" customHeight="1" x14ac:dyDescent="0.25">
      <c r="A9" s="46" t="s">
        <v>129</v>
      </c>
      <c r="B9" s="73" t="s">
        <v>145</v>
      </c>
      <c r="C9" s="74"/>
      <c r="D9" s="74"/>
      <c r="E9" s="74"/>
      <c r="F9" s="74"/>
      <c r="G9" s="74"/>
      <c r="H9" s="74"/>
      <c r="I9" s="74"/>
      <c r="J9" s="74"/>
      <c r="K9" s="74"/>
      <c r="L9" s="74"/>
      <c r="M9" s="74"/>
      <c r="N9" s="74"/>
      <c r="O9" s="74"/>
      <c r="P9" s="74"/>
      <c r="Q9" s="74"/>
      <c r="R9" s="75"/>
    </row>
    <row r="10" spans="1:89" s="44" customFormat="1" ht="37.5" customHeight="1" x14ac:dyDescent="0.25">
      <c r="A10" s="46" t="s">
        <v>130</v>
      </c>
      <c r="B10" s="68" t="s">
        <v>146</v>
      </c>
      <c r="C10" s="68"/>
      <c r="D10" s="68"/>
      <c r="E10" s="68"/>
      <c r="F10" s="68"/>
      <c r="G10" s="68"/>
      <c r="H10" s="68"/>
      <c r="I10" s="68"/>
      <c r="J10" s="68"/>
      <c r="K10" s="68"/>
      <c r="L10" s="68"/>
      <c r="M10" s="68"/>
      <c r="N10" s="68"/>
      <c r="O10" s="68"/>
      <c r="P10" s="68"/>
      <c r="Q10" s="68"/>
      <c r="R10" s="68"/>
      <c r="S10"/>
    </row>
    <row r="11" spans="1:89" s="44" customFormat="1" ht="30" x14ac:dyDescent="0.25">
      <c r="A11" s="46" t="s">
        <v>131</v>
      </c>
      <c r="B11" s="64" t="s">
        <v>147</v>
      </c>
      <c r="C11" s="65"/>
      <c r="D11" s="65"/>
      <c r="E11" s="65"/>
      <c r="F11" s="65"/>
      <c r="G11" s="65"/>
      <c r="H11" s="65"/>
      <c r="I11" s="65"/>
      <c r="J11" s="65"/>
      <c r="K11" s="65"/>
      <c r="L11" s="65"/>
      <c r="M11" s="65"/>
      <c r="N11" s="65"/>
      <c r="O11" s="65"/>
      <c r="P11" s="65"/>
      <c r="Q11" s="65"/>
      <c r="R11" s="66"/>
      <c r="S11"/>
    </row>
    <row r="12" spans="1:89" s="44" customFormat="1" ht="30" x14ac:dyDescent="0.25">
      <c r="A12" s="49" t="s">
        <v>132</v>
      </c>
      <c r="B12" s="67" t="s">
        <v>148</v>
      </c>
      <c r="C12" s="67"/>
      <c r="D12" s="67"/>
      <c r="E12" s="67"/>
      <c r="F12" s="67"/>
      <c r="G12" s="67"/>
      <c r="H12" s="67"/>
      <c r="I12" s="67"/>
      <c r="J12" s="67"/>
      <c r="K12" s="67"/>
      <c r="L12" s="67"/>
      <c r="M12" s="67"/>
      <c r="N12" s="67"/>
      <c r="O12" s="67"/>
      <c r="P12" s="67"/>
      <c r="Q12" s="67"/>
      <c r="R12" s="67"/>
    </row>
    <row r="13" spans="1:89" s="44" customFormat="1" ht="37.5" customHeight="1" x14ac:dyDescent="0.25">
      <c r="A13" s="49" t="s">
        <v>133</v>
      </c>
      <c r="B13" s="67" t="s">
        <v>149</v>
      </c>
      <c r="C13" s="67"/>
      <c r="D13" s="67"/>
      <c r="E13" s="67"/>
      <c r="F13" s="67"/>
      <c r="G13" s="67"/>
      <c r="H13" s="67"/>
      <c r="I13" s="67"/>
      <c r="J13" s="67"/>
      <c r="K13" s="67"/>
      <c r="L13" s="67"/>
      <c r="M13" s="67"/>
      <c r="N13" s="67"/>
      <c r="O13" s="67"/>
      <c r="P13" s="67"/>
      <c r="Q13" s="67"/>
      <c r="R13" s="67"/>
    </row>
    <row r="14" spans="1:89" s="44" customFormat="1" ht="30" x14ac:dyDescent="0.25">
      <c r="A14" s="50" t="s">
        <v>134</v>
      </c>
      <c r="B14" s="67"/>
      <c r="C14" s="67"/>
      <c r="D14" s="67"/>
      <c r="E14" s="67"/>
      <c r="F14" s="67"/>
      <c r="G14" s="67"/>
      <c r="H14" s="67"/>
      <c r="I14" s="67"/>
      <c r="J14" s="67"/>
      <c r="K14" s="67"/>
      <c r="L14" s="67"/>
      <c r="M14" s="67"/>
      <c r="N14" s="67"/>
      <c r="O14" s="67"/>
      <c r="P14" s="67"/>
      <c r="Q14" s="67"/>
      <c r="R14" s="67"/>
    </row>
    <row r="16" spans="1:89" s="37" customFormat="1" ht="28.9" customHeight="1" x14ac:dyDescent="0.25">
      <c r="E16" s="42"/>
      <c r="H16" s="43"/>
      <c r="N16" s="72" t="str">
        <f>Sheet1!J1</f>
        <v>Conductor</v>
      </c>
      <c r="O16" s="72"/>
      <c r="P16" s="72"/>
      <c r="Q16" s="72"/>
      <c r="R16" s="72"/>
      <c r="S16" s="72" t="s">
        <v>9</v>
      </c>
      <c r="T16" s="72"/>
      <c r="U16" s="72" t="s">
        <v>3</v>
      </c>
      <c r="V16" s="72"/>
      <c r="W16" s="72"/>
      <c r="X16" s="72"/>
      <c r="Y16" s="72"/>
      <c r="Z16" s="72"/>
      <c r="AA16" s="72"/>
      <c r="AB16" s="72"/>
      <c r="AC16" s="72" t="s">
        <v>12</v>
      </c>
      <c r="AD16" s="72"/>
      <c r="AE16" s="72" t="s">
        <v>15</v>
      </c>
      <c r="AF16" s="72"/>
      <c r="AG16" s="72"/>
      <c r="AH16" s="72"/>
      <c r="AI16" s="72"/>
      <c r="AJ16" s="72"/>
      <c r="AK16" s="10" t="s">
        <v>18</v>
      </c>
      <c r="AL16" s="70" t="s">
        <v>21</v>
      </c>
      <c r="AM16" s="71"/>
      <c r="AN16" s="71"/>
      <c r="AO16" s="71"/>
      <c r="AP16" s="71"/>
      <c r="AQ16" s="71"/>
      <c r="AR16" s="71"/>
      <c r="AS16" s="72" t="s">
        <v>24</v>
      </c>
      <c r="AT16" s="72"/>
      <c r="AU16" s="72"/>
      <c r="AV16" s="72"/>
      <c r="AW16" s="72"/>
      <c r="AX16" s="72"/>
      <c r="AY16" s="72"/>
      <c r="AZ16" s="72"/>
      <c r="BA16" s="72"/>
      <c r="BB16" s="72"/>
      <c r="BC16" s="72" t="s">
        <v>27</v>
      </c>
      <c r="BD16" s="72"/>
      <c r="BE16" s="72"/>
      <c r="BF16" s="72"/>
      <c r="BG16" s="72"/>
      <c r="BH16" s="72"/>
      <c r="BI16" s="72"/>
      <c r="BJ16" s="72"/>
      <c r="BK16" s="72"/>
      <c r="BL16" s="72"/>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3" t="str">
        <f>Sheet1!CV1</f>
        <v>DRUM CODE</v>
      </c>
      <c r="BX17" s="53" t="str">
        <f>Sheet1!CW1</f>
        <v>DRUM SIZE (FxbXtx Ft)</v>
      </c>
      <c r="BY17" s="53"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219</v>
      </c>
      <c r="O18" s="32">
        <f>+IFERROR(VLOOKUP($O$17,Sheet1!J:L,2,0),0)</f>
        <v>0</v>
      </c>
      <c r="P18" s="32">
        <f>+IFERROR(VLOOKUP($P$17,Sheet1!J:M,2,0),0)</f>
        <v>0</v>
      </c>
      <c r="Q18" s="32">
        <f>+IFERROR(VLOOKUP($Q$17,Sheet1!J:M,2,0),0)</f>
        <v>0</v>
      </c>
      <c r="R18" s="32">
        <f>+IFERROR(VLOOKUP($R$17,Sheet1!J:M,2,0),0)</f>
        <v>0</v>
      </c>
      <c r="S18" s="32">
        <f>+IFERROR(VLOOKUP($S$17,Sheet1!N:Q,2,0),0)</f>
        <v>0</v>
      </c>
      <c r="T18" s="32">
        <f>N18+7</f>
        <v>226</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v>107</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2"/>
      <c r="BW18" s="52"/>
      <c r="BX18" s="52"/>
      <c r="BY18" s="52"/>
      <c r="CD18" s="5"/>
      <c r="CE18" s="5"/>
      <c r="CF18" s="5"/>
      <c r="CG18" s="5"/>
      <c r="CH18" s="5"/>
      <c r="CI18" s="5"/>
      <c r="CJ18" s="5"/>
      <c r="CK18" s="5"/>
      <c r="CL18" s="5"/>
    </row>
    <row r="19" spans="1:90" ht="45" x14ac:dyDescent="0.25">
      <c r="A19" s="1" t="str">
        <f>Sheet1!A5</f>
        <v>ENQ-12174-22-23</v>
      </c>
      <c r="B19" s="51">
        <v>45322</v>
      </c>
      <c r="C19" s="1" t="str">
        <f>Sheet1!C5</f>
        <v>FA1500122</v>
      </c>
      <c r="D19" s="1" t="str">
        <f>Sheet1!D5</f>
        <v>4 CORE X 35 SQ MM + 1 CORE X 16 SQ MM + 1 CORE X 35 SQ MM (AB CABLES) (BARE)</v>
      </c>
      <c r="E19" s="3">
        <f t="shared" ref="E19:E24" si="0">CH19+CJ19+CL19</f>
        <v>167753.25143199999</v>
      </c>
      <c r="F19" s="61">
        <f>ROUNDUP(M27,0)</f>
        <v>2034</v>
      </c>
      <c r="G19" s="9">
        <f t="shared" ref="G19:G24" si="1">E19+F19</f>
        <v>169787.25143199999</v>
      </c>
      <c r="H19" s="7">
        <v>0.18</v>
      </c>
      <c r="I19" s="9">
        <f t="shared" ref="I19:I24" si="2">G19*H19</f>
        <v>30561.705257759997</v>
      </c>
      <c r="J19" s="9">
        <f t="shared" ref="J19:J24" si="3">G19+I19</f>
        <v>200348.95668975997</v>
      </c>
      <c r="K19" s="1">
        <f>Sheet1!CS5</f>
        <v>690.6</v>
      </c>
      <c r="L19" s="1" t="str">
        <f>Sheet1!CT5</f>
        <v>KMS</v>
      </c>
      <c r="M19" s="3">
        <f t="shared" ref="M19:M24" si="4">J19*K19</f>
        <v>138360989.48994824</v>
      </c>
      <c r="N19" s="62">
        <f>+IFERROR(VLOOKUP($N$17,Sheet1!J5:L5,3,0),0)</f>
        <v>421</v>
      </c>
      <c r="O19" s="2">
        <f>+IFERROR(VLOOKUP($O$17,Sheet1!J5:L5,3,0),0)</f>
        <v>0</v>
      </c>
      <c r="P19" s="2">
        <f>+IFERROR(VLOOKUP($P$17,Sheet1!J5:M5,3,0),0)</f>
        <v>0</v>
      </c>
      <c r="Q19" s="2">
        <f>+IFERROR(VLOOKUP($Q$17,Sheet1!J5:M5,3,0),0)</f>
        <v>0</v>
      </c>
      <c r="R19" s="2">
        <f>+IFERROR(VLOOKUP($R$17,Sheet1!J5:M5,3,0),0)</f>
        <v>0</v>
      </c>
      <c r="S19" s="2">
        <f>+IFERROR(VLOOKUP($S$17,Sheet1!N5:Q5,3,0),0)</f>
        <v>0</v>
      </c>
      <c r="T19" s="62">
        <v>97</v>
      </c>
      <c r="U19" s="62">
        <f>+IFERROR(VLOOKUP($U$17,Sheet1!F5:I5,3,0),0)</f>
        <v>0</v>
      </c>
      <c r="V19" s="62">
        <f>+IFERROR(VLOOKUP($V$17,Sheet1!F5:I5,3,0),0)</f>
        <v>0</v>
      </c>
      <c r="W19" s="62">
        <f>+IFERROR(VLOOKUP($W$17,Sheet1!F5:I5,3,0),0)</f>
        <v>0</v>
      </c>
      <c r="X19" s="62">
        <f>+IFERROR(VLOOKUP($X$17,Sheet1!F5:I5,3,0),0)</f>
        <v>0</v>
      </c>
      <c r="Y19" s="62">
        <f>+IFERROR(VLOOKUP($Y$17,Sheet1!F5:I5,3,0),0)</f>
        <v>0</v>
      </c>
      <c r="Z19" s="62">
        <f>+IFERROR(VLOOKUP($Z$17,Sheet1!F5:I5,3,0),0)</f>
        <v>0</v>
      </c>
      <c r="AA19" s="62">
        <f>+IFERROR(VLOOKUP($AA$17,Sheet1!F5:I5,3,0),0)</f>
        <v>0</v>
      </c>
      <c r="AB19" s="62">
        <f>+IFERROR(VLOOKUP($AB$17,Sheet1!F5:I5,3,0),0)</f>
        <v>0</v>
      </c>
      <c r="AC19" s="62">
        <f>+IFERROR(VLOOKUP($AC$17,Sheet1!R5:U5,3,0),0)</f>
        <v>0</v>
      </c>
      <c r="AD19" s="63">
        <f>+IFERROR(VLOOKUP($AD$17,Sheet1!R5:U5,2,0),0)</f>
        <v>0</v>
      </c>
      <c r="AE19" s="62">
        <f>+IFERROR(VLOOKUP($AE$17,Sheet1!V5:Y5,3,0),0)</f>
        <v>0</v>
      </c>
      <c r="AF19" s="63">
        <v>155</v>
      </c>
      <c r="AG19" s="15">
        <f>+IFERROR(VLOOKUP($AG$17,Sheet1!V5:Y5,3,0),0)</f>
        <v>0</v>
      </c>
      <c r="AH19" s="15">
        <f>+IFERROR(VLOOKUP($AH$17,Sheet1!V5:Y5,3,0),0)</f>
        <v>0</v>
      </c>
      <c r="AI19" s="15">
        <f>+IFERROR(VLOOKUP($AI$17,Sheet1!V5:Y5,3,0),0)</f>
        <v>0</v>
      </c>
      <c r="AJ19" s="15">
        <f>+IFERROR(VLOOKUP($AJ$17,Sheet1!V5:Y5,3,0),0)</f>
        <v>0</v>
      </c>
      <c r="AK19" s="15">
        <f>+IFERROR(VLOOKUP($AK$17,Sheet1!Z5:AB5,3,0),0)</f>
        <v>0</v>
      </c>
      <c r="AL19" s="15">
        <f>+IFERROR(VLOOKUP($AL$17,Sheet1!AD5:AG5,3,0),0)</f>
        <v>0</v>
      </c>
      <c r="AM19" s="15">
        <f>+IFERROR(VLOOKUP($AM$17,Sheet1!AD5:AG5,3,0),0)</f>
        <v>0</v>
      </c>
      <c r="AN19" s="15">
        <f>+IFERROR(VLOOKUP($AN$17,Sheet1!AD5:AG5,3,0),0)</f>
        <v>0</v>
      </c>
      <c r="AO19" s="15">
        <f>+IFERROR(VLOOKUP($AO$17,Sheet1!AD5:AG5,3,0),0)</f>
        <v>0</v>
      </c>
      <c r="AP19" s="15">
        <f>+IFERROR(VLOOKUP($AP$17,Sheet1!AD5:AG5,3,0),0)</f>
        <v>0</v>
      </c>
      <c r="AQ19" s="15">
        <f>+IFERROR(VLOOKUP($AQ$17,Sheet1!AD5:AG5,3,0),0)</f>
        <v>0</v>
      </c>
      <c r="AR19" s="15">
        <f>+IFERROR(VLOOKUP($AR$17,Sheet1!AD5:AG5,3,0),0)</f>
        <v>0</v>
      </c>
      <c r="AS19" s="15">
        <f>+IFERROR(VLOOKUP($AS$17,Sheet1!AH5:AK5,3,0),0)</f>
        <v>0</v>
      </c>
      <c r="AT19" s="15">
        <f>+IFERROR(VLOOKUP($AT$17,Sheet1!AH5:AK5,3,0),0)</f>
        <v>0</v>
      </c>
      <c r="AU19" s="15">
        <f>+IFERROR(VLOOKUP($AU$17,Sheet1!AH5:AK5,3,0),0)</f>
        <v>0</v>
      </c>
      <c r="AV19" s="15">
        <f>+IFERROR(VLOOKUP($AV$17,Sheet1!AH5:AK5,3,0),0)</f>
        <v>0</v>
      </c>
      <c r="AW19" s="15">
        <f>+IFERROR(VLOOKUP($AW$17,Sheet1!AH5:AK5,3,0),0)</f>
        <v>0</v>
      </c>
      <c r="AX19" s="15">
        <f>+IFERROR(VLOOKUP($AX$17,Sheet1!AH5:AK5,3,0),0)</f>
        <v>0</v>
      </c>
      <c r="AY19" s="15">
        <f>+IFERROR(VLOOKUP($AY$17,Sheet1!AH5:AK5,3,0),0)</f>
        <v>0</v>
      </c>
      <c r="AZ19" s="15">
        <f>+IFERROR(VLOOKUP($AZ$17,Sheet1!AH5:AK5,3,0),0)</f>
        <v>0</v>
      </c>
      <c r="BA19" s="15">
        <f>+IFERROR(VLOOKUP($BA$17,Sheet1!AH5:AK5,3,0),0)</f>
        <v>0</v>
      </c>
      <c r="BB19" s="15">
        <f>+IFERROR(VLOOKUP($BB$17,Sheet1!AH5:AK5,3,0),0)</f>
        <v>0</v>
      </c>
      <c r="BC19" s="15">
        <f>+IFERROR(VLOOKUP($BC$17,Sheet1!AL5:AO5,3,0),0)</f>
        <v>0</v>
      </c>
      <c r="BD19" s="15">
        <f>+IFERROR(VLOOKUP($BD$17,Sheet1!AL5:AO5,3,0),0)</f>
        <v>0</v>
      </c>
      <c r="BE19" s="15">
        <f>+IFERROR(VLOOKUP($BE$17,Sheet1!AL5:AO5,3,0),0)</f>
        <v>0</v>
      </c>
      <c r="BF19" s="15">
        <f>+IFERROR(VLOOKUP($BF$17,Sheet1!AL5:AO5,3,0),0)</f>
        <v>0</v>
      </c>
      <c r="BG19" s="15">
        <f>+IFERROR(VLOOKUP($BG$17,Sheet1!AL5:AO5,3,0),0)</f>
        <v>0</v>
      </c>
      <c r="BH19" s="15">
        <f>+IFERROR(VLOOKUP($BH$17,Sheet1!AL5:AO5,3,0),0)</f>
        <v>0</v>
      </c>
      <c r="BI19" s="15">
        <f>+IFERROR(VLOOKUP($BI$17,Sheet1!AL5:AO5,3,0),0)</f>
        <v>0</v>
      </c>
      <c r="BJ19" s="15">
        <f>+IFERROR(VLOOKUP($BJ$17,Sheet1!AL5:AO5,3,0),0)</f>
        <v>0</v>
      </c>
      <c r="BK19" s="15">
        <f>+IFERROR(VLOOKUP($BK$17,Sheet1!AL5:AO5,3,0),0)</f>
        <v>0</v>
      </c>
      <c r="BL19" s="15">
        <f>+IFERROR(VLOOKUP($BL$17,Sheet1!AL5:AO5,3,0),0)</f>
        <v>0</v>
      </c>
      <c r="BM19" s="15">
        <f>+IFERROR(VLOOKUP($BM$17,Sheet1!AP5:AS5,3,0),0)</f>
        <v>0</v>
      </c>
      <c r="BN19" s="15">
        <f>+IFERROR(VLOOKUP($BN$17,Sheet1!AT5:AW5,3,0),0)</f>
        <v>0</v>
      </c>
      <c r="BO19" s="15">
        <f>+IFERROR(VLOOKUP($BO$17,Sheet1!AX5:BA5,3,0),0)</f>
        <v>0</v>
      </c>
      <c r="BP19" s="15">
        <f>+IFERROR(VLOOKUP($BP$17,Sheet1!BB5:BE5,3,0),0)</f>
        <v>0</v>
      </c>
      <c r="BQ19" s="15">
        <f>+IFERROR(VLOOKUP($BQ$17,Sheet1!BF5:BI5,3,0),0)</f>
        <v>0</v>
      </c>
      <c r="BR19" s="15">
        <f>+IFERROR(VLOOKUP($BR$17,Sheet1!BJ5:BM5,3,0),0)</f>
        <v>0</v>
      </c>
      <c r="BS19" s="15">
        <f>+IFERROR(VLOOKUP($BS$17,Sheet1!BN5:BQ5,3,0),0)</f>
        <v>0</v>
      </c>
      <c r="BT19" s="15">
        <f>+IFERROR(VLOOKUP($BT$17,Sheet1!BR5:BU5,3,0),0)</f>
        <v>0</v>
      </c>
      <c r="BU19" s="15">
        <f>+IFERROR(VLOOKUP($BU$17,Sheet1!BV5:BY5,3,0),0)</f>
        <v>0</v>
      </c>
      <c r="BV19" s="63" t="str">
        <f>Sheet1!E5</f>
        <v>WOOD</v>
      </c>
      <c r="BW19" s="15" t="str">
        <f>Sheet1!CV5</f>
        <v>MD0100015</v>
      </c>
      <c r="BX19" s="15" t="str">
        <f>Sheet1!CW5</f>
        <v>DRUM - 48 X 20 X 28 X 2.25 - RDSO</v>
      </c>
      <c r="BY19" s="63">
        <f>Sheet1!CX5</f>
        <v>500</v>
      </c>
      <c r="BZ19" s="3">
        <f>Sheet1!BZ5</f>
        <v>7317.08</v>
      </c>
      <c r="CA19" s="3">
        <f t="shared" ref="CA19:CA24" si="5">SUMPRODUCT($N$18:$BU$18,N19:BU19)+BZ19</f>
        <v>138023.07999999999</v>
      </c>
      <c r="CB19" s="27">
        <f>Sheet1!CB5</f>
        <v>0</v>
      </c>
      <c r="CC19" s="3">
        <f t="shared" ref="CC19:CC24" si="6">CA19*CB19</f>
        <v>0</v>
      </c>
      <c r="CD19" s="48">
        <v>0.18</v>
      </c>
      <c r="CE19" s="3">
        <f t="shared" ref="CE19:CE24" si="7">CA19*CD19</f>
        <v>24844.154399999996</v>
      </c>
      <c r="CF19" s="48">
        <v>0</v>
      </c>
      <c r="CG19" s="3">
        <f t="shared" ref="CG19:CG24" si="8">CA19*CF19</f>
        <v>0</v>
      </c>
      <c r="CH19" s="3">
        <f t="shared" ref="CH19:CH24" si="9">CA19+CC19+CE19+CG19</f>
        <v>162867.23439999999</v>
      </c>
      <c r="CI19" s="48">
        <v>0.02</v>
      </c>
      <c r="CJ19" s="1">
        <f t="shared" ref="CJ19:CJ24" si="10">CH19*CI19</f>
        <v>3257.3446879999997</v>
      </c>
      <c r="CK19" s="48">
        <v>0.01</v>
      </c>
      <c r="CL19" s="1">
        <f t="shared" ref="CL19:CL24" si="11">CH19*CK19</f>
        <v>1628.6723439999998</v>
      </c>
    </row>
    <row r="20" spans="1:90" ht="45" x14ac:dyDescent="0.25">
      <c r="A20" s="1" t="str">
        <f>Sheet1!A6</f>
        <v>ENQ-12174-22-23</v>
      </c>
      <c r="B20" s="51">
        <v>45322</v>
      </c>
      <c r="C20" s="1" t="str">
        <f>Sheet1!C6</f>
        <v>FA1500120</v>
      </c>
      <c r="D20" s="1" t="str">
        <f>Sheet1!D6</f>
        <v>4 CORE X 50 SQ MM + 1 CORE X 16 SQ MM + 1 CORE X 50 SQ MM (AB CABLES) (BARE)</v>
      </c>
      <c r="E20" s="3">
        <f t="shared" si="0"/>
        <v>229738.602816</v>
      </c>
      <c r="F20" s="61">
        <f t="shared" ref="F20:F24" si="12">ROUNDUP(M28,0)</f>
        <v>2716</v>
      </c>
      <c r="G20" s="9">
        <f t="shared" si="1"/>
        <v>232454.602816</v>
      </c>
      <c r="H20" s="7">
        <v>0.18</v>
      </c>
      <c r="I20" s="9">
        <f t="shared" si="2"/>
        <v>41841.828506879996</v>
      </c>
      <c r="J20" s="9">
        <f t="shared" si="3"/>
        <v>274296.43132287997</v>
      </c>
      <c r="K20" s="1">
        <f>Sheet1!CS6</f>
        <v>1143.3800000000001</v>
      </c>
      <c r="L20" s="1" t="str">
        <f>Sheet1!CT6</f>
        <v>KMS</v>
      </c>
      <c r="M20" s="3">
        <f t="shared" si="4"/>
        <v>313625053.64595455</v>
      </c>
      <c r="N20" s="62">
        <v>583</v>
      </c>
      <c r="O20" s="62">
        <f>+IFERROR(VLOOKUP($O$17,Sheet1!J6:L6,3,0),0)</f>
        <v>0</v>
      </c>
      <c r="P20" s="62">
        <f>+IFERROR(VLOOKUP($P$17,Sheet1!J6:M6,3,0),0)</f>
        <v>0</v>
      </c>
      <c r="Q20" s="62">
        <f>+IFERROR(VLOOKUP($Q$17,Sheet1!J6:M6,3,0),0)</f>
        <v>0</v>
      </c>
      <c r="R20" s="62">
        <f>+IFERROR(VLOOKUP($R$17,Sheet1!J6:M6,3,0),0)</f>
        <v>0</v>
      </c>
      <c r="S20" s="62">
        <f>+IFERROR(VLOOKUP($S$17,Sheet1!N6:Q6,3,0),0)</f>
        <v>0</v>
      </c>
      <c r="T20" s="62">
        <v>137</v>
      </c>
      <c r="U20" s="62">
        <f>+IFERROR(VLOOKUP($U$17,Sheet1!F6:I6,3,0),0)</f>
        <v>0</v>
      </c>
      <c r="V20" s="62">
        <f>+IFERROR(VLOOKUP($V$17,Sheet1!F6:I6,3,0),0)</f>
        <v>0</v>
      </c>
      <c r="W20" s="62">
        <f>+IFERROR(VLOOKUP($W$17,Sheet1!F6:I6,3,0),0)</f>
        <v>0</v>
      </c>
      <c r="X20" s="62">
        <f>+IFERROR(VLOOKUP($X$17,Sheet1!F6:I6,3,0),0)</f>
        <v>0</v>
      </c>
      <c r="Y20" s="62">
        <f>+IFERROR(VLOOKUP($Y$17,Sheet1!F6:I6,3,0),0)</f>
        <v>0</v>
      </c>
      <c r="Z20" s="62">
        <f>+IFERROR(VLOOKUP($Z$17,Sheet1!F6:I6,3,0),0)</f>
        <v>0</v>
      </c>
      <c r="AA20" s="62">
        <f>+IFERROR(VLOOKUP($AA$17,Sheet1!F6:I6,3,0),0)</f>
        <v>0</v>
      </c>
      <c r="AB20" s="62">
        <f>+IFERROR(VLOOKUP($AB$17,Sheet1!F6:I6,3,0),0)</f>
        <v>0</v>
      </c>
      <c r="AC20" s="62">
        <f>+IFERROR(VLOOKUP($AC$17,Sheet1!R6:U6,3,0),0)</f>
        <v>0</v>
      </c>
      <c r="AD20" s="63">
        <f>+IFERROR(VLOOKUP($AD$17,Sheet1!R6:U6,2,0),0)</f>
        <v>0</v>
      </c>
      <c r="AE20" s="62">
        <f>+IFERROR(VLOOKUP($AE$17,Sheet1!V6:Y6,3,0),0)</f>
        <v>0</v>
      </c>
      <c r="AF20" s="63">
        <v>214</v>
      </c>
      <c r="AG20" s="15">
        <f>+IFERROR(VLOOKUP($AG$17,Sheet1!V6:Y6,3,0),0)</f>
        <v>0</v>
      </c>
      <c r="AH20" s="15">
        <f>+IFERROR(VLOOKUP($AH$17,Sheet1!V6:Y6,3,0),0)</f>
        <v>0</v>
      </c>
      <c r="AI20" s="15">
        <f>+IFERROR(VLOOKUP($AI$17,Sheet1!V6:Y6,3,0),0)</f>
        <v>0</v>
      </c>
      <c r="AJ20" s="15">
        <f>+IFERROR(VLOOKUP($AJ$17,Sheet1!V6:Y6,3,0),0)</f>
        <v>0</v>
      </c>
      <c r="AK20" s="15">
        <f>+IFERROR(VLOOKUP($AK$17,Sheet1!Z6:AB6,3,0),0)</f>
        <v>0</v>
      </c>
      <c r="AL20" s="15">
        <f>+IFERROR(VLOOKUP($AL$17,Sheet1!AD6:AG6,3,0),0)</f>
        <v>0</v>
      </c>
      <c r="AM20" s="15">
        <f>+IFERROR(VLOOKUP($AM$17,Sheet1!AD6:AG6,3,0),0)</f>
        <v>0</v>
      </c>
      <c r="AN20" s="15">
        <f>+IFERROR(VLOOKUP($AN$17,Sheet1!AD6:AG6,3,0),0)</f>
        <v>0</v>
      </c>
      <c r="AO20" s="15">
        <f>+IFERROR(VLOOKUP($AO$17,Sheet1!AD6:AG6,3,0),0)</f>
        <v>0</v>
      </c>
      <c r="AP20" s="15">
        <f>+IFERROR(VLOOKUP($AP$17,Sheet1!AD6:AG6,3,0),0)</f>
        <v>0</v>
      </c>
      <c r="AQ20" s="15">
        <f>+IFERROR(VLOOKUP($AQ$17,Sheet1!AD6:AG6,3,0),0)</f>
        <v>0</v>
      </c>
      <c r="AR20" s="15">
        <f>+IFERROR(VLOOKUP($AR$17,Sheet1!AD6:AG6,3,0),0)</f>
        <v>0</v>
      </c>
      <c r="AS20" s="15">
        <f>+IFERROR(VLOOKUP($AS$17,Sheet1!AH6:AK6,3,0),0)</f>
        <v>0</v>
      </c>
      <c r="AT20" s="15">
        <f>+IFERROR(VLOOKUP($AT$17,Sheet1!AH6:AK6,3,0),0)</f>
        <v>0</v>
      </c>
      <c r="AU20" s="15">
        <f>+IFERROR(VLOOKUP($AU$17,Sheet1!AH6:AK6,3,0),0)</f>
        <v>0</v>
      </c>
      <c r="AV20" s="15">
        <f>+IFERROR(VLOOKUP($AV$17,Sheet1!AH6:AK6,3,0),0)</f>
        <v>0</v>
      </c>
      <c r="AW20" s="15">
        <f>+IFERROR(VLOOKUP($AW$17,Sheet1!AH6:AK6,3,0),0)</f>
        <v>0</v>
      </c>
      <c r="AX20" s="15">
        <f>+IFERROR(VLOOKUP($AX$17,Sheet1!AH6:AK6,3,0),0)</f>
        <v>0</v>
      </c>
      <c r="AY20" s="15">
        <f>+IFERROR(VLOOKUP($AY$17,Sheet1!AH6:AK6,3,0),0)</f>
        <v>0</v>
      </c>
      <c r="AZ20" s="15">
        <f>+IFERROR(VLOOKUP($AZ$17,Sheet1!AH6:AK6,3,0),0)</f>
        <v>0</v>
      </c>
      <c r="BA20" s="15">
        <f>+IFERROR(VLOOKUP($BA$17,Sheet1!AH6:AK6,3,0),0)</f>
        <v>0</v>
      </c>
      <c r="BB20" s="15">
        <f>+IFERROR(VLOOKUP($BB$17,Sheet1!AH6:AK6,3,0),0)</f>
        <v>0</v>
      </c>
      <c r="BC20" s="15">
        <f>+IFERROR(VLOOKUP($BC$17,Sheet1!AL6:AO6,3,0),0)</f>
        <v>0</v>
      </c>
      <c r="BD20" s="15">
        <f>+IFERROR(VLOOKUP($BD$17,Sheet1!AL6:AO6,3,0),0)</f>
        <v>0</v>
      </c>
      <c r="BE20" s="15">
        <f>+IFERROR(VLOOKUP($BE$17,Sheet1!AL6:AO6,3,0),0)</f>
        <v>0</v>
      </c>
      <c r="BF20" s="15">
        <f>+IFERROR(VLOOKUP($BF$17,Sheet1!AL6:AO6,3,0),0)</f>
        <v>0</v>
      </c>
      <c r="BG20" s="15">
        <f>+IFERROR(VLOOKUP($BG$17,Sheet1!AL6:AO6,3,0),0)</f>
        <v>0</v>
      </c>
      <c r="BH20" s="15">
        <f>+IFERROR(VLOOKUP($BH$17,Sheet1!AL6:AO6,3,0),0)</f>
        <v>0</v>
      </c>
      <c r="BI20" s="15">
        <f>+IFERROR(VLOOKUP($BI$17,Sheet1!AL6:AO6,3,0),0)</f>
        <v>0</v>
      </c>
      <c r="BJ20" s="15">
        <f>+IFERROR(VLOOKUP($BJ$17,Sheet1!AL6:AO6,3,0),0)</f>
        <v>0</v>
      </c>
      <c r="BK20" s="15">
        <f>+IFERROR(VLOOKUP($BK$17,Sheet1!AL6:AO6,3,0),0)</f>
        <v>0</v>
      </c>
      <c r="BL20" s="15">
        <f>+IFERROR(VLOOKUP($BL$17,Sheet1!AL6:AO6,3,0),0)</f>
        <v>0</v>
      </c>
      <c r="BM20" s="15">
        <f>+IFERROR(VLOOKUP($BM$17,Sheet1!AP6:AS6,3,0),0)</f>
        <v>0</v>
      </c>
      <c r="BN20" s="15">
        <f>+IFERROR(VLOOKUP($BN$17,Sheet1!AT6:AW6,3,0),0)</f>
        <v>0</v>
      </c>
      <c r="BO20" s="15">
        <f>+IFERROR(VLOOKUP($BO$17,Sheet1!AX6:BA6,3,0),0)</f>
        <v>0</v>
      </c>
      <c r="BP20" s="15">
        <f>+IFERROR(VLOOKUP($BP$17,Sheet1!BB6:BE6,3,0),0)</f>
        <v>0</v>
      </c>
      <c r="BQ20" s="15">
        <f>+IFERROR(VLOOKUP($BQ$17,Sheet1!BF6:BI6,3,0),0)</f>
        <v>0</v>
      </c>
      <c r="BR20" s="15">
        <f>+IFERROR(VLOOKUP($BR$17,Sheet1!BJ6:BM6,3,0),0)</f>
        <v>0</v>
      </c>
      <c r="BS20" s="15">
        <f>+IFERROR(VLOOKUP($BS$17,Sheet1!BN6:BQ6,3,0),0)</f>
        <v>0</v>
      </c>
      <c r="BT20" s="15">
        <f>+IFERROR(VLOOKUP($BT$17,Sheet1!BR6:BU6,3,0),0)</f>
        <v>0</v>
      </c>
      <c r="BU20" s="15">
        <f>+IFERROR(VLOOKUP($BU$17,Sheet1!BV6:BY6,3,0),0)</f>
        <v>0</v>
      </c>
      <c r="BV20" s="63" t="str">
        <f>Sheet1!E6</f>
        <v>WOOD</v>
      </c>
      <c r="BW20" s="15" t="str">
        <f>Sheet1!CV6</f>
        <v>MD0100013</v>
      </c>
      <c r="BX20" s="15" t="str">
        <f>Sheet1!CW6</f>
        <v>DRUM - 48 X 14 X 36 X 2.25</v>
      </c>
      <c r="BY20" s="63">
        <f>Sheet1!CX6</f>
        <v>500</v>
      </c>
      <c r="BZ20" s="3">
        <f>Sheet1!BZ6</f>
        <v>7486.04</v>
      </c>
      <c r="CA20" s="3">
        <f t="shared" si="5"/>
        <v>189023.04</v>
      </c>
      <c r="CB20" s="27">
        <f>Sheet1!CB6</f>
        <v>0</v>
      </c>
      <c r="CC20" s="3">
        <f t="shared" si="6"/>
        <v>0</v>
      </c>
      <c r="CD20" s="48">
        <v>0.18</v>
      </c>
      <c r="CE20" s="3">
        <f t="shared" si="7"/>
        <v>34024.147199999999</v>
      </c>
      <c r="CF20" s="48">
        <v>0</v>
      </c>
      <c r="CG20" s="3">
        <f t="shared" si="8"/>
        <v>0</v>
      </c>
      <c r="CH20" s="3">
        <f t="shared" si="9"/>
        <v>223047.18720000001</v>
      </c>
      <c r="CI20" s="48">
        <v>0.02</v>
      </c>
      <c r="CJ20" s="1">
        <f t="shared" si="10"/>
        <v>4460.9437440000002</v>
      </c>
      <c r="CK20" s="48">
        <v>0.01</v>
      </c>
      <c r="CL20" s="1">
        <f t="shared" si="11"/>
        <v>2230.4718720000001</v>
      </c>
    </row>
    <row r="21" spans="1:90" ht="45" x14ac:dyDescent="0.25">
      <c r="A21" s="1" t="str">
        <f>Sheet1!A3</f>
        <v>ENQ-12174-22-23</v>
      </c>
      <c r="B21" s="51">
        <v>45322</v>
      </c>
      <c r="C21" s="1" t="str">
        <f>Sheet1!C3</f>
        <v>FA0100081</v>
      </c>
      <c r="D21" s="1" t="str">
        <f>Sheet1!D3</f>
        <v>4 CORE X 70 SQ MM + 1 CORE X 16 SQ MM + 1 CORE X 70 SQ. MM. (AB CABLES) (BARE)</v>
      </c>
      <c r="E21" s="3">
        <f t="shared" si="0"/>
        <v>306506.91301600001</v>
      </c>
      <c r="F21" s="61">
        <f t="shared" si="12"/>
        <v>4997</v>
      </c>
      <c r="G21" s="9">
        <f t="shared" si="1"/>
        <v>311503.91301600001</v>
      </c>
      <c r="H21" s="7">
        <v>0.18</v>
      </c>
      <c r="I21" s="9">
        <f t="shared" si="2"/>
        <v>56070.704342880003</v>
      </c>
      <c r="J21" s="9">
        <f t="shared" si="3"/>
        <v>367574.61735888</v>
      </c>
      <c r="K21" s="1">
        <f>Sheet1!CS3</f>
        <v>275.60000000000002</v>
      </c>
      <c r="L21" s="1" t="str">
        <f>Sheet1!CT3</f>
        <v>KMS</v>
      </c>
      <c r="M21" s="3">
        <f t="shared" si="4"/>
        <v>101303564.54410733</v>
      </c>
      <c r="N21" s="62">
        <v>800</v>
      </c>
      <c r="O21" s="62">
        <f>+IFERROR(VLOOKUP($O$17,Sheet1!J3:L3,3,0),0)</f>
        <v>0</v>
      </c>
      <c r="P21" s="62">
        <f>+IFERROR(VLOOKUP($P$17,Sheet1!J3:M3,3,0),0)</f>
        <v>0</v>
      </c>
      <c r="Q21" s="62">
        <f>+IFERROR(VLOOKUP($Q$17,Sheet1!J3:M3,3,0),0)</f>
        <v>0</v>
      </c>
      <c r="R21" s="62">
        <f>+IFERROR(VLOOKUP($R$17,Sheet1!J3:M3,3,0),0)</f>
        <v>0</v>
      </c>
      <c r="S21" s="62">
        <f>+IFERROR(VLOOKUP($S$17,Sheet1!N3:Q3,3,0),0)</f>
        <v>0</v>
      </c>
      <c r="T21" s="62">
        <v>192</v>
      </c>
      <c r="U21" s="62">
        <f>+IFERROR(VLOOKUP($U$17,Sheet1!F3:I3,3,0),0)</f>
        <v>0</v>
      </c>
      <c r="V21" s="62">
        <f>+IFERROR(VLOOKUP($V$17,Sheet1!F3:I3,3,0),0)</f>
        <v>0</v>
      </c>
      <c r="W21" s="62">
        <f>+IFERROR(VLOOKUP($W$17,Sheet1!F3:I3,3,0),0)</f>
        <v>0</v>
      </c>
      <c r="X21" s="62">
        <f>+IFERROR(VLOOKUP($X$17,Sheet1!F3:I3,3,0),0)</f>
        <v>0</v>
      </c>
      <c r="Y21" s="62">
        <f>+IFERROR(VLOOKUP($Y$17,Sheet1!F3:I3,3,0),0)</f>
        <v>0</v>
      </c>
      <c r="Z21" s="62">
        <f>+IFERROR(VLOOKUP($Z$17,Sheet1!F3:I3,3,0),0)</f>
        <v>0</v>
      </c>
      <c r="AA21" s="62">
        <f>+IFERROR(VLOOKUP($AA$17,Sheet1!F3:I3,3,0),0)</f>
        <v>0</v>
      </c>
      <c r="AB21" s="62">
        <f>+IFERROR(VLOOKUP($AB$17,Sheet1!F3:I3,3,0),0)</f>
        <v>0</v>
      </c>
      <c r="AC21" s="62">
        <f>+IFERROR(VLOOKUP($AC$17,Sheet1!R3:U3,3,0),0)</f>
        <v>0</v>
      </c>
      <c r="AD21" s="63">
        <f>+IFERROR(VLOOKUP($AD$17,Sheet1!R3:U3,2,0),0)</f>
        <v>0</v>
      </c>
      <c r="AE21" s="62">
        <f>+IFERROR(VLOOKUP($AE$17,Sheet1!V3:Y3,3,0),0)</f>
        <v>0</v>
      </c>
      <c r="AF21" s="63">
        <v>244</v>
      </c>
      <c r="AG21" s="15">
        <f>+IFERROR(VLOOKUP($AG$17,Sheet1!V3:Y3,3,0),0)</f>
        <v>0</v>
      </c>
      <c r="AH21" s="15">
        <f>+IFERROR(VLOOKUP($AH$17,Sheet1!V3:Y3,3,0),0)</f>
        <v>0</v>
      </c>
      <c r="AI21" s="15">
        <f>+IFERROR(VLOOKUP($AI$17,Sheet1!V3:Y3,3,0),0)</f>
        <v>0</v>
      </c>
      <c r="AJ21" s="15">
        <f>+IFERROR(VLOOKUP($AJ$17,Sheet1!V3:Y3,3,0),0)</f>
        <v>0</v>
      </c>
      <c r="AK21" s="15">
        <f>+IFERROR(VLOOKUP($AK$17,Sheet1!Z3:AB3,3,0),0)</f>
        <v>0</v>
      </c>
      <c r="AL21" s="15">
        <f>+IFERROR(VLOOKUP($AL$17,Sheet1!AD3:AG3,3,0),0)</f>
        <v>0</v>
      </c>
      <c r="AM21" s="15">
        <f>+IFERROR(VLOOKUP($AM$17,Sheet1!AD3:AG3,3,0),0)</f>
        <v>0</v>
      </c>
      <c r="AN21" s="15">
        <f>+IFERROR(VLOOKUP($AN$17,Sheet1!AD3:AG3,3,0),0)</f>
        <v>0</v>
      </c>
      <c r="AO21" s="15">
        <f>+IFERROR(VLOOKUP($AO$17,Sheet1!AD3:AG3,3,0),0)</f>
        <v>0</v>
      </c>
      <c r="AP21" s="15">
        <f>+IFERROR(VLOOKUP($AP$17,Sheet1!AD3:AG3,3,0),0)</f>
        <v>0</v>
      </c>
      <c r="AQ21" s="15">
        <f>+IFERROR(VLOOKUP($AQ$17,Sheet1!AD3:AG3,3,0),0)</f>
        <v>0</v>
      </c>
      <c r="AR21" s="15">
        <f>+IFERROR(VLOOKUP($AR$17,Sheet1!AD3:AG3,3,0),0)</f>
        <v>0</v>
      </c>
      <c r="AS21" s="15">
        <f>+IFERROR(VLOOKUP($AS$17,Sheet1!AH3:AK3,3,0),0)</f>
        <v>0</v>
      </c>
      <c r="AT21" s="15">
        <f>+IFERROR(VLOOKUP($AT$17,Sheet1!AH3:AK3,3,0),0)</f>
        <v>0</v>
      </c>
      <c r="AU21" s="15">
        <f>+IFERROR(VLOOKUP($AU$17,Sheet1!AH3:AK3,3,0),0)</f>
        <v>0</v>
      </c>
      <c r="AV21" s="15">
        <f>+IFERROR(VLOOKUP($AV$17,Sheet1!AH3:AK3,3,0),0)</f>
        <v>0</v>
      </c>
      <c r="AW21" s="15">
        <f>+IFERROR(VLOOKUP($AW$17,Sheet1!AH3:AK3,3,0),0)</f>
        <v>0</v>
      </c>
      <c r="AX21" s="15">
        <f>+IFERROR(VLOOKUP($AX$17,Sheet1!AH3:AK3,3,0),0)</f>
        <v>0</v>
      </c>
      <c r="AY21" s="15">
        <f>+IFERROR(VLOOKUP($AY$17,Sheet1!AH3:AK3,3,0),0)</f>
        <v>0</v>
      </c>
      <c r="AZ21" s="15">
        <f>+IFERROR(VLOOKUP($AZ$17,Sheet1!AH3:AK3,3,0),0)</f>
        <v>0</v>
      </c>
      <c r="BA21" s="15">
        <f>+IFERROR(VLOOKUP($BA$17,Sheet1!AH3:AK3,3,0),0)</f>
        <v>0</v>
      </c>
      <c r="BB21" s="15">
        <f>+IFERROR(VLOOKUP($BB$17,Sheet1!AH3:AK3,3,0),0)</f>
        <v>0</v>
      </c>
      <c r="BC21" s="15">
        <f>+IFERROR(VLOOKUP($BC$17,Sheet1!AL3:AO3,3,0),0)</f>
        <v>0</v>
      </c>
      <c r="BD21" s="15">
        <f>+IFERROR(VLOOKUP($BD$17,Sheet1!AL3:AO3,3,0),0)</f>
        <v>0</v>
      </c>
      <c r="BE21" s="15">
        <f>+IFERROR(VLOOKUP($BE$17,Sheet1!AL3:AO3,3,0),0)</f>
        <v>0</v>
      </c>
      <c r="BF21" s="15">
        <f>+IFERROR(VLOOKUP($BF$17,Sheet1!AL3:AO3,3,0),0)</f>
        <v>0</v>
      </c>
      <c r="BG21" s="15">
        <f>+IFERROR(VLOOKUP($BG$17,Sheet1!AL3:AO3,3,0),0)</f>
        <v>0</v>
      </c>
      <c r="BH21" s="15">
        <f>+IFERROR(VLOOKUP($BH$17,Sheet1!AL3:AO3,3,0),0)</f>
        <v>0</v>
      </c>
      <c r="BI21" s="15">
        <f>+IFERROR(VLOOKUP($BI$17,Sheet1!AL3:AO3,3,0),0)</f>
        <v>0</v>
      </c>
      <c r="BJ21" s="15">
        <f>+IFERROR(VLOOKUP($BJ$17,Sheet1!AL3:AO3,3,0),0)</f>
        <v>0</v>
      </c>
      <c r="BK21" s="15">
        <f>+IFERROR(VLOOKUP($BK$17,Sheet1!AL3:AO3,3,0),0)</f>
        <v>0</v>
      </c>
      <c r="BL21" s="15">
        <f>+IFERROR(VLOOKUP($BL$17,Sheet1!AL3:AO3,3,0),0)</f>
        <v>0</v>
      </c>
      <c r="BM21" s="15">
        <f>+IFERROR(VLOOKUP($BM$17,Sheet1!AP3:AS3,3,0),0)</f>
        <v>0</v>
      </c>
      <c r="BN21" s="15">
        <f>+IFERROR(VLOOKUP($BN$17,Sheet1!AT3:AW3,3,0),0)</f>
        <v>0</v>
      </c>
      <c r="BO21" s="15">
        <f>+IFERROR(VLOOKUP($BO$17,Sheet1!AX3:BA3,3,0),0)</f>
        <v>0</v>
      </c>
      <c r="BP21" s="15">
        <f>+IFERROR(VLOOKUP($BP$17,Sheet1!BB3:BE3,3,0),0)</f>
        <v>0</v>
      </c>
      <c r="BQ21" s="15">
        <f>+IFERROR(VLOOKUP($BQ$17,Sheet1!BF3:BI3,3,0),0)</f>
        <v>0</v>
      </c>
      <c r="BR21" s="15">
        <f>+IFERROR(VLOOKUP($BR$17,Sheet1!BJ3:BM3,3,0),0)</f>
        <v>0</v>
      </c>
      <c r="BS21" s="15">
        <f>+IFERROR(VLOOKUP($BS$17,Sheet1!BN3:BQ3,3,0),0)</f>
        <v>0</v>
      </c>
      <c r="BT21" s="15">
        <f>+IFERROR(VLOOKUP($BT$17,Sheet1!BR3:BU3,3,0),0)</f>
        <v>0</v>
      </c>
      <c r="BU21" s="15">
        <f>+IFERROR(VLOOKUP($BU$17,Sheet1!BV3:BY3,3,0),0)</f>
        <v>0</v>
      </c>
      <c r="BV21" s="63" t="str">
        <f>Sheet1!E3</f>
        <v>WOOD</v>
      </c>
      <c r="BW21" s="15" t="str">
        <f>Sheet1!CV3</f>
        <v>MD0100013</v>
      </c>
      <c r="BX21" s="15" t="str">
        <f>Sheet1!CW3</f>
        <v>DRUM - 48 X 14 X 36 X 2.25</v>
      </c>
      <c r="BY21" s="63">
        <f>Sheet1!CX3</f>
        <v>500</v>
      </c>
      <c r="BZ21" s="3">
        <f>Sheet1!BZ3</f>
        <v>7486.04</v>
      </c>
      <c r="CA21" s="3">
        <f t="shared" si="5"/>
        <v>252186.04</v>
      </c>
      <c r="CB21" s="27">
        <f>Sheet1!CB3</f>
        <v>0</v>
      </c>
      <c r="CC21" s="3">
        <f t="shared" si="6"/>
        <v>0</v>
      </c>
      <c r="CD21" s="48">
        <v>0.18</v>
      </c>
      <c r="CE21" s="3">
        <f t="shared" si="7"/>
        <v>45393.487200000003</v>
      </c>
      <c r="CF21" s="48">
        <v>0</v>
      </c>
      <c r="CG21" s="3">
        <f t="shared" si="8"/>
        <v>0</v>
      </c>
      <c r="CH21" s="3">
        <f t="shared" si="9"/>
        <v>297579.52720000001</v>
      </c>
      <c r="CI21" s="48">
        <v>0.02</v>
      </c>
      <c r="CJ21" s="1">
        <f t="shared" si="10"/>
        <v>5951.5905440000006</v>
      </c>
      <c r="CK21" s="48">
        <v>0.01</v>
      </c>
      <c r="CL21" s="1">
        <f t="shared" si="11"/>
        <v>2975.7952720000003</v>
      </c>
    </row>
    <row r="22" spans="1:90" ht="45" x14ac:dyDescent="0.25">
      <c r="A22" s="1" t="str">
        <f>Sheet1!A4</f>
        <v>ENQ-12174-22-23</v>
      </c>
      <c r="B22" s="51">
        <v>45322</v>
      </c>
      <c r="C22" s="1" t="str">
        <f>Sheet1!C4</f>
        <v>FA0100082</v>
      </c>
      <c r="D22" s="1" t="str">
        <f>Sheet1!D4</f>
        <v>4 CORE X 95 SQ MM + 1 CORE X 16 SQ MM + 1 CORE X 95 SQ MM (AB CABLES) (BARE)</v>
      </c>
      <c r="E22" s="3">
        <f t="shared" si="0"/>
        <v>406260.41831799998</v>
      </c>
      <c r="F22" s="61">
        <f t="shared" si="12"/>
        <v>4911</v>
      </c>
      <c r="G22" s="9">
        <f t="shared" si="1"/>
        <v>411171.41831799998</v>
      </c>
      <c r="H22" s="7">
        <v>0.18</v>
      </c>
      <c r="I22" s="9">
        <f t="shared" si="2"/>
        <v>74010.855297239992</v>
      </c>
      <c r="J22" s="9">
        <f t="shared" si="3"/>
        <v>485182.27361524</v>
      </c>
      <c r="K22" s="1">
        <f>Sheet1!CS4</f>
        <v>637.77</v>
      </c>
      <c r="L22" s="1" t="str">
        <f>Sheet1!CT4</f>
        <v>KMS</v>
      </c>
      <c r="M22" s="3">
        <f t="shared" si="4"/>
        <v>309434698.64359158</v>
      </c>
      <c r="N22" s="62">
        <v>1070</v>
      </c>
      <c r="O22" s="62">
        <f>+IFERROR(VLOOKUP($O$17,Sheet1!J4:L4,3,0),0)</f>
        <v>0</v>
      </c>
      <c r="P22" s="62">
        <f>+IFERROR(VLOOKUP($P$17,Sheet1!J4:M4,3,0),0)</f>
        <v>0</v>
      </c>
      <c r="Q22" s="62">
        <f>+IFERROR(VLOOKUP($Q$17,Sheet1!J4:M4,3,0),0)</f>
        <v>0</v>
      </c>
      <c r="R22" s="62">
        <f>+IFERROR(VLOOKUP($R$17,Sheet1!J4:M4,3,0),0)</f>
        <v>0</v>
      </c>
      <c r="S22" s="62">
        <f>+IFERROR(VLOOKUP($S$17,Sheet1!N4:Q4,3,0),0)</f>
        <v>0</v>
      </c>
      <c r="T22" s="62">
        <v>270</v>
      </c>
      <c r="U22" s="62">
        <f>+IFERROR(VLOOKUP($U$17,Sheet1!F4:I4,3,0),0)</f>
        <v>0</v>
      </c>
      <c r="V22" s="62">
        <f>+IFERROR(VLOOKUP($V$17,Sheet1!F4:I4,3,0),0)</f>
        <v>0</v>
      </c>
      <c r="W22" s="62">
        <f>+IFERROR(VLOOKUP($W$17,Sheet1!F4:I4,3,0),0)</f>
        <v>0</v>
      </c>
      <c r="X22" s="62">
        <f>+IFERROR(VLOOKUP($X$17,Sheet1!F4:I4,3,0),0)</f>
        <v>0</v>
      </c>
      <c r="Y22" s="62">
        <f>+IFERROR(VLOOKUP($Y$17,Sheet1!F4:I4,3,0),0)</f>
        <v>0</v>
      </c>
      <c r="Z22" s="62">
        <f>+IFERROR(VLOOKUP($Z$17,Sheet1!F4:I4,3,0),0)</f>
        <v>0</v>
      </c>
      <c r="AA22" s="62">
        <f>+IFERROR(VLOOKUP($AA$17,Sheet1!F4:I4,3,0),0)</f>
        <v>0</v>
      </c>
      <c r="AB22" s="62">
        <f>+IFERROR(VLOOKUP($AB$17,Sheet1!F4:I4,3,0),0)</f>
        <v>0</v>
      </c>
      <c r="AC22" s="62">
        <f>+IFERROR(VLOOKUP($AC$17,Sheet1!R4:U4,3,0),0)</f>
        <v>0</v>
      </c>
      <c r="AD22" s="63">
        <f>+IFERROR(VLOOKUP($AD$17,Sheet1!R4:U4,2,0),0)</f>
        <v>0</v>
      </c>
      <c r="AE22" s="62">
        <f>+IFERROR(VLOOKUP($AE$17,Sheet1!V4:Y4,3,0),0)</f>
        <v>0</v>
      </c>
      <c r="AF22" s="63">
        <v>271</v>
      </c>
      <c r="AG22" s="15">
        <f>+IFERROR(VLOOKUP($AG$17,Sheet1!V4:Y4,3,0),0)</f>
        <v>0</v>
      </c>
      <c r="AH22" s="15">
        <f>+IFERROR(VLOOKUP($AH$17,Sheet1!V4:Y4,3,0),0)</f>
        <v>0</v>
      </c>
      <c r="AI22" s="15">
        <f>+IFERROR(VLOOKUP($AI$17,Sheet1!V4:Y4,3,0),0)</f>
        <v>0</v>
      </c>
      <c r="AJ22" s="15">
        <f>+IFERROR(VLOOKUP($AJ$17,Sheet1!V4:Y4,3,0),0)</f>
        <v>0</v>
      </c>
      <c r="AK22" s="15">
        <f>+IFERROR(VLOOKUP($AK$17,Sheet1!Z4:AB4,3,0),0)</f>
        <v>0</v>
      </c>
      <c r="AL22" s="15">
        <f>+IFERROR(VLOOKUP($AL$17,Sheet1!AD4:AG4,3,0),0)</f>
        <v>0</v>
      </c>
      <c r="AM22" s="15">
        <f>+IFERROR(VLOOKUP($AM$17,Sheet1!AD4:AG4,3,0),0)</f>
        <v>0</v>
      </c>
      <c r="AN22" s="15">
        <f>+IFERROR(VLOOKUP($AN$17,Sheet1!AD4:AG4,3,0),0)</f>
        <v>0</v>
      </c>
      <c r="AO22" s="15">
        <f>+IFERROR(VLOOKUP($AO$17,Sheet1!AD4:AG4,3,0),0)</f>
        <v>0</v>
      </c>
      <c r="AP22" s="15">
        <f>+IFERROR(VLOOKUP($AP$17,Sheet1!AD4:AG4,3,0),0)</f>
        <v>0</v>
      </c>
      <c r="AQ22" s="15">
        <f>+IFERROR(VLOOKUP($AQ$17,Sheet1!AD4:AG4,3,0),0)</f>
        <v>0</v>
      </c>
      <c r="AR22" s="15">
        <f>+IFERROR(VLOOKUP($AR$17,Sheet1!AD4:AG4,3,0),0)</f>
        <v>0</v>
      </c>
      <c r="AS22" s="15">
        <f>+IFERROR(VLOOKUP($AS$17,Sheet1!AH4:AK4,3,0),0)</f>
        <v>0</v>
      </c>
      <c r="AT22" s="15">
        <f>+IFERROR(VLOOKUP($AT$17,Sheet1!AH4:AK4,3,0),0)</f>
        <v>0</v>
      </c>
      <c r="AU22" s="15">
        <f>+IFERROR(VLOOKUP($AU$17,Sheet1!AH4:AK4,3,0),0)</f>
        <v>0</v>
      </c>
      <c r="AV22" s="15">
        <f>+IFERROR(VLOOKUP($AV$17,Sheet1!AH4:AK4,3,0),0)</f>
        <v>0</v>
      </c>
      <c r="AW22" s="15">
        <f>+IFERROR(VLOOKUP($AW$17,Sheet1!AH4:AK4,3,0),0)</f>
        <v>0</v>
      </c>
      <c r="AX22" s="15">
        <f>+IFERROR(VLOOKUP($AX$17,Sheet1!AH4:AK4,3,0),0)</f>
        <v>0</v>
      </c>
      <c r="AY22" s="15">
        <f>+IFERROR(VLOOKUP($AY$17,Sheet1!AH4:AK4,3,0),0)</f>
        <v>0</v>
      </c>
      <c r="AZ22" s="15">
        <f>+IFERROR(VLOOKUP($AZ$17,Sheet1!AH4:AK4,3,0),0)</f>
        <v>0</v>
      </c>
      <c r="BA22" s="15">
        <f>+IFERROR(VLOOKUP($BA$17,Sheet1!AH4:AK4,3,0),0)</f>
        <v>0</v>
      </c>
      <c r="BB22" s="15">
        <f>+IFERROR(VLOOKUP($BB$17,Sheet1!AH4:AK4,3,0),0)</f>
        <v>0</v>
      </c>
      <c r="BC22" s="15">
        <f>+IFERROR(VLOOKUP($BC$17,Sheet1!AL4:AO4,3,0),0)</f>
        <v>0</v>
      </c>
      <c r="BD22" s="15">
        <f>+IFERROR(VLOOKUP($BD$17,Sheet1!AL4:AO4,3,0),0)</f>
        <v>0</v>
      </c>
      <c r="BE22" s="15">
        <f>+IFERROR(VLOOKUP($BE$17,Sheet1!AL4:AO4,3,0),0)</f>
        <v>0</v>
      </c>
      <c r="BF22" s="15">
        <f>+IFERROR(VLOOKUP($BF$17,Sheet1!AL4:AO4,3,0),0)</f>
        <v>0</v>
      </c>
      <c r="BG22" s="15">
        <f>+IFERROR(VLOOKUP($BG$17,Sheet1!AL4:AO4,3,0),0)</f>
        <v>0</v>
      </c>
      <c r="BH22" s="15">
        <f>+IFERROR(VLOOKUP($BH$17,Sheet1!AL4:AO4,3,0),0)</f>
        <v>0</v>
      </c>
      <c r="BI22" s="15">
        <f>+IFERROR(VLOOKUP($BI$17,Sheet1!AL4:AO4,3,0),0)</f>
        <v>0</v>
      </c>
      <c r="BJ22" s="15">
        <f>+IFERROR(VLOOKUP($BJ$17,Sheet1!AL4:AO4,3,0),0)</f>
        <v>0</v>
      </c>
      <c r="BK22" s="15">
        <f>+IFERROR(VLOOKUP($BK$17,Sheet1!AL4:AO4,3,0),0)</f>
        <v>0</v>
      </c>
      <c r="BL22" s="15">
        <f>+IFERROR(VLOOKUP($BL$17,Sheet1!AL4:AO4,3,0),0)</f>
        <v>0</v>
      </c>
      <c r="BM22" s="15">
        <f>+IFERROR(VLOOKUP($BM$17,Sheet1!AP4:AS4,3,0),0)</f>
        <v>0</v>
      </c>
      <c r="BN22" s="15">
        <f>+IFERROR(VLOOKUP($BN$17,Sheet1!AT4:AW4,3,0),0)</f>
        <v>0</v>
      </c>
      <c r="BO22" s="15">
        <f>+IFERROR(VLOOKUP($BO$17,Sheet1!AX4:BA4,3,0),0)</f>
        <v>0</v>
      </c>
      <c r="BP22" s="15">
        <f>+IFERROR(VLOOKUP($BP$17,Sheet1!BB4:BE4,3,0),0)</f>
        <v>0</v>
      </c>
      <c r="BQ22" s="15">
        <f>+IFERROR(VLOOKUP($BQ$17,Sheet1!BF4:BI4,3,0),0)</f>
        <v>0</v>
      </c>
      <c r="BR22" s="15">
        <f>+IFERROR(VLOOKUP($BR$17,Sheet1!BJ4:BM4,3,0),0)</f>
        <v>0</v>
      </c>
      <c r="BS22" s="15">
        <f>+IFERROR(VLOOKUP($BS$17,Sheet1!BN4:BQ4,3,0),0)</f>
        <v>0</v>
      </c>
      <c r="BT22" s="15">
        <f>+IFERROR(VLOOKUP($BT$17,Sheet1!BR4:BU4,3,0),0)</f>
        <v>0</v>
      </c>
      <c r="BU22" s="15">
        <f>+IFERROR(VLOOKUP($BU$17,Sheet1!BV4:BY4,3,0),0)</f>
        <v>0</v>
      </c>
      <c r="BV22" s="63" t="str">
        <f>Sheet1!E4</f>
        <v>WOOD</v>
      </c>
      <c r="BW22" s="15" t="str">
        <f>Sheet1!CV4</f>
        <v>MD0100017</v>
      </c>
      <c r="BX22" s="15" t="str">
        <f>Sheet1!CW4</f>
        <v>DRUM - 52 X 18 X 36 X 2.5</v>
      </c>
      <c r="BY22" s="63">
        <f>Sheet1!CX4</f>
        <v>500</v>
      </c>
      <c r="BZ22" s="3">
        <f>Sheet1!BZ4</f>
        <v>9913.67</v>
      </c>
      <c r="CA22" s="3">
        <f t="shared" si="5"/>
        <v>334260.67</v>
      </c>
      <c r="CB22" s="27">
        <f>Sheet1!CB4</f>
        <v>0</v>
      </c>
      <c r="CC22" s="3">
        <f t="shared" si="6"/>
        <v>0</v>
      </c>
      <c r="CD22" s="48">
        <v>0.18</v>
      </c>
      <c r="CE22" s="3">
        <f t="shared" si="7"/>
        <v>60166.920599999998</v>
      </c>
      <c r="CF22" s="48">
        <v>0</v>
      </c>
      <c r="CG22" s="3">
        <f t="shared" si="8"/>
        <v>0</v>
      </c>
      <c r="CH22" s="3">
        <f t="shared" si="9"/>
        <v>394427.5906</v>
      </c>
      <c r="CI22" s="48">
        <v>0.02</v>
      </c>
      <c r="CJ22" s="1">
        <f t="shared" si="10"/>
        <v>7888.5518119999997</v>
      </c>
      <c r="CK22" s="48">
        <v>0.01</v>
      </c>
      <c r="CL22" s="1">
        <f t="shared" si="11"/>
        <v>3944.2759059999998</v>
      </c>
    </row>
    <row r="23" spans="1:90" ht="30" x14ac:dyDescent="0.25">
      <c r="A23" s="1" t="str">
        <f>Sheet1!A7</f>
        <v>ENQ-12174-22-23</v>
      </c>
      <c r="B23" s="51">
        <v>45322</v>
      </c>
      <c r="C23" s="1" t="str">
        <f>Sheet1!C7</f>
        <v>FA1500133</v>
      </c>
      <c r="D23" s="1" t="str">
        <f>Sheet1!D7</f>
        <v>2 CORE X 35 SQ MM + 1 CORE X 25 SQ MM (AB CABLES) (BARE)</v>
      </c>
      <c r="E23" s="3">
        <f t="shared" si="0"/>
        <v>83446.677965999988</v>
      </c>
      <c r="F23" s="61">
        <f t="shared" si="12"/>
        <v>1516</v>
      </c>
      <c r="G23" s="9">
        <f t="shared" si="1"/>
        <v>84962.677965999988</v>
      </c>
      <c r="H23" s="7">
        <v>0.18</v>
      </c>
      <c r="I23" s="9">
        <f t="shared" si="2"/>
        <v>15293.282033879997</v>
      </c>
      <c r="J23" s="9">
        <f t="shared" si="3"/>
        <v>100255.95999987998</v>
      </c>
      <c r="K23" s="1">
        <f>Sheet1!CS7</f>
        <v>1372</v>
      </c>
      <c r="L23" s="1" t="str">
        <f>Sheet1!CT7</f>
        <v>KMS</v>
      </c>
      <c r="M23" s="3">
        <f t="shared" si="4"/>
        <v>137551177.11983535</v>
      </c>
      <c r="N23" s="62">
        <f>+IFERROR(VLOOKUP($N$17,Sheet1!J7:L7,3,0),0)</f>
        <v>189</v>
      </c>
      <c r="O23" s="2">
        <f>+IFERROR(VLOOKUP($O$17,Sheet1!J7:L7,3,0),0)</f>
        <v>0</v>
      </c>
      <c r="P23" s="2">
        <f>+IFERROR(VLOOKUP($P$17,Sheet1!J7:M7,3,0),0)</f>
        <v>0</v>
      </c>
      <c r="Q23" s="2">
        <f>+IFERROR(VLOOKUP($Q$17,Sheet1!J7:M7,3,0),0)</f>
        <v>0</v>
      </c>
      <c r="R23" s="2">
        <f>+IFERROR(VLOOKUP($R$17,Sheet1!J7:M7,3,0),0)</f>
        <v>0</v>
      </c>
      <c r="S23" s="2">
        <f>+IFERROR(VLOOKUP($S$17,Sheet1!N7:Q7,3,0),0)</f>
        <v>0</v>
      </c>
      <c r="T23" s="62">
        <f>+IFERROR(VLOOKUP($T$17,Sheet1!N7:Q7,3,0),0)</f>
        <v>69</v>
      </c>
      <c r="U23" s="2">
        <f>+IFERROR(VLOOKUP($U$17,Sheet1!F7:I7,3,0),0)</f>
        <v>0</v>
      </c>
      <c r="V23" s="2">
        <f>+IFERROR(VLOOKUP($V$17,Sheet1!F7:I7,3,0),0)</f>
        <v>0</v>
      </c>
      <c r="W23" s="2">
        <f>+IFERROR(VLOOKUP($W$17,Sheet1!F7:I7,3,0),0)</f>
        <v>0</v>
      </c>
      <c r="X23" s="2">
        <f>+IFERROR(VLOOKUP($X$17,Sheet1!F7:I7,3,0),0)</f>
        <v>0</v>
      </c>
      <c r="Y23" s="2">
        <f>+IFERROR(VLOOKUP($Y$17,Sheet1!F7:I7,3,0),0)</f>
        <v>0</v>
      </c>
      <c r="Z23" s="2">
        <f>+IFERROR(VLOOKUP($Z$17,Sheet1!F7:I7,3,0),0)</f>
        <v>0</v>
      </c>
      <c r="AA23" s="2">
        <f>+IFERROR(VLOOKUP($AA$17,Sheet1!F7:I7,3,0),0)</f>
        <v>0</v>
      </c>
      <c r="AB23" s="2">
        <f>+IFERROR(VLOOKUP($AB$17,Sheet1!F7:I7,3,0),0)</f>
        <v>0</v>
      </c>
      <c r="AC23" s="2">
        <f>+IFERROR(VLOOKUP($AC$17,Sheet1!R7:U7,3,0),0)</f>
        <v>0</v>
      </c>
      <c r="AD23" s="15">
        <f>+IFERROR(VLOOKUP($AD$17,Sheet1!R7:U7,2,0),0)</f>
        <v>0</v>
      </c>
      <c r="AE23" s="2">
        <f>+IFERROR(VLOOKUP($AE$17,Sheet1!V7:Y7,3,0),0)</f>
        <v>0</v>
      </c>
      <c r="AF23" s="63">
        <f>+IFERROR(VLOOKUP($AF$17,Sheet1!V7:Y7,3,0),0)</f>
        <v>66</v>
      </c>
      <c r="AG23" s="15">
        <f>+IFERROR(VLOOKUP($AG$17,Sheet1!V7:Y7,3,0),0)</f>
        <v>0</v>
      </c>
      <c r="AH23" s="15">
        <f>+IFERROR(VLOOKUP($AH$17,Sheet1!V7:Y7,3,0),0)</f>
        <v>0</v>
      </c>
      <c r="AI23" s="15">
        <f>+IFERROR(VLOOKUP($AI$17,Sheet1!V7:Y7,3,0),0)</f>
        <v>0</v>
      </c>
      <c r="AJ23" s="15">
        <f>+IFERROR(VLOOKUP($AJ$17,Sheet1!V7:Y7,3,0),0)</f>
        <v>0</v>
      </c>
      <c r="AK23" s="15">
        <f>+IFERROR(VLOOKUP($AK$17,Sheet1!Z7:AB7,3,0),0)</f>
        <v>0</v>
      </c>
      <c r="AL23" s="15">
        <f>+IFERROR(VLOOKUP($AL$17,Sheet1!AD7:AG7,3,0),0)</f>
        <v>0</v>
      </c>
      <c r="AM23" s="15">
        <f>+IFERROR(VLOOKUP($AM$17,Sheet1!AD7:AG7,3,0),0)</f>
        <v>0</v>
      </c>
      <c r="AN23" s="15">
        <f>+IFERROR(VLOOKUP($AN$17,Sheet1!AD7:AG7,3,0),0)</f>
        <v>0</v>
      </c>
      <c r="AO23" s="15">
        <f>+IFERROR(VLOOKUP($AO$17,Sheet1!AD7:AG7,3,0),0)</f>
        <v>0</v>
      </c>
      <c r="AP23" s="15">
        <f>+IFERROR(VLOOKUP($AP$17,Sheet1!AD7:AG7,3,0),0)</f>
        <v>0</v>
      </c>
      <c r="AQ23" s="15">
        <f>+IFERROR(VLOOKUP($AQ$17,Sheet1!AD7:AG7,3,0),0)</f>
        <v>0</v>
      </c>
      <c r="AR23" s="15">
        <f>+IFERROR(VLOOKUP($AR$17,Sheet1!AD7:AG7,3,0),0)</f>
        <v>0</v>
      </c>
      <c r="AS23" s="15">
        <f>+IFERROR(VLOOKUP($AS$17,Sheet1!AH7:AK7,3,0),0)</f>
        <v>0</v>
      </c>
      <c r="AT23" s="15">
        <f>+IFERROR(VLOOKUP($AT$17,Sheet1!AH7:AK7,3,0),0)</f>
        <v>0</v>
      </c>
      <c r="AU23" s="15">
        <f>+IFERROR(VLOOKUP($AU$17,Sheet1!AH7:AK7,3,0),0)</f>
        <v>0</v>
      </c>
      <c r="AV23" s="15">
        <f>+IFERROR(VLOOKUP($AV$17,Sheet1!AH7:AK7,3,0),0)</f>
        <v>0</v>
      </c>
      <c r="AW23" s="15">
        <f>+IFERROR(VLOOKUP($AW$17,Sheet1!AH7:AK7,3,0),0)</f>
        <v>0</v>
      </c>
      <c r="AX23" s="15">
        <f>+IFERROR(VLOOKUP($AX$17,Sheet1!AH7:AK7,3,0),0)</f>
        <v>0</v>
      </c>
      <c r="AY23" s="15">
        <f>+IFERROR(VLOOKUP($AY$17,Sheet1!AH7:AK7,3,0),0)</f>
        <v>0</v>
      </c>
      <c r="AZ23" s="15">
        <f>+IFERROR(VLOOKUP($AZ$17,Sheet1!AH7:AK7,3,0),0)</f>
        <v>0</v>
      </c>
      <c r="BA23" s="15">
        <f>+IFERROR(VLOOKUP($BA$17,Sheet1!AH7:AK7,3,0),0)</f>
        <v>0</v>
      </c>
      <c r="BB23" s="15">
        <f>+IFERROR(VLOOKUP($BB$17,Sheet1!AH7:AK7,3,0),0)</f>
        <v>0</v>
      </c>
      <c r="BC23" s="15">
        <f>+IFERROR(VLOOKUP($BC$17,Sheet1!AL7:AO7,3,0),0)</f>
        <v>0</v>
      </c>
      <c r="BD23" s="15">
        <f>+IFERROR(VLOOKUP($BD$17,Sheet1!AL7:AO7,3,0),0)</f>
        <v>0</v>
      </c>
      <c r="BE23" s="15">
        <f>+IFERROR(VLOOKUP($BE$17,Sheet1!AL7:AO7,3,0),0)</f>
        <v>0</v>
      </c>
      <c r="BF23" s="15">
        <f>+IFERROR(VLOOKUP($BF$17,Sheet1!AL7:AO7,3,0),0)</f>
        <v>0</v>
      </c>
      <c r="BG23" s="15">
        <f>+IFERROR(VLOOKUP($BG$17,Sheet1!AL7:AO7,3,0),0)</f>
        <v>0</v>
      </c>
      <c r="BH23" s="15">
        <f>+IFERROR(VLOOKUP($BH$17,Sheet1!AL7:AO7,3,0),0)</f>
        <v>0</v>
      </c>
      <c r="BI23" s="15">
        <f>+IFERROR(VLOOKUP($BI$17,Sheet1!AL7:AO7,3,0),0)</f>
        <v>0</v>
      </c>
      <c r="BJ23" s="15">
        <f>+IFERROR(VLOOKUP($BJ$17,Sheet1!AL7:AO7,3,0),0)</f>
        <v>0</v>
      </c>
      <c r="BK23" s="15">
        <f>+IFERROR(VLOOKUP($BK$17,Sheet1!AL7:AO7,3,0),0)</f>
        <v>0</v>
      </c>
      <c r="BL23" s="15">
        <f>+IFERROR(VLOOKUP($BL$17,Sheet1!AL7:AO7,3,0),0)</f>
        <v>0</v>
      </c>
      <c r="BM23" s="15">
        <f>+IFERROR(VLOOKUP($BM$17,Sheet1!AP7:AS7,3,0),0)</f>
        <v>0</v>
      </c>
      <c r="BN23" s="15">
        <f>+IFERROR(VLOOKUP($BN$17,Sheet1!AT7:AW7,3,0),0)</f>
        <v>0</v>
      </c>
      <c r="BO23" s="15">
        <f>+IFERROR(VLOOKUP($BO$17,Sheet1!AX7:BA7,3,0),0)</f>
        <v>0</v>
      </c>
      <c r="BP23" s="15">
        <f>+IFERROR(VLOOKUP($BP$17,Sheet1!BB7:BE7,3,0),0)</f>
        <v>0</v>
      </c>
      <c r="BQ23" s="15">
        <f>+IFERROR(VLOOKUP($BQ$17,Sheet1!BF7:BI7,3,0),0)</f>
        <v>0</v>
      </c>
      <c r="BR23" s="15">
        <f>+IFERROR(VLOOKUP($BR$17,Sheet1!BJ7:BM7,3,0),0)</f>
        <v>0</v>
      </c>
      <c r="BS23" s="15">
        <f>+IFERROR(VLOOKUP($BS$17,Sheet1!BN7:BQ7,3,0),0)</f>
        <v>0</v>
      </c>
      <c r="BT23" s="15">
        <f>+IFERROR(VLOOKUP($BT$17,Sheet1!BR7:BU7,3,0),0)</f>
        <v>0</v>
      </c>
      <c r="BU23" s="15">
        <f>+IFERROR(VLOOKUP($BU$17,Sheet1!BV7:BY7,3,0),0)</f>
        <v>0</v>
      </c>
      <c r="BV23" s="63" t="str">
        <f>Sheet1!E7</f>
        <v>WOOD</v>
      </c>
      <c r="BW23" s="15" t="str">
        <f>Sheet1!CV7</f>
        <v>MD0100005</v>
      </c>
      <c r="BX23" s="15" t="str">
        <f>Sheet1!CW7</f>
        <v>DRUM - 36 X 14 X 23 X 2</v>
      </c>
      <c r="BY23" s="63">
        <f>Sheet1!CX7</f>
        <v>500</v>
      </c>
      <c r="BZ23" s="3">
        <f>Sheet1!BZ7</f>
        <v>4610.79</v>
      </c>
      <c r="CA23" s="3">
        <f t="shared" si="5"/>
        <v>68657.789999999994</v>
      </c>
      <c r="CB23" s="27">
        <f>Sheet1!CB7</f>
        <v>0</v>
      </c>
      <c r="CC23" s="3">
        <f t="shared" si="6"/>
        <v>0</v>
      </c>
      <c r="CD23" s="48">
        <v>0.18</v>
      </c>
      <c r="CE23" s="3">
        <f t="shared" si="7"/>
        <v>12358.402199999999</v>
      </c>
      <c r="CF23" s="48">
        <v>0</v>
      </c>
      <c r="CG23" s="3">
        <f t="shared" si="8"/>
        <v>0</v>
      </c>
      <c r="CH23" s="3">
        <f t="shared" si="9"/>
        <v>81016.19219999999</v>
      </c>
      <c r="CI23" s="48">
        <v>0.02</v>
      </c>
      <c r="CJ23" s="1">
        <f t="shared" si="10"/>
        <v>1620.3238439999998</v>
      </c>
      <c r="CK23" s="48">
        <v>0.01</v>
      </c>
      <c r="CL23" s="1">
        <f t="shared" si="11"/>
        <v>810.16192199999989</v>
      </c>
    </row>
    <row r="24" spans="1:90" ht="30" x14ac:dyDescent="0.25">
      <c r="A24" s="1" t="str">
        <f>Sheet1!A2</f>
        <v>ENQ-12174-22-23</v>
      </c>
      <c r="B24" s="51">
        <v>45322</v>
      </c>
      <c r="C24" s="1" t="str">
        <f>Sheet1!C2</f>
        <v>FA1500004</v>
      </c>
      <c r="D24" s="1" t="str">
        <f>Sheet1!D2</f>
        <v>1 CORE X 35 SQ. MM. + 1 CORE X 25 SQ. MM. AB CABLE ( INSULATED)</v>
      </c>
      <c r="E24" s="3">
        <f t="shared" si="0"/>
        <v>56732.052272000001</v>
      </c>
      <c r="F24" s="61">
        <f t="shared" si="12"/>
        <v>2000</v>
      </c>
      <c r="G24" s="9">
        <f t="shared" si="1"/>
        <v>58732.052272000001</v>
      </c>
      <c r="H24" s="7">
        <v>0.18</v>
      </c>
      <c r="I24" s="9">
        <f t="shared" si="2"/>
        <v>10571.769408959999</v>
      </c>
      <c r="J24" s="9">
        <f t="shared" si="3"/>
        <v>69303.821680959998</v>
      </c>
      <c r="K24" s="1">
        <f>Sheet1!CS2</f>
        <v>27</v>
      </c>
      <c r="L24" s="1" t="str">
        <f>Sheet1!CT2</f>
        <v>KMS</v>
      </c>
      <c r="M24" s="3">
        <f t="shared" si="4"/>
        <v>1871203.1853859199</v>
      </c>
      <c r="N24" s="62">
        <f>+IFERROR(VLOOKUP($N$17,Sheet1!J2:L2,3,0),0)</f>
        <v>95</v>
      </c>
      <c r="O24" s="2">
        <f>+IFERROR(VLOOKUP($O$17,Sheet1!J2:L2,3,0),0)</f>
        <v>0</v>
      </c>
      <c r="P24" s="2">
        <f>+IFERROR(VLOOKUP($P$17,Sheet1!J2:M2,3,0),0)</f>
        <v>0</v>
      </c>
      <c r="Q24" s="2">
        <f>+IFERROR(VLOOKUP($Q$17,Sheet1!J2:M2,3,0),0)</f>
        <v>0</v>
      </c>
      <c r="R24" s="2">
        <f>+IFERROR(VLOOKUP($R$17,Sheet1!J2:M2,3,0),0)</f>
        <v>0</v>
      </c>
      <c r="S24" s="2">
        <f>+IFERROR(VLOOKUP($S$17,Sheet1!N2:Q2,3,0),0)</f>
        <v>0</v>
      </c>
      <c r="T24" s="62">
        <v>69</v>
      </c>
      <c r="U24" s="62">
        <f>+IFERROR(VLOOKUP($U$17,Sheet1!F2:I2,3,0),0)</f>
        <v>0</v>
      </c>
      <c r="V24" s="62">
        <f>+IFERROR(VLOOKUP($V$17,Sheet1!F2:I2,3,0),0)</f>
        <v>0</v>
      </c>
      <c r="W24" s="62">
        <f>+IFERROR(VLOOKUP($W$17,Sheet1!F2:I2,3,0),0)</f>
        <v>0</v>
      </c>
      <c r="X24" s="62">
        <f>+IFERROR(VLOOKUP($X$17,Sheet1!F2:I2,3,0),0)</f>
        <v>0</v>
      </c>
      <c r="Y24" s="62">
        <f>+IFERROR(VLOOKUP($Y$17,Sheet1!F2:I2,3,0),0)</f>
        <v>0</v>
      </c>
      <c r="Z24" s="62">
        <f>+IFERROR(VLOOKUP($Z$17,Sheet1!F2:I2,3,0),0)</f>
        <v>0</v>
      </c>
      <c r="AA24" s="62">
        <f>+IFERROR(VLOOKUP($AA$17,Sheet1!F2:I2,3,0),0)</f>
        <v>0</v>
      </c>
      <c r="AB24" s="62">
        <f>+IFERROR(VLOOKUP($AB$17,Sheet1!F2:I2,3,0),0)</f>
        <v>0</v>
      </c>
      <c r="AC24" s="62">
        <f>+IFERROR(VLOOKUP($AC$17,Sheet1!R2:U2,3,0),0)</f>
        <v>0</v>
      </c>
      <c r="AD24" s="63">
        <f>+IFERROR(VLOOKUP($AD$17,Sheet1!R2:U2,2,0),0)</f>
        <v>0</v>
      </c>
      <c r="AE24" s="62">
        <f>+IFERROR(VLOOKUP($AE$17,Sheet1!V2:Y2,3,0),0)</f>
        <v>0</v>
      </c>
      <c r="AF24" s="63">
        <v>61</v>
      </c>
      <c r="AG24" s="15">
        <f>+IFERROR(VLOOKUP($AG$17,Sheet1!V2:Y2,3,0),0)</f>
        <v>0</v>
      </c>
      <c r="AH24" s="15">
        <f>+IFERROR(VLOOKUP($AH$17,Sheet1!V2:Y2,3,0),0)</f>
        <v>0</v>
      </c>
      <c r="AI24" s="15">
        <f>+IFERROR(VLOOKUP($AI$17,Sheet1!V2:Y2,3,0),0)</f>
        <v>0</v>
      </c>
      <c r="AJ24" s="15">
        <f>+IFERROR(VLOOKUP($AJ$17,Sheet1!V2:Y2,3,0),0)</f>
        <v>0</v>
      </c>
      <c r="AK24" s="15">
        <f>+IFERROR(VLOOKUP($AK$17,Sheet1!Z2:AB2,3,0),0)</f>
        <v>0</v>
      </c>
      <c r="AL24" s="15">
        <f>+IFERROR(VLOOKUP($AL$17,Sheet1!AD2:AG2,3,0),0)</f>
        <v>0</v>
      </c>
      <c r="AM24" s="15">
        <f>+IFERROR(VLOOKUP($AM$17,Sheet1!AD2:AG2,3,0),0)</f>
        <v>0</v>
      </c>
      <c r="AN24" s="15">
        <f>+IFERROR(VLOOKUP($AN$17,Sheet1!AD2:AG2,3,0),0)</f>
        <v>0</v>
      </c>
      <c r="AO24" s="15">
        <f>+IFERROR(VLOOKUP($AO$17,Sheet1!AD2:AG2,3,0),0)</f>
        <v>0</v>
      </c>
      <c r="AP24" s="15">
        <f>+IFERROR(VLOOKUP($AP$17,Sheet1!AD2:AG2,3,0),0)</f>
        <v>0</v>
      </c>
      <c r="AQ24" s="15">
        <f>+IFERROR(VLOOKUP($AQ$17,Sheet1!AD2:AG2,3,0),0)</f>
        <v>0</v>
      </c>
      <c r="AR24" s="15">
        <f>+IFERROR(VLOOKUP($AR$17,Sheet1!AD2:AG2,3,0),0)</f>
        <v>0</v>
      </c>
      <c r="AS24" s="15">
        <f>+IFERROR(VLOOKUP($AS$17,Sheet1!AH2:AK2,3,0),0)</f>
        <v>0</v>
      </c>
      <c r="AT24" s="15">
        <f>+IFERROR(VLOOKUP($AT$17,Sheet1!AH2:AK2,3,0),0)</f>
        <v>0</v>
      </c>
      <c r="AU24" s="15">
        <f>+IFERROR(VLOOKUP($AU$17,Sheet1!AH2:AK2,3,0),0)</f>
        <v>0</v>
      </c>
      <c r="AV24" s="15">
        <f>+IFERROR(VLOOKUP($AV$17,Sheet1!AH2:AK2,3,0),0)</f>
        <v>0</v>
      </c>
      <c r="AW24" s="15">
        <f>+IFERROR(VLOOKUP($AW$17,Sheet1!AH2:AK2,3,0),0)</f>
        <v>0</v>
      </c>
      <c r="AX24" s="15">
        <f>+IFERROR(VLOOKUP($AX$17,Sheet1!AH2:AK2,3,0),0)</f>
        <v>0</v>
      </c>
      <c r="AY24" s="15">
        <f>+IFERROR(VLOOKUP($AY$17,Sheet1!AH2:AK2,3,0),0)</f>
        <v>0</v>
      </c>
      <c r="AZ24" s="15">
        <f>+IFERROR(VLOOKUP($AZ$17,Sheet1!AH2:AK2,3,0),0)</f>
        <v>0</v>
      </c>
      <c r="BA24" s="15">
        <f>+IFERROR(VLOOKUP($BA$17,Sheet1!AH2:AK2,3,0),0)</f>
        <v>0</v>
      </c>
      <c r="BB24" s="15">
        <f>+IFERROR(VLOOKUP($BB$17,Sheet1!AH2:AK2,3,0),0)</f>
        <v>0</v>
      </c>
      <c r="BC24" s="15">
        <f>+IFERROR(VLOOKUP($BC$17,Sheet1!AL2:AO2,3,0),0)</f>
        <v>0</v>
      </c>
      <c r="BD24" s="15">
        <f>+IFERROR(VLOOKUP($BD$17,Sheet1!AL2:AO2,3,0),0)</f>
        <v>0</v>
      </c>
      <c r="BE24" s="15">
        <f>+IFERROR(VLOOKUP($BE$17,Sheet1!AL2:AO2,3,0),0)</f>
        <v>0</v>
      </c>
      <c r="BF24" s="15">
        <f>+IFERROR(VLOOKUP($BF$17,Sheet1!AL2:AO2,3,0),0)</f>
        <v>0</v>
      </c>
      <c r="BG24" s="15">
        <f>+IFERROR(VLOOKUP($BG$17,Sheet1!AL2:AO2,3,0),0)</f>
        <v>0</v>
      </c>
      <c r="BH24" s="15">
        <f>+IFERROR(VLOOKUP($BH$17,Sheet1!AL2:AO2,3,0),0)</f>
        <v>0</v>
      </c>
      <c r="BI24" s="15">
        <f>+IFERROR(VLOOKUP($BI$17,Sheet1!AL2:AO2,3,0),0)</f>
        <v>0</v>
      </c>
      <c r="BJ24" s="15">
        <f>+IFERROR(VLOOKUP($BJ$17,Sheet1!AL2:AO2,3,0),0)</f>
        <v>0</v>
      </c>
      <c r="BK24" s="15">
        <f>+IFERROR(VLOOKUP($BK$17,Sheet1!AL2:AO2,3,0),0)</f>
        <v>0</v>
      </c>
      <c r="BL24" s="15">
        <f>+IFERROR(VLOOKUP($BL$17,Sheet1!AL2:AO2,3,0),0)</f>
        <v>0</v>
      </c>
      <c r="BM24" s="15">
        <f>+IFERROR(VLOOKUP($BM$17,Sheet1!AP2:AS2,3,0),0)</f>
        <v>0</v>
      </c>
      <c r="BN24" s="15">
        <f>+IFERROR(VLOOKUP($BN$17,Sheet1!AT2:AW2,3,0),0)</f>
        <v>0</v>
      </c>
      <c r="BO24" s="15">
        <f>+IFERROR(VLOOKUP($BO$17,Sheet1!AX2:BA2,3,0),0)</f>
        <v>0</v>
      </c>
      <c r="BP24" s="15">
        <f>+IFERROR(VLOOKUP($BP$17,Sheet1!BB2:BE2,3,0),0)</f>
        <v>0</v>
      </c>
      <c r="BQ24" s="15">
        <f>+IFERROR(VLOOKUP($BQ$17,Sheet1!BF2:BI2,3,0),0)</f>
        <v>0</v>
      </c>
      <c r="BR24" s="15">
        <f>+IFERROR(VLOOKUP($BR$17,Sheet1!BJ2:BM2,3,0),0)</f>
        <v>0</v>
      </c>
      <c r="BS24" s="15">
        <f>+IFERROR(VLOOKUP($BS$17,Sheet1!BN2:BQ2,3,0),0)</f>
        <v>0</v>
      </c>
      <c r="BT24" s="15">
        <f>+IFERROR(VLOOKUP($BT$17,Sheet1!BR2:BU2,3,0),0)</f>
        <v>0</v>
      </c>
      <c r="BU24" s="15">
        <f>+IFERROR(VLOOKUP($BU$17,Sheet1!BV2:BY2,3,0),0)</f>
        <v>0</v>
      </c>
      <c r="BV24" s="63" t="str">
        <f>Sheet1!E2</f>
        <v>WOOD</v>
      </c>
      <c r="BW24" s="15" t="str">
        <f>Sheet1!CV2</f>
        <v>MD0100004</v>
      </c>
      <c r="BX24" s="15" t="str">
        <f>Sheet1!CW2</f>
        <v>DRUM - 28 X 10 X 23 X 2</v>
      </c>
      <c r="BY24" s="63">
        <f>Sheet1!CX2</f>
        <v>500</v>
      </c>
      <c r="BZ24" s="3">
        <f>Sheet1!BZ2</f>
        <v>3751.68</v>
      </c>
      <c r="CA24" s="3">
        <f t="shared" si="5"/>
        <v>46677.68</v>
      </c>
      <c r="CB24" s="27">
        <f>Sheet1!CB2</f>
        <v>0</v>
      </c>
      <c r="CC24" s="3">
        <f t="shared" si="6"/>
        <v>0</v>
      </c>
      <c r="CD24" s="48">
        <v>0.18</v>
      </c>
      <c r="CE24" s="3">
        <f t="shared" si="7"/>
        <v>8401.982399999999</v>
      </c>
      <c r="CF24" s="48">
        <v>0</v>
      </c>
      <c r="CG24" s="3">
        <f t="shared" si="8"/>
        <v>0</v>
      </c>
      <c r="CH24" s="3">
        <f t="shared" si="9"/>
        <v>55079.662400000001</v>
      </c>
      <c r="CI24" s="48">
        <v>0.02</v>
      </c>
      <c r="CJ24" s="1">
        <f t="shared" si="10"/>
        <v>1101.5932480000001</v>
      </c>
      <c r="CK24" s="48">
        <v>0.01</v>
      </c>
      <c r="CL24" s="1">
        <f t="shared" si="11"/>
        <v>550.79662400000007</v>
      </c>
    </row>
    <row r="26" spans="1:90" ht="30" x14ac:dyDescent="0.25">
      <c r="E26" s="2" t="s">
        <v>195</v>
      </c>
      <c r="F26" s="2" t="s">
        <v>196</v>
      </c>
      <c r="G26" s="56" t="s">
        <v>197</v>
      </c>
      <c r="H26" s="2" t="s">
        <v>198</v>
      </c>
      <c r="I26" s="2" t="s">
        <v>199</v>
      </c>
      <c r="J26" s="2" t="s">
        <v>200</v>
      </c>
      <c r="K26" s="2" t="s">
        <v>201</v>
      </c>
      <c r="L26" s="2" t="s">
        <v>202</v>
      </c>
      <c r="M26" s="57" t="s">
        <v>203</v>
      </c>
    </row>
    <row r="27" spans="1:90" ht="45" x14ac:dyDescent="0.25">
      <c r="D27" s="30" t="str">
        <f>D19</f>
        <v>4 CORE X 35 SQ MM + 1 CORE X 16 SQ MM + 1 CORE X 35 SQ MM (AB CABLES) (BARE)</v>
      </c>
      <c r="E27" s="56">
        <f>K19</f>
        <v>690.6</v>
      </c>
      <c r="F27" s="58">
        <f>BY19/1000</f>
        <v>0.5</v>
      </c>
      <c r="G27" s="56" t="s">
        <v>204</v>
      </c>
      <c r="H27" s="59">
        <v>27000</v>
      </c>
      <c r="I27" s="58">
        <v>27</v>
      </c>
      <c r="J27" s="56">
        <f>F27*I27</f>
        <v>13.5</v>
      </c>
      <c r="K27" s="56">
        <f>ROUNDUP((E27/J27),0)</f>
        <v>52</v>
      </c>
      <c r="L27" s="56">
        <f>M27*E27</f>
        <v>1404000</v>
      </c>
      <c r="M27" s="60">
        <f>(H27*K27)/E27</f>
        <v>2033.0147697654213</v>
      </c>
    </row>
    <row r="28" spans="1:90" ht="45" x14ac:dyDescent="0.25">
      <c r="D28" s="30" t="str">
        <f t="shared" ref="D28:D32" si="13">D20</f>
        <v>4 CORE X 50 SQ MM + 1 CORE X 16 SQ MM + 1 CORE X 50 SQ MM (AB CABLES) (BARE)</v>
      </c>
      <c r="E28" s="56">
        <f t="shared" ref="E28:E32" si="14">K20</f>
        <v>1143.3800000000001</v>
      </c>
      <c r="F28" s="58">
        <f t="shared" ref="F28:F32" si="15">BY20/1000</f>
        <v>0.5</v>
      </c>
      <c r="G28" s="56" t="s">
        <v>204</v>
      </c>
      <c r="H28" s="59">
        <v>27000</v>
      </c>
      <c r="I28" s="58">
        <v>20</v>
      </c>
      <c r="J28" s="56">
        <f t="shared" ref="J28:J32" si="16">F28*I28</f>
        <v>10</v>
      </c>
      <c r="K28" s="56">
        <f t="shared" ref="K28:K32" si="17">ROUNDUP((E28/J28),0)</f>
        <v>115</v>
      </c>
      <c r="L28" s="56">
        <f t="shared" ref="L28:L32" si="18">M28*E28</f>
        <v>3105000</v>
      </c>
      <c r="M28" s="60">
        <f t="shared" ref="M28:M32" si="19">(H28*K28)/E28</f>
        <v>2715.6325980863753</v>
      </c>
    </row>
    <row r="29" spans="1:90" ht="45" x14ac:dyDescent="0.25">
      <c r="D29" s="30" t="str">
        <f t="shared" si="13"/>
        <v>4 CORE X 70 SQ MM + 1 CORE X 16 SQ MM + 1 CORE X 70 SQ. MM. (AB CABLES) (BARE)</v>
      </c>
      <c r="E29" s="56">
        <f t="shared" si="14"/>
        <v>275.60000000000002</v>
      </c>
      <c r="F29" s="58">
        <f t="shared" si="15"/>
        <v>0.5</v>
      </c>
      <c r="G29" s="56" t="s">
        <v>204</v>
      </c>
      <c r="H29" s="59">
        <v>27000</v>
      </c>
      <c r="I29" s="58">
        <v>11</v>
      </c>
      <c r="J29" s="56">
        <f t="shared" si="16"/>
        <v>5.5</v>
      </c>
      <c r="K29" s="56">
        <f t="shared" si="17"/>
        <v>51</v>
      </c>
      <c r="L29" s="56">
        <f t="shared" si="18"/>
        <v>1377000</v>
      </c>
      <c r="M29" s="60">
        <f t="shared" si="19"/>
        <v>4996.3715529753263</v>
      </c>
    </row>
    <row r="30" spans="1:90" ht="45" x14ac:dyDescent="0.25">
      <c r="D30" s="30" t="str">
        <f t="shared" si="13"/>
        <v>4 CORE X 95 SQ MM + 1 CORE X 16 SQ MM + 1 CORE X 95 SQ MM (AB CABLES) (BARE)</v>
      </c>
      <c r="E30" s="56">
        <f t="shared" si="14"/>
        <v>637.77</v>
      </c>
      <c r="F30" s="58">
        <f t="shared" si="15"/>
        <v>0.5</v>
      </c>
      <c r="G30" s="56" t="s">
        <v>204</v>
      </c>
      <c r="H30" s="59">
        <v>27000</v>
      </c>
      <c r="I30" s="58">
        <v>11</v>
      </c>
      <c r="J30" s="56">
        <f t="shared" si="16"/>
        <v>5.5</v>
      </c>
      <c r="K30" s="56">
        <f t="shared" si="17"/>
        <v>116</v>
      </c>
      <c r="L30" s="56">
        <f t="shared" si="18"/>
        <v>3132000</v>
      </c>
      <c r="M30" s="60">
        <f t="shared" si="19"/>
        <v>4910.8612822804462</v>
      </c>
    </row>
    <row r="31" spans="1:90" ht="30" x14ac:dyDescent="0.25">
      <c r="D31" s="30" t="str">
        <f t="shared" si="13"/>
        <v>2 CORE X 35 SQ MM + 1 CORE X 25 SQ MM (AB CABLES) (BARE)</v>
      </c>
      <c r="E31" s="56">
        <f t="shared" si="14"/>
        <v>1372</v>
      </c>
      <c r="F31" s="58">
        <f t="shared" si="15"/>
        <v>0.5</v>
      </c>
      <c r="G31" s="56" t="s">
        <v>204</v>
      </c>
      <c r="H31" s="59">
        <v>27000</v>
      </c>
      <c r="I31" s="58">
        <v>36</v>
      </c>
      <c r="J31" s="56">
        <f t="shared" si="16"/>
        <v>18</v>
      </c>
      <c r="K31" s="56">
        <f t="shared" si="17"/>
        <v>77</v>
      </c>
      <c r="L31" s="56">
        <f t="shared" si="18"/>
        <v>2079000</v>
      </c>
      <c r="M31" s="60">
        <f t="shared" si="19"/>
        <v>1515.3061224489795</v>
      </c>
    </row>
    <row r="32" spans="1:90" ht="30" x14ac:dyDescent="0.25">
      <c r="D32" s="30" t="str">
        <f t="shared" si="13"/>
        <v>1 CORE X 35 SQ. MM. + 1 CORE X 25 SQ. MM. AB CABLE ( INSULATED)</v>
      </c>
      <c r="E32" s="56">
        <f t="shared" si="14"/>
        <v>27</v>
      </c>
      <c r="F32" s="58">
        <f t="shared" si="15"/>
        <v>0.5</v>
      </c>
      <c r="G32" s="56" t="s">
        <v>204</v>
      </c>
      <c r="H32" s="59">
        <v>27000</v>
      </c>
      <c r="I32" s="58">
        <v>48</v>
      </c>
      <c r="J32" s="56">
        <f t="shared" si="16"/>
        <v>24</v>
      </c>
      <c r="K32" s="56">
        <f t="shared" si="17"/>
        <v>2</v>
      </c>
      <c r="L32" s="56">
        <f t="shared" si="18"/>
        <v>54000</v>
      </c>
      <c r="M32" s="60">
        <f t="shared" si="19"/>
        <v>2000</v>
      </c>
    </row>
    <row r="35" spans="1:13" ht="51" x14ac:dyDescent="0.25">
      <c r="A35" s="22" t="s">
        <v>0</v>
      </c>
      <c r="B35" s="22" t="s">
        <v>135</v>
      </c>
      <c r="C35" s="22" t="s">
        <v>1</v>
      </c>
      <c r="D35" s="22" t="s">
        <v>2</v>
      </c>
      <c r="E35" s="5" t="s">
        <v>205</v>
      </c>
      <c r="F35" s="15" t="s">
        <v>206</v>
      </c>
      <c r="G35" s="15" t="s">
        <v>207</v>
      </c>
      <c r="H35" s="6" t="s">
        <v>73</v>
      </c>
      <c r="I35" s="15" t="s">
        <v>74</v>
      </c>
      <c r="J35" s="15" t="s">
        <v>208</v>
      </c>
      <c r="K35" s="15" t="s">
        <v>76</v>
      </c>
      <c r="L35" s="15" t="s">
        <v>77</v>
      </c>
      <c r="M35" s="15" t="s">
        <v>78</v>
      </c>
    </row>
    <row r="36" spans="1:13" x14ac:dyDescent="0.25">
      <c r="A36" s="31"/>
      <c r="B36" s="31"/>
      <c r="C36" s="31"/>
      <c r="D36" s="31"/>
      <c r="E36" s="5"/>
      <c r="F36" s="5"/>
      <c r="G36" s="5"/>
      <c r="H36" s="5"/>
      <c r="I36" s="5"/>
      <c r="J36" s="5"/>
      <c r="K36" s="5"/>
      <c r="L36" s="5"/>
      <c r="M36" s="5"/>
    </row>
    <row r="37" spans="1:13" ht="45" x14ac:dyDescent="0.25">
      <c r="A37" s="1" t="str">
        <f>A19</f>
        <v>ENQ-12174-22-23</v>
      </c>
      <c r="B37" s="51">
        <f>B19</f>
        <v>45322</v>
      </c>
      <c r="C37" s="1" t="str">
        <f>C19</f>
        <v>FA1500122</v>
      </c>
      <c r="D37" s="1" t="str">
        <f>D19</f>
        <v>4 CORE X 35 SQ MM + 1 CORE X 16 SQ MM + 1 CORE X 35 SQ MM (AB CABLES) (BARE)</v>
      </c>
      <c r="E37" s="3">
        <f>ROUNDUP(E19/1000,2)</f>
        <v>167.76</v>
      </c>
      <c r="F37" s="61">
        <f>ROUNDUP(F19/1000,2)</f>
        <v>2.0399999999999996</v>
      </c>
      <c r="G37" s="79">
        <f>E37+F37</f>
        <v>169.79999999999998</v>
      </c>
      <c r="H37" s="7">
        <v>0.18</v>
      </c>
      <c r="I37" s="9">
        <f>ROUND(G37*H37,2)</f>
        <v>30.56</v>
      </c>
      <c r="J37" s="79">
        <f>ROUND(G37+I37,2)</f>
        <v>200.36</v>
      </c>
      <c r="K37" s="1">
        <f>K19*1000</f>
        <v>690600</v>
      </c>
      <c r="L37" s="1" t="s">
        <v>209</v>
      </c>
      <c r="M37" s="3">
        <f t="shared" ref="M37:M42" si="20">J37*K37</f>
        <v>138368616</v>
      </c>
    </row>
    <row r="38" spans="1:13" ht="45" x14ac:dyDescent="0.25">
      <c r="A38" s="1" t="str">
        <f t="shared" ref="A38:D38" si="21">A20</f>
        <v>ENQ-12174-22-23</v>
      </c>
      <c r="B38" s="51">
        <f t="shared" si="21"/>
        <v>45322</v>
      </c>
      <c r="C38" s="1" t="str">
        <f t="shared" si="21"/>
        <v>FA1500120</v>
      </c>
      <c r="D38" s="1" t="str">
        <f t="shared" si="21"/>
        <v>4 CORE X 50 SQ MM + 1 CORE X 16 SQ MM + 1 CORE X 50 SQ MM (AB CABLES) (BARE)</v>
      </c>
      <c r="E38" s="3">
        <f t="shared" ref="E38:F42" si="22">ROUNDUP(E20/1000,2)</f>
        <v>229.73999999999998</v>
      </c>
      <c r="F38" s="61">
        <f t="shared" si="22"/>
        <v>2.7199999999999998</v>
      </c>
      <c r="G38" s="79">
        <f>E38+F38</f>
        <v>232.45999999999998</v>
      </c>
      <c r="H38" s="7">
        <v>0.18</v>
      </c>
      <c r="I38" s="9">
        <f>ROUND(G38*H38,2)</f>
        <v>41.84</v>
      </c>
      <c r="J38" s="79">
        <f>ROUND(G38+I38,2)</f>
        <v>274.3</v>
      </c>
      <c r="K38" s="1">
        <f t="shared" ref="K38:K42" si="23">K20*1000</f>
        <v>1143380</v>
      </c>
      <c r="L38" s="1" t="s">
        <v>209</v>
      </c>
      <c r="M38" s="3">
        <f t="shared" si="20"/>
        <v>313629134</v>
      </c>
    </row>
    <row r="39" spans="1:13" ht="45" x14ac:dyDescent="0.25">
      <c r="A39" s="1" t="str">
        <f t="shared" ref="A39:D39" si="24">A21</f>
        <v>ENQ-12174-22-23</v>
      </c>
      <c r="B39" s="51">
        <f t="shared" si="24"/>
        <v>45322</v>
      </c>
      <c r="C39" s="1" t="str">
        <f t="shared" si="24"/>
        <v>FA0100081</v>
      </c>
      <c r="D39" s="1" t="str">
        <f t="shared" si="24"/>
        <v>4 CORE X 70 SQ MM + 1 CORE X 16 SQ MM + 1 CORE X 70 SQ. MM. (AB CABLES) (BARE)</v>
      </c>
      <c r="E39" s="3">
        <f t="shared" si="22"/>
        <v>306.51</v>
      </c>
      <c r="F39" s="61">
        <f t="shared" si="22"/>
        <v>5</v>
      </c>
      <c r="G39" s="79">
        <f>E39+F39</f>
        <v>311.51</v>
      </c>
      <c r="H39" s="7">
        <v>0.18</v>
      </c>
      <c r="I39" s="9">
        <f>ROUND(G39*H39,2)</f>
        <v>56.07</v>
      </c>
      <c r="J39" s="79">
        <f>ROUND(G39+I39,2)</f>
        <v>367.58</v>
      </c>
      <c r="K39" s="1">
        <f t="shared" si="23"/>
        <v>275600</v>
      </c>
      <c r="L39" s="1" t="s">
        <v>209</v>
      </c>
      <c r="M39" s="3">
        <f t="shared" si="20"/>
        <v>101305048</v>
      </c>
    </row>
    <row r="40" spans="1:13" ht="45" x14ac:dyDescent="0.25">
      <c r="A40" s="1" t="str">
        <f t="shared" ref="A40:D40" si="25">A22</f>
        <v>ENQ-12174-22-23</v>
      </c>
      <c r="B40" s="51">
        <f t="shared" si="25"/>
        <v>45322</v>
      </c>
      <c r="C40" s="1" t="str">
        <f t="shared" si="25"/>
        <v>FA0100082</v>
      </c>
      <c r="D40" s="1" t="str">
        <f t="shared" si="25"/>
        <v>4 CORE X 95 SQ MM + 1 CORE X 16 SQ MM + 1 CORE X 95 SQ MM (AB CABLES) (BARE)</v>
      </c>
      <c r="E40" s="3">
        <f t="shared" si="22"/>
        <v>406.27</v>
      </c>
      <c r="F40" s="61">
        <f t="shared" si="22"/>
        <v>4.92</v>
      </c>
      <c r="G40" s="79">
        <f>E40+F40</f>
        <v>411.19</v>
      </c>
      <c r="H40" s="7">
        <v>0.18</v>
      </c>
      <c r="I40" s="9">
        <f>ROUND(G40*H40,2)</f>
        <v>74.010000000000005</v>
      </c>
      <c r="J40" s="79">
        <f>ROUND(G40+I40,2)</f>
        <v>485.2</v>
      </c>
      <c r="K40" s="1">
        <f t="shared" si="23"/>
        <v>637770</v>
      </c>
      <c r="L40" s="1" t="s">
        <v>209</v>
      </c>
      <c r="M40" s="3">
        <f t="shared" si="20"/>
        <v>309446004</v>
      </c>
    </row>
    <row r="41" spans="1:13" ht="30" x14ac:dyDescent="0.25">
      <c r="A41" s="1" t="str">
        <f t="shared" ref="A41:D41" si="26">A23</f>
        <v>ENQ-12174-22-23</v>
      </c>
      <c r="B41" s="51">
        <f t="shared" si="26"/>
        <v>45322</v>
      </c>
      <c r="C41" s="1" t="str">
        <f t="shared" si="26"/>
        <v>FA1500133</v>
      </c>
      <c r="D41" s="1" t="str">
        <f t="shared" si="26"/>
        <v>2 CORE X 35 SQ MM + 1 CORE X 25 SQ MM (AB CABLES) (BARE)</v>
      </c>
      <c r="E41" s="3">
        <f t="shared" si="22"/>
        <v>83.45</v>
      </c>
      <c r="F41" s="61">
        <f t="shared" si="22"/>
        <v>1.52</v>
      </c>
      <c r="G41" s="79">
        <f>E41+F41</f>
        <v>84.97</v>
      </c>
      <c r="H41" s="7">
        <v>0.18</v>
      </c>
      <c r="I41" s="9">
        <f>ROUND(G41*H41,2)</f>
        <v>15.29</v>
      </c>
      <c r="J41" s="79">
        <f>ROUND(G41+I41,2)</f>
        <v>100.26</v>
      </c>
      <c r="K41" s="1">
        <f t="shared" si="23"/>
        <v>1372000</v>
      </c>
      <c r="L41" s="1" t="s">
        <v>209</v>
      </c>
      <c r="M41" s="3">
        <f t="shared" si="20"/>
        <v>137556720</v>
      </c>
    </row>
    <row r="42" spans="1:13" ht="30" x14ac:dyDescent="0.25">
      <c r="A42" s="1" t="str">
        <f t="shared" ref="A42:D42" si="27">A24</f>
        <v>ENQ-12174-22-23</v>
      </c>
      <c r="B42" s="51">
        <f t="shared" si="27"/>
        <v>45322</v>
      </c>
      <c r="C42" s="1" t="str">
        <f t="shared" si="27"/>
        <v>FA1500004</v>
      </c>
      <c r="D42" s="1" t="str">
        <f t="shared" si="27"/>
        <v>1 CORE X 35 SQ. MM. + 1 CORE X 25 SQ. MM. AB CABLE ( INSULATED)</v>
      </c>
      <c r="E42" s="3">
        <f t="shared" si="22"/>
        <v>56.739999999999995</v>
      </c>
      <c r="F42" s="61">
        <f t="shared" si="22"/>
        <v>2</v>
      </c>
      <c r="G42" s="79">
        <f>E42+F42</f>
        <v>58.739999999999995</v>
      </c>
      <c r="H42" s="7">
        <v>0.18</v>
      </c>
      <c r="I42" s="9">
        <f>ROUND(G42*H42,2)</f>
        <v>10.57</v>
      </c>
      <c r="J42" s="79">
        <f>ROUND(G42+I42,2)</f>
        <v>69.31</v>
      </c>
      <c r="K42" s="1">
        <f t="shared" si="23"/>
        <v>27000</v>
      </c>
      <c r="L42" s="1" t="s">
        <v>209</v>
      </c>
      <c r="M42" s="3">
        <f t="shared" si="20"/>
        <v>1871370</v>
      </c>
    </row>
  </sheetData>
  <mergeCells count="2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 ref="B7:R7"/>
    <mergeCell ref="B8:R8"/>
    <mergeCell ref="B9:R9"/>
    <mergeCell ref="B10:R10"/>
  </mergeCells>
  <dataValidations count="1">
    <dataValidation type="list" allowBlank="1" showInputMessage="1" showErrorMessage="1" sqref="G27:G32" xr:uid="{0292ECFF-D9BA-405A-A31E-F0C65EB79224}">
      <formula1>$Q$4:$Q$6</formula1>
    </dataValidation>
  </dataValidations>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2024-01-31T07:18:18Z</dcterms:modified>
</cp:coreProperties>
</file>