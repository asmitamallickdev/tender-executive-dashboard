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defaultThemeVersion="124226"/>
  <bookViews>
    <workbookView xWindow="165" yWindow="3540" windowWidth="20055" windowHeight="9510" activeTab="1"/>
  </bookViews>
  <sheets>
    <sheet name="Sheet1" sheetId="1" r:id="rId1"/>
    <sheet name="AUTO CALCULATION SHEET (2)" sheetId="4" r:id="rId2"/>
    <sheet name="Sheet2" sheetId="5" r:id="rId3"/>
  </sheets>
  <definedNames>
    <definedName name="_xlnm._FilterDatabase" localSheetId="0" hidden="1">Sheet1!$A$1:$CU$1</definedName>
  </definedNames>
  <calcPr calcId="145621"/>
</workbook>
</file>

<file path=xl/calcChain.xml><?xml version="1.0" encoding="utf-8"?>
<calcChain xmlns="http://schemas.openxmlformats.org/spreadsheetml/2006/main">
  <c r="T16" i="4" l="1"/>
  <c r="J20" i="4" l="1"/>
  <c r="BY17" i="4" l="1"/>
  <c r="BY15" i="4"/>
  <c r="B17" i="4" l="1"/>
  <c r="B25" i="4" s="1"/>
  <c r="BX17" i="4" l="1"/>
  <c r="BW17" i="4"/>
  <c r="BX15" i="4"/>
  <c r="BW15" i="4"/>
  <c r="BV17" i="4"/>
  <c r="BV15" i="4"/>
  <c r="B15" i="4"/>
  <c r="S16" i="4" l="1"/>
  <c r="AB17" i="4" l="1"/>
  <c r="AA17" i="4"/>
  <c r="Z17" i="4"/>
  <c r="Y17" i="4"/>
  <c r="X17" i="4"/>
  <c r="W17" i="4"/>
  <c r="V17" i="4"/>
  <c r="U17" i="4"/>
  <c r="S17" i="4"/>
  <c r="BU17" i="4"/>
  <c r="BT17" i="4"/>
  <c r="BS17" i="4"/>
  <c r="BR17" i="4"/>
  <c r="BQ17" i="4"/>
  <c r="BP17" i="4"/>
  <c r="BO17" i="4"/>
  <c r="BN17" i="4"/>
  <c r="BS16" i="4"/>
  <c r="BT16" i="4"/>
  <c r="BU16" i="4"/>
  <c r="BR16" i="4"/>
  <c r="BQ16" i="4"/>
  <c r="BP16" i="4"/>
  <c r="BN16" i="4"/>
  <c r="BO16" i="4"/>
  <c r="BM16" i="4"/>
  <c r="BM17" i="4"/>
  <c r="BL17" i="4"/>
  <c r="BK17" i="4"/>
  <c r="BJ17" i="4"/>
  <c r="BI17" i="4"/>
  <c r="BH17" i="4"/>
  <c r="BG17" i="4"/>
  <c r="BF17" i="4"/>
  <c r="BE17" i="4"/>
  <c r="BD17" i="4"/>
  <c r="BC17" i="4"/>
  <c r="BL16" i="4"/>
  <c r="BK16" i="4"/>
  <c r="BJ16" i="4"/>
  <c r="BI16" i="4"/>
  <c r="BH16" i="4"/>
  <c r="BG16" i="4"/>
  <c r="BF16" i="4"/>
  <c r="BE16" i="4"/>
  <c r="BD16" i="4"/>
  <c r="BC16" i="4"/>
  <c r="BB17" i="4"/>
  <c r="BA17" i="4"/>
  <c r="AZ17" i="4"/>
  <c r="AY17" i="4"/>
  <c r="AX17" i="4"/>
  <c r="AW17" i="4"/>
  <c r="AV17" i="4"/>
  <c r="AU17" i="4"/>
  <c r="AT17" i="4"/>
  <c r="AS17" i="4"/>
  <c r="BB16" i="4"/>
  <c r="BA16" i="4"/>
  <c r="AZ16" i="4"/>
  <c r="AY16" i="4"/>
  <c r="AX16" i="4"/>
  <c r="AW16" i="4"/>
  <c r="AV16" i="4"/>
  <c r="AU16" i="4"/>
  <c r="AT16" i="4"/>
  <c r="AS16" i="4"/>
  <c r="AR16" i="4"/>
  <c r="AR17" i="4"/>
  <c r="AQ17" i="4"/>
  <c r="AP17" i="4"/>
  <c r="AO17" i="4"/>
  <c r="AN17" i="4"/>
  <c r="AM17" i="4"/>
  <c r="AL17" i="4"/>
  <c r="AQ16" i="4"/>
  <c r="AP16" i="4"/>
  <c r="AO16" i="4"/>
  <c r="AN16" i="4"/>
  <c r="AM16" i="4"/>
  <c r="AL16" i="4"/>
  <c r="AK16" i="4"/>
  <c r="AK17" i="4"/>
  <c r="AJ17" i="4"/>
  <c r="AI17" i="4"/>
  <c r="AH17" i="4"/>
  <c r="AG17" i="4"/>
  <c r="AE17" i="4"/>
  <c r="AJ16" i="4"/>
  <c r="AI16" i="4"/>
  <c r="AH16" i="4"/>
  <c r="AE16" i="4"/>
  <c r="AG16" i="4"/>
  <c r="AF16" i="4"/>
  <c r="AD16" i="4"/>
  <c r="AD17" i="4"/>
  <c r="AC17" i="4"/>
  <c r="AC16" i="4"/>
  <c r="AB16" i="4" l="1"/>
  <c r="AA16" i="4"/>
  <c r="Z16" i="4"/>
  <c r="Y16" i="4"/>
  <c r="X16" i="4"/>
  <c r="W16" i="4"/>
  <c r="V16" i="4"/>
  <c r="U16" i="4"/>
  <c r="R16" i="4" l="1"/>
  <c r="Q16" i="4"/>
  <c r="P16" i="4"/>
  <c r="O16" i="4"/>
  <c r="N17" i="4"/>
  <c r="R17" i="4"/>
  <c r="Q17" i="4"/>
  <c r="P17" i="4"/>
  <c r="O17" i="4"/>
  <c r="N14" i="4"/>
  <c r="L17" i="4"/>
  <c r="K17" i="4"/>
  <c r="H17" i="4"/>
  <c r="H25" i="4" s="1"/>
  <c r="CB17" i="4"/>
  <c r="BZ17" i="4"/>
  <c r="D17" i="4"/>
  <c r="C17" i="4"/>
  <c r="C25" i="4" s="1"/>
  <c r="A17" i="4"/>
  <c r="A25" i="4" s="1"/>
  <c r="D25" i="4" l="1"/>
  <c r="D20" i="4"/>
  <c r="K25" i="4"/>
  <c r="E20" i="4"/>
  <c r="K20" i="4" s="1"/>
  <c r="CA17" i="4"/>
  <c r="L20" i="4" l="1"/>
  <c r="M20" i="4"/>
  <c r="F17" i="4" s="1"/>
  <c r="F25" i="4" s="1"/>
  <c r="CC17" i="4"/>
  <c r="CE17" i="4"/>
  <c r="CG17" i="4"/>
  <c r="CH17" i="4" l="1"/>
  <c r="CJ17" i="4" l="1"/>
  <c r="CL17" i="4"/>
  <c r="E17" i="4" l="1"/>
  <c r="E25" i="4" s="1"/>
  <c r="G25" i="4" s="1"/>
  <c r="I25" i="4" l="1"/>
  <c r="J25" i="4" s="1"/>
  <c r="M25" i="4" s="1"/>
  <c r="G17" i="4"/>
  <c r="I17" i="4" s="1"/>
  <c r="J17" i="4" s="1"/>
  <c r="M17" i="4" s="1"/>
</calcChain>
</file>

<file path=xl/comments1.xml><?xml version="1.0" encoding="utf-8"?>
<comments xmlns="http://schemas.openxmlformats.org/spreadsheetml/2006/main">
  <authors>
    <author>Author</author>
  </authors>
  <commentList>
    <comment ref="I19" authorId="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<sst xmlns="http://schemas.openxmlformats.org/spreadsheetml/2006/main" count="368" uniqueCount="188">
  <si>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</si>
  <si>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</si>
  <si>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</si>
  <si>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</si>
  <si>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</si>
  <si>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</si>
  <si>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</si>
  <si>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</si>
  <si>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</si>
  <si>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</si>
  <si>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</si>
  <si>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</si>
  <si>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</si>
  <si>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</si>
  <si>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</si>
  <si>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</si>
  <si>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</si>
  <si>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</si>
  <si>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</si>
  <si>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</si>
  <si>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</si>
  <si>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</si>
  <si>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</si>
  <si>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</si>
  <si>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</si>
  <si>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</si>
  <si>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</si>
  <si>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</si>
  <si>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</si>
  <si>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</si>
  <si>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</si>
  <si>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</si>
  <si>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</si>
  <si>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</si>
  <si>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</si>
  <si>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</si>
  <si>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</si>
  <si>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</si>
  <si>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</si>
  <si>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</si>
  <si>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</si>
  <si>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</si>
  <si>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</si>
  <si>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</si>
  <si>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</si>
  <si>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</si>
  <si>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</si>
  <si>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</si>
  <si>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</si>
  <si>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</si>
  <si>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</si>
  <si>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</si>
  <si>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</si>
  <si>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</si>
  <si>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</si>
  <si>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</si>
  <si>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</si>
  <si>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</si>
  <si>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</si>
  <si>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</si>
  <si>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</si>
  <si>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</si>
  <si>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</si>
  <si>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</si>
  <si>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</si>
  <si>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</si>
  <si>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</si>
  <si>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</si>
  <si>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</si>
  <si>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</si>
  <si>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</si>
  <si>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</si>
  <si>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</si>
  <si>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</si>
  <si>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</si>
  <si>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</si>
  <si>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</si>
  <si>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</si>
  <si>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</si>
  <si>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</si>
  <si>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</si>
  <si>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</si>
  <si>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</si>
  <si>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</si>
  <si>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</si>
  <si>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</si>
  <si>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</si>
  <si>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</si>
  <si>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</si>
  <si>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</si>
  <si>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</si>
  <si>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</si>
  <si>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</si>
  <si>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</si>
  <si>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</si>
  <si>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</si>
  <si>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</si>
  <si>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</si>
  <si>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</si>
  <si>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</si>
  <si>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</si>
  <si>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</si>
  <si>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</si>
  <si>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</si>
  <si>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</si>
  <si>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</si>
  <si>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</si>
  <si>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</si>
  <si>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</si>
  <si>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</si>
  <si>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</si>
  <si>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</si>
  <si>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</si>
  <si>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</si>
  <si>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</si>
  <si>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</si>
  <si>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</si>
  <si>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</si>
  <si>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</si>
  <si>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</si>
  <si>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</si>
  <si>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</si>
  <si>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</si>
  <si>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</si>
  <si>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</si>
  <si>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</si>
  <si>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</si>
  <si>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</si>
  <si>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</si>
  <si>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</si>
  <si>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</si>
  <si>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</si>
  <si>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Technical Specification</t>
  </si>
  <si>
    <t>Base Date</t>
  </si>
  <si>
    <t>PROPOSE DRUM TYPE</t>
  </si>
  <si>
    <t>DRUM CODE</t>
  </si>
  <si>
    <t>DRUM SIZE (FxbXtx Ft)</t>
  </si>
  <si>
    <t xml:space="preserve">TP WESTERN ODISHA DISTRIBUTION LIMITED </t>
  </si>
  <si>
    <t>Rate Contract for Supply of (1X35+1X25) Sq mm LT AB Cable</t>
  </si>
  <si>
    <t>TPWODL/SA/O/SU/031</t>
  </si>
  <si>
    <t>18-August-2023 [15:00 Hrs.]</t>
  </si>
  <si>
    <t>TPWODL reserves the right to conduct the reverse auction (instead of public opening of price bids) for the products/ services being asked for in the tender. The terms and conditions for such reverse auction events shall be as per the Acceptance Form attached as Annexure VI of this document. The bidders along with the tender document shall mandatorily submit a duly signed copy of the Acceptance Form attached as Annexure VI as a token of acceptance for the same.</t>
  </si>
  <si>
    <t>The prices shall remain firm during the entire contract period.</t>
  </si>
  <si>
    <t xml:space="preserve">Bids shall remain valid for 180 days from the due date of submission of the bid.
Notwithstanding clause above, the TPWODL may solicit the Bidder’s consent to an extension of the Period of Bid Validity. The request and responses thereto shall be made in writing. 
RC Validity: - The validity of this rate contract shall be one year from the date of issuance. </t>
  </si>
  <si>
    <t xml:space="preserve">Release Orders shall be placed against the awarded Rate Contract by TPWODL as and when the requirements arise&amp; Delivery within 60 Days from RO. </t>
  </si>
  <si>
    <t xml:space="preserve">On delivery of the materials in good condition and certification of acceptance by certified official, Associate shall submit the Bills/ Invoices in original in the name of TP Western Odisha Distribution Limited to Invoice Desk. The payment shall be released within 60 days from the date of submission of certified bills/ invoices. </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</si>
  <si>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</si>
  <si>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</si>
  <si>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</si>
  <si>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</si>
  <si>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</si>
  <si>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</si>
  <si>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</si>
  <si>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</si>
  <si>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</si>
  <si>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</si>
  <si>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</si>
  <si>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</si>
  <si>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</si>
  <si>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</si>
  <si>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</si>
  <si>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</si>
  <si>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</si>
  <si>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</si>
  <si>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</si>
  <si>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ENQ-10908-22-23</t>
  </si>
  <si>
    <t>FA1500004</t>
  </si>
  <si>
    <t>1 CORE X 35 SQ. MM. + 1 CORE X 25 SQ. MM. AB CABLE ( INSULATED)</t>
  </si>
  <si>
    <t>WOOD</t>
  </si>
  <si>
    <t>Alumimium Alloy</t>
  </si>
  <si>
    <t>KMS</t>
  </si>
  <si>
    <t>MD0100004</t>
  </si>
  <si>
    <t>DRUM - 28 X 10 X 23 X 2</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</si>
  <si>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</si>
  <si>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</si>
  <si>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</si>
  <si>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</si>
  <si>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</si>
  <si>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</si>
  <si>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</si>
  <si>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</si>
  <si>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</si>
  <si>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</si>
  <si>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EX-WORKS (PER MTR)</t>
  </si>
  <si>
    <t>FREIGHT PER MTR</t>
  </si>
  <si>
    <t>PRICE INCLUDING FREIGHT (PER MTR)</t>
  </si>
  <si>
    <t>PRICE INCLUDING GST &amp; FREIGHT (PER MTR)</t>
  </si>
  <si>
    <t>MTR</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</si>
</sst>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 #,##0.00_ ;_ * \-#,##0.00_ ;_ * &quot;-&quot;??_ ;_ @_ "/>
    <numFmt numFmtId="164" formatCode="0.000%"/>
    <numFmt numFmtId="165" formatCode="_(* #,##0.00_);_(* \(#,##0.00\);_(* &quot;-&quot;??_);_(@_)"/>
  </numFmts>
  <fonts count="15"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s>
  <fills count="9">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165" fontId="1" fillId="0" borderId="0" applyFont="0" applyFill="0" applyBorder="0" applyAlignment="0" applyProtection="0"/>
  </cellStyleXfs>
  <cellXfs count="84">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43" fontId="0" fillId="0" borderId="1" xfId="1" applyFont="1" applyBorder="1" applyAlignment="1">
      <alignment wrapText="1"/>
    </xf>
    <xf numFmtId="43" fontId="0" fillId="0" borderId="0" xfId="1" applyFont="1"/>
    <xf numFmtId="43"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43"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4" fontId="3" fillId="0" borderId="1" xfId="2" applyNumberFormat="1" applyFont="1" applyBorder="1" applyAlignment="1">
      <alignment horizontal="center" vertical="center" wrapText="1"/>
    </xf>
    <xf numFmtId="164"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43" fontId="4" fillId="0" borderId="0" xfId="1" applyFont="1" applyAlignment="1">
      <alignment horizontal="center" vertical="center" wrapText="1"/>
    </xf>
    <xf numFmtId="0" fontId="0" fillId="0" borderId="0" xfId="0" applyAlignment="1">
      <alignment wrapText="1"/>
    </xf>
    <xf numFmtId="43" fontId="3" fillId="3" borderId="1" xfId="1" applyFont="1" applyFill="1" applyBorder="1" applyAlignment="1">
      <alignment vertical="center" wrapText="1"/>
    </xf>
    <xf numFmtId="43" fontId="5" fillId="3" borderId="1" xfId="1" applyFont="1" applyFill="1" applyBorder="1" applyAlignment="1">
      <alignment vertical="center" wrapText="1"/>
    </xf>
    <xf numFmtId="43" fontId="7" fillId="2" borderId="1" xfId="1" applyFont="1" applyFill="1" applyBorder="1" applyAlignment="1">
      <alignment vertical="center" wrapText="1"/>
    </xf>
    <xf numFmtId="43" fontId="8" fillId="4" borderId="1" xfId="1" applyFont="1" applyFill="1" applyBorder="1" applyAlignment="1">
      <alignment vertical="center" wrapText="1"/>
    </xf>
    <xf numFmtId="43" fontId="8" fillId="3" borderId="1" xfId="1" applyFont="1" applyFill="1" applyBorder="1" applyAlignment="1">
      <alignment vertical="center" wrapText="1"/>
    </xf>
    <xf numFmtId="43" fontId="4" fillId="3" borderId="1" xfId="1" applyFont="1" applyFill="1" applyBorder="1" applyAlignment="1">
      <alignment vertical="center" wrapText="1"/>
    </xf>
    <xf numFmtId="0" fontId="0" fillId="0" borderId="0" xfId="0" applyFont="1" applyAlignment="1">
      <alignment horizontal="center" vertical="center"/>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43"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4" fontId="0" fillId="0" borderId="0" xfId="2" applyNumberFormat="1" applyFont="1" applyAlignment="1">
      <alignment horizontal="center" vertical="center"/>
    </xf>
    <xf numFmtId="43" fontId="0" fillId="0" borderId="0" xfId="1" applyFont="1" applyAlignment="1">
      <alignment horizontal="center" vertical="center"/>
    </xf>
    <xf numFmtId="9" fontId="0" fillId="0" borderId="0" xfId="2" applyFont="1" applyAlignment="1">
      <alignment horizontal="center" vertical="center"/>
    </xf>
    <xf numFmtId="0" fontId="2" fillId="0" borderId="1" xfId="0" applyFont="1" applyFill="1" applyBorder="1" applyAlignment="1">
      <alignment horizontal="center" vertical="center" wrapText="1"/>
    </xf>
    <xf numFmtId="0" fontId="0" fillId="0" borderId="0" xfId="0" applyAlignment="1">
      <alignment vertical="center"/>
    </xf>
    <xf numFmtId="0" fontId="9" fillId="0" borderId="0" xfId="0" applyFont="1" applyAlignment="1"/>
    <xf numFmtId="0" fontId="0" fillId="0" borderId="1" xfId="0" applyFont="1" applyBorder="1" applyAlignment="1">
      <alignment horizontal="center" vertical="center" wrapText="1"/>
    </xf>
    <xf numFmtId="10" fontId="2" fillId="0" borderId="1" xfId="2" applyNumberFormat="1" applyFont="1" applyBorder="1" applyAlignment="1">
      <alignment wrapText="1"/>
    </xf>
    <xf numFmtId="0" fontId="9" fillId="0" borderId="0" xfId="0" applyFont="1" applyBorder="1" applyAlignment="1"/>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43" fontId="8" fillId="0" borderId="0" xfId="1" applyFont="1" applyFill="1" applyBorder="1" applyAlignment="1">
      <alignment vertical="center" wrapText="1"/>
    </xf>
    <xf numFmtId="0" fontId="8" fillId="5" borderId="1" xfId="0" applyFont="1" applyFill="1" applyBorder="1" applyAlignment="1">
      <alignment vertical="center" wrapText="1"/>
    </xf>
    <xf numFmtId="0" fontId="0" fillId="0" borderId="1" xfId="0" applyFont="1" applyBorder="1" applyAlignment="1">
      <alignment horizontal="center" vertical="center" wrapText="1"/>
    </xf>
    <xf numFmtId="0" fontId="2" fillId="5" borderId="1" xfId="0" applyFont="1" applyFill="1" applyBorder="1" applyAlignment="1">
      <alignment vertical="top" wrapText="1"/>
    </xf>
    <xf numFmtId="0" fontId="2" fillId="0" borderId="1" xfId="0" applyFont="1" applyFill="1" applyBorder="1" applyAlignment="1">
      <alignment vertical="center" wrapText="1"/>
    </xf>
    <xf numFmtId="1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165" fontId="2" fillId="0" borderId="1" xfId="7" applyFont="1" applyFill="1" applyBorder="1" applyAlignment="1">
      <alignment horizontal="center" vertical="center"/>
    </xf>
    <xf numFmtId="165" fontId="2" fillId="6" borderId="1" xfId="7" applyFont="1" applyFill="1" applyBorder="1" applyAlignment="1">
      <alignment horizontal="center" vertical="center"/>
    </xf>
    <xf numFmtId="0" fontId="10" fillId="0" borderId="2" xfId="0" applyFont="1" applyFill="1" applyBorder="1" applyAlignment="1">
      <alignment horizontal="justify" vertical="top" wrapText="1"/>
    </xf>
    <xf numFmtId="0" fontId="10" fillId="0" borderId="3" xfId="0" applyFont="1" applyFill="1" applyBorder="1" applyAlignment="1">
      <alignment horizontal="justify" vertical="top" wrapText="1"/>
    </xf>
    <xf numFmtId="0" fontId="10" fillId="0" borderId="4" xfId="0" applyFont="1" applyFill="1" applyBorder="1" applyAlignment="1">
      <alignment horizontal="justify" vertical="top" wrapText="1"/>
    </xf>
    <xf numFmtId="0" fontId="0" fillId="0" borderId="1" xfId="0" applyFill="1" applyBorder="1" applyAlignment="1">
      <alignment vertical="center" wrapText="1"/>
    </xf>
    <xf numFmtId="0" fontId="10" fillId="0" borderId="1" xfId="0" applyFont="1" applyFill="1" applyBorder="1" applyAlignment="1">
      <alignment horizontal="left" vertical="top"/>
    </xf>
    <xf numFmtId="0" fontId="10" fillId="0" borderId="1" xfId="0" applyFont="1" applyFill="1" applyBorder="1" applyAlignment="1">
      <alignment horizontal="left" vertical="top" wrapText="1"/>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1" xfId="0" applyFont="1" applyBorder="1" applyAlignment="1">
      <alignment horizontal="center" vertical="center"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9" fillId="0" borderId="5"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xf numFmtId="0" fontId="2"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165" fontId="0" fillId="0" borderId="1" xfId="0" applyNumberFormat="1" applyBorder="1" applyAlignment="1">
      <alignment wrapText="1"/>
    </xf>
  </cellXfs>
  <cellStyles count="8">
    <cellStyle name="Comma" xfId="1" builtinId="3"/>
    <cellStyle name="Comma 3" xfId="7"/>
    <cellStyle name="Normal" xfId="0" builtinId="0"/>
    <cellStyle name="Normal 2" xfId="3"/>
    <cellStyle name="Normal 2 2" xfId="5"/>
    <cellStyle name="Normal 2 2 2" xfId="6"/>
    <cellStyle name="Normal 6 2" xfId="4"/>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20"/>
  <sheetViews>
    <sheetView topLeftCell="BX1" workbookViewId="0">
      <selection sqref="A1:CX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133</v>
      </c>
      <c r="C1" t="s">
        <v>1</v>
      </c>
      <c r="D1" t="s">
        <v>2</v>
      </c>
      <c r="E1" t="s">
        <v>134</v>
      </c>
      <c r="F1" t="s">
        <v>3</v>
      </c>
      <c r="G1" t="s">
        <v>146</v>
      </c>
      <c r="H1" t="s">
        <v>4</v>
      </c>
      <c r="I1" t="s">
        <v>5</v>
      </c>
      <c r="J1" t="s">
        <v>6</v>
      </c>
      <c r="K1" t="s">
        <v>147</v>
      </c>
      <c r="L1" t="s">
        <v>7</v>
      </c>
      <c r="M1" t="s">
        <v>8</v>
      </c>
      <c r="N1" t="s">
        <v>9</v>
      </c>
      <c r="O1" t="s">
        <v>148</v>
      </c>
      <c r="P1" t="s">
        <v>10</v>
      </c>
      <c r="Q1" t="s">
        <v>11</v>
      </c>
      <c r="R1" t="s">
        <v>12</v>
      </c>
      <c r="S1" t="s">
        <v>149</v>
      </c>
      <c r="T1" t="s">
        <v>13</v>
      </c>
      <c r="U1" t="s">
        <v>14</v>
      </c>
      <c r="V1" t="s">
        <v>15</v>
      </c>
      <c r="W1" t="s">
        <v>150</v>
      </c>
      <c r="X1" t="s">
        <v>16</v>
      </c>
      <c r="Y1" t="s">
        <v>17</v>
      </c>
      <c r="Z1" t="s">
        <v>18</v>
      </c>
      <c r="AA1" t="s">
        <v>151</v>
      </c>
      <c r="AB1" t="s">
        <v>19</v>
      </c>
      <c r="AC1" t="s">
        <v>20</v>
      </c>
      <c r="AD1" t="s">
        <v>21</v>
      </c>
      <c r="AE1" t="s">
        <v>152</v>
      </c>
      <c r="AF1" t="s">
        <v>22</v>
      </c>
      <c r="AG1" t="s">
        <v>23</v>
      </c>
      <c r="AH1" t="s">
        <v>24</v>
      </c>
      <c r="AI1" t="s">
        <v>153</v>
      </c>
      <c r="AJ1" t="s">
        <v>25</v>
      </c>
      <c r="AK1" t="s">
        <v>26</v>
      </c>
      <c r="AL1" t="s">
        <v>27</v>
      </c>
      <c r="AM1" t="s">
        <v>154</v>
      </c>
      <c r="AN1" t="s">
        <v>28</v>
      </c>
      <c r="AO1" t="s">
        <v>29</v>
      </c>
      <c r="AP1" t="s">
        <v>30</v>
      </c>
      <c r="AQ1" t="s">
        <v>155</v>
      </c>
      <c r="AR1" t="s">
        <v>31</v>
      </c>
      <c r="AS1" t="s">
        <v>32</v>
      </c>
      <c r="AT1" t="s">
        <v>33</v>
      </c>
      <c r="AU1" t="s">
        <v>156</v>
      </c>
      <c r="AV1" t="s">
        <v>34</v>
      </c>
      <c r="AW1" t="s">
        <v>35</v>
      </c>
      <c r="AX1" t="s">
        <v>36</v>
      </c>
      <c r="AY1" t="s">
        <v>157</v>
      </c>
      <c r="AZ1" t="s">
        <v>37</v>
      </c>
      <c r="BA1" t="s">
        <v>38</v>
      </c>
      <c r="BB1" t="s">
        <v>39</v>
      </c>
      <c r="BC1" t="s">
        <v>158</v>
      </c>
      <c r="BD1" t="s">
        <v>40</v>
      </c>
      <c r="BE1" t="s">
        <v>41</v>
      </c>
      <c r="BF1" t="s">
        <v>42</v>
      </c>
      <c r="BG1" t="s">
        <v>159</v>
      </c>
      <c r="BH1" t="s">
        <v>43</v>
      </c>
      <c r="BI1" t="s">
        <v>44</v>
      </c>
      <c r="BJ1" t="s">
        <v>45</v>
      </c>
      <c r="BK1" t="s">
        <v>160</v>
      </c>
      <c r="BL1" t="s">
        <v>46</v>
      </c>
      <c r="BM1" t="s">
        <v>47</v>
      </c>
      <c r="BN1" t="s">
        <v>48</v>
      </c>
      <c r="BO1" t="s">
        <v>161</v>
      </c>
      <c r="BP1" t="s">
        <v>49</v>
      </c>
      <c r="BQ1" t="s">
        <v>50</v>
      </c>
      <c r="BR1" t="s">
        <v>51</v>
      </c>
      <c r="BS1" t="s">
        <v>162</v>
      </c>
      <c r="BT1" t="s">
        <v>52</v>
      </c>
      <c r="BU1" t="s">
        <v>53</v>
      </c>
      <c r="BV1" t="s">
        <v>54</v>
      </c>
      <c r="BW1" t="s">
        <v>163</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135</v>
      </c>
      <c r="CW1" t="s">
        <v>136</v>
      </c>
      <c r="CX1" t="s">
        <v>164</v>
      </c>
    </row>
    <row r="2" spans="1:102" x14ac:dyDescent="0.25">
      <c r="A2" t="s">
        <v>165</v>
      </c>
      <c r="B2" s="58">
        <v>45149</v>
      </c>
      <c r="C2" t="s">
        <v>166</v>
      </c>
      <c r="D2" t="s">
        <v>167</v>
      </c>
      <c r="E2" t="s">
        <v>168</v>
      </c>
      <c r="J2" t="s">
        <v>80</v>
      </c>
      <c r="K2">
        <v>212</v>
      </c>
      <c r="L2">
        <v>95</v>
      </c>
      <c r="M2">
        <v>20140</v>
      </c>
      <c r="N2" t="s">
        <v>169</v>
      </c>
      <c r="O2">
        <v>220</v>
      </c>
      <c r="P2">
        <v>67.5</v>
      </c>
      <c r="Q2">
        <v>14850</v>
      </c>
      <c r="T2">
        <v>0</v>
      </c>
      <c r="V2" t="s">
        <v>86</v>
      </c>
      <c r="W2">
        <v>116</v>
      </c>
      <c r="X2">
        <v>60</v>
      </c>
      <c r="Y2">
        <v>6960</v>
      </c>
      <c r="AB2">
        <v>0</v>
      </c>
      <c r="AF2">
        <v>0</v>
      </c>
      <c r="AJ2">
        <v>0</v>
      </c>
      <c r="AN2">
        <v>0</v>
      </c>
      <c r="AR2">
        <v>0</v>
      </c>
      <c r="AV2">
        <v>0</v>
      </c>
      <c r="AZ2">
        <v>0</v>
      </c>
      <c r="BD2">
        <v>0</v>
      </c>
      <c r="BH2">
        <v>0</v>
      </c>
      <c r="BL2">
        <v>0</v>
      </c>
      <c r="BP2">
        <v>0</v>
      </c>
      <c r="BT2">
        <v>0</v>
      </c>
      <c r="BX2">
        <v>0</v>
      </c>
      <c r="BZ2">
        <v>3262.33</v>
      </c>
      <c r="CA2">
        <v>45212.33</v>
      </c>
      <c r="CH2">
        <v>45212.33</v>
      </c>
      <c r="CM2">
        <v>45212.33</v>
      </c>
      <c r="CO2">
        <v>45212.33</v>
      </c>
      <c r="CP2" s="59">
        <v>0.18</v>
      </c>
      <c r="CQ2">
        <v>8138.22</v>
      </c>
      <c r="CR2">
        <v>53350.55</v>
      </c>
      <c r="CS2">
        <v>250</v>
      </c>
      <c r="CT2" t="s">
        <v>170</v>
      </c>
      <c r="CU2" s="60">
        <v>13337637</v>
      </c>
      <c r="CV2" t="s">
        <v>171</v>
      </c>
      <c r="CW2" t="s">
        <v>172</v>
      </c>
      <c r="CX2">
        <v>500</v>
      </c>
    </row>
    <row r="3" spans="1:102" x14ac:dyDescent="0.25">
      <c r="A3" s="2"/>
      <c r="B3" s="51"/>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2" x14ac:dyDescent="0.25">
      <c r="A4" s="2"/>
      <c r="B4" s="51"/>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2"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2"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2"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2"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L25"/>
  <sheetViews>
    <sheetView tabSelected="1" topLeftCell="A10" workbookViewId="0">
      <selection activeCell="D30" sqref="D30"/>
    </sheetView>
  </sheetViews>
  <sheetFormatPr defaultRowHeight="15" x14ac:dyDescent="0.25"/>
  <cols>
    <col min="1" max="1" width="17.85546875" customWidth="1"/>
    <col min="2" max="2" width="10.42578125" bestFit="1" customWidth="1"/>
    <col min="3" max="3" width="10.28515625" bestFit="1" customWidth="1"/>
    <col min="4" max="4" width="32.28515625" customWidth="1"/>
    <col min="5" max="5" width="12.5703125" style="4" customWidth="1"/>
    <col min="6" max="6" width="9.140625"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19" width="7.85546875" style="30" hidden="1" customWidth="1"/>
    <col min="20" max="20" width="7.85546875" style="30" customWidth="1"/>
    <col min="21" max="31" width="7.85546875" style="30" hidden="1" customWidth="1"/>
    <col min="32" max="32" width="7.85546875" style="30" customWidth="1"/>
    <col min="33" max="73" width="7.85546875" style="30" hidden="1" customWidth="1"/>
    <col min="74" max="74" width="7.85546875" style="30" customWidth="1"/>
    <col min="75" max="75" width="11.42578125" style="30" customWidth="1"/>
    <col min="76" max="76" width="13.28515625" style="30" customWidth="1"/>
    <col min="77" max="77" width="10.710937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90" s="46" customFormat="1" ht="15.75" thickBot="1" x14ac:dyDescent="0.3"/>
    <row r="2" spans="1:90" s="46" customFormat="1" ht="23.25" thickBot="1" x14ac:dyDescent="0.5">
      <c r="A2" s="78" t="s">
        <v>137</v>
      </c>
      <c r="B2" s="79"/>
      <c r="C2" s="79"/>
      <c r="D2" s="79"/>
      <c r="E2" s="79"/>
      <c r="F2" s="79"/>
      <c r="G2" s="79"/>
      <c r="H2" s="79"/>
      <c r="I2" s="79"/>
      <c r="J2" s="79"/>
      <c r="K2" s="79"/>
      <c r="L2" s="79"/>
      <c r="M2" s="79"/>
      <c r="N2" s="79"/>
      <c r="O2" s="79"/>
      <c r="P2" s="79"/>
      <c r="Q2" s="79"/>
      <c r="R2" s="80"/>
      <c r="S2" s="50"/>
      <c r="T2" s="47"/>
    </row>
    <row r="3" spans="1:90" s="46" customFormat="1" x14ac:dyDescent="0.25">
      <c r="A3"/>
      <c r="B3"/>
      <c r="C3"/>
      <c r="D3"/>
      <c r="E3"/>
      <c r="F3"/>
      <c r="G3"/>
      <c r="H3"/>
      <c r="I3"/>
      <c r="J3"/>
      <c r="K3"/>
      <c r="L3"/>
      <c r="M3"/>
      <c r="N3"/>
      <c r="O3"/>
      <c r="P3"/>
      <c r="Q3"/>
      <c r="R3"/>
      <c r="S3"/>
    </row>
    <row r="4" spans="1:90" s="46" customFormat="1" ht="51.75" customHeight="1" x14ac:dyDescent="0.25">
      <c r="A4" s="56" t="s">
        <v>125</v>
      </c>
      <c r="B4" s="70" t="s">
        <v>139</v>
      </c>
      <c r="C4" s="70"/>
      <c r="D4" s="70"/>
      <c r="E4" s="70"/>
      <c r="F4" s="70"/>
      <c r="G4" s="70"/>
      <c r="H4" s="70"/>
      <c r="I4" s="70"/>
      <c r="J4" s="70"/>
      <c r="K4" s="70"/>
      <c r="L4" s="70"/>
      <c r="M4" s="70"/>
      <c r="N4" s="70"/>
      <c r="O4" s="70"/>
      <c r="P4" s="70"/>
      <c r="Q4" s="70"/>
      <c r="R4" s="70"/>
      <c r="S4"/>
    </row>
    <row r="5" spans="1:90" s="46" customFormat="1" ht="34.5" customHeight="1" x14ac:dyDescent="0.25">
      <c r="A5" s="56" t="s">
        <v>126</v>
      </c>
      <c r="B5" s="70" t="s">
        <v>138</v>
      </c>
      <c r="C5" s="70"/>
      <c r="D5" s="70"/>
      <c r="E5" s="70"/>
      <c r="F5" s="70"/>
      <c r="G5" s="70"/>
      <c r="H5" s="70"/>
      <c r="I5" s="70"/>
      <c r="J5" s="70"/>
      <c r="K5" s="70"/>
      <c r="L5" s="70"/>
      <c r="M5" s="70"/>
      <c r="N5" s="70"/>
      <c r="O5" s="70"/>
      <c r="P5" s="70"/>
      <c r="Q5" s="70"/>
      <c r="R5" s="70"/>
      <c r="S5"/>
    </row>
    <row r="6" spans="1:90" s="46" customFormat="1" ht="48" customHeight="1" x14ac:dyDescent="0.25">
      <c r="A6" s="56" t="s">
        <v>127</v>
      </c>
      <c r="B6" s="71" t="s">
        <v>140</v>
      </c>
      <c r="C6" s="70"/>
      <c r="D6" s="70"/>
      <c r="E6" s="70"/>
      <c r="F6" s="70"/>
      <c r="G6" s="70"/>
      <c r="H6" s="70"/>
      <c r="I6" s="70"/>
      <c r="J6" s="70"/>
      <c r="K6" s="70"/>
      <c r="L6" s="70"/>
      <c r="M6" s="70"/>
      <c r="N6" s="70"/>
      <c r="O6" s="70"/>
      <c r="P6" s="70"/>
      <c r="Q6" s="70"/>
      <c r="R6" s="70"/>
      <c r="S6"/>
    </row>
    <row r="7" spans="1:90" s="46" customFormat="1" ht="45.75" customHeight="1" x14ac:dyDescent="0.25">
      <c r="A7" s="56" t="s">
        <v>124</v>
      </c>
      <c r="B7" s="71" t="s">
        <v>141</v>
      </c>
      <c r="C7" s="70"/>
      <c r="D7" s="70"/>
      <c r="E7" s="70"/>
      <c r="F7" s="70"/>
      <c r="G7" s="70"/>
      <c r="H7" s="70"/>
      <c r="I7" s="70"/>
      <c r="J7" s="70"/>
      <c r="K7" s="70"/>
      <c r="L7" s="70"/>
      <c r="M7" s="70"/>
      <c r="N7" s="70"/>
      <c r="O7" s="70"/>
      <c r="P7" s="70"/>
      <c r="Q7" s="70"/>
      <c r="R7" s="70"/>
      <c r="S7"/>
    </row>
    <row r="8" spans="1:90" s="46" customFormat="1" ht="28.5" customHeight="1" x14ac:dyDescent="0.25">
      <c r="A8" s="56" t="s">
        <v>128</v>
      </c>
      <c r="B8" s="71" t="s">
        <v>142</v>
      </c>
      <c r="C8" s="71"/>
      <c r="D8" s="71"/>
      <c r="E8" s="71"/>
      <c r="F8" s="71"/>
      <c r="G8" s="71"/>
      <c r="H8" s="71"/>
      <c r="I8" s="71"/>
      <c r="J8" s="71"/>
      <c r="K8" s="71"/>
      <c r="L8" s="71"/>
      <c r="M8" s="71"/>
      <c r="N8" s="71"/>
      <c r="O8" s="71"/>
      <c r="P8" s="71"/>
      <c r="Q8" s="71"/>
      <c r="R8" s="71"/>
      <c r="S8"/>
    </row>
    <row r="9" spans="1:90" s="46" customFormat="1" ht="48" customHeight="1" x14ac:dyDescent="0.25">
      <c r="A9" s="56" t="s">
        <v>129</v>
      </c>
      <c r="B9" s="75" t="s">
        <v>143</v>
      </c>
      <c r="C9" s="76"/>
      <c r="D9" s="76"/>
      <c r="E9" s="76"/>
      <c r="F9" s="76"/>
      <c r="G9" s="76"/>
      <c r="H9" s="76"/>
      <c r="I9" s="76"/>
      <c r="J9" s="76"/>
      <c r="K9" s="76"/>
      <c r="L9" s="76"/>
      <c r="M9" s="76"/>
      <c r="N9" s="76"/>
      <c r="O9" s="76"/>
      <c r="P9" s="76"/>
      <c r="Q9" s="76"/>
      <c r="R9" s="77"/>
    </row>
    <row r="10" spans="1:90" s="46" customFormat="1" x14ac:dyDescent="0.25">
      <c r="A10" s="56" t="s">
        <v>130</v>
      </c>
      <c r="B10" s="71" t="s">
        <v>144</v>
      </c>
      <c r="C10" s="71"/>
      <c r="D10" s="71"/>
      <c r="E10" s="71"/>
      <c r="F10" s="71"/>
      <c r="G10" s="71"/>
      <c r="H10" s="71"/>
      <c r="I10" s="71"/>
      <c r="J10" s="71"/>
      <c r="K10" s="71"/>
      <c r="L10" s="71"/>
      <c r="M10" s="71"/>
      <c r="N10" s="71"/>
      <c r="O10" s="71"/>
      <c r="P10" s="71"/>
      <c r="Q10" s="71"/>
      <c r="R10" s="71"/>
      <c r="S10"/>
    </row>
    <row r="11" spans="1:90" s="46" customFormat="1" ht="36" customHeight="1" x14ac:dyDescent="0.25">
      <c r="A11" s="56" t="s">
        <v>131</v>
      </c>
      <c r="B11" s="66" t="s">
        <v>145</v>
      </c>
      <c r="C11" s="67"/>
      <c r="D11" s="67"/>
      <c r="E11" s="67"/>
      <c r="F11" s="67"/>
      <c r="G11" s="67"/>
      <c r="H11" s="67"/>
      <c r="I11" s="67"/>
      <c r="J11" s="67"/>
      <c r="K11" s="67"/>
      <c r="L11" s="67"/>
      <c r="M11" s="67"/>
      <c r="N11" s="67"/>
      <c r="O11" s="67"/>
      <c r="P11" s="67"/>
      <c r="Q11" s="67"/>
      <c r="R11" s="68"/>
      <c r="S11"/>
    </row>
    <row r="12" spans="1:90" s="46" customFormat="1" ht="30" x14ac:dyDescent="0.25">
      <c r="A12" s="57" t="s">
        <v>132</v>
      </c>
      <c r="B12" s="69"/>
      <c r="C12" s="69"/>
      <c r="D12" s="69"/>
      <c r="E12" s="69"/>
      <c r="F12" s="69"/>
      <c r="G12" s="69"/>
      <c r="H12" s="69"/>
      <c r="I12" s="69"/>
      <c r="J12" s="69"/>
      <c r="K12" s="69"/>
      <c r="L12" s="69"/>
      <c r="M12" s="69"/>
      <c r="N12" s="69"/>
      <c r="O12" s="69"/>
      <c r="P12" s="69"/>
      <c r="Q12" s="69"/>
      <c r="R12" s="69"/>
    </row>
    <row r="14" spans="1:90" s="37" customFormat="1" ht="28.9" customHeight="1" x14ac:dyDescent="0.25">
      <c r="E14" s="43"/>
      <c r="H14" s="44"/>
      <c r="N14" s="74" t="str">
        <f>Sheet1!J1</f>
        <v>Conductor</v>
      </c>
      <c r="O14" s="74"/>
      <c r="P14" s="74"/>
      <c r="Q14" s="74"/>
      <c r="R14" s="74"/>
      <c r="S14" s="74" t="s">
        <v>9</v>
      </c>
      <c r="T14" s="74"/>
      <c r="U14" s="74" t="s">
        <v>3</v>
      </c>
      <c r="V14" s="74"/>
      <c r="W14" s="74"/>
      <c r="X14" s="74"/>
      <c r="Y14" s="74"/>
      <c r="Z14" s="74"/>
      <c r="AA14" s="74"/>
      <c r="AB14" s="74"/>
      <c r="AC14" s="74" t="s">
        <v>12</v>
      </c>
      <c r="AD14" s="74"/>
      <c r="AE14" s="74" t="s">
        <v>15</v>
      </c>
      <c r="AF14" s="74"/>
      <c r="AG14" s="74"/>
      <c r="AH14" s="74"/>
      <c r="AI14" s="74"/>
      <c r="AJ14" s="74"/>
      <c r="AK14" s="38" t="s">
        <v>18</v>
      </c>
      <c r="AL14" s="72" t="s">
        <v>21</v>
      </c>
      <c r="AM14" s="73"/>
      <c r="AN14" s="73"/>
      <c r="AO14" s="73"/>
      <c r="AP14" s="73"/>
      <c r="AQ14" s="73"/>
      <c r="AR14" s="73"/>
      <c r="AS14" s="74" t="s">
        <v>24</v>
      </c>
      <c r="AT14" s="74"/>
      <c r="AU14" s="74"/>
      <c r="AV14" s="74"/>
      <c r="AW14" s="74"/>
      <c r="AX14" s="74"/>
      <c r="AY14" s="74"/>
      <c r="AZ14" s="74"/>
      <c r="BA14" s="74"/>
      <c r="BB14" s="74"/>
      <c r="BC14" s="74" t="s">
        <v>27</v>
      </c>
      <c r="BD14" s="74"/>
      <c r="BE14" s="74"/>
      <c r="BF14" s="74"/>
      <c r="BG14" s="74"/>
      <c r="BH14" s="74"/>
      <c r="BI14" s="74"/>
      <c r="BJ14" s="74"/>
      <c r="BK14" s="74"/>
      <c r="BL14" s="74"/>
      <c r="BM14" s="39" t="s">
        <v>30</v>
      </c>
      <c r="BN14" s="38" t="s">
        <v>33</v>
      </c>
      <c r="BO14" s="38" t="s">
        <v>36</v>
      </c>
      <c r="BP14" s="38" t="s">
        <v>39</v>
      </c>
      <c r="BQ14" s="38" t="s">
        <v>42</v>
      </c>
      <c r="BR14" s="38" t="s">
        <v>45</v>
      </c>
      <c r="BS14" s="38" t="s">
        <v>48</v>
      </c>
      <c r="BT14" s="38" t="s">
        <v>51</v>
      </c>
      <c r="BU14" s="38" t="s">
        <v>54</v>
      </c>
      <c r="BV14" s="48"/>
      <c r="BW14" s="48"/>
      <c r="BX14" s="48"/>
      <c r="BY14" s="55"/>
      <c r="BZ14" s="40" t="s">
        <v>57</v>
      </c>
      <c r="CA14" s="40" t="s">
        <v>58</v>
      </c>
      <c r="CB14" s="41" t="s">
        <v>79</v>
      </c>
      <c r="CC14" s="40" t="s">
        <v>123</v>
      </c>
      <c r="CD14" s="42"/>
      <c r="CE14" s="43"/>
      <c r="CF14" s="44"/>
      <c r="CG14" s="43"/>
      <c r="CH14" s="43"/>
      <c r="CI14" s="44"/>
      <c r="CK14" s="44"/>
    </row>
    <row r="15" spans="1:90" s="19" customFormat="1" ht="89.25" x14ac:dyDescent="0.25">
      <c r="A15" s="22" t="s">
        <v>0</v>
      </c>
      <c r="B15" s="22" t="str">
        <f>Sheet1!B1</f>
        <v>Base Date</v>
      </c>
      <c r="C15" s="22" t="s">
        <v>1</v>
      </c>
      <c r="D15" s="22" t="s">
        <v>2</v>
      </c>
      <c r="E15" s="5" t="s">
        <v>70</v>
      </c>
      <c r="F15" s="15" t="s">
        <v>71</v>
      </c>
      <c r="G15" s="15" t="s">
        <v>72</v>
      </c>
      <c r="H15" s="6" t="s">
        <v>73</v>
      </c>
      <c r="I15" s="15" t="s">
        <v>74</v>
      </c>
      <c r="J15" s="15" t="s">
        <v>75</v>
      </c>
      <c r="K15" s="15" t="s">
        <v>76</v>
      </c>
      <c r="L15" s="15" t="s">
        <v>77</v>
      </c>
      <c r="M15" s="15" t="s">
        <v>78</v>
      </c>
      <c r="N15" s="23" t="s">
        <v>80</v>
      </c>
      <c r="O15" s="23" t="s">
        <v>85</v>
      </c>
      <c r="P15" s="23" t="s">
        <v>82</v>
      </c>
      <c r="Q15" s="23" t="s">
        <v>83</v>
      </c>
      <c r="R15" s="23" t="s">
        <v>84</v>
      </c>
      <c r="S15" s="23" t="s">
        <v>80</v>
      </c>
      <c r="T15" s="23" t="s">
        <v>85</v>
      </c>
      <c r="U15" s="24" t="s">
        <v>92</v>
      </c>
      <c r="V15" s="24" t="s">
        <v>96</v>
      </c>
      <c r="W15" s="24" t="s">
        <v>99</v>
      </c>
      <c r="X15" s="24" t="s">
        <v>104</v>
      </c>
      <c r="Y15" s="24" t="s">
        <v>108</v>
      </c>
      <c r="Z15" s="24" t="s">
        <v>112</v>
      </c>
      <c r="AA15" s="24" t="s">
        <v>115</v>
      </c>
      <c r="AB15" s="24" t="s">
        <v>117</v>
      </c>
      <c r="AC15" s="24" t="s">
        <v>91</v>
      </c>
      <c r="AD15" s="24" t="s">
        <v>95</v>
      </c>
      <c r="AE15" s="24" t="s">
        <v>90</v>
      </c>
      <c r="AF15" s="24" t="s">
        <v>86</v>
      </c>
      <c r="AG15" s="24" t="s">
        <v>98</v>
      </c>
      <c r="AH15" s="24" t="s">
        <v>103</v>
      </c>
      <c r="AI15" s="24" t="s">
        <v>107</v>
      </c>
      <c r="AJ15" s="24" t="s">
        <v>111</v>
      </c>
      <c r="AK15" s="20" t="s">
        <v>18</v>
      </c>
      <c r="AL15" s="24" t="s">
        <v>93</v>
      </c>
      <c r="AM15" s="24" t="s">
        <v>97</v>
      </c>
      <c r="AN15" s="24" t="s">
        <v>100</v>
      </c>
      <c r="AO15" s="24" t="s">
        <v>105</v>
      </c>
      <c r="AP15" s="24" t="s">
        <v>109</v>
      </c>
      <c r="AQ15" s="24" t="s">
        <v>87</v>
      </c>
      <c r="AR15" s="24" t="s">
        <v>116</v>
      </c>
      <c r="AS15" s="24" t="s">
        <v>94</v>
      </c>
      <c r="AT15" s="24" t="s">
        <v>81</v>
      </c>
      <c r="AU15" s="24" t="s">
        <v>101</v>
      </c>
      <c r="AV15" s="24" t="s">
        <v>106</v>
      </c>
      <c r="AW15" s="24" t="s">
        <v>113</v>
      </c>
      <c r="AX15" s="24" t="s">
        <v>88</v>
      </c>
      <c r="AY15" s="24" t="s">
        <v>118</v>
      </c>
      <c r="AZ15" s="24" t="s">
        <v>119</v>
      </c>
      <c r="BA15" s="24" t="s">
        <v>120</v>
      </c>
      <c r="BB15" s="24" t="s">
        <v>122</v>
      </c>
      <c r="BC15" s="24" t="s">
        <v>93</v>
      </c>
      <c r="BD15" s="24" t="s">
        <v>97</v>
      </c>
      <c r="BE15" s="24" t="s">
        <v>102</v>
      </c>
      <c r="BF15" s="24" t="s">
        <v>100</v>
      </c>
      <c r="BG15" s="24" t="s">
        <v>110</v>
      </c>
      <c r="BH15" s="24" t="s">
        <v>114</v>
      </c>
      <c r="BI15" s="24" t="s">
        <v>105</v>
      </c>
      <c r="BJ15" s="24" t="s">
        <v>87</v>
      </c>
      <c r="BK15" s="24" t="s">
        <v>116</v>
      </c>
      <c r="BL15" s="24" t="s">
        <v>121</v>
      </c>
      <c r="BM15" s="20" t="s">
        <v>30</v>
      </c>
      <c r="BN15" s="20" t="s">
        <v>89</v>
      </c>
      <c r="BO15" s="21" t="s">
        <v>36</v>
      </c>
      <c r="BP15" s="25" t="s">
        <v>39</v>
      </c>
      <c r="BQ15" s="21" t="s">
        <v>42</v>
      </c>
      <c r="BR15" s="21" t="s">
        <v>45</v>
      </c>
      <c r="BS15" s="21" t="s">
        <v>48</v>
      </c>
      <c r="BT15" s="25" t="s">
        <v>51</v>
      </c>
      <c r="BU15" s="21" t="s">
        <v>54</v>
      </c>
      <c r="BV15" s="21" t="str">
        <f>Sheet1!E1</f>
        <v>PROPOSE DRUM TYPE</v>
      </c>
      <c r="BW15" s="54" t="str">
        <f>Sheet1!CV1</f>
        <v>DRUM CODE</v>
      </c>
      <c r="BX15" s="54" t="str">
        <f>Sheet1!CW1</f>
        <v>DRUM SIZE (FxbXtx Ft)</v>
      </c>
      <c r="BY15" s="54" t="str">
        <f>Sheet1!CX1</f>
        <v xml:space="preserve">PARTY STANDARD LENGTH (MTR) </v>
      </c>
      <c r="BZ15" s="29"/>
      <c r="CA15" s="29"/>
      <c r="CB15" s="26"/>
      <c r="CC15" s="29"/>
      <c r="CD15" s="13" t="s">
        <v>61</v>
      </c>
      <c r="CE15" s="5" t="s">
        <v>62</v>
      </c>
      <c r="CF15" s="6" t="s">
        <v>63</v>
      </c>
      <c r="CG15" s="5" t="s">
        <v>64</v>
      </c>
      <c r="CH15" s="5" t="s">
        <v>65</v>
      </c>
      <c r="CI15" s="6" t="s">
        <v>66</v>
      </c>
      <c r="CJ15" s="15" t="s">
        <v>67</v>
      </c>
      <c r="CK15" s="6" t="s">
        <v>68</v>
      </c>
      <c r="CL15" s="15" t="s">
        <v>69</v>
      </c>
    </row>
    <row r="16" spans="1:90" s="29" customFormat="1" x14ac:dyDescent="0.25">
      <c r="A16" s="31"/>
      <c r="B16" s="31"/>
      <c r="C16" s="31"/>
      <c r="D16" s="31"/>
      <c r="E16" s="5"/>
      <c r="F16" s="5"/>
      <c r="G16" s="5"/>
      <c r="H16" s="5"/>
      <c r="I16" s="5"/>
      <c r="J16" s="5"/>
      <c r="K16" s="5"/>
      <c r="L16" s="5"/>
      <c r="M16" s="5"/>
      <c r="N16" s="32">
        <v>214</v>
      </c>
      <c r="O16" s="32">
        <f>+IFERROR(VLOOKUP($O$15,Sheet1!J:L,2,0),0)</f>
        <v>0</v>
      </c>
      <c r="P16" s="32">
        <f>+IFERROR(VLOOKUP($P$15,Sheet1!J:M,2,0),0)</f>
        <v>0</v>
      </c>
      <c r="Q16" s="32">
        <f>+IFERROR(VLOOKUP($Q$15,Sheet1!J:M,2,0),0)</f>
        <v>0</v>
      </c>
      <c r="R16" s="32">
        <f>+IFERROR(VLOOKUP($R$15,Sheet1!J:M,2,0),0)</f>
        <v>0</v>
      </c>
      <c r="S16" s="32">
        <f>+IFERROR(VLOOKUP($S$15,Sheet1!N:Q,2,0),0)</f>
        <v>0</v>
      </c>
      <c r="T16" s="32">
        <f>N16+7</f>
        <v>221</v>
      </c>
      <c r="U16" s="33">
        <f>+IFERROR(VLOOKUP($U$15,Sheet1!F:I,2,0),0)</f>
        <v>0</v>
      </c>
      <c r="V16" s="33">
        <f>+IFERROR(VLOOKUP($V$15,Sheet1!F:I,2,0),0)</f>
        <v>0</v>
      </c>
      <c r="W16" s="33">
        <f>+IFERROR(VLOOKUP($W$15,Sheet1!F:I,2,0),0)</f>
        <v>0</v>
      </c>
      <c r="X16" s="33">
        <f>+IFERROR(VLOOKUP($X$15,Sheet1!F:I,2,0),0)</f>
        <v>0</v>
      </c>
      <c r="Y16" s="33">
        <f>+IFERROR(VLOOKUP($Y$15,Sheet1!F:I,2,0),0)</f>
        <v>0</v>
      </c>
      <c r="Z16" s="33">
        <f>+IFERROR(VLOOKUP($Z$15,Sheet1!F:I,2,0),0)</f>
        <v>0</v>
      </c>
      <c r="AA16" s="33">
        <f>+IFERROR(VLOOKUP($AA$15,Sheet1!F:I,2,0),0)</f>
        <v>0</v>
      </c>
      <c r="AB16" s="33">
        <f>+IFERROR(VLOOKUP($AB$15,Sheet1!F:I,2,0),0)</f>
        <v>0</v>
      </c>
      <c r="AC16" s="33">
        <f>+IFERROR(VLOOKUP($AC$15,Sheet1!R:U,2,0),0)</f>
        <v>0</v>
      </c>
      <c r="AD16" s="33">
        <f>+IFERROR(VLOOKUP($AD$15,Sheet1!R:U,2,0),0)</f>
        <v>0</v>
      </c>
      <c r="AE16" s="33">
        <f>+IFERROR(VLOOKUP($AE$15,Sheet1!V:Y,2,0),0)</f>
        <v>0</v>
      </c>
      <c r="AF16" s="33">
        <f>+IFERROR(VLOOKUP($AF$15,Sheet1!V:Y,2,0),0)</f>
        <v>116</v>
      </c>
      <c r="AG16" s="33">
        <f>+IFERROR(VLOOKUP($AG$15,Sheet1!V:Y,2,0),0)</f>
        <v>0</v>
      </c>
      <c r="AH16" s="33">
        <f>+IFERROR(VLOOKUP($AH$15,Sheet1!V:Y,2,0),0)</f>
        <v>0</v>
      </c>
      <c r="AI16" s="33">
        <f>+IFERROR(VLOOKUP($AI$15,Sheet1!V:Y,2,0),0)</f>
        <v>0</v>
      </c>
      <c r="AJ16" s="33">
        <f>+IFERROR(VLOOKUP($AJ$15,Sheet1!V:Y,2,0),0)</f>
        <v>0</v>
      </c>
      <c r="AK16" s="34">
        <f>+IFERROR(VLOOKUP($AK$15,Sheet1!Z2:AA840,2,0),0)</f>
        <v>0</v>
      </c>
      <c r="AL16" s="33">
        <f>+IFERROR(VLOOKUP($AL$15,Sheet1!AD2:AG840,2,0),0)</f>
        <v>0</v>
      </c>
      <c r="AM16" s="33">
        <f>+IFERROR(VLOOKUP($AM$15,Sheet1!AD2:AG840,2,0),0)</f>
        <v>0</v>
      </c>
      <c r="AN16" s="33">
        <f>+IFERROR(VLOOKUP($AN$15,Sheet1!AD2:AG840,2,0),0)</f>
        <v>0</v>
      </c>
      <c r="AO16" s="33">
        <f>+IFERROR(VLOOKUP($AO$15,Sheet1!AD2:AG840,2,0),0)</f>
        <v>0</v>
      </c>
      <c r="AP16" s="33">
        <f>+IFERROR(VLOOKUP($AP$15,Sheet1!AD2:AG840,2,0),0)</f>
        <v>0</v>
      </c>
      <c r="AQ16" s="33">
        <f>+IFERROR(VLOOKUP($AQ$15,Sheet1!AD2:AG840,2,0),0)</f>
        <v>0</v>
      </c>
      <c r="AR16" s="33">
        <f>+IFERROR(VLOOKUP($AR$15,Sheet1!AD2:AG840,2,0),0)</f>
        <v>0</v>
      </c>
      <c r="AS16" s="33">
        <f>+IFERROR(VLOOKUP($AS$15,Sheet1!AH2:AK840,2,0),0)</f>
        <v>0</v>
      </c>
      <c r="AT16" s="33">
        <f>+IFERROR(VLOOKUP($AT$15,Sheet1!AH2:AK840,2,0),0)</f>
        <v>0</v>
      </c>
      <c r="AU16" s="33">
        <f>+IFERROR(VLOOKUP($AU$15,Sheet1!AH2:AK840,2,0),0)</f>
        <v>0</v>
      </c>
      <c r="AV16" s="33">
        <f>+IFERROR(VLOOKUP($AV$15,Sheet1!AH2:AK840,2,0),0)</f>
        <v>0</v>
      </c>
      <c r="AW16" s="33">
        <f>+IFERROR(VLOOKUP($AW$15,Sheet1!AH2:AK840,2,0),0)</f>
        <v>0</v>
      </c>
      <c r="AX16" s="33">
        <f>+IFERROR(VLOOKUP($AX$15,Sheet1!AH2:AK840,2,0),0)</f>
        <v>0</v>
      </c>
      <c r="AY16" s="33">
        <f>+IFERROR(VLOOKUP($AY$15,Sheet1!AH2:AK840,2,0),0)</f>
        <v>0</v>
      </c>
      <c r="AZ16" s="33">
        <f>+IFERROR(VLOOKUP($AZ$15,Sheet1!AH2:AK840,2,0),0)</f>
        <v>0</v>
      </c>
      <c r="BA16" s="33">
        <f>+IFERROR(VLOOKUP($BA$15,Sheet1!AH2:AK840,2,0),0)</f>
        <v>0</v>
      </c>
      <c r="BB16" s="33">
        <f>+IFERROR(VLOOKUP($BB$15,Sheet1!AH2:AK840,2,0),0)</f>
        <v>0</v>
      </c>
      <c r="BC16" s="33">
        <f>+IFERROR(VLOOKUP($BC$15,Sheet1!AL2:AO840,2,0),0)</f>
        <v>0</v>
      </c>
      <c r="BD16" s="33">
        <f>+IFERROR(VLOOKUP($BD$15,Sheet1!AL2:AO840,2,0),0)</f>
        <v>0</v>
      </c>
      <c r="BE16" s="33">
        <f>+IFERROR(VLOOKUP($BE$15,Sheet1!AL2:AO840,2,0),0)</f>
        <v>0</v>
      </c>
      <c r="BF16" s="33">
        <f>+IFERROR(VLOOKUP($BF$15,Sheet1!AL2:AO840,2,0),0)</f>
        <v>0</v>
      </c>
      <c r="BG16" s="33">
        <f>+IFERROR(VLOOKUP($BG$15,Sheet1!AL2:AO840,2,0),0)</f>
        <v>0</v>
      </c>
      <c r="BH16" s="33">
        <f>+IFERROR(VLOOKUP($BH$15,Sheet1!AL2:AO840,2,0),0)</f>
        <v>0</v>
      </c>
      <c r="BI16" s="33">
        <f>+IFERROR(VLOOKUP($BI$15,Sheet1!AL2:AO840,2,0),0)</f>
        <v>0</v>
      </c>
      <c r="BJ16" s="33">
        <f>+IFERROR(VLOOKUP($BJ$15,Sheet1!AL2:AO840,2,0),0)</f>
        <v>0</v>
      </c>
      <c r="BK16" s="33">
        <f>+IFERROR(VLOOKUP($BK$15,Sheet1!AL2:AO840,2,0),0)</f>
        <v>0</v>
      </c>
      <c r="BL16" s="33">
        <f>+IFERROR(VLOOKUP($BL$15,Sheet1!AL2:AO840,2,0),0)</f>
        <v>0</v>
      </c>
      <c r="BM16" s="34">
        <f>+IFERROR(VLOOKUP($BM$15,Sheet1!AP2:AS840,2,0),0)</f>
        <v>0</v>
      </c>
      <c r="BN16" s="34">
        <f>+IFERROR(VLOOKUP($BN$15,Sheet1!AT2:AW840,2,0),0)</f>
        <v>0</v>
      </c>
      <c r="BO16" s="35">
        <f>+IFERROR(VLOOKUP($BO$15,Sheet1!AX2:BA840,2,0),0)</f>
        <v>0</v>
      </c>
      <c r="BP16" s="36">
        <f>+IFERROR(VLOOKUP($BP$15,Sheet1!BB2:BE840,2,0),0)</f>
        <v>0</v>
      </c>
      <c r="BQ16" s="35">
        <f>+IFERROR(VLOOKUP($BQ$15,Sheet1!BF2:BI840,2,0),0)</f>
        <v>0</v>
      </c>
      <c r="BR16" s="35">
        <f>+IFERROR(VLOOKUP($BR$15,Sheet1!BJ2:BM840,2,0),0)</f>
        <v>0</v>
      </c>
      <c r="BS16" s="35">
        <f>+IFERROR(VLOOKUP($BS$15,Sheet1!BN2:BQ840,2,0),0)</f>
        <v>0</v>
      </c>
      <c r="BT16" s="36">
        <f>+IFERROR(VLOOKUP($BT$15,Sheet1!BR2:BU840,2,0),0)</f>
        <v>0</v>
      </c>
      <c r="BU16" s="35">
        <f>+IFERROR(VLOOKUP($BU$15,Sheet1!BV2:BY840,2,0),0)</f>
        <v>0</v>
      </c>
      <c r="BV16" s="53"/>
      <c r="BW16" s="53"/>
      <c r="BX16" s="53"/>
      <c r="BY16" s="53"/>
      <c r="CD16" s="5"/>
      <c r="CE16" s="5"/>
      <c r="CF16" s="5"/>
      <c r="CG16" s="5"/>
      <c r="CH16" s="5"/>
      <c r="CI16" s="5"/>
      <c r="CJ16" s="5"/>
      <c r="CK16" s="5"/>
      <c r="CL16" s="5"/>
    </row>
    <row r="17" spans="1:90" ht="30" x14ac:dyDescent="0.25">
      <c r="A17" s="1" t="str">
        <f>Sheet1!A2</f>
        <v>ENQ-10908-22-23</v>
      </c>
      <c r="B17" s="52">
        <f>Sheet1!B2</f>
        <v>45149</v>
      </c>
      <c r="C17" s="1" t="str">
        <f>Sheet1!C2</f>
        <v>FA1500004</v>
      </c>
      <c r="D17" s="1" t="str">
        <f>Sheet1!D2</f>
        <v>1 CORE X 35 SQ. MM. + 1 CORE X 25 SQ. MM. AB CABLE ( INSULATED)</v>
      </c>
      <c r="E17" s="3">
        <f>CH17+CJ17+CL17</f>
        <v>71121.494849999988</v>
      </c>
      <c r="F17" s="83">
        <f>ROUNDUP(M20,2)</f>
        <v>700</v>
      </c>
      <c r="G17" s="9">
        <f>E17+F17</f>
        <v>71821.494849999988</v>
      </c>
      <c r="H17" s="7">
        <f>Sheet1!CP2</f>
        <v>0.18</v>
      </c>
      <c r="I17" s="9">
        <f>G17*H17</f>
        <v>12927.869072999998</v>
      </c>
      <c r="J17" s="9">
        <f>G17+I17</f>
        <v>84749.363922999983</v>
      </c>
      <c r="K17" s="1">
        <f>Sheet1!CS2</f>
        <v>250</v>
      </c>
      <c r="L17" s="1" t="str">
        <f>Sheet1!CT2</f>
        <v>KMS</v>
      </c>
      <c r="M17" s="3">
        <f>J17*K17</f>
        <v>21187340.980749995</v>
      </c>
      <c r="N17" s="2">
        <f>+IFERROR(VLOOKUP($N$15,Sheet1!J2:L2,3,0),0)</f>
        <v>95</v>
      </c>
      <c r="O17" s="2">
        <f>+IFERROR(VLOOKUP($O$15,Sheet1!J2:L2,3,0),0)</f>
        <v>0</v>
      </c>
      <c r="P17" s="2">
        <f>+IFERROR(VLOOKUP($P$15,Sheet1!J2:M2,3,0),0)</f>
        <v>0</v>
      </c>
      <c r="Q17" s="2">
        <f>+IFERROR(VLOOKUP($Q$15,Sheet1!J2:M2,3,0),0)</f>
        <v>0</v>
      </c>
      <c r="R17" s="2">
        <f>+IFERROR(VLOOKUP($R$15,Sheet1!J2:M2,3,0),0)</f>
        <v>0</v>
      </c>
      <c r="S17" s="2">
        <f>+IFERROR(VLOOKUP($S$15,Sheet1!N2:Q2,3,0),0)</f>
        <v>0</v>
      </c>
      <c r="T17" s="81">
        <v>69</v>
      </c>
      <c r="U17" s="2">
        <f>+IFERROR(VLOOKUP($U$15,Sheet1!F2:I2,3,0),0)</f>
        <v>0</v>
      </c>
      <c r="V17" s="2">
        <f>+IFERROR(VLOOKUP($V$15,Sheet1!F2:I2,3,0),0)</f>
        <v>0</v>
      </c>
      <c r="W17" s="2">
        <f>+IFERROR(VLOOKUP($W$15,Sheet1!F2:I2,3,0),0)</f>
        <v>0</v>
      </c>
      <c r="X17" s="2">
        <f>+IFERROR(VLOOKUP($X$15,Sheet1!F2:I2,3,0),0)</f>
        <v>0</v>
      </c>
      <c r="Y17" s="2">
        <f>+IFERROR(VLOOKUP($Y$15,Sheet1!F2:I2,3,0),0)</f>
        <v>0</v>
      </c>
      <c r="Z17" s="2">
        <f>+IFERROR(VLOOKUP($Z$15,Sheet1!F2:I2,3,0),0)</f>
        <v>0</v>
      </c>
      <c r="AA17" s="2">
        <f>+IFERROR(VLOOKUP($AA$15,Sheet1!F2:I2,3,0),0)</f>
        <v>0</v>
      </c>
      <c r="AB17" s="2">
        <f>+IFERROR(VLOOKUP($AB$15,Sheet1!F2:I2,3,0),0)</f>
        <v>0</v>
      </c>
      <c r="AC17" s="2">
        <f>+IFERROR(VLOOKUP($AC$15,Sheet1!R2:U2,3,0),0)</f>
        <v>0</v>
      </c>
      <c r="AD17" s="15">
        <f>+IFERROR(VLOOKUP($AD$15,Sheet1!R2:U2,2,0),0)</f>
        <v>0</v>
      </c>
      <c r="AE17" s="2">
        <f>+IFERROR(VLOOKUP($AE$15,Sheet1!V2:Y2,3,0),0)</f>
        <v>0</v>
      </c>
      <c r="AF17" s="82">
        <v>62</v>
      </c>
      <c r="AG17" s="15">
        <f>+IFERROR(VLOOKUP($AG$15,Sheet1!V2:Y2,3,0),0)</f>
        <v>0</v>
      </c>
      <c r="AH17" s="15">
        <f>+IFERROR(VLOOKUP($AH$15,Sheet1!V2:Y2,3,0),0)</f>
        <v>0</v>
      </c>
      <c r="AI17" s="15">
        <f>+IFERROR(VLOOKUP($AI$15,Sheet1!V2:Y2,3,0),0)</f>
        <v>0</v>
      </c>
      <c r="AJ17" s="15">
        <f>+IFERROR(VLOOKUP($AJ$15,Sheet1!V2:Y2,3,0),0)</f>
        <v>0</v>
      </c>
      <c r="AK17" s="15">
        <f>+IFERROR(VLOOKUP($AK$15,Sheet1!Z2:AB2,3,0),0)</f>
        <v>0</v>
      </c>
      <c r="AL17" s="15">
        <f>+IFERROR(VLOOKUP($AL$15,Sheet1!AD2:AG2,3,0),0)</f>
        <v>0</v>
      </c>
      <c r="AM17" s="15">
        <f>+IFERROR(VLOOKUP($AM$15,Sheet1!AD2:AG2,3,0),0)</f>
        <v>0</v>
      </c>
      <c r="AN17" s="15">
        <f>+IFERROR(VLOOKUP($AN$15,Sheet1!AD2:AG2,3,0),0)</f>
        <v>0</v>
      </c>
      <c r="AO17" s="15">
        <f>+IFERROR(VLOOKUP($AO$15,Sheet1!AD2:AG2,3,0),0)</f>
        <v>0</v>
      </c>
      <c r="AP17" s="15">
        <f>+IFERROR(VLOOKUP($AP$15,Sheet1!AD2:AG2,3,0),0)</f>
        <v>0</v>
      </c>
      <c r="AQ17" s="15">
        <f>+IFERROR(VLOOKUP($AQ$15,Sheet1!AD2:AG2,3,0),0)</f>
        <v>0</v>
      </c>
      <c r="AR17" s="15">
        <f>+IFERROR(VLOOKUP($AR$15,Sheet1!AD2:AG2,3,0),0)</f>
        <v>0</v>
      </c>
      <c r="AS17" s="15">
        <f>+IFERROR(VLOOKUP($AS$15,Sheet1!AH2:AK2,3,0),0)</f>
        <v>0</v>
      </c>
      <c r="AT17" s="15">
        <f>+IFERROR(VLOOKUP($AT$15,Sheet1!AH2:AK2,3,0),0)</f>
        <v>0</v>
      </c>
      <c r="AU17" s="15">
        <f>+IFERROR(VLOOKUP($AU$15,Sheet1!AH2:AK2,3,0),0)</f>
        <v>0</v>
      </c>
      <c r="AV17" s="15">
        <f>+IFERROR(VLOOKUP($AV$15,Sheet1!AH2:AK2,3,0),0)</f>
        <v>0</v>
      </c>
      <c r="AW17" s="15">
        <f>+IFERROR(VLOOKUP($AW$15,Sheet1!AH2:AK2,3,0),0)</f>
        <v>0</v>
      </c>
      <c r="AX17" s="15">
        <f>+IFERROR(VLOOKUP($AX$15,Sheet1!AH2:AK2,3,0),0)</f>
        <v>0</v>
      </c>
      <c r="AY17" s="15">
        <f>+IFERROR(VLOOKUP($AY$15,Sheet1!AH2:AK2,3,0),0)</f>
        <v>0</v>
      </c>
      <c r="AZ17" s="15">
        <f>+IFERROR(VLOOKUP($AZ$15,Sheet1!AH2:AK2,3,0),0)</f>
        <v>0</v>
      </c>
      <c r="BA17" s="15">
        <f>+IFERROR(VLOOKUP($BA$15,Sheet1!AH2:AK2,3,0),0)</f>
        <v>0</v>
      </c>
      <c r="BB17" s="15">
        <f>+IFERROR(VLOOKUP($BB$15,Sheet1!AH2:AK2,3,0),0)</f>
        <v>0</v>
      </c>
      <c r="BC17" s="15">
        <f>+IFERROR(VLOOKUP($BC$15,Sheet1!AL2:AO2,3,0),0)</f>
        <v>0</v>
      </c>
      <c r="BD17" s="15">
        <f>+IFERROR(VLOOKUP($BD$15,Sheet1!AL2:AO2,3,0),0)</f>
        <v>0</v>
      </c>
      <c r="BE17" s="15">
        <f>+IFERROR(VLOOKUP($BE$15,Sheet1!AL2:AO2,3,0),0)</f>
        <v>0</v>
      </c>
      <c r="BF17" s="15">
        <f>+IFERROR(VLOOKUP($BF$15,Sheet1!AL2:AO2,3,0),0)</f>
        <v>0</v>
      </c>
      <c r="BG17" s="15">
        <f>+IFERROR(VLOOKUP($BG$15,Sheet1!AL2:AO2,3,0),0)</f>
        <v>0</v>
      </c>
      <c r="BH17" s="15">
        <f>+IFERROR(VLOOKUP($BH$15,Sheet1!AL2:AO2,3,0),0)</f>
        <v>0</v>
      </c>
      <c r="BI17" s="15">
        <f>+IFERROR(VLOOKUP($BI$15,Sheet1!AL2:AO2,3,0),0)</f>
        <v>0</v>
      </c>
      <c r="BJ17" s="15">
        <f>+IFERROR(VLOOKUP($BJ$15,Sheet1!AL2:AO2,3,0),0)</f>
        <v>0</v>
      </c>
      <c r="BK17" s="15">
        <f>+IFERROR(VLOOKUP($BK$15,Sheet1!AL2:AO2,3,0),0)</f>
        <v>0</v>
      </c>
      <c r="BL17" s="15">
        <f>+IFERROR(VLOOKUP($BL$15,Sheet1!AL2:AO2,3,0),0)</f>
        <v>0</v>
      </c>
      <c r="BM17" s="15">
        <f>+IFERROR(VLOOKUP($BM$15,Sheet1!AP2:AS2,3,0),0)</f>
        <v>0</v>
      </c>
      <c r="BN17" s="15">
        <f>+IFERROR(VLOOKUP($BN$15,Sheet1!AT2:AW2,3,0),0)</f>
        <v>0</v>
      </c>
      <c r="BO17" s="15">
        <f>+IFERROR(VLOOKUP($BO$15,Sheet1!AX2:BA2,3,0),0)</f>
        <v>0</v>
      </c>
      <c r="BP17" s="15">
        <f>+IFERROR(VLOOKUP($BP$15,Sheet1!BB2:BE2,3,0),0)</f>
        <v>0</v>
      </c>
      <c r="BQ17" s="15">
        <f>+IFERROR(VLOOKUP($BQ$15,Sheet1!BF2:BI2,3,0),0)</f>
        <v>0</v>
      </c>
      <c r="BR17" s="15">
        <f>+IFERROR(VLOOKUP($BR$15,Sheet1!BJ2:BM2,3,0),0)</f>
        <v>0</v>
      </c>
      <c r="BS17" s="15">
        <f>+IFERROR(VLOOKUP($BS$15,Sheet1!BN2:BQ2,3,0),0)</f>
        <v>0</v>
      </c>
      <c r="BT17" s="15">
        <f>+IFERROR(VLOOKUP($BT$15,Sheet1!BR2:BU2,3,0),0)</f>
        <v>0</v>
      </c>
      <c r="BU17" s="15">
        <f>+IFERROR(VLOOKUP($BU$15,Sheet1!BV2:BY2,3,0),0)</f>
        <v>0</v>
      </c>
      <c r="BV17" s="15" t="str">
        <f>Sheet1!E2</f>
        <v>WOOD</v>
      </c>
      <c r="BW17" s="15" t="str">
        <f>Sheet1!CV2</f>
        <v>MD0100004</v>
      </c>
      <c r="BX17" s="15" t="str">
        <f>Sheet1!CW2</f>
        <v>DRUM - 28 X 10 X 23 X 2</v>
      </c>
      <c r="BY17" s="15">
        <f>Sheet1!CX2</f>
        <v>500</v>
      </c>
      <c r="BZ17" s="3">
        <f>Sheet1!BZ2</f>
        <v>3262.33</v>
      </c>
      <c r="CA17" s="3">
        <f>SUMPRODUCT($N$16:$BU$16,N17:BU17)+BZ17</f>
        <v>46033.33</v>
      </c>
      <c r="CB17" s="27">
        <f>Sheet1!CB2</f>
        <v>0</v>
      </c>
      <c r="CC17" s="3">
        <f>CA17*CB17</f>
        <v>0</v>
      </c>
      <c r="CD17" s="49">
        <v>0.5</v>
      </c>
      <c r="CE17" s="3">
        <f>CA17*CD17</f>
        <v>23016.665000000001</v>
      </c>
      <c r="CF17" s="49">
        <v>0</v>
      </c>
      <c r="CG17" s="3">
        <f>CA17*CF17</f>
        <v>0</v>
      </c>
      <c r="CH17" s="3">
        <f>CA17+CC17+CE17+CG17</f>
        <v>69049.994999999995</v>
      </c>
      <c r="CI17" s="49">
        <v>0.02</v>
      </c>
      <c r="CJ17" s="1">
        <f>CH17*CI17</f>
        <v>1380.9999</v>
      </c>
      <c r="CK17" s="49">
        <v>0.01</v>
      </c>
      <c r="CL17" s="1">
        <f>CH17*CK17</f>
        <v>690.49995000000001</v>
      </c>
    </row>
    <row r="19" spans="1:90" ht="30" x14ac:dyDescent="0.25">
      <c r="E19" s="2" t="s">
        <v>173</v>
      </c>
      <c r="F19" s="2" t="s">
        <v>174</v>
      </c>
      <c r="G19" s="61" t="s">
        <v>175</v>
      </c>
      <c r="H19" s="45" t="s">
        <v>176</v>
      </c>
      <c r="I19" s="2" t="s">
        <v>177</v>
      </c>
      <c r="J19" s="2" t="s">
        <v>178</v>
      </c>
      <c r="K19" s="2" t="s">
        <v>179</v>
      </c>
      <c r="L19" s="2" t="s">
        <v>180</v>
      </c>
      <c r="M19" s="62" t="s">
        <v>181</v>
      </c>
    </row>
    <row r="20" spans="1:90" ht="30" x14ac:dyDescent="0.25">
      <c r="D20" s="30" t="str">
        <f>D17</f>
        <v>1 CORE X 35 SQ. MM. + 1 CORE X 25 SQ. MM. AB CABLE ( INSULATED)</v>
      </c>
      <c r="E20" s="61">
        <f>K17</f>
        <v>250</v>
      </c>
      <c r="F20" s="63">
        <v>0.5</v>
      </c>
      <c r="G20" s="61" t="s">
        <v>182</v>
      </c>
      <c r="H20" s="64">
        <v>25000</v>
      </c>
      <c r="I20" s="63">
        <v>72</v>
      </c>
      <c r="J20" s="61">
        <f>F20*I20</f>
        <v>36</v>
      </c>
      <c r="K20" s="61">
        <f>ROUNDUP((E20/J20),0)</f>
        <v>7</v>
      </c>
      <c r="L20" s="61">
        <f>M20*E20</f>
        <v>175000</v>
      </c>
      <c r="M20" s="65">
        <f>(H20*K20)/E20</f>
        <v>700</v>
      </c>
    </row>
    <row r="23" spans="1:90" ht="51" x14ac:dyDescent="0.25">
      <c r="A23" s="22" t="s">
        <v>0</v>
      </c>
      <c r="B23" s="22" t="s">
        <v>133</v>
      </c>
      <c r="C23" s="22" t="s">
        <v>1</v>
      </c>
      <c r="D23" s="22" t="s">
        <v>2</v>
      </c>
      <c r="E23" s="5" t="s">
        <v>183</v>
      </c>
      <c r="F23" s="15" t="s">
        <v>184</v>
      </c>
      <c r="G23" s="15" t="s">
        <v>185</v>
      </c>
      <c r="H23" s="6" t="s">
        <v>73</v>
      </c>
      <c r="I23" s="15" t="s">
        <v>74</v>
      </c>
      <c r="J23" s="15" t="s">
        <v>186</v>
      </c>
      <c r="K23" s="15" t="s">
        <v>76</v>
      </c>
      <c r="L23" s="15" t="s">
        <v>77</v>
      </c>
      <c r="M23" s="15" t="s">
        <v>78</v>
      </c>
    </row>
    <row r="24" spans="1:90" x14ac:dyDescent="0.25">
      <c r="A24" s="31"/>
      <c r="B24" s="31"/>
      <c r="C24" s="31"/>
      <c r="D24" s="31"/>
      <c r="E24" s="5"/>
      <c r="F24" s="5"/>
      <c r="G24" s="5"/>
      <c r="H24" s="5"/>
      <c r="I24" s="5"/>
      <c r="J24" s="5"/>
      <c r="K24" s="5"/>
      <c r="L24" s="5"/>
      <c r="M24" s="5"/>
    </row>
    <row r="25" spans="1:90" ht="30" x14ac:dyDescent="0.25">
      <c r="A25" s="1" t="str">
        <f>A17</f>
        <v>ENQ-10908-22-23</v>
      </c>
      <c r="B25" s="52">
        <f>B17</f>
        <v>45149</v>
      </c>
      <c r="C25" s="1" t="str">
        <f>C17</f>
        <v>FA1500004</v>
      </c>
      <c r="D25" s="1" t="str">
        <f>D17</f>
        <v>1 CORE X 35 SQ. MM. + 1 CORE X 25 SQ. MM. AB CABLE ( INSULATED)</v>
      </c>
      <c r="E25" s="3">
        <f>ROUNDUP(E17/1000,2)</f>
        <v>71.13000000000001</v>
      </c>
      <c r="F25" s="83">
        <f>ROUNDUP(F17/1000,2)</f>
        <v>0.7</v>
      </c>
      <c r="G25" s="9">
        <f>E25+F25</f>
        <v>71.830000000000013</v>
      </c>
      <c r="H25" s="7">
        <f>H17</f>
        <v>0.18</v>
      </c>
      <c r="I25" s="9">
        <f>G25*H25</f>
        <v>12.929400000000001</v>
      </c>
      <c r="J25" s="9">
        <f>G25+I25</f>
        <v>84.759400000000014</v>
      </c>
      <c r="K25" s="1">
        <f>K17*1000</f>
        <v>250000</v>
      </c>
      <c r="L25" s="1" t="s">
        <v>187</v>
      </c>
      <c r="M25" s="3">
        <f>J25*K25</f>
        <v>21189850.000000004</v>
      </c>
    </row>
  </sheetData>
  <mergeCells count="18">
    <mergeCell ref="A2:R2"/>
    <mergeCell ref="AL14:AR14"/>
    <mergeCell ref="AS14:BB14"/>
    <mergeCell ref="BC14:BL14"/>
    <mergeCell ref="N14:R14"/>
    <mergeCell ref="S14:T14"/>
    <mergeCell ref="U14:AB14"/>
    <mergeCell ref="AC14:AD14"/>
    <mergeCell ref="AE14:AJ14"/>
    <mergeCell ref="B11:R11"/>
    <mergeCell ref="B12:R12"/>
    <mergeCell ref="B4:R4"/>
    <mergeCell ref="B5:R5"/>
    <mergeCell ref="B6:R6"/>
    <mergeCell ref="B7:R7"/>
    <mergeCell ref="B8:R8"/>
    <mergeCell ref="B9:R9"/>
    <mergeCell ref="B10:R10"/>
  </mergeCells>
  <dataValidations count="1">
    <dataValidation type="list" allowBlank="1" showInputMessage="1" showErrorMessage="1" sqref="G20">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2"/>
  <sheetViews>
    <sheetView topLeftCell="BX1" workbookViewId="0">
      <selection sqref="A1:CX2"/>
    </sheetView>
  </sheetViews>
  <sheetFormatPr defaultRowHeight="15" x14ac:dyDescent="0.25"/>
  <sheetData>
    <row r="1" spans="1:102" x14ac:dyDescent="0.25">
      <c r="A1" t="s">
        <v>0</v>
      </c>
      <c r="B1" t="s">
        <v>133</v>
      </c>
      <c r="C1" t="s">
        <v>1</v>
      </c>
      <c r="D1" t="s">
        <v>2</v>
      </c>
      <c r="E1" t="s">
        <v>134</v>
      </c>
      <c r="F1" t="s">
        <v>3</v>
      </c>
      <c r="G1" t="s">
        <v>146</v>
      </c>
      <c r="H1" t="s">
        <v>4</v>
      </c>
      <c r="I1" t="s">
        <v>5</v>
      </c>
      <c r="J1" t="s">
        <v>6</v>
      </c>
      <c r="K1" t="s">
        <v>147</v>
      </c>
      <c r="L1" t="s">
        <v>7</v>
      </c>
      <c r="M1" t="s">
        <v>8</v>
      </c>
      <c r="N1" t="s">
        <v>9</v>
      </c>
      <c r="O1" t="s">
        <v>148</v>
      </c>
      <c r="P1" t="s">
        <v>10</v>
      </c>
      <c r="Q1" t="s">
        <v>11</v>
      </c>
      <c r="R1" t="s">
        <v>12</v>
      </c>
      <c r="S1" t="s">
        <v>149</v>
      </c>
      <c r="T1" t="s">
        <v>13</v>
      </c>
      <c r="U1" t="s">
        <v>14</v>
      </c>
      <c r="V1" t="s">
        <v>15</v>
      </c>
      <c r="W1" t="s">
        <v>150</v>
      </c>
      <c r="X1" t="s">
        <v>16</v>
      </c>
      <c r="Y1" t="s">
        <v>17</v>
      </c>
      <c r="Z1" t="s">
        <v>18</v>
      </c>
      <c r="AA1" t="s">
        <v>151</v>
      </c>
      <c r="AB1" t="s">
        <v>19</v>
      </c>
      <c r="AC1" t="s">
        <v>20</v>
      </c>
      <c r="AD1" t="s">
        <v>21</v>
      </c>
      <c r="AE1" t="s">
        <v>152</v>
      </c>
      <c r="AF1" t="s">
        <v>22</v>
      </c>
      <c r="AG1" t="s">
        <v>23</v>
      </c>
      <c r="AH1" t="s">
        <v>24</v>
      </c>
      <c r="AI1" t="s">
        <v>153</v>
      </c>
      <c r="AJ1" t="s">
        <v>25</v>
      </c>
      <c r="AK1" t="s">
        <v>26</v>
      </c>
      <c r="AL1" t="s">
        <v>27</v>
      </c>
      <c r="AM1" t="s">
        <v>154</v>
      </c>
      <c r="AN1" t="s">
        <v>28</v>
      </c>
      <c r="AO1" t="s">
        <v>29</v>
      </c>
      <c r="AP1" t="s">
        <v>30</v>
      </c>
      <c r="AQ1" t="s">
        <v>155</v>
      </c>
      <c r="AR1" t="s">
        <v>31</v>
      </c>
      <c r="AS1" t="s">
        <v>32</v>
      </c>
      <c r="AT1" t="s">
        <v>33</v>
      </c>
      <c r="AU1" t="s">
        <v>156</v>
      </c>
      <c r="AV1" t="s">
        <v>34</v>
      </c>
      <c r="AW1" t="s">
        <v>35</v>
      </c>
      <c r="AX1" t="s">
        <v>36</v>
      </c>
      <c r="AY1" t="s">
        <v>157</v>
      </c>
      <c r="AZ1" t="s">
        <v>37</v>
      </c>
      <c r="BA1" t="s">
        <v>38</v>
      </c>
      <c r="BB1" t="s">
        <v>39</v>
      </c>
      <c r="BC1" t="s">
        <v>158</v>
      </c>
      <c r="BD1" t="s">
        <v>40</v>
      </c>
      <c r="BE1" t="s">
        <v>41</v>
      </c>
      <c r="BF1" t="s">
        <v>42</v>
      </c>
      <c r="BG1" t="s">
        <v>159</v>
      </c>
      <c r="BH1" t="s">
        <v>43</v>
      </c>
      <c r="BI1" t="s">
        <v>44</v>
      </c>
      <c r="BJ1" t="s">
        <v>45</v>
      </c>
      <c r="BK1" t="s">
        <v>160</v>
      </c>
      <c r="BL1" t="s">
        <v>46</v>
      </c>
      <c r="BM1" t="s">
        <v>47</v>
      </c>
      <c r="BN1" t="s">
        <v>48</v>
      </c>
      <c r="BO1" t="s">
        <v>161</v>
      </c>
      <c r="BP1" t="s">
        <v>49</v>
      </c>
      <c r="BQ1" t="s">
        <v>50</v>
      </c>
      <c r="BR1" t="s">
        <v>51</v>
      </c>
      <c r="BS1" t="s">
        <v>162</v>
      </c>
      <c r="BT1" t="s">
        <v>52</v>
      </c>
      <c r="BU1" t="s">
        <v>53</v>
      </c>
      <c r="BV1" t="s">
        <v>54</v>
      </c>
      <c r="BW1" t="s">
        <v>163</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135</v>
      </c>
      <c r="CW1" t="s">
        <v>136</v>
      </c>
      <c r="CX1" t="s">
        <v>164</v>
      </c>
    </row>
    <row r="2" spans="1:102" x14ac:dyDescent="0.25">
      <c r="A2" t="s">
        <v>165</v>
      </c>
      <c r="B2" s="58">
        <v>45149</v>
      </c>
      <c r="C2" t="s">
        <v>166</v>
      </c>
      <c r="D2" t="s">
        <v>167</v>
      </c>
      <c r="E2" t="s">
        <v>168</v>
      </c>
      <c r="J2" t="s">
        <v>80</v>
      </c>
      <c r="K2">
        <v>212</v>
      </c>
      <c r="L2">
        <v>95</v>
      </c>
      <c r="M2">
        <v>20140</v>
      </c>
      <c r="N2" t="s">
        <v>169</v>
      </c>
      <c r="O2">
        <v>220</v>
      </c>
      <c r="P2">
        <v>67.5</v>
      </c>
      <c r="Q2">
        <v>14850</v>
      </c>
      <c r="T2">
        <v>0</v>
      </c>
      <c r="V2" t="s">
        <v>86</v>
      </c>
      <c r="W2">
        <v>116</v>
      </c>
      <c r="X2">
        <v>60</v>
      </c>
      <c r="Y2">
        <v>6960</v>
      </c>
      <c r="AB2">
        <v>0</v>
      </c>
      <c r="AF2">
        <v>0</v>
      </c>
      <c r="AJ2">
        <v>0</v>
      </c>
      <c r="AN2">
        <v>0</v>
      </c>
      <c r="AR2">
        <v>0</v>
      </c>
      <c r="AV2">
        <v>0</v>
      </c>
      <c r="AZ2">
        <v>0</v>
      </c>
      <c r="BD2">
        <v>0</v>
      </c>
      <c r="BH2">
        <v>0</v>
      </c>
      <c r="BL2">
        <v>0</v>
      </c>
      <c r="BP2">
        <v>0</v>
      </c>
      <c r="BT2">
        <v>0</v>
      </c>
      <c r="BX2">
        <v>0</v>
      </c>
      <c r="BZ2">
        <v>3262.33</v>
      </c>
      <c r="CA2">
        <v>45212.33</v>
      </c>
      <c r="CH2">
        <v>45212.33</v>
      </c>
      <c r="CM2">
        <v>45212.33</v>
      </c>
      <c r="CO2">
        <v>45212.33</v>
      </c>
      <c r="CP2" s="59">
        <v>0.18</v>
      </c>
      <c r="CQ2">
        <v>8138.22</v>
      </c>
      <c r="CR2">
        <v>53350.55</v>
      </c>
      <c r="CS2">
        <v>250</v>
      </c>
      <c r="CT2" t="s">
        <v>170</v>
      </c>
      <c r="CU2" s="60">
        <v>13337637</v>
      </c>
      <c r="CV2" t="s">
        <v>171</v>
      </c>
      <c r="CW2" t="s">
        <v>172</v>
      </c>
      <c r="CX2">
        <v>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Sheet2</vt:lpstr>
    </vt:vector>
  </TitlesOfParts>
  <Company>HP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2023-08-11T13:22:26Z</dcterms:modified>
</cp:coreProperties>
</file>