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11_NOVEMBER 2023\SBPDCL-64-CONTROLCABLES-11487\"/>
    </mc:Choice>
  </mc:AlternateContent>
  <xr:revisionPtr revIDLastSave="0" documentId="13_ncr:1_{6630B601-A70B-4990-AC1F-CE326E092640}" xr6:coauthVersionLast="47" xr6:coauthVersionMax="47" xr10:uidLastSave="{00000000-0000-0000-0000-000000000000}"/>
  <bookViews>
    <workbookView xWindow="0" yWindow="780" windowWidth="28800" windowHeight="8970" firstSheet="1" activeTab="1" xr2:uid="{00000000-000D-0000-FFFF-FFFF00000000}"/>
  </bookViews>
  <sheets>
    <sheet name="Sheet1" sheetId="1" state="hidden" r:id="rId1"/>
    <sheet name="AUTO CALCULATION SHEET (2)" sheetId="4" r:id="rId2"/>
    <sheet name="CONTROL CABLE"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2" i="6" l="1"/>
  <c r="AC12" i="6" s="1"/>
  <c r="AA11" i="6"/>
  <c r="AC11" i="6" s="1"/>
  <c r="AA10" i="6"/>
  <c r="AC10" i="6" s="1"/>
  <c r="AA9" i="6"/>
  <c r="AC9" i="6" s="1"/>
  <c r="S12" i="6"/>
  <c r="S11" i="6"/>
  <c r="S10" i="6"/>
  <c r="S9" i="6"/>
  <c r="R12" i="6"/>
  <c r="R11" i="6"/>
  <c r="R10" i="6"/>
  <c r="R9" i="6"/>
  <c r="Q12" i="6"/>
  <c r="Q11" i="6"/>
  <c r="Q10" i="6"/>
  <c r="Q9" i="6"/>
  <c r="P12" i="6"/>
  <c r="P11" i="6"/>
  <c r="P10" i="6"/>
  <c r="P9" i="6"/>
  <c r="O17" i="4" l="1"/>
  <c r="U7" i="6"/>
  <c r="Z6" i="6"/>
  <c r="Y6" i="6"/>
  <c r="X6" i="6"/>
  <c r="W6" i="6"/>
  <c r="V6" i="6"/>
  <c r="U6" i="6"/>
  <c r="H12" i="6"/>
  <c r="H11" i="6"/>
  <c r="H10" i="6"/>
  <c r="H9" i="6"/>
  <c r="J25" i="4" l="1"/>
  <c r="J26" i="4"/>
  <c r="J27" i="4"/>
  <c r="J24" i="4"/>
  <c r="BY18" i="4" l="1"/>
  <c r="BY20" i="4"/>
  <c r="BY19" i="4"/>
  <c r="BY21" i="4"/>
  <c r="BY16" i="4"/>
  <c r="A18" i="4" l="1"/>
  <c r="C18" i="4"/>
  <c r="D18" i="4"/>
  <c r="H18" i="4"/>
  <c r="E24" i="4"/>
  <c r="K24" i="4" s="1"/>
  <c r="M24" i="4" s="1"/>
  <c r="L18" i="4"/>
  <c r="N18" i="4"/>
  <c r="O18" i="4"/>
  <c r="U9" i="6" s="1"/>
  <c r="P18" i="4"/>
  <c r="Q18" i="4"/>
  <c r="R18" i="4"/>
  <c r="S18" i="4"/>
  <c r="T18" i="4"/>
  <c r="U18" i="4"/>
  <c r="V18" i="4"/>
  <c r="W18" i="4"/>
  <c r="X18" i="4"/>
  <c r="Y18" i="4"/>
  <c r="Z18" i="4"/>
  <c r="AA18" i="4"/>
  <c r="AB18" i="4"/>
  <c r="AC18" i="4"/>
  <c r="AD18" i="4"/>
  <c r="AE18" i="4"/>
  <c r="AF18" i="4"/>
  <c r="AG18" i="4"/>
  <c r="AH18" i="4"/>
  <c r="AI18" i="4"/>
  <c r="V9" i="6" s="1"/>
  <c r="AJ18" i="4"/>
  <c r="AK18" i="4"/>
  <c r="W9" i="6" s="1"/>
  <c r="AL18" i="4"/>
  <c r="AM18" i="4"/>
  <c r="X9" i="6" s="1"/>
  <c r="AN18" i="4"/>
  <c r="AO18" i="4"/>
  <c r="AP18" i="4"/>
  <c r="AQ18" i="4"/>
  <c r="AR18" i="4"/>
  <c r="AS18" i="4"/>
  <c r="AT18" i="4"/>
  <c r="AU18" i="4"/>
  <c r="AV18" i="4"/>
  <c r="AW18" i="4"/>
  <c r="AX18" i="4"/>
  <c r="AY18" i="4"/>
  <c r="AZ18" i="4"/>
  <c r="BA18" i="4"/>
  <c r="Y9" i="6" s="1"/>
  <c r="BB18" i="4"/>
  <c r="BC18" i="4"/>
  <c r="BD18" i="4"/>
  <c r="BE18" i="4"/>
  <c r="BF18" i="4"/>
  <c r="Z9" i="6" s="1"/>
  <c r="BG18" i="4"/>
  <c r="BH18" i="4"/>
  <c r="BI18" i="4"/>
  <c r="BJ18" i="4"/>
  <c r="BK18" i="4"/>
  <c r="BL18" i="4"/>
  <c r="BM18" i="4"/>
  <c r="BN18" i="4"/>
  <c r="BO18" i="4"/>
  <c r="BP18" i="4"/>
  <c r="BQ18" i="4"/>
  <c r="BR18" i="4"/>
  <c r="BS18" i="4"/>
  <c r="BT18" i="4"/>
  <c r="BU18" i="4"/>
  <c r="BV18" i="4"/>
  <c r="BW18" i="4"/>
  <c r="BX18" i="4"/>
  <c r="BZ18" i="4"/>
  <c r="AB9" i="6" s="1"/>
  <c r="CB18" i="4"/>
  <c r="A20" i="4"/>
  <c r="C20" i="4"/>
  <c r="D20" i="4"/>
  <c r="H20" i="4"/>
  <c r="E26" i="4"/>
  <c r="K26" i="4" s="1"/>
  <c r="M26" i="4" s="1"/>
  <c r="L20" i="4"/>
  <c r="N20" i="4"/>
  <c r="O20" i="4"/>
  <c r="U11" i="6" s="1"/>
  <c r="P20" i="4"/>
  <c r="Q20" i="4"/>
  <c r="R20" i="4"/>
  <c r="S20" i="4"/>
  <c r="T20" i="4"/>
  <c r="U20" i="4"/>
  <c r="V20" i="4"/>
  <c r="W20" i="4"/>
  <c r="X20" i="4"/>
  <c r="Y20" i="4"/>
  <c r="Z20" i="4"/>
  <c r="AA20" i="4"/>
  <c r="AB20" i="4"/>
  <c r="AC20" i="4"/>
  <c r="AD20" i="4"/>
  <c r="AE20" i="4"/>
  <c r="AF20" i="4"/>
  <c r="AG20" i="4"/>
  <c r="AH20" i="4"/>
  <c r="AI20" i="4"/>
  <c r="V11" i="6" s="1"/>
  <c r="AJ20" i="4"/>
  <c r="AK20" i="4"/>
  <c r="W11" i="6" s="1"/>
  <c r="AL20" i="4"/>
  <c r="AM20" i="4"/>
  <c r="X11" i="6" s="1"/>
  <c r="AN20" i="4"/>
  <c r="AO20" i="4"/>
  <c r="AP20" i="4"/>
  <c r="AQ20" i="4"/>
  <c r="AR20" i="4"/>
  <c r="AS20" i="4"/>
  <c r="AT20" i="4"/>
  <c r="AU20" i="4"/>
  <c r="AV20" i="4"/>
  <c r="AW20" i="4"/>
  <c r="AX20" i="4"/>
  <c r="AY20" i="4"/>
  <c r="AZ20" i="4"/>
  <c r="BA20" i="4"/>
  <c r="Y11" i="6" s="1"/>
  <c r="BB20" i="4"/>
  <c r="BC20" i="4"/>
  <c r="BD20" i="4"/>
  <c r="BE20" i="4"/>
  <c r="BF20" i="4"/>
  <c r="Z11" i="6" s="1"/>
  <c r="BG20" i="4"/>
  <c r="BH20" i="4"/>
  <c r="BI20" i="4"/>
  <c r="BJ20" i="4"/>
  <c r="BK20" i="4"/>
  <c r="BL20" i="4"/>
  <c r="BM20" i="4"/>
  <c r="BN20" i="4"/>
  <c r="BO20" i="4"/>
  <c r="BP20" i="4"/>
  <c r="BQ20" i="4"/>
  <c r="BR20" i="4"/>
  <c r="BS20" i="4"/>
  <c r="BT20" i="4"/>
  <c r="BU20" i="4"/>
  <c r="BV20" i="4"/>
  <c r="BW20" i="4"/>
  <c r="BX20" i="4"/>
  <c r="BZ20" i="4"/>
  <c r="AB11" i="6" s="1"/>
  <c r="CB20" i="4"/>
  <c r="A19" i="4"/>
  <c r="C19" i="4"/>
  <c r="D19" i="4"/>
  <c r="H19" i="4"/>
  <c r="K19" i="4"/>
  <c r="E25" i="4" s="1"/>
  <c r="K25" i="4" s="1"/>
  <c r="M25" i="4" s="1"/>
  <c r="L19" i="4"/>
  <c r="N19" i="4"/>
  <c r="O19" i="4"/>
  <c r="U10" i="6" s="1"/>
  <c r="P19" i="4"/>
  <c r="Q19" i="4"/>
  <c r="R19" i="4"/>
  <c r="S19" i="4"/>
  <c r="T19" i="4"/>
  <c r="U19" i="4"/>
  <c r="V19" i="4"/>
  <c r="W19" i="4"/>
  <c r="X19" i="4"/>
  <c r="Y19" i="4"/>
  <c r="Z19" i="4"/>
  <c r="AA19" i="4"/>
  <c r="AB19" i="4"/>
  <c r="AC19" i="4"/>
  <c r="AD19" i="4"/>
  <c r="AE19" i="4"/>
  <c r="AF19" i="4"/>
  <c r="AG19" i="4"/>
  <c r="AH19" i="4"/>
  <c r="AI19" i="4"/>
  <c r="V10" i="6" s="1"/>
  <c r="AJ19" i="4"/>
  <c r="AK19" i="4"/>
  <c r="W10" i="6" s="1"/>
  <c r="AL19" i="4"/>
  <c r="AM19" i="4"/>
  <c r="X10" i="6" s="1"/>
  <c r="AN19" i="4"/>
  <c r="AO19" i="4"/>
  <c r="AP19" i="4"/>
  <c r="AQ19" i="4"/>
  <c r="AR19" i="4"/>
  <c r="AS19" i="4"/>
  <c r="AT19" i="4"/>
  <c r="AU19" i="4"/>
  <c r="AV19" i="4"/>
  <c r="AW19" i="4"/>
  <c r="AX19" i="4"/>
  <c r="AY19" i="4"/>
  <c r="AZ19" i="4"/>
  <c r="BA19" i="4"/>
  <c r="Y10" i="6" s="1"/>
  <c r="BB19" i="4"/>
  <c r="BC19" i="4"/>
  <c r="BD19" i="4"/>
  <c r="BE19" i="4"/>
  <c r="BF19" i="4"/>
  <c r="Z10" i="6" s="1"/>
  <c r="BG19" i="4"/>
  <c r="BH19" i="4"/>
  <c r="BI19" i="4"/>
  <c r="BJ19" i="4"/>
  <c r="BK19" i="4"/>
  <c r="BL19" i="4"/>
  <c r="BM19" i="4"/>
  <c r="BN19" i="4"/>
  <c r="BO19" i="4"/>
  <c r="BP19" i="4"/>
  <c r="BQ19" i="4"/>
  <c r="BR19" i="4"/>
  <c r="BS19" i="4"/>
  <c r="BT19" i="4"/>
  <c r="BU19" i="4"/>
  <c r="BV19" i="4"/>
  <c r="BW19" i="4"/>
  <c r="BX19" i="4"/>
  <c r="BZ19" i="4"/>
  <c r="AB10" i="6" s="1"/>
  <c r="CB19" i="4"/>
  <c r="L26" i="4" l="1"/>
  <c r="F20" i="4"/>
  <c r="A11" i="6"/>
  <c r="D26" i="4"/>
  <c r="L25" i="4"/>
  <c r="F19" i="4"/>
  <c r="A10" i="6"/>
  <c r="D25" i="4"/>
  <c r="L24" i="4"/>
  <c r="F18" i="4"/>
  <c r="A9" i="6"/>
  <c r="D24" i="4"/>
  <c r="BX21" i="4"/>
  <c r="BW21" i="4"/>
  <c r="BX16" i="4"/>
  <c r="BW16" i="4"/>
  <c r="BV21" i="4"/>
  <c r="BV16" i="4"/>
  <c r="B16" i="4"/>
  <c r="T17" i="4" l="1"/>
  <c r="S17" i="4"/>
  <c r="AB21" i="4" l="1"/>
  <c r="AA21" i="4"/>
  <c r="Z21" i="4"/>
  <c r="Y21" i="4"/>
  <c r="X21" i="4"/>
  <c r="W21" i="4"/>
  <c r="V21" i="4"/>
  <c r="U21" i="4"/>
  <c r="T21" i="4"/>
  <c r="S21" i="4"/>
  <c r="BU21" i="4"/>
  <c r="BT21" i="4"/>
  <c r="BS21" i="4"/>
  <c r="BR21" i="4"/>
  <c r="BQ21" i="4"/>
  <c r="BP21" i="4"/>
  <c r="BO21" i="4"/>
  <c r="BN21" i="4"/>
  <c r="BS17" i="4"/>
  <c r="BT17" i="4"/>
  <c r="BU17" i="4"/>
  <c r="BR17" i="4"/>
  <c r="BQ17" i="4"/>
  <c r="BP17" i="4"/>
  <c r="BN17" i="4"/>
  <c r="BO17" i="4"/>
  <c r="BM17" i="4"/>
  <c r="BM21" i="4"/>
  <c r="BL21" i="4"/>
  <c r="BK21" i="4"/>
  <c r="BJ21" i="4"/>
  <c r="BI21" i="4"/>
  <c r="BH21" i="4"/>
  <c r="BG21" i="4"/>
  <c r="BF21" i="4"/>
  <c r="Z12" i="6" s="1"/>
  <c r="BE21" i="4"/>
  <c r="BD21" i="4"/>
  <c r="BC21" i="4"/>
  <c r="BL17" i="4"/>
  <c r="BK17" i="4"/>
  <c r="BJ17" i="4"/>
  <c r="BI17" i="4"/>
  <c r="BH17" i="4"/>
  <c r="BG17" i="4"/>
  <c r="BE17" i="4"/>
  <c r="BD17" i="4"/>
  <c r="BC17" i="4"/>
  <c r="BB21" i="4"/>
  <c r="BA21" i="4"/>
  <c r="Y12" i="6" s="1"/>
  <c r="AZ21" i="4"/>
  <c r="AY21" i="4"/>
  <c r="AX21" i="4"/>
  <c r="AW21" i="4"/>
  <c r="AV21" i="4"/>
  <c r="AU21" i="4"/>
  <c r="AT21" i="4"/>
  <c r="AS21" i="4"/>
  <c r="BB17" i="4"/>
  <c r="AZ17" i="4"/>
  <c r="AY17" i="4"/>
  <c r="AX17" i="4"/>
  <c r="AW17" i="4"/>
  <c r="AV17" i="4"/>
  <c r="AU17" i="4"/>
  <c r="AT17" i="4"/>
  <c r="AS17" i="4"/>
  <c r="AR17" i="4"/>
  <c r="AR21" i="4"/>
  <c r="AQ21" i="4"/>
  <c r="AP21" i="4"/>
  <c r="AO21" i="4"/>
  <c r="AN21" i="4"/>
  <c r="AM21" i="4"/>
  <c r="X12" i="6" s="1"/>
  <c r="AL21" i="4"/>
  <c r="AQ17" i="4"/>
  <c r="AP17" i="4"/>
  <c r="AO17" i="4"/>
  <c r="AN17" i="4"/>
  <c r="AL17" i="4"/>
  <c r="AK21" i="4"/>
  <c r="W12" i="6" s="1"/>
  <c r="AJ21" i="4"/>
  <c r="AI21" i="4"/>
  <c r="V12" i="6" s="1"/>
  <c r="AH21" i="4"/>
  <c r="AG21" i="4"/>
  <c r="AF21" i="4"/>
  <c r="AE21" i="4"/>
  <c r="AJ17" i="4"/>
  <c r="AH17" i="4"/>
  <c r="AE17" i="4"/>
  <c r="AG17" i="4"/>
  <c r="AF17" i="4"/>
  <c r="AD17" i="4"/>
  <c r="AD21" i="4"/>
  <c r="AC21" i="4"/>
  <c r="AC17" i="4"/>
  <c r="N17" i="4"/>
  <c r="AB17" i="4" l="1"/>
  <c r="AA17" i="4"/>
  <c r="Z17" i="4"/>
  <c r="Y17" i="4"/>
  <c r="X17" i="4"/>
  <c r="W17" i="4"/>
  <c r="V17" i="4"/>
  <c r="U17" i="4"/>
  <c r="R17" i="4" l="1"/>
  <c r="Q17" i="4"/>
  <c r="P17" i="4"/>
  <c r="N21" i="4"/>
  <c r="R21" i="4"/>
  <c r="Q21" i="4"/>
  <c r="P21" i="4"/>
  <c r="O21" i="4"/>
  <c r="U12" i="6" s="1"/>
  <c r="N15" i="4"/>
  <c r="L21" i="4"/>
  <c r="E27" i="4"/>
  <c r="K27" i="4" s="1"/>
  <c r="M27" i="4" s="1"/>
  <c r="H21" i="4"/>
  <c r="CB21" i="4"/>
  <c r="BZ21" i="4"/>
  <c r="AB12" i="6" s="1"/>
  <c r="D21" i="4"/>
  <c r="C21" i="4"/>
  <c r="A21" i="4"/>
  <c r="A12" i="6" l="1"/>
  <c r="D27" i="4"/>
  <c r="L27" i="4"/>
  <c r="F21" i="4"/>
  <c r="CA19" i="4"/>
  <c r="CA20" i="4"/>
  <c r="CA18" i="4"/>
  <c r="CA21" i="4"/>
  <c r="CE18" i="4" l="1"/>
  <c r="CG18" i="4"/>
  <c r="CC18" i="4"/>
  <c r="CC20" i="4"/>
  <c r="CG20" i="4"/>
  <c r="CE20" i="4"/>
  <c r="CC19" i="4"/>
  <c r="CG19" i="4"/>
  <c r="CE19" i="4"/>
  <c r="CC21" i="4"/>
  <c r="CE21" i="4"/>
  <c r="CG21" i="4"/>
  <c r="CH18" i="4" l="1"/>
  <c r="CJ18" i="4" s="1"/>
  <c r="CH19" i="4"/>
  <c r="CL18" i="4"/>
  <c r="CH20" i="4"/>
  <c r="CH21" i="4"/>
  <c r="E18" i="4" l="1"/>
  <c r="CJ20" i="4"/>
  <c r="CL20" i="4"/>
  <c r="CJ19" i="4"/>
  <c r="CL19" i="4"/>
  <c r="CJ21" i="4"/>
  <c r="CL21" i="4"/>
  <c r="G18" i="4" l="1"/>
  <c r="I18" i="4" s="1"/>
  <c r="J18" i="4" s="1"/>
  <c r="M18" i="4" s="1"/>
  <c r="O9" i="6"/>
  <c r="T9" i="6" s="1"/>
  <c r="AD9" i="6" s="1"/>
  <c r="AE9" i="6" s="1"/>
  <c r="E20" i="4"/>
  <c r="E19" i="4"/>
  <c r="E21" i="4"/>
  <c r="O12" i="6" s="1"/>
  <c r="T12" i="6" s="1"/>
  <c r="AD12" i="6" s="1"/>
  <c r="AE12" i="6" s="1"/>
  <c r="AI9" i="6" l="1"/>
  <c r="AI12" i="6"/>
  <c r="G19" i="4"/>
  <c r="I19" i="4" s="1"/>
  <c r="J19" i="4" s="1"/>
  <c r="M19" i="4" s="1"/>
  <c r="O10" i="6"/>
  <c r="T10" i="6" s="1"/>
  <c r="AD10" i="6" s="1"/>
  <c r="AE10" i="6" s="1"/>
  <c r="G20" i="4"/>
  <c r="I20" i="4" s="1"/>
  <c r="J20" i="4" s="1"/>
  <c r="M20" i="4" s="1"/>
  <c r="O11" i="6"/>
  <c r="T11" i="6" s="1"/>
  <c r="AD11" i="6" s="1"/>
  <c r="AE11" i="6" s="1"/>
  <c r="G21" i="4"/>
  <c r="I21" i="4" s="1"/>
  <c r="J21" i="4" s="1"/>
  <c r="M21" i="4" s="1"/>
  <c r="AI11" i="6" l="1"/>
  <c r="AI1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3" authorId="0" shapeId="0" xr:uid="{00000000-0006-0000-0100-00000100000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<sst xmlns="http://schemas.openxmlformats.org/spreadsheetml/2006/main" count="332" uniqueCount="228">
  <si>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</si>
  <si>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</si>
  <si>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</si>
  <si>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</si>
  <si>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</si>
  <si>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</si>
  <si>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</si>
  <si>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</si>
  <si>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</si>
  <si>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</si>
  <si>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</si>
  <si>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</si>
  <si>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</si>
  <si>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</si>
  <si>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</si>
  <si>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</si>
  <si>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</si>
  <si>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</si>
  <si>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</si>
  <si>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</si>
  <si>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</si>
  <si>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</si>
  <si>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</si>
  <si>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</si>
  <si>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</si>
  <si>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</si>
  <si>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</si>
  <si>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</si>
  <si>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</si>
  <si>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</si>
  <si>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</si>
  <si>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</si>
  <si>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</si>
  <si>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</si>
  <si>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</si>
  <si>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</si>
  <si>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</si>
  <si>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</si>
  <si>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</si>
  <si>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</si>
  <si>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</si>
  <si>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</si>
  <si>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</si>
  <si>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</si>
  <si>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</si>
  <si>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</si>
  <si>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</si>
  <si>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</si>
  <si>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</si>
  <si>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</si>
  <si>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</si>
  <si>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</si>
  <si>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</si>
  <si>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</si>
  <si>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</si>
  <si>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</si>
  <si>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</si>
  <si>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</si>
  <si>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</si>
  <si>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</si>
  <si>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</si>
  <si>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</si>
  <si>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</si>
  <si>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</si>
  <si>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</si>
  <si>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</si>
  <si>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</si>
  <si>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</si>
  <si>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</si>
  <si>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</si>
  <si>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</si>
  <si>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</si>
  <si>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</si>
  <si>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</si>
  <si>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</si>
  <si>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</si>
  <si>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</si>
  <si>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</si>
  <si>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</si>
  <si>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</si>
  <si>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</si>
  <si>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</si>
  <si>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</si>
  <si>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</si>
  <si>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</si>
  <si>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</si>
  <si>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</si>
  <si>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</si>
  <si>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</si>
  <si>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</si>
  <si>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</si>
  <si>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</si>
  <si>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</si>
  <si>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</si>
  <si>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</si>
  <si>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</si>
  <si>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</si>
  <si>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</si>
  <si>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</si>
  <si>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</si>
  <si>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</si>
  <si>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</si>
  <si>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</si>
  <si>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</si>
  <si>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</si>
  <si>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</si>
  <si>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</si>
  <si>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</si>
  <si>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</si>
  <si>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</si>
  <si>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</si>
  <si>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</si>
  <si>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</si>
  <si>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</si>
  <si>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</si>
  <si>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</si>
  <si>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</si>
  <si>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</si>
  <si>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</si>
  <si>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</si>
  <si>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</si>
  <si>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</si>
  <si>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</si>
  <si>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</si>
  <si>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</si>
  <si>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</si>
  <si>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</si>
  <si>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</si>
  <si>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</si>
  <si>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</si>
  <si>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Payment Terms ()</t>
  </si>
  <si>
    <t>Standard length ()</t>
  </si>
  <si>
    <t>Packing  ()</t>
  </si>
  <si>
    <t>Technical Specification</t>
  </si>
  <si>
    <t>Base Date</t>
  </si>
  <si>
    <t>PROPOSE DRUM TYPE</t>
  </si>
  <si>
    <t>DRUM CODE</t>
  </si>
  <si>
    <t>DRUM SIZE (FxbXtx Ft)</t>
  </si>
  <si>
    <r>
      <rPr>
        <b/>
        <sz val="11"/>
        <rFont val="Calibri"/>
        <family val="2"/>
        <scheme val="minor"/>
      </rPr>
      <t>Price Variation for Control  Cable shall be applicable as per current IEEMA as applicable on the final date of submission of bid</t>
    </r>
    <r>
      <rPr>
        <sz val="11"/>
        <rFont val="Calibri"/>
        <family val="2"/>
        <scheme val="minor"/>
      </rPr>
      <t xml:space="preserve">. The price variation shall be limited to the contractual delivery period. In case actual supplies are made beyond the contractual delivery period, the prices prevailing at the time of contractual delivery period or actual date of supply, whichever is less shall be taken. For the purpose of calculation of PV, date of delivery is to be taken as date on which material is notified as being ready for inspection as per supplier. </t>
    </r>
    <r>
      <rPr>
        <b/>
        <sz val="11"/>
        <rFont val="Calibri"/>
        <family val="2"/>
        <scheme val="minor"/>
      </rPr>
      <t>Base date will be one month prior to the last date of submission of bid against the NIT</t>
    </r>
    <r>
      <rPr>
        <sz val="11"/>
        <rFont val="Calibri"/>
        <family val="2"/>
        <scheme val="minor"/>
      </rPr>
      <t xml:space="preserve">.
</t>
    </r>
  </si>
  <si>
    <t>SOUTH BIHAR POWER DISTRIBUTION CO. LTD, PATNA</t>
  </si>
  <si>
    <t>64/PR/SBPDCL/2023</t>
  </si>
  <si>
    <t xml:space="preserve">TENDER   SPECIFICATION FOR 
i. 1.1 kV Copper Control cable(2Cx 2.5 Sq mm), 
ii. 1.1 kV Copper Control cable(4Cx 2.5 Sq mm)
iii. 1.1 kV Copper Control cable(10Cx 2.5 Sq mm)&amp;
iv. 1.1 kV Copper Control cable(12Cx 2.5 Sq mm)
</t>
  </si>
  <si>
    <t>The tenderers should specify the validity period of their offer which should be for a minimum period of 180 days from the last date of submission of bid.</t>
  </si>
  <si>
    <t>90% payment along with full amount of taxes, duties and freight keeping 10% retention money , on submission of triplicate copy of bills with all relevant documents (Sample check list) enclosed in annexure by the vendor after receipt of the material / equipment in good condition. After successful completion of delivery of entire order or modified quantity as decided during its delivery schedule, 10 % retention money may be released after deduction of penalty.
Payment will be released normally within 15 working days from the date of submission of bill along with all required relevant document(s) to Sr. Manager (Finance), NBPDCL/SBPDCL.</t>
  </si>
  <si>
    <t>Not Mention.</t>
  </si>
  <si>
    <t>16.11.2023, up to 18:00 Hrs</t>
  </si>
  <si>
    <t>Cables shall be supplied on returnable wooden or steel drums of heavy construction. Wooden drum shall be properly seasoned sound and free from defects. Wood preservative shall be applied to the entire drum.</t>
  </si>
  <si>
    <t xml:space="preserve">Standard lengths for each size of power and control cables shall be 500/1000 meters. The cable length per drum shall be subject to a tolerance of plus or minus 5% of the standard drum length. </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</si>
  <si>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</si>
  <si>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</si>
  <si>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</si>
  <si>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</si>
  <si>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</si>
  <si>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</si>
  <si>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</si>
  <si>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</si>
  <si>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</si>
  <si>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</si>
  <si>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</si>
  <si>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</si>
  <si>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</si>
  <si>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</si>
  <si>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</si>
  <si>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</si>
  <si>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</si>
  <si>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</si>
  <si>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</si>
  <si>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ENQ-11487-22-23</t>
  </si>
  <si>
    <t>FA0200003</t>
  </si>
  <si>
    <t>12 CORE X 2.5 SQ. MM. CU/ARD - WIRE (PVC)</t>
  </si>
  <si>
    <t>WOOD</t>
  </si>
  <si>
    <t>Tinned Copper</t>
  </si>
  <si>
    <t>KMS</t>
  </si>
  <si>
    <t>MD0100066</t>
  </si>
  <si>
    <t>DRUM - 40 X 15 X 23 X 2</t>
  </si>
  <si>
    <t>FA0200008</t>
  </si>
  <si>
    <t>2 CORE X 2.5 SQ. MM. CU/ARD - WIRE (PVC)</t>
  </si>
  <si>
    <t>MD0100003</t>
  </si>
  <si>
    <t>DRUM - 28 X 14 X 23 X 2</t>
  </si>
  <si>
    <t>FA0200002</t>
  </si>
  <si>
    <t>10 CORE X 2.5 SQ. MM. CU/ARD - WIRE (PVC)</t>
  </si>
  <si>
    <t>FA0200011</t>
  </si>
  <si>
    <t>4 CORE X 2.5 SQ. MM. CU/ARD - WIRE (PVC)</t>
  </si>
  <si>
    <t>MD0100005</t>
  </si>
  <si>
    <t>DRUM - 36 X 14 X 23 X 2</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</si>
  <si>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</si>
  <si>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</si>
  <si>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</si>
  <si>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</si>
  <si>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</si>
  <si>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</si>
  <si>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</si>
  <si>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</si>
  <si>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</si>
  <si>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</si>
  <si>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FORMULA</t>
  </si>
  <si>
    <t/>
  </si>
  <si>
    <t>Item</t>
  </si>
  <si>
    <t>Calculation part</t>
  </si>
  <si>
    <t>Applicable Date</t>
  </si>
  <si>
    <t>BASE DATE</t>
  </si>
  <si>
    <t>Ex-Work
Po</t>
  </si>
  <si>
    <t>PVC of Cu</t>
  </si>
  <si>
    <t>PVC OF PVC</t>
  </si>
  <si>
    <t>PVC OF FE</t>
  </si>
  <si>
    <t>PV/PKM</t>
  </si>
  <si>
    <t>Billing Price/PKM</t>
  </si>
  <si>
    <t>Date</t>
  </si>
  <si>
    <t>Cu</t>
  </si>
  <si>
    <t>PVCc</t>
  </si>
  <si>
    <t>Fe</t>
  </si>
  <si>
    <t>Cuo</t>
  </si>
  <si>
    <t>PVCco</t>
  </si>
  <si>
    <t>Feo</t>
  </si>
  <si>
    <t>RMC</t>
  </si>
  <si>
    <t>Drum</t>
  </si>
  <si>
    <t>RMC+Drum</t>
  </si>
  <si>
    <t>VA</t>
  </si>
  <si>
    <t>Groos VA%</t>
  </si>
  <si>
    <t>Mfg %</t>
  </si>
  <si>
    <t>Int %</t>
  </si>
  <si>
    <t>Ins%</t>
  </si>
  <si>
    <t>Net VA</t>
  </si>
  <si>
    <t>FeF</t>
  </si>
  <si>
    <t>Kg/Km</t>
  </si>
  <si>
    <t>CuF</t>
  </si>
  <si>
    <t>CCFCu</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</si>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</sst>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00%"/>
    <numFmt numFmtId="165" formatCode="_(* #,##0.00_);_(* \(#,##0.00\);_(* &quot;-&quot;??_);_(@_)"/>
    <numFmt numFmtId="166" formatCode="&quot;Rs. &quot;#,##0.00"/>
    <numFmt numFmtId="167" formatCode="&quot;Rs.&quot;#,##0"/>
    <numFmt numFmtId="168" formatCode="0.0"/>
    <numFmt numFmtId="169" formatCode="0.000"/>
    <numFmt numFmtId="170" formatCode="0.0000"/>
    <numFmt numFmtId="171" formatCode="0.0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11"/>
      <name val="Calibri"/>
      <family val="2"/>
      <scheme val="minor"/>
    </font>
    <font>
      <b/>
      <sz val="9"/>
      <color indexed="81"/>
      <name val="Tahoma"/>
      <family val="2"/>
    </font>
    <font>
      <sz val="9"/>
      <color indexed="81"/>
      <name val="Tahoma"/>
      <family val="2"/>
    </font>
    <font>
      <b/>
      <sz val="10"/>
      <name val="Verdana"/>
      <family val="2"/>
    </font>
    <font>
      <b/>
      <sz val="10"/>
      <name val="Calibri"/>
      <family val="2"/>
      <scheme val="minor"/>
    </font>
    <font>
      <sz val="10"/>
      <name val="Calibri"/>
      <family val="2"/>
      <scheme val="minor"/>
    </font>
    <font>
      <b/>
      <sz val="10"/>
      <color rgb="FF000000"/>
      <name val="Arial"/>
      <family val="2"/>
    </font>
    <font>
      <b/>
      <sz val="10"/>
      <name val="Arial"/>
      <family val="2"/>
    </font>
    <font>
      <sz val="10"/>
      <color rgb="FFFF0000"/>
      <name val="Calibri"/>
      <family val="2"/>
      <scheme val="minor"/>
    </font>
  </fonts>
  <fills count="10">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9.9978637043366805E-2"/>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cellStyleXfs>
  <cellXfs count="197">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8" fillId="5" borderId="0" xfId="0" applyFont="1" applyFill="1" applyAlignment="1">
      <alignment vertical="center" wrapText="1"/>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165" fontId="0" fillId="0" borderId="1" xfId="0" applyNumberFormat="1" applyBorder="1" applyAlignment="1">
      <alignment wrapText="1"/>
    </xf>
    <xf numFmtId="0" fontId="16" fillId="0" borderId="10" xfId="4" applyFont="1" applyBorder="1" applyAlignment="1">
      <alignment horizontal="center" vertical="center"/>
    </xf>
    <xf numFmtId="0" fontId="17" fillId="0" borderId="0" xfId="4" applyFont="1" applyAlignment="1">
      <alignment horizontal="center" vertical="center"/>
    </xf>
    <xf numFmtId="0" fontId="18" fillId="0" borderId="0" xfId="6" applyFont="1" applyAlignment="1">
      <alignment horizontal="center" vertical="center"/>
    </xf>
    <xf numFmtId="0" fontId="11" fillId="0" borderId="0" xfId="4" applyAlignment="1">
      <alignment horizontal="center" vertical="center"/>
    </xf>
    <xf numFmtId="0" fontId="17" fillId="0" borderId="0" xfId="4" applyFont="1" applyAlignment="1">
      <alignment horizontal="left" vertical="center" wrapText="1"/>
    </xf>
    <xf numFmtId="0" fontId="17" fillId="0" borderId="0" xfId="4" applyFont="1"/>
    <xf numFmtId="0" fontId="18" fillId="0" borderId="0" xfId="6" applyFont="1"/>
    <xf numFmtId="0" fontId="11" fillId="0" borderId="0" xfId="4"/>
    <xf numFmtId="0" fontId="19" fillId="0" borderId="0" xfId="0" applyFont="1" applyAlignment="1">
      <alignment horizontal="center" vertical="center"/>
    </xf>
    <xf numFmtId="166" fontId="17" fillId="0" borderId="0" xfId="4" applyNumberFormat="1" applyFont="1" applyAlignment="1">
      <alignment horizontal="center" vertical="center"/>
    </xf>
    <xf numFmtId="0" fontId="11" fillId="0" borderId="0" xfId="4" quotePrefix="1"/>
    <xf numFmtId="0" fontId="18" fillId="0" borderId="0" xfId="4" applyFont="1" applyAlignment="1">
      <alignment horizontal="center"/>
    </xf>
    <xf numFmtId="14" fontId="18" fillId="0" borderId="0" xfId="4" applyNumberFormat="1" applyFont="1" applyAlignment="1">
      <alignment horizontal="center"/>
    </xf>
    <xf numFmtId="0" fontId="17" fillId="0" borderId="0" xfId="4" applyFont="1" applyAlignment="1">
      <alignment vertical="center"/>
    </xf>
    <xf numFmtId="0" fontId="11" fillId="0" borderId="0" xfId="4" applyAlignment="1">
      <alignment horizontal="center"/>
    </xf>
    <xf numFmtId="0" fontId="17" fillId="0" borderId="1" xfId="6" applyFont="1" applyBorder="1" applyAlignment="1">
      <alignment horizontal="center" vertical="center" wrapText="1"/>
    </xf>
    <xf numFmtId="0" fontId="17" fillId="0" borderId="30" xfId="6" applyFont="1" applyBorder="1" applyAlignment="1">
      <alignment horizontal="center" vertical="center" wrapText="1"/>
    </xf>
    <xf numFmtId="0" fontId="20" fillId="0" borderId="21" xfId="6" applyFont="1" applyBorder="1" applyAlignment="1">
      <alignment horizontal="center" vertical="center" wrapText="1"/>
    </xf>
    <xf numFmtId="0" fontId="17" fillId="0" borderId="29" xfId="6" applyFont="1" applyBorder="1" applyAlignment="1">
      <alignment horizontal="center" vertical="center" wrapText="1"/>
    </xf>
    <xf numFmtId="0" fontId="17" fillId="0" borderId="36" xfId="6" applyFont="1" applyBorder="1" applyAlignment="1">
      <alignment horizontal="center" vertical="center" wrapText="1"/>
    </xf>
    <xf numFmtId="167" fontId="20" fillId="0" borderId="1" xfId="6" applyNumberFormat="1" applyFont="1" applyBorder="1" applyAlignment="1">
      <alignment horizontal="center" vertical="center" wrapText="1"/>
    </xf>
    <xf numFmtId="0" fontId="11" fillId="0" borderId="25" xfId="4" applyBorder="1"/>
    <xf numFmtId="0" fontId="18" fillId="0" borderId="26" xfId="6" applyFont="1" applyBorder="1"/>
    <xf numFmtId="0" fontId="18" fillId="0" borderId="37" xfId="6" applyFont="1" applyBorder="1" applyAlignment="1">
      <alignment horizontal="left" vertical="center" wrapText="1"/>
    </xf>
    <xf numFmtId="14" fontId="18" fillId="0" borderId="30" xfId="6" applyNumberFormat="1" applyFont="1" applyBorder="1" applyAlignment="1">
      <alignment horizontal="center" vertical="center" wrapText="1"/>
    </xf>
    <xf numFmtId="14" fontId="18" fillId="0" borderId="0" xfId="6" applyNumberFormat="1" applyFont="1" applyAlignment="1">
      <alignment horizontal="center" vertical="center" wrapText="1"/>
    </xf>
    <xf numFmtId="14" fontId="18" fillId="0" borderId="2" xfId="6" applyNumberFormat="1" applyFont="1" applyBorder="1" applyAlignment="1">
      <alignment horizontal="center" vertical="center" wrapText="1"/>
    </xf>
    <xf numFmtId="14" fontId="18" fillId="0" borderId="22" xfId="6" applyNumberFormat="1" applyFont="1" applyBorder="1" applyAlignment="1">
      <alignment horizontal="center" vertical="center" wrapText="1"/>
    </xf>
    <xf numFmtId="14" fontId="18" fillId="0" borderId="1" xfId="6" applyNumberFormat="1" applyFont="1" applyBorder="1" applyAlignment="1">
      <alignment horizontal="center" vertical="center" wrapText="1"/>
    </xf>
    <xf numFmtId="14" fontId="18" fillId="0" borderId="24" xfId="6" applyNumberFormat="1" applyFont="1" applyBorder="1" applyAlignment="1">
      <alignment horizontal="center" vertical="center" wrapText="1"/>
    </xf>
    <xf numFmtId="2" fontId="17" fillId="0" borderId="38" xfId="6" applyNumberFormat="1" applyFont="1" applyBorder="1" applyAlignment="1">
      <alignment horizontal="center" vertical="center" wrapText="1"/>
    </xf>
    <xf numFmtId="0" fontId="18" fillId="0" borderId="1" xfId="6" applyFont="1" applyBorder="1" applyAlignment="1">
      <alignment horizontal="center" vertical="center" wrapText="1"/>
    </xf>
    <xf numFmtId="0" fontId="18" fillId="0" borderId="26" xfId="6" applyFont="1" applyBorder="1" applyAlignment="1">
      <alignment horizontal="center" vertical="center" wrapText="1"/>
    </xf>
    <xf numFmtId="167" fontId="20" fillId="0" borderId="39" xfId="6" applyNumberFormat="1" applyFont="1" applyBorder="1" applyAlignment="1">
      <alignment horizontal="center" vertical="center" wrapText="1"/>
    </xf>
    <xf numFmtId="167" fontId="20" fillId="0" borderId="40" xfId="6" applyNumberFormat="1" applyFont="1" applyBorder="1" applyAlignment="1">
      <alignment horizontal="center" vertical="center" wrapText="1"/>
    </xf>
    <xf numFmtId="0" fontId="11" fillId="0" borderId="42" xfId="4" applyBorder="1" applyAlignment="1">
      <alignment horizontal="center" vertical="center" wrapText="1"/>
    </xf>
    <xf numFmtId="0" fontId="11" fillId="0" borderId="25" xfId="4" applyBorder="1" applyAlignment="1">
      <alignment wrapText="1"/>
    </xf>
    <xf numFmtId="168" fontId="18" fillId="0" borderId="1" xfId="6" applyNumberFormat="1" applyFont="1" applyBorder="1" applyAlignment="1">
      <alignment horizontal="center" vertical="center" wrapText="1"/>
    </xf>
    <xf numFmtId="14" fontId="17" fillId="8" borderId="6" xfId="6" applyNumberFormat="1" applyFont="1" applyFill="1" applyBorder="1" applyAlignment="1">
      <alignment horizontal="center" vertical="center" wrapText="1"/>
    </xf>
    <xf numFmtId="169" fontId="18" fillId="0" borderId="1" xfId="6" applyNumberFormat="1" applyFont="1" applyBorder="1" applyAlignment="1">
      <alignment horizontal="center" vertical="center" wrapText="1"/>
    </xf>
    <xf numFmtId="169" fontId="18" fillId="0" borderId="3" xfId="6" applyNumberFormat="1" applyFont="1" applyBorder="1" applyAlignment="1">
      <alignment horizontal="center" vertical="center" wrapText="1"/>
    </xf>
    <xf numFmtId="170" fontId="18" fillId="0" borderId="4" xfId="6" applyNumberFormat="1" applyFont="1" applyBorder="1" applyAlignment="1">
      <alignment vertical="center" wrapText="1"/>
    </xf>
    <xf numFmtId="169" fontId="18" fillId="0" borderId="4" xfId="6" applyNumberFormat="1" applyFont="1" applyBorder="1" applyAlignment="1">
      <alignment horizontal="center" vertical="center" wrapText="1"/>
    </xf>
    <xf numFmtId="2" fontId="18" fillId="7" borderId="1" xfId="6" applyNumberFormat="1" applyFont="1" applyFill="1" applyBorder="1" applyAlignment="1">
      <alignment horizontal="center" vertical="center" wrapText="1"/>
    </xf>
    <xf numFmtId="2" fontId="18" fillId="9" borderId="43" xfId="6" applyNumberFormat="1" applyFont="1" applyFill="1" applyBorder="1" applyAlignment="1">
      <alignment horizontal="center" vertical="center" wrapText="1"/>
    </xf>
    <xf numFmtId="2" fontId="12" fillId="0" borderId="1" xfId="6" applyNumberFormat="1" applyBorder="1" applyAlignment="1">
      <alignment vertical="center"/>
    </xf>
    <xf numFmtId="2" fontId="20" fillId="0" borderId="1" xfId="6" applyNumberFormat="1" applyFont="1" applyBorder="1" applyAlignment="1">
      <alignment vertical="center"/>
    </xf>
    <xf numFmtId="2" fontId="20" fillId="0" borderId="24" xfId="6" applyNumberFormat="1" applyFont="1" applyBorder="1" applyAlignment="1">
      <alignment vertical="center"/>
    </xf>
    <xf numFmtId="14" fontId="18" fillId="0" borderId="44" xfId="6" applyNumberFormat="1" applyFont="1" applyBorder="1" applyAlignment="1">
      <alignment horizontal="center" vertical="center" wrapText="1"/>
    </xf>
    <xf numFmtId="168" fontId="18" fillId="0" borderId="45" xfId="6" applyNumberFormat="1" applyFont="1" applyBorder="1" applyAlignment="1">
      <alignment horizontal="center" vertical="center" wrapText="1"/>
    </xf>
    <xf numFmtId="168" fontId="18" fillId="0" borderId="31" xfId="6" applyNumberFormat="1" applyFont="1" applyBorder="1" applyAlignment="1">
      <alignment horizontal="center" vertical="center" wrapText="1"/>
    </xf>
    <xf numFmtId="0" fontId="11" fillId="0" borderId="33" xfId="4" applyBorder="1" applyAlignment="1">
      <alignment wrapText="1"/>
    </xf>
    <xf numFmtId="14" fontId="18" fillId="0" borderId="46" xfId="6" applyNumberFormat="1" applyFont="1" applyBorder="1" applyAlignment="1">
      <alignment horizontal="center" vertical="center" wrapText="1"/>
    </xf>
    <xf numFmtId="14" fontId="18" fillId="0" borderId="39" xfId="6" applyNumberFormat="1" applyFont="1" applyBorder="1" applyAlignment="1">
      <alignment horizontal="center" vertical="center" wrapText="1"/>
    </xf>
    <xf numFmtId="2" fontId="18" fillId="0" borderId="40" xfId="6" applyNumberFormat="1" applyFont="1" applyBorder="1" applyAlignment="1">
      <alignment horizontal="center" vertical="center" wrapText="1"/>
    </xf>
    <xf numFmtId="2" fontId="18" fillId="0" borderId="47" xfId="6" applyNumberFormat="1" applyFont="1" applyBorder="1" applyAlignment="1">
      <alignment horizontal="center" vertical="center" wrapText="1"/>
    </xf>
    <xf numFmtId="2" fontId="18" fillId="0" borderId="48" xfId="6" applyNumberFormat="1" applyFont="1" applyBorder="1" applyAlignment="1">
      <alignment horizontal="center" vertical="center" wrapText="1"/>
    </xf>
    <xf numFmtId="2" fontId="18" fillId="0" borderId="39" xfId="6" applyNumberFormat="1" applyFont="1" applyBorder="1" applyAlignment="1">
      <alignment horizontal="center" vertical="center" wrapText="1"/>
    </xf>
    <xf numFmtId="168" fontId="18" fillId="0" borderId="47" xfId="6" applyNumberFormat="1" applyFont="1" applyBorder="1" applyAlignment="1">
      <alignment horizontal="center" vertical="center" wrapText="1"/>
    </xf>
    <xf numFmtId="168" fontId="18" fillId="0" borderId="40" xfId="6" applyNumberFormat="1" applyFont="1" applyBorder="1" applyAlignment="1">
      <alignment horizontal="center" vertical="center" wrapText="1"/>
    </xf>
    <xf numFmtId="168" fontId="18" fillId="0" borderId="50" xfId="6" applyNumberFormat="1" applyFont="1" applyBorder="1" applyAlignment="1">
      <alignment horizontal="center" vertical="center" wrapText="1"/>
    </xf>
    <xf numFmtId="2" fontId="18" fillId="0" borderId="28" xfId="6" applyNumberFormat="1" applyFont="1" applyBorder="1" applyAlignment="1">
      <alignment horizontal="center" vertical="center" wrapText="1"/>
    </xf>
    <xf numFmtId="2" fontId="18" fillId="0" borderId="51" xfId="6" applyNumberFormat="1" applyFont="1" applyBorder="1" applyAlignment="1">
      <alignment horizontal="center" vertical="center" wrapText="1"/>
    </xf>
    <xf numFmtId="2" fontId="18" fillId="0" borderId="52" xfId="6" applyNumberFormat="1" applyFont="1" applyBorder="1" applyAlignment="1">
      <alignment horizontal="center" vertical="center" wrapText="1"/>
    </xf>
    <xf numFmtId="2" fontId="18" fillId="0" borderId="53" xfId="6" applyNumberFormat="1" applyFont="1" applyBorder="1" applyAlignment="1">
      <alignment horizontal="center" vertical="center" wrapText="1"/>
    </xf>
    <xf numFmtId="171" fontId="18" fillId="0" borderId="49" xfId="6" applyNumberFormat="1" applyFont="1" applyBorder="1" applyAlignment="1">
      <alignment vertical="center" wrapText="1"/>
    </xf>
    <xf numFmtId="171" fontId="18" fillId="0" borderId="40" xfId="6" applyNumberFormat="1" applyFont="1" applyBorder="1" applyAlignment="1">
      <alignment vertical="center" wrapText="1"/>
    </xf>
    <xf numFmtId="171" fontId="18" fillId="0" borderId="47" xfId="6" applyNumberFormat="1" applyFont="1" applyBorder="1" applyAlignment="1">
      <alignment vertical="center" wrapText="1"/>
    </xf>
    <xf numFmtId="170" fontId="18" fillId="0" borderId="48" xfId="6" applyNumberFormat="1" applyFont="1" applyBorder="1" applyAlignment="1">
      <alignment horizontal="center" vertical="center" wrapText="1"/>
    </xf>
    <xf numFmtId="2" fontId="18" fillId="0" borderId="46" xfId="6" applyNumberFormat="1" applyFont="1" applyBorder="1" applyAlignment="1">
      <alignment horizontal="center" vertical="center" wrapText="1"/>
    </xf>
    <xf numFmtId="0" fontId="11" fillId="0" borderId="28" xfId="4" applyBorder="1"/>
    <xf numFmtId="0" fontId="11" fillId="0" borderId="54" xfId="4" applyBorder="1"/>
    <xf numFmtId="0" fontId="11" fillId="0" borderId="0" xfId="4" applyAlignment="1">
      <alignment wrapText="1"/>
    </xf>
    <xf numFmtId="0" fontId="16" fillId="0" borderId="0" xfId="4" applyFont="1"/>
    <xf numFmtId="2" fontId="11" fillId="0" borderId="0" xfId="4" applyNumberFormat="1"/>
    <xf numFmtId="2" fontId="21" fillId="0" borderId="23" xfId="6" applyNumberFormat="1" applyFont="1" applyBorder="1" applyAlignment="1">
      <alignment horizontal="center" vertical="center" wrapText="1"/>
    </xf>
    <xf numFmtId="0" fontId="0" fillId="0" borderId="1" xfId="0" applyBorder="1" applyAlignment="1">
      <alignment horizontal="center" vertical="center"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14" fontId="16" fillId="5" borderId="11" xfId="4" applyNumberFormat="1" applyFont="1" applyFill="1" applyBorder="1" applyAlignment="1">
      <alignment horizontal="center" vertical="center"/>
    </xf>
    <xf numFmtId="0" fontId="16" fillId="5" borderId="12" xfId="4" applyFont="1" applyFill="1" applyBorder="1" applyAlignment="1">
      <alignment horizontal="center" vertical="center"/>
    </xf>
    <xf numFmtId="0" fontId="17" fillId="0" borderId="1" xfId="4" applyFont="1" applyBorder="1" applyAlignment="1">
      <alignment horizontal="center" vertical="center"/>
    </xf>
    <xf numFmtId="0" fontId="20" fillId="0" borderId="13" xfId="6" applyFont="1" applyBorder="1" applyAlignment="1">
      <alignment horizontal="center" vertical="center"/>
    </xf>
    <xf numFmtId="0" fontId="20" fillId="0" borderId="14" xfId="6" applyFont="1" applyBorder="1" applyAlignment="1">
      <alignment horizontal="center" vertical="center"/>
    </xf>
    <xf numFmtId="0" fontId="20" fillId="0" borderId="23" xfId="6" applyFont="1" applyBorder="1" applyAlignment="1">
      <alignment horizontal="center" vertical="center"/>
    </xf>
    <xf numFmtId="0" fontId="20" fillId="0" borderId="1" xfId="6" applyFont="1" applyBorder="1" applyAlignment="1">
      <alignment horizontal="center" vertical="center"/>
    </xf>
    <xf numFmtId="0" fontId="20" fillId="0" borderId="24" xfId="6" applyFont="1" applyBorder="1" applyAlignment="1">
      <alignment horizontal="center" vertical="center"/>
    </xf>
    <xf numFmtId="0" fontId="16" fillId="0" borderId="15" xfId="4" applyFont="1" applyBorder="1" applyAlignment="1">
      <alignment horizontal="center" vertical="center"/>
    </xf>
    <xf numFmtId="0" fontId="16" fillId="0" borderId="25" xfId="4" applyFont="1" applyBorder="1" applyAlignment="1">
      <alignment horizontal="center" vertical="center"/>
    </xf>
    <xf numFmtId="0" fontId="16" fillId="0" borderId="32" xfId="4" applyFont="1" applyBorder="1" applyAlignment="1">
      <alignment horizontal="center" vertical="center"/>
    </xf>
    <xf numFmtId="0" fontId="16" fillId="0" borderId="15" xfId="4" applyFont="1" applyBorder="1" applyAlignment="1">
      <alignment horizontal="center" vertical="center" wrapText="1"/>
    </xf>
    <xf numFmtId="0" fontId="16" fillId="0" borderId="25" xfId="4" applyFont="1" applyBorder="1" applyAlignment="1">
      <alignment horizontal="center" vertical="center" wrapText="1"/>
    </xf>
    <xf numFmtId="0" fontId="16" fillId="0" borderId="33" xfId="4" applyFont="1" applyBorder="1" applyAlignment="1">
      <alignment horizontal="center" vertical="center" wrapText="1"/>
    </xf>
    <xf numFmtId="0" fontId="17" fillId="0" borderId="16" xfId="6" applyFont="1" applyBorder="1" applyAlignment="1">
      <alignment horizontal="center" vertical="center" wrapText="1"/>
    </xf>
    <xf numFmtId="0" fontId="17" fillId="0" borderId="26" xfId="6" applyFont="1" applyBorder="1" applyAlignment="1">
      <alignment horizontal="center" vertical="center" wrapText="1"/>
    </xf>
    <xf numFmtId="0" fontId="17" fillId="0" borderId="34" xfId="6" applyFont="1" applyBorder="1" applyAlignment="1">
      <alignment horizontal="center" vertical="center" wrapText="1"/>
    </xf>
    <xf numFmtId="0" fontId="17" fillId="0" borderId="17" xfId="6" applyFont="1" applyBorder="1" applyAlignment="1">
      <alignment horizontal="center" vertical="center" wrapText="1"/>
    </xf>
    <xf numFmtId="0" fontId="17" fillId="0" borderId="18" xfId="6" applyFont="1" applyBorder="1" applyAlignment="1">
      <alignment horizontal="center" vertical="center" wrapText="1"/>
    </xf>
    <xf numFmtId="0" fontId="17" fillId="0" borderId="19" xfId="6" applyFont="1" applyBorder="1" applyAlignment="1">
      <alignment horizontal="center" vertical="center" wrapText="1"/>
    </xf>
    <xf numFmtId="0" fontId="17" fillId="0" borderId="20" xfId="6" applyFont="1" applyBorder="1" applyAlignment="1">
      <alignment horizontal="center" vertical="center" wrapText="1"/>
    </xf>
    <xf numFmtId="0" fontId="17" fillId="0" borderId="28" xfId="6" applyFont="1" applyBorder="1" applyAlignment="1">
      <alignment horizontal="center" vertical="center" wrapText="1"/>
    </xf>
    <xf numFmtId="0" fontId="17" fillId="0" borderId="15"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32" xfId="6" applyFont="1" applyBorder="1" applyAlignment="1">
      <alignment horizontal="center" vertical="center" wrapText="1"/>
    </xf>
    <xf numFmtId="0" fontId="17" fillId="0" borderId="6" xfId="6" applyFont="1" applyBorder="1" applyAlignment="1">
      <alignment horizontal="center" vertical="center" wrapText="1"/>
    </xf>
    <xf numFmtId="0" fontId="17" fillId="0" borderId="1" xfId="6" applyFont="1" applyBorder="1" applyAlignment="1">
      <alignment horizontal="center" vertical="center" wrapText="1"/>
    </xf>
    <xf numFmtId="0" fontId="17" fillId="0" borderId="2" xfId="6" applyFont="1" applyBorder="1" applyAlignment="1">
      <alignment horizontal="center" vertical="center" wrapText="1"/>
    </xf>
    <xf numFmtId="0" fontId="17" fillId="0" borderId="27" xfId="6" applyFont="1" applyBorder="1" applyAlignment="1">
      <alignment horizontal="center" vertical="center" wrapText="1"/>
    </xf>
    <xf numFmtId="0" fontId="17" fillId="0" borderId="35" xfId="6" applyFont="1" applyBorder="1" applyAlignment="1">
      <alignment horizontal="center" vertical="center" wrapText="1"/>
    </xf>
    <xf numFmtId="0" fontId="17" fillId="0" borderId="23" xfId="6" applyFont="1" applyBorder="1" applyAlignment="1">
      <alignment horizontal="center" vertical="center" wrapText="1"/>
    </xf>
    <xf numFmtId="0" fontId="17" fillId="0" borderId="10" xfId="6" applyFont="1" applyBorder="1" applyAlignment="1">
      <alignment horizontal="center" vertical="center" wrapText="1"/>
    </xf>
    <xf numFmtId="0" fontId="17" fillId="0" borderId="24" xfId="6" applyFont="1" applyBorder="1" applyAlignment="1">
      <alignment horizontal="center" vertical="center" wrapText="1"/>
    </xf>
    <xf numFmtId="0" fontId="20" fillId="0" borderId="23" xfId="6" applyFont="1" applyBorder="1" applyAlignment="1">
      <alignment horizontal="center" vertical="center" wrapText="1"/>
    </xf>
    <xf numFmtId="0" fontId="20" fillId="0" borderId="30" xfId="6" applyFont="1" applyBorder="1" applyAlignment="1">
      <alignment horizontal="center" vertical="center" wrapText="1"/>
    </xf>
    <xf numFmtId="0" fontId="20" fillId="0" borderId="10" xfId="6" applyFont="1" applyBorder="1" applyAlignment="1">
      <alignment horizontal="center" vertical="center" wrapText="1"/>
    </xf>
    <xf numFmtId="0" fontId="17" fillId="0" borderId="21" xfId="6" applyFont="1" applyBorder="1" applyAlignment="1">
      <alignment horizontal="center" vertical="center" wrapText="1"/>
    </xf>
    <xf numFmtId="0" fontId="17" fillId="0" borderId="30" xfId="6" applyFont="1" applyBorder="1" applyAlignment="1">
      <alignment horizontal="center" vertical="center" wrapText="1"/>
    </xf>
    <xf numFmtId="0" fontId="20" fillId="0" borderId="31" xfId="6" applyFont="1" applyBorder="1" applyAlignment="1">
      <alignment horizontal="center" vertical="center" wrapText="1"/>
    </xf>
    <xf numFmtId="0" fontId="20" fillId="0" borderId="36" xfId="6" applyFont="1" applyBorder="1" applyAlignment="1">
      <alignment horizontal="center" vertical="center" wrapText="1"/>
    </xf>
    <xf numFmtId="0" fontId="20" fillId="0" borderId="41" xfId="6" applyFont="1" applyBorder="1" applyAlignment="1">
      <alignment horizontal="center" vertical="center" wrapText="1"/>
    </xf>
    <xf numFmtId="2" fontId="17" fillId="0" borderId="20" xfId="6" applyNumberFormat="1" applyFont="1" applyBorder="1" applyAlignment="1">
      <alignment horizontal="center"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activeCell="J2" sqref="J2"/>
    </sheetView>
  </sheetViews>
  <sheetFormatPr defaultRowHeight="15" x14ac:dyDescent="0.25"/>
  <cols>
    <col min="1" max="1" width="16" customWidth="1"/>
    <col min="2" max="2" width="12" bestFit="1"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134</v>
      </c>
      <c r="C1" t="s">
        <v>1</v>
      </c>
      <c r="D1" t="s">
        <v>2</v>
      </c>
      <c r="E1" t="s">
        <v>135</v>
      </c>
      <c r="F1" t="s">
        <v>3</v>
      </c>
      <c r="G1" t="s">
        <v>148</v>
      </c>
      <c r="H1" t="s">
        <v>4</v>
      </c>
      <c r="I1" t="s">
        <v>5</v>
      </c>
      <c r="J1" t="s">
        <v>6</v>
      </c>
      <c r="K1" t="s">
        <v>149</v>
      </c>
      <c r="L1" t="s">
        <v>7</v>
      </c>
      <c r="M1" t="s">
        <v>8</v>
      </c>
      <c r="N1" t="s">
        <v>9</v>
      </c>
      <c r="O1" t="s">
        <v>150</v>
      </c>
      <c r="P1" t="s">
        <v>10</v>
      </c>
      <c r="Q1" t="s">
        <v>11</v>
      </c>
      <c r="R1" t="s">
        <v>12</v>
      </c>
      <c r="S1" t="s">
        <v>151</v>
      </c>
      <c r="T1" t="s">
        <v>13</v>
      </c>
      <c r="U1" t="s">
        <v>14</v>
      </c>
      <c r="V1" t="s">
        <v>15</v>
      </c>
      <c r="W1" t="s">
        <v>152</v>
      </c>
      <c r="X1" t="s">
        <v>16</v>
      </c>
      <c r="Y1" t="s">
        <v>17</v>
      </c>
      <c r="Z1" t="s">
        <v>18</v>
      </c>
      <c r="AA1" t="s">
        <v>153</v>
      </c>
      <c r="AB1" t="s">
        <v>19</v>
      </c>
      <c r="AC1" t="s">
        <v>20</v>
      </c>
      <c r="AD1" t="s">
        <v>21</v>
      </c>
      <c r="AE1" t="s">
        <v>154</v>
      </c>
      <c r="AF1" t="s">
        <v>22</v>
      </c>
      <c r="AG1" t="s">
        <v>23</v>
      </c>
      <c r="AH1" t="s">
        <v>24</v>
      </c>
      <c r="AI1" t="s">
        <v>155</v>
      </c>
      <c r="AJ1" t="s">
        <v>25</v>
      </c>
      <c r="AK1" t="s">
        <v>26</v>
      </c>
      <c r="AL1" t="s">
        <v>27</v>
      </c>
      <c r="AM1" t="s">
        <v>156</v>
      </c>
      <c r="AN1" t="s">
        <v>28</v>
      </c>
      <c r="AO1" t="s">
        <v>29</v>
      </c>
      <c r="AP1" t="s">
        <v>30</v>
      </c>
      <c r="AQ1" t="s">
        <v>157</v>
      </c>
      <c r="AR1" t="s">
        <v>31</v>
      </c>
      <c r="AS1" t="s">
        <v>32</v>
      </c>
      <c r="AT1" t="s">
        <v>33</v>
      </c>
      <c r="AU1" t="s">
        <v>158</v>
      </c>
      <c r="AV1" t="s">
        <v>34</v>
      </c>
      <c r="AW1" t="s">
        <v>35</v>
      </c>
      <c r="AX1" t="s">
        <v>36</v>
      </c>
      <c r="AY1" t="s">
        <v>159</v>
      </c>
      <c r="AZ1" t="s">
        <v>37</v>
      </c>
      <c r="BA1" t="s">
        <v>38</v>
      </c>
      <c r="BB1" t="s">
        <v>39</v>
      </c>
      <c r="BC1" t="s">
        <v>160</v>
      </c>
      <c r="BD1" t="s">
        <v>40</v>
      </c>
      <c r="BE1" t="s">
        <v>41</v>
      </c>
      <c r="BF1" t="s">
        <v>42</v>
      </c>
      <c r="BG1" t="s">
        <v>161</v>
      </c>
      <c r="BH1" t="s">
        <v>43</v>
      </c>
      <c r="BI1" t="s">
        <v>44</v>
      </c>
      <c r="BJ1" t="s">
        <v>45</v>
      </c>
      <c r="BK1" t="s">
        <v>162</v>
      </c>
      <c r="BL1" t="s">
        <v>46</v>
      </c>
      <c r="BM1" t="s">
        <v>47</v>
      </c>
      <c r="BN1" t="s">
        <v>48</v>
      </c>
      <c r="BO1" t="s">
        <v>163</v>
      </c>
      <c r="BP1" t="s">
        <v>49</v>
      </c>
      <c r="BQ1" t="s">
        <v>50</v>
      </c>
      <c r="BR1" t="s">
        <v>51</v>
      </c>
      <c r="BS1" t="s">
        <v>164</v>
      </c>
      <c r="BT1" t="s">
        <v>52</v>
      </c>
      <c r="BU1" t="s">
        <v>53</v>
      </c>
      <c r="BV1" t="s">
        <v>54</v>
      </c>
      <c r="BW1" t="s">
        <v>165</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136</v>
      </c>
      <c r="CW1" t="s">
        <v>137</v>
      </c>
      <c r="CX1" t="s">
        <v>166</v>
      </c>
    </row>
    <row r="2" spans="1:102" x14ac:dyDescent="0.25">
      <c r="A2" t="s">
        <v>167</v>
      </c>
      <c r="B2" s="54">
        <v>45202</v>
      </c>
      <c r="C2" t="s">
        <v>168</v>
      </c>
      <c r="D2" t="s">
        <v>169</v>
      </c>
      <c r="E2" t="s">
        <v>170</v>
      </c>
      <c r="J2" t="s">
        <v>171</v>
      </c>
      <c r="L2">
        <v>266.39999999999998</v>
      </c>
      <c r="P2">
        <v>0</v>
      </c>
      <c r="T2">
        <v>0</v>
      </c>
      <c r="V2" t="s">
        <v>107</v>
      </c>
      <c r="W2">
        <v>104.45</v>
      </c>
      <c r="X2">
        <v>156</v>
      </c>
      <c r="Y2">
        <v>16294.2</v>
      </c>
      <c r="Z2" t="s">
        <v>18</v>
      </c>
      <c r="AA2">
        <v>122.4</v>
      </c>
      <c r="AB2">
        <v>6</v>
      </c>
      <c r="AC2">
        <v>734.4</v>
      </c>
      <c r="AD2" t="s">
        <v>97</v>
      </c>
      <c r="AE2">
        <v>95.5</v>
      </c>
      <c r="AF2">
        <v>40</v>
      </c>
      <c r="AG2">
        <v>3820</v>
      </c>
      <c r="AH2" t="s">
        <v>120</v>
      </c>
      <c r="AI2">
        <v>86.62</v>
      </c>
      <c r="AJ2">
        <v>508</v>
      </c>
      <c r="AK2">
        <v>44002.96</v>
      </c>
      <c r="AL2" t="s">
        <v>100</v>
      </c>
      <c r="AM2">
        <v>94.5</v>
      </c>
      <c r="AN2">
        <v>170</v>
      </c>
      <c r="AO2">
        <v>16065</v>
      </c>
      <c r="AR2">
        <v>0</v>
      </c>
      <c r="AV2">
        <v>0</v>
      </c>
      <c r="AZ2">
        <v>0</v>
      </c>
      <c r="BD2">
        <v>0</v>
      </c>
      <c r="BH2">
        <v>0</v>
      </c>
      <c r="BL2">
        <v>28</v>
      </c>
      <c r="BP2">
        <v>0</v>
      </c>
      <c r="BT2">
        <v>0</v>
      </c>
      <c r="BX2">
        <v>0</v>
      </c>
      <c r="BZ2">
        <v>5151.4799999999996</v>
      </c>
      <c r="CA2">
        <v>86068.04</v>
      </c>
      <c r="CH2">
        <v>86068.04</v>
      </c>
      <c r="CM2">
        <v>86068.04</v>
      </c>
      <c r="CO2">
        <v>86068.04</v>
      </c>
      <c r="CP2" s="55">
        <v>0.18</v>
      </c>
      <c r="CQ2">
        <v>15492.25</v>
      </c>
      <c r="CR2">
        <v>101560.29</v>
      </c>
      <c r="CS2">
        <v>20</v>
      </c>
      <c r="CT2" t="s">
        <v>172</v>
      </c>
      <c r="CU2" s="56">
        <v>2031206</v>
      </c>
      <c r="CV2" t="s">
        <v>173</v>
      </c>
      <c r="CW2" t="s">
        <v>174</v>
      </c>
      <c r="CX2">
        <v>500</v>
      </c>
    </row>
    <row r="3" spans="1:102" x14ac:dyDescent="0.25">
      <c r="A3" t="s">
        <v>167</v>
      </c>
      <c r="B3" s="54">
        <v>45202</v>
      </c>
      <c r="C3" t="s">
        <v>175</v>
      </c>
      <c r="D3" t="s">
        <v>176</v>
      </c>
      <c r="E3" t="s">
        <v>170</v>
      </c>
      <c r="J3" t="s">
        <v>171</v>
      </c>
      <c r="L3">
        <v>44.4</v>
      </c>
      <c r="P3">
        <v>0</v>
      </c>
      <c r="T3">
        <v>0</v>
      </c>
      <c r="V3" t="s">
        <v>107</v>
      </c>
      <c r="W3">
        <v>104.45</v>
      </c>
      <c r="X3">
        <v>26</v>
      </c>
      <c r="Y3">
        <v>2715.7</v>
      </c>
      <c r="Z3" t="s">
        <v>18</v>
      </c>
      <c r="AA3">
        <v>122.4</v>
      </c>
      <c r="AB3">
        <v>3</v>
      </c>
      <c r="AC3">
        <v>367.2</v>
      </c>
      <c r="AD3" t="s">
        <v>97</v>
      </c>
      <c r="AE3">
        <v>95.5</v>
      </c>
      <c r="AF3">
        <v>39</v>
      </c>
      <c r="AG3">
        <v>3724.5</v>
      </c>
      <c r="AH3" t="s">
        <v>120</v>
      </c>
      <c r="AI3">
        <v>86.62</v>
      </c>
      <c r="AJ3">
        <v>251</v>
      </c>
      <c r="AK3">
        <v>21741.62</v>
      </c>
      <c r="AL3" t="s">
        <v>100</v>
      </c>
      <c r="AM3">
        <v>94.5</v>
      </c>
      <c r="AN3">
        <v>93</v>
      </c>
      <c r="AO3">
        <v>8788.5</v>
      </c>
      <c r="AR3">
        <v>0</v>
      </c>
      <c r="AV3">
        <v>0</v>
      </c>
      <c r="AZ3">
        <v>0</v>
      </c>
      <c r="BD3">
        <v>0</v>
      </c>
      <c r="BH3">
        <v>0</v>
      </c>
      <c r="BL3">
        <v>16</v>
      </c>
      <c r="BP3">
        <v>0</v>
      </c>
      <c r="BT3">
        <v>0</v>
      </c>
      <c r="BX3">
        <v>0</v>
      </c>
      <c r="BZ3">
        <v>3850.93</v>
      </c>
      <c r="CA3">
        <v>41188.449999999997</v>
      </c>
      <c r="CH3">
        <v>41188.449999999997</v>
      </c>
      <c r="CM3">
        <v>41188.449999999997</v>
      </c>
      <c r="CO3">
        <v>41188.449999999997</v>
      </c>
      <c r="CP3" s="55">
        <v>0.18</v>
      </c>
      <c r="CQ3">
        <v>7413.92</v>
      </c>
      <c r="CR3">
        <v>48602.37</v>
      </c>
      <c r="CS3">
        <v>23</v>
      </c>
      <c r="CT3" t="s">
        <v>172</v>
      </c>
      <c r="CU3" s="56">
        <v>1117855</v>
      </c>
      <c r="CV3" t="s">
        <v>177</v>
      </c>
      <c r="CW3" t="s">
        <v>178</v>
      </c>
      <c r="CX3">
        <v>500</v>
      </c>
    </row>
    <row r="4" spans="1:102" x14ac:dyDescent="0.25">
      <c r="A4" t="s">
        <v>167</v>
      </c>
      <c r="B4" s="54">
        <v>45202</v>
      </c>
      <c r="C4" t="s">
        <v>179</v>
      </c>
      <c r="D4" t="s">
        <v>180</v>
      </c>
      <c r="E4" t="s">
        <v>170</v>
      </c>
      <c r="J4" t="s">
        <v>171</v>
      </c>
      <c r="L4">
        <v>222</v>
      </c>
      <c r="P4">
        <v>0</v>
      </c>
      <c r="T4">
        <v>0</v>
      </c>
      <c r="V4" t="s">
        <v>107</v>
      </c>
      <c r="W4">
        <v>104.45</v>
      </c>
      <c r="X4">
        <v>130</v>
      </c>
      <c r="Y4">
        <v>13578.5</v>
      </c>
      <c r="Z4" t="s">
        <v>18</v>
      </c>
      <c r="AA4">
        <v>122.4</v>
      </c>
      <c r="AB4">
        <v>5</v>
      </c>
      <c r="AC4">
        <v>612</v>
      </c>
      <c r="AD4" t="s">
        <v>97</v>
      </c>
      <c r="AE4">
        <v>95.5</v>
      </c>
      <c r="AF4">
        <v>38</v>
      </c>
      <c r="AG4">
        <v>3629</v>
      </c>
      <c r="AH4" t="s">
        <v>120</v>
      </c>
      <c r="AI4">
        <v>86.62</v>
      </c>
      <c r="AJ4">
        <v>492</v>
      </c>
      <c r="AK4">
        <v>42617.04</v>
      </c>
      <c r="AL4" t="s">
        <v>100</v>
      </c>
      <c r="AM4">
        <v>94.5</v>
      </c>
      <c r="AN4">
        <v>166</v>
      </c>
      <c r="AO4">
        <v>15687</v>
      </c>
      <c r="AR4">
        <v>0</v>
      </c>
      <c r="AV4">
        <v>0</v>
      </c>
      <c r="AZ4">
        <v>0</v>
      </c>
      <c r="BD4">
        <v>0</v>
      </c>
      <c r="BH4">
        <v>0</v>
      </c>
      <c r="BL4">
        <v>28</v>
      </c>
      <c r="BP4">
        <v>0</v>
      </c>
      <c r="BT4">
        <v>0</v>
      </c>
      <c r="BX4">
        <v>0</v>
      </c>
      <c r="BZ4">
        <v>5151.4799999999996</v>
      </c>
      <c r="CA4">
        <v>81275.02</v>
      </c>
      <c r="CH4">
        <v>81275.02</v>
      </c>
      <c r="CM4">
        <v>81275.02</v>
      </c>
      <c r="CO4">
        <v>81275.02</v>
      </c>
      <c r="CP4" s="55">
        <v>0.18</v>
      </c>
      <c r="CQ4">
        <v>14629.5</v>
      </c>
      <c r="CR4">
        <v>95904.52</v>
      </c>
      <c r="CS4">
        <v>25</v>
      </c>
      <c r="CT4" t="s">
        <v>172</v>
      </c>
      <c r="CU4" s="56">
        <v>2397613</v>
      </c>
      <c r="CV4" t="s">
        <v>173</v>
      </c>
      <c r="CW4" t="s">
        <v>174</v>
      </c>
      <c r="CX4">
        <v>500</v>
      </c>
    </row>
    <row r="5" spans="1:102" x14ac:dyDescent="0.25">
      <c r="A5" t="s">
        <v>167</v>
      </c>
      <c r="B5" s="54">
        <v>45202</v>
      </c>
      <c r="C5" t="s">
        <v>181</v>
      </c>
      <c r="D5" t="s">
        <v>182</v>
      </c>
      <c r="E5" t="s">
        <v>170</v>
      </c>
      <c r="J5" t="s">
        <v>171</v>
      </c>
      <c r="L5">
        <v>88.8</v>
      </c>
      <c r="P5">
        <v>0</v>
      </c>
      <c r="T5">
        <v>0</v>
      </c>
      <c r="V5" t="s">
        <v>107</v>
      </c>
      <c r="W5">
        <v>104.45</v>
      </c>
      <c r="X5">
        <v>52</v>
      </c>
      <c r="Y5">
        <v>5431.4</v>
      </c>
      <c r="Z5" t="s">
        <v>18</v>
      </c>
      <c r="AA5">
        <v>122.4</v>
      </c>
      <c r="AB5">
        <v>3</v>
      </c>
      <c r="AC5">
        <v>367.2</v>
      </c>
      <c r="AD5" t="s">
        <v>97</v>
      </c>
      <c r="AE5">
        <v>95.5</v>
      </c>
      <c r="AF5">
        <v>27</v>
      </c>
      <c r="AG5">
        <v>2578.5</v>
      </c>
      <c r="AH5" t="s">
        <v>120</v>
      </c>
      <c r="AI5">
        <v>86.62</v>
      </c>
      <c r="AJ5">
        <v>289</v>
      </c>
      <c r="AK5">
        <v>25033.18</v>
      </c>
      <c r="AL5" t="s">
        <v>100</v>
      </c>
      <c r="AM5">
        <v>94.5</v>
      </c>
      <c r="AN5">
        <v>104</v>
      </c>
      <c r="AO5">
        <v>9828</v>
      </c>
      <c r="AR5">
        <v>0</v>
      </c>
      <c r="AV5">
        <v>0</v>
      </c>
      <c r="AZ5">
        <v>0</v>
      </c>
      <c r="BD5">
        <v>0</v>
      </c>
      <c r="BH5">
        <v>0</v>
      </c>
      <c r="BL5">
        <v>19</v>
      </c>
      <c r="BP5">
        <v>0</v>
      </c>
      <c r="BT5">
        <v>0</v>
      </c>
      <c r="BX5">
        <v>0</v>
      </c>
      <c r="BZ5">
        <v>4610.79</v>
      </c>
      <c r="CA5">
        <v>47849.07</v>
      </c>
      <c r="CH5">
        <v>47849.07</v>
      </c>
      <c r="CM5">
        <v>47849.07</v>
      </c>
      <c r="CO5">
        <v>47849.07</v>
      </c>
      <c r="CP5" s="55">
        <v>0.18</v>
      </c>
      <c r="CQ5">
        <v>8612.83</v>
      </c>
      <c r="CR5">
        <v>56461.9</v>
      </c>
      <c r="CS5">
        <v>40</v>
      </c>
      <c r="CT5" t="s">
        <v>172</v>
      </c>
      <c r="CU5" s="56">
        <v>2258476</v>
      </c>
      <c r="CV5" t="s">
        <v>183</v>
      </c>
      <c r="CW5" t="s">
        <v>184</v>
      </c>
      <c r="CX5">
        <v>500</v>
      </c>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7"/>
  <sheetViews>
    <sheetView tabSelected="1" topLeftCell="A16" workbookViewId="0">
      <selection activeCell="K19" sqref="K19"/>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hidden="1" customWidth="1"/>
    <col min="15" max="15" width="7.85546875" style="30" customWidth="1"/>
    <col min="16" max="34" width="7.85546875" style="30" hidden="1" customWidth="1"/>
    <col min="35" max="35" width="7.85546875" style="30" customWidth="1"/>
    <col min="36" max="36" width="7.85546875" style="30" hidden="1" customWidth="1"/>
    <col min="37" max="37" width="7.85546875" style="30" customWidth="1"/>
    <col min="38" max="38" width="7.85546875" style="30" hidden="1" customWidth="1"/>
    <col min="39" max="39" width="7.85546875" style="30" customWidth="1"/>
    <col min="40" max="52" width="7.85546875" style="30" hidden="1" customWidth="1"/>
    <col min="53" max="53" width="7.85546875" style="30" customWidth="1"/>
    <col min="54" max="57" width="7.85546875" style="30" hidden="1" customWidth="1"/>
    <col min="58" max="58" width="7.85546875" style="30" customWidth="1"/>
    <col min="59" max="73" width="7.85546875" style="30" hidden="1" customWidth="1"/>
    <col min="74" max="75" width="7.85546875" style="30" customWidth="1"/>
    <col min="76"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90" s="44" customFormat="1" ht="15.75" thickBot="1" x14ac:dyDescent="0.3"/>
    <row r="2" spans="1:90" s="44" customFormat="1" ht="23.25" thickBot="1" x14ac:dyDescent="0.5">
      <c r="A2" s="146" t="s">
        <v>139</v>
      </c>
      <c r="B2" s="147"/>
      <c r="C2" s="147"/>
      <c r="D2" s="147"/>
      <c r="E2" s="147"/>
      <c r="F2" s="147"/>
      <c r="G2" s="147"/>
      <c r="H2" s="147"/>
      <c r="I2" s="147"/>
      <c r="J2" s="147"/>
      <c r="K2" s="147"/>
      <c r="L2" s="147"/>
      <c r="M2" s="147"/>
      <c r="N2" s="147"/>
      <c r="O2" s="147"/>
      <c r="P2" s="147"/>
      <c r="Q2" s="147"/>
      <c r="R2" s="148"/>
      <c r="S2" s="47"/>
      <c r="T2" s="47"/>
    </row>
    <row r="3" spans="1:90" s="44" customFormat="1" ht="15.75" thickBot="1" x14ac:dyDescent="0.3">
      <c r="A3"/>
      <c r="B3"/>
      <c r="C3"/>
      <c r="D3"/>
      <c r="E3"/>
      <c r="F3"/>
      <c r="G3"/>
      <c r="H3"/>
      <c r="I3"/>
      <c r="J3"/>
      <c r="K3"/>
      <c r="L3"/>
      <c r="M3"/>
      <c r="N3"/>
      <c r="O3"/>
      <c r="P3"/>
      <c r="Q3"/>
      <c r="R3"/>
      <c r="S3"/>
    </row>
    <row r="4" spans="1:90" s="44" customFormat="1" ht="51.75" customHeight="1" thickBot="1" x14ac:dyDescent="0.3">
      <c r="A4" s="45" t="s">
        <v>125</v>
      </c>
      <c r="B4" s="142" t="s">
        <v>140</v>
      </c>
      <c r="C4" s="142"/>
      <c r="D4" s="142"/>
      <c r="E4" s="142"/>
      <c r="F4" s="142"/>
      <c r="G4" s="142"/>
      <c r="H4" s="142"/>
      <c r="I4" s="142"/>
      <c r="J4" s="142"/>
      <c r="K4" s="142"/>
      <c r="L4" s="142"/>
      <c r="M4" s="142"/>
      <c r="N4" s="142"/>
      <c r="O4" s="142"/>
      <c r="P4" s="142"/>
      <c r="Q4" s="142"/>
      <c r="R4" s="142"/>
      <c r="S4"/>
    </row>
    <row r="5" spans="1:90" s="44" customFormat="1" ht="75.75" customHeight="1" x14ac:dyDescent="0.25">
      <c r="A5" s="45" t="s">
        <v>126</v>
      </c>
      <c r="B5" s="141" t="s">
        <v>141</v>
      </c>
      <c r="C5" s="142"/>
      <c r="D5" s="142"/>
      <c r="E5" s="142"/>
      <c r="F5" s="142"/>
      <c r="G5" s="142"/>
      <c r="H5" s="142"/>
      <c r="I5" s="142"/>
      <c r="J5" s="142"/>
      <c r="K5" s="142"/>
      <c r="L5" s="142"/>
      <c r="M5" s="142"/>
      <c r="N5" s="142"/>
      <c r="O5" s="142"/>
      <c r="P5" s="142"/>
      <c r="Q5" s="142"/>
      <c r="R5" s="142"/>
      <c r="S5"/>
    </row>
    <row r="6" spans="1:90" s="44" customFormat="1" ht="48" customHeight="1" x14ac:dyDescent="0.25">
      <c r="A6" s="46" t="s">
        <v>127</v>
      </c>
      <c r="B6" s="141" t="s">
        <v>145</v>
      </c>
      <c r="C6" s="142"/>
      <c r="D6" s="142"/>
      <c r="E6" s="142"/>
      <c r="F6" s="142"/>
      <c r="G6" s="142"/>
      <c r="H6" s="142"/>
      <c r="I6" s="142"/>
      <c r="J6" s="142"/>
      <c r="K6" s="142"/>
      <c r="L6" s="142"/>
      <c r="M6" s="142"/>
      <c r="N6" s="142"/>
      <c r="O6" s="142"/>
      <c r="P6" s="142"/>
      <c r="Q6" s="142"/>
      <c r="R6" s="142"/>
      <c r="S6"/>
    </row>
    <row r="7" spans="1:90" s="44" customFormat="1" ht="30" x14ac:dyDescent="0.25">
      <c r="A7" s="46" t="s">
        <v>124</v>
      </c>
      <c r="B7" s="141" t="s">
        <v>144</v>
      </c>
      <c r="C7" s="142"/>
      <c r="D7" s="142"/>
      <c r="E7" s="142"/>
      <c r="F7" s="142"/>
      <c r="G7" s="142"/>
      <c r="H7" s="142"/>
      <c r="I7" s="142"/>
      <c r="J7" s="142"/>
      <c r="K7" s="142"/>
      <c r="L7" s="142"/>
      <c r="M7" s="142"/>
      <c r="N7" s="142"/>
      <c r="O7" s="142"/>
      <c r="P7" s="142"/>
      <c r="Q7" s="142"/>
      <c r="R7" s="142"/>
      <c r="S7"/>
    </row>
    <row r="8" spans="1:90" s="44" customFormat="1" ht="57.75" customHeight="1" x14ac:dyDescent="0.25">
      <c r="A8" s="46" t="s">
        <v>128</v>
      </c>
      <c r="B8" s="141" t="s">
        <v>138</v>
      </c>
      <c r="C8" s="141"/>
      <c r="D8" s="141"/>
      <c r="E8" s="141"/>
      <c r="F8" s="141"/>
      <c r="G8" s="141"/>
      <c r="H8" s="141"/>
      <c r="I8" s="141"/>
      <c r="J8" s="141"/>
      <c r="K8" s="141"/>
      <c r="L8" s="141"/>
      <c r="M8" s="141"/>
      <c r="N8" s="141"/>
      <c r="O8" s="141"/>
      <c r="P8" s="141"/>
      <c r="Q8" s="141"/>
      <c r="R8" s="141"/>
      <c r="S8"/>
    </row>
    <row r="9" spans="1:90" s="44" customFormat="1" ht="27" customHeight="1" x14ac:dyDescent="0.25">
      <c r="A9" s="46" t="s">
        <v>129</v>
      </c>
      <c r="B9" s="143" t="s">
        <v>142</v>
      </c>
      <c r="C9" s="144"/>
      <c r="D9" s="144"/>
      <c r="E9" s="144"/>
      <c r="F9" s="144"/>
      <c r="G9" s="144"/>
      <c r="H9" s="144"/>
      <c r="I9" s="144"/>
      <c r="J9" s="144"/>
      <c r="K9" s="144"/>
      <c r="L9" s="144"/>
      <c r="M9" s="144"/>
      <c r="N9" s="144"/>
      <c r="O9" s="144"/>
      <c r="P9" s="144"/>
      <c r="Q9" s="144"/>
      <c r="R9" s="145"/>
    </row>
    <row r="10" spans="1:90" s="44" customFormat="1" ht="68.25" customHeight="1" x14ac:dyDescent="0.25">
      <c r="A10" s="46" t="s">
        <v>130</v>
      </c>
      <c r="B10" s="151" t="s">
        <v>143</v>
      </c>
      <c r="C10" s="152"/>
      <c r="D10" s="152"/>
      <c r="E10" s="152"/>
      <c r="F10" s="152"/>
      <c r="G10" s="152"/>
      <c r="H10" s="152"/>
      <c r="I10" s="152"/>
      <c r="J10" s="152"/>
      <c r="K10" s="152"/>
      <c r="L10" s="152"/>
      <c r="M10" s="152"/>
      <c r="N10" s="152"/>
      <c r="O10" s="152"/>
      <c r="P10" s="152"/>
      <c r="Q10" s="152"/>
      <c r="R10" s="153"/>
      <c r="S10"/>
    </row>
    <row r="11" spans="1:90" s="44" customFormat="1" ht="30" x14ac:dyDescent="0.25">
      <c r="A11" s="49" t="s">
        <v>131</v>
      </c>
      <c r="B11" s="154" t="s">
        <v>147</v>
      </c>
      <c r="C11" s="154"/>
      <c r="D11" s="154"/>
      <c r="E11" s="154"/>
      <c r="F11" s="154"/>
      <c r="G11" s="154"/>
      <c r="H11" s="154"/>
      <c r="I11" s="154"/>
      <c r="J11" s="154"/>
      <c r="K11" s="154"/>
      <c r="L11" s="154"/>
      <c r="M11" s="154"/>
      <c r="N11" s="154"/>
      <c r="O11" s="154"/>
      <c r="P11" s="154"/>
      <c r="Q11" s="154"/>
      <c r="R11" s="154"/>
    </row>
    <row r="12" spans="1:90" s="44" customFormat="1" ht="34.5" customHeight="1" x14ac:dyDescent="0.25">
      <c r="A12" s="49" t="s">
        <v>132</v>
      </c>
      <c r="B12" s="154" t="s">
        <v>146</v>
      </c>
      <c r="C12" s="154"/>
      <c r="D12" s="154"/>
      <c r="E12" s="154"/>
      <c r="F12" s="154"/>
      <c r="G12" s="154"/>
      <c r="H12" s="154"/>
      <c r="I12" s="154"/>
      <c r="J12" s="154"/>
      <c r="K12" s="154"/>
      <c r="L12" s="154"/>
      <c r="M12" s="154"/>
      <c r="N12" s="154"/>
      <c r="O12" s="154"/>
      <c r="P12" s="154"/>
      <c r="Q12" s="154"/>
      <c r="R12" s="154"/>
    </row>
    <row r="13" spans="1:90" s="44" customFormat="1" ht="30" x14ac:dyDescent="0.25">
      <c r="A13" s="50" t="s">
        <v>133</v>
      </c>
      <c r="B13" s="154"/>
      <c r="C13" s="154"/>
      <c r="D13" s="154"/>
      <c r="E13" s="154"/>
      <c r="F13" s="154"/>
      <c r="G13" s="154"/>
      <c r="H13" s="154"/>
      <c r="I13" s="154"/>
      <c r="J13" s="154"/>
      <c r="K13" s="154"/>
      <c r="L13" s="154"/>
      <c r="M13" s="154"/>
      <c r="N13" s="154"/>
      <c r="O13" s="154"/>
      <c r="P13" s="154"/>
      <c r="Q13" s="154"/>
      <c r="R13" s="154"/>
    </row>
    <row r="15" spans="1:90" s="37" customFormat="1" ht="28.9" customHeight="1" x14ac:dyDescent="0.25">
      <c r="E15" s="42"/>
      <c r="H15" s="43"/>
      <c r="N15" s="140" t="str">
        <f>Sheet1!J1</f>
        <v>Conductor</v>
      </c>
      <c r="O15" s="140"/>
      <c r="P15" s="140"/>
      <c r="Q15" s="140"/>
      <c r="R15" s="140"/>
      <c r="S15" s="140" t="s">
        <v>9</v>
      </c>
      <c r="T15" s="140"/>
      <c r="U15" s="140" t="s">
        <v>3</v>
      </c>
      <c r="V15" s="140"/>
      <c r="W15" s="140"/>
      <c r="X15" s="140"/>
      <c r="Y15" s="140"/>
      <c r="Z15" s="140"/>
      <c r="AA15" s="140"/>
      <c r="AB15" s="140"/>
      <c r="AC15" s="140" t="s">
        <v>12</v>
      </c>
      <c r="AD15" s="140"/>
      <c r="AE15" s="140" t="s">
        <v>15</v>
      </c>
      <c r="AF15" s="140"/>
      <c r="AG15" s="140"/>
      <c r="AH15" s="140"/>
      <c r="AI15" s="140"/>
      <c r="AJ15" s="140"/>
      <c r="AK15" s="10" t="s">
        <v>18</v>
      </c>
      <c r="AL15" s="149" t="s">
        <v>21</v>
      </c>
      <c r="AM15" s="150"/>
      <c r="AN15" s="150"/>
      <c r="AO15" s="150"/>
      <c r="AP15" s="150"/>
      <c r="AQ15" s="150"/>
      <c r="AR15" s="150"/>
      <c r="AS15" s="140" t="s">
        <v>24</v>
      </c>
      <c r="AT15" s="140"/>
      <c r="AU15" s="140"/>
      <c r="AV15" s="140"/>
      <c r="AW15" s="140"/>
      <c r="AX15" s="140"/>
      <c r="AY15" s="140"/>
      <c r="AZ15" s="140"/>
      <c r="BA15" s="140"/>
      <c r="BB15" s="140"/>
      <c r="BC15" s="140" t="s">
        <v>27</v>
      </c>
      <c r="BD15" s="140"/>
      <c r="BE15" s="140"/>
      <c r="BF15" s="140"/>
      <c r="BG15" s="140"/>
      <c r="BH15" s="140"/>
      <c r="BI15" s="140"/>
      <c r="BJ15" s="140"/>
      <c r="BK15" s="140"/>
      <c r="BL15" s="140"/>
      <c r="BM15" s="38" t="s">
        <v>30</v>
      </c>
      <c r="BN15" s="10" t="s">
        <v>33</v>
      </c>
      <c r="BO15" s="10" t="s">
        <v>36</v>
      </c>
      <c r="BP15" s="10" t="s">
        <v>39</v>
      </c>
      <c r="BQ15" s="10" t="s">
        <v>42</v>
      </c>
      <c r="BR15" s="10" t="s">
        <v>45</v>
      </c>
      <c r="BS15" s="10" t="s">
        <v>48</v>
      </c>
      <c r="BT15" s="10" t="s">
        <v>51</v>
      </c>
      <c r="BU15" s="10" t="s">
        <v>54</v>
      </c>
      <c r="BV15" s="10"/>
      <c r="BW15" s="10"/>
      <c r="BX15" s="10"/>
      <c r="BY15" s="10"/>
      <c r="BZ15" s="39" t="s">
        <v>57</v>
      </c>
      <c r="CA15" s="39" t="s">
        <v>58</v>
      </c>
      <c r="CB15" s="40" t="s">
        <v>79</v>
      </c>
      <c r="CC15" s="39" t="s">
        <v>123</v>
      </c>
      <c r="CD15" s="41"/>
      <c r="CE15" s="42"/>
      <c r="CF15" s="43"/>
      <c r="CG15" s="42"/>
      <c r="CH15" s="42"/>
      <c r="CI15" s="43"/>
      <c r="CK15" s="43"/>
    </row>
    <row r="16" spans="1:90" s="19" customFormat="1" ht="89.25" x14ac:dyDescent="0.25">
      <c r="A16" s="22" t="s">
        <v>0</v>
      </c>
      <c r="B16" s="22" t="str">
        <f>Sheet1!B1</f>
        <v>Base Date</v>
      </c>
      <c r="C16" s="22" t="s">
        <v>1</v>
      </c>
      <c r="D16" s="22" t="s">
        <v>2</v>
      </c>
      <c r="E16" s="5" t="s">
        <v>70</v>
      </c>
      <c r="F16" s="15" t="s">
        <v>71</v>
      </c>
      <c r="G16" s="15" t="s">
        <v>72</v>
      </c>
      <c r="H16" s="6" t="s">
        <v>73</v>
      </c>
      <c r="I16" s="15" t="s">
        <v>74</v>
      </c>
      <c r="J16" s="15" t="s">
        <v>75</v>
      </c>
      <c r="K16" s="15" t="s">
        <v>76</v>
      </c>
      <c r="L16" s="15" t="s">
        <v>77</v>
      </c>
      <c r="M16" s="15" t="s">
        <v>78</v>
      </c>
      <c r="N16" s="23" t="s">
        <v>80</v>
      </c>
      <c r="O16" s="23" t="s">
        <v>171</v>
      </c>
      <c r="P16" s="23" t="s">
        <v>82</v>
      </c>
      <c r="Q16" s="23" t="s">
        <v>83</v>
      </c>
      <c r="R16" s="23" t="s">
        <v>84</v>
      </c>
      <c r="S16" s="23" t="s">
        <v>80</v>
      </c>
      <c r="T16" s="23" t="s">
        <v>85</v>
      </c>
      <c r="U16" s="24" t="s">
        <v>92</v>
      </c>
      <c r="V16" s="24" t="s">
        <v>96</v>
      </c>
      <c r="W16" s="24" t="s">
        <v>99</v>
      </c>
      <c r="X16" s="24" t="s">
        <v>104</v>
      </c>
      <c r="Y16" s="24" t="s">
        <v>108</v>
      </c>
      <c r="Z16" s="24" t="s">
        <v>112</v>
      </c>
      <c r="AA16" s="24" t="s">
        <v>115</v>
      </c>
      <c r="AB16" s="24" t="s">
        <v>117</v>
      </c>
      <c r="AC16" s="24" t="s">
        <v>91</v>
      </c>
      <c r="AD16" s="24" t="s">
        <v>95</v>
      </c>
      <c r="AE16" s="24" t="s">
        <v>90</v>
      </c>
      <c r="AF16" s="24" t="s">
        <v>86</v>
      </c>
      <c r="AG16" s="24" t="s">
        <v>98</v>
      </c>
      <c r="AH16" s="24" t="s">
        <v>103</v>
      </c>
      <c r="AI16" s="24" t="s">
        <v>107</v>
      </c>
      <c r="AJ16" s="24" t="s">
        <v>111</v>
      </c>
      <c r="AK16" s="20" t="s">
        <v>18</v>
      </c>
      <c r="AL16" s="24" t="s">
        <v>93</v>
      </c>
      <c r="AM16" s="24" t="s">
        <v>97</v>
      </c>
      <c r="AN16" s="24" t="s">
        <v>100</v>
      </c>
      <c r="AO16" s="24" t="s">
        <v>105</v>
      </c>
      <c r="AP16" s="24" t="s">
        <v>109</v>
      </c>
      <c r="AQ16" s="24" t="s">
        <v>87</v>
      </c>
      <c r="AR16" s="24" t="s">
        <v>116</v>
      </c>
      <c r="AS16" s="24" t="s">
        <v>94</v>
      </c>
      <c r="AT16" s="24" t="s">
        <v>81</v>
      </c>
      <c r="AU16" s="24" t="s">
        <v>101</v>
      </c>
      <c r="AV16" s="24" t="s">
        <v>106</v>
      </c>
      <c r="AW16" s="24" t="s">
        <v>113</v>
      </c>
      <c r="AX16" s="24" t="s">
        <v>88</v>
      </c>
      <c r="AY16" s="24" t="s">
        <v>118</v>
      </c>
      <c r="AZ16" s="24" t="s">
        <v>119</v>
      </c>
      <c r="BA16" s="24" t="s">
        <v>120</v>
      </c>
      <c r="BB16" s="24" t="s">
        <v>122</v>
      </c>
      <c r="BC16" s="24" t="s">
        <v>93</v>
      </c>
      <c r="BD16" s="24" t="s">
        <v>97</v>
      </c>
      <c r="BE16" s="24" t="s">
        <v>102</v>
      </c>
      <c r="BF16" s="24" t="s">
        <v>100</v>
      </c>
      <c r="BG16" s="24" t="s">
        <v>110</v>
      </c>
      <c r="BH16" s="24" t="s">
        <v>114</v>
      </c>
      <c r="BI16" s="24" t="s">
        <v>105</v>
      </c>
      <c r="BJ16" s="24" t="s">
        <v>87</v>
      </c>
      <c r="BK16" s="24" t="s">
        <v>116</v>
      </c>
      <c r="BL16" s="24" t="s">
        <v>121</v>
      </c>
      <c r="BM16" s="20" t="s">
        <v>30</v>
      </c>
      <c r="BN16" s="20" t="s">
        <v>89</v>
      </c>
      <c r="BO16" s="21" t="s">
        <v>36</v>
      </c>
      <c r="BP16" s="25" t="s">
        <v>39</v>
      </c>
      <c r="BQ16" s="21" t="s">
        <v>42</v>
      </c>
      <c r="BR16" s="21" t="s">
        <v>45</v>
      </c>
      <c r="BS16" s="21" t="s">
        <v>48</v>
      </c>
      <c r="BT16" s="25" t="s">
        <v>51</v>
      </c>
      <c r="BU16" s="21" t="s">
        <v>54</v>
      </c>
      <c r="BV16" s="21" t="str">
        <f>Sheet1!E1</f>
        <v>PROPOSE DRUM TYPE</v>
      </c>
      <c r="BW16" s="53" t="str">
        <f>Sheet1!CV1</f>
        <v>DRUM CODE</v>
      </c>
      <c r="BX16" s="53" t="str">
        <f>Sheet1!CW1</f>
        <v>DRUM SIZE (FxbXtx Ft)</v>
      </c>
      <c r="BY16" s="57" t="str">
        <f>Sheet1!CX1</f>
        <v xml:space="preserve">PARTY STANDARD LENGTH (MTR) </v>
      </c>
      <c r="BZ16" s="29"/>
      <c r="CA16" s="29"/>
      <c r="CB16" s="26"/>
      <c r="CC16" s="29"/>
      <c r="CD16" s="13" t="s">
        <v>61</v>
      </c>
      <c r="CE16" s="5" t="s">
        <v>62</v>
      </c>
      <c r="CF16" s="6" t="s">
        <v>63</v>
      </c>
      <c r="CG16" s="5" t="s">
        <v>64</v>
      </c>
      <c r="CH16" s="5" t="s">
        <v>65</v>
      </c>
      <c r="CI16" s="6" t="s">
        <v>66</v>
      </c>
      <c r="CJ16" s="15" t="s">
        <v>67</v>
      </c>
      <c r="CK16" s="6" t="s">
        <v>68</v>
      </c>
      <c r="CL16" s="15" t="s">
        <v>69</v>
      </c>
    </row>
    <row r="17" spans="1:90" s="29" customFormat="1" x14ac:dyDescent="0.25">
      <c r="A17" s="31"/>
      <c r="B17" s="31"/>
      <c r="C17" s="31"/>
      <c r="D17" s="31"/>
      <c r="E17" s="5"/>
      <c r="F17" s="5"/>
      <c r="G17" s="5"/>
      <c r="H17" s="5"/>
      <c r="I17" s="5"/>
      <c r="J17" s="5"/>
      <c r="K17" s="5"/>
      <c r="L17" s="5"/>
      <c r="M17" s="5"/>
      <c r="N17" s="32">
        <f>+IFERROR(VLOOKUP($N$16,Sheet1!J:L,2,0),0)</f>
        <v>0</v>
      </c>
      <c r="O17" s="32">
        <f>715+100</f>
        <v>815</v>
      </c>
      <c r="P17" s="32">
        <f>+IFERROR(VLOOKUP($P$16,Sheet1!J:M,2,0),0)</f>
        <v>0</v>
      </c>
      <c r="Q17" s="32">
        <f>+IFERROR(VLOOKUP($Q$16,Sheet1!J:M,2,0),0)</f>
        <v>0</v>
      </c>
      <c r="R17" s="32">
        <f>+IFERROR(VLOOKUP($R$16,Sheet1!J:M,2,0),0)</f>
        <v>0</v>
      </c>
      <c r="S17" s="32">
        <f>+IFERROR(VLOOKUP($S$16,Sheet1!N:Q,2,0),0)</f>
        <v>0</v>
      </c>
      <c r="T17" s="32">
        <f>+IFERROR(VLOOKUP($T$16,Sheet1!N:O,2,0),0)</f>
        <v>0</v>
      </c>
      <c r="U17" s="33">
        <f>+IFERROR(VLOOKUP($U$16,Sheet1!F:I,2,0),0)</f>
        <v>0</v>
      </c>
      <c r="V17" s="33">
        <f>+IFERROR(VLOOKUP($V$16,Sheet1!F:I,2,0),0)</f>
        <v>0</v>
      </c>
      <c r="W17" s="33">
        <f>+IFERROR(VLOOKUP($W$16,Sheet1!F:I,2,0),0)</f>
        <v>0</v>
      </c>
      <c r="X17" s="33">
        <f>+IFERROR(VLOOKUP($X$16,Sheet1!F:I,2,0),0)</f>
        <v>0</v>
      </c>
      <c r="Y17" s="33">
        <f>+IFERROR(VLOOKUP($Y$16,Sheet1!F:I,2,0),0)</f>
        <v>0</v>
      </c>
      <c r="Z17" s="33">
        <f>+IFERROR(VLOOKUP($Z$16,Sheet1!F:I,2,0),0)</f>
        <v>0</v>
      </c>
      <c r="AA17" s="33">
        <f>+IFERROR(VLOOKUP($AA$16,Sheet1!F:I,2,0),0)</f>
        <v>0</v>
      </c>
      <c r="AB17" s="33">
        <f>+IFERROR(VLOOKUP($AB$16,Sheet1!F:I,2,0),0)</f>
        <v>0</v>
      </c>
      <c r="AC17" s="33">
        <f>+IFERROR(VLOOKUP($AC$16,Sheet1!R:U,2,0),0)</f>
        <v>0</v>
      </c>
      <c r="AD17" s="33">
        <f>+IFERROR(VLOOKUP($AD$16,Sheet1!R:U,2,0),0)</f>
        <v>0</v>
      </c>
      <c r="AE17" s="33">
        <f>+IFERROR(VLOOKUP($AE$16,Sheet1!V:Y,2,0),0)</f>
        <v>0</v>
      </c>
      <c r="AF17" s="33">
        <f>+IFERROR(VLOOKUP($AF$16,Sheet1!V:Y,2,0),0)</f>
        <v>0</v>
      </c>
      <c r="AG17" s="33">
        <f>+IFERROR(VLOOKUP($AG$16,Sheet1!V:Y,2,0),0)</f>
        <v>0</v>
      </c>
      <c r="AH17" s="33">
        <f>+IFERROR(VLOOKUP($AH$16,Sheet1!V:Y,2,0),0)</f>
        <v>0</v>
      </c>
      <c r="AI17" s="33">
        <v>104</v>
      </c>
      <c r="AJ17" s="33">
        <f>+IFERROR(VLOOKUP($AJ$16,Sheet1!V:Y,2,0),0)</f>
        <v>0</v>
      </c>
      <c r="AK17" s="34">
        <v>122</v>
      </c>
      <c r="AL17" s="33">
        <f>+IFERROR(VLOOKUP($AL$16,Sheet1!AD2:AG840,2,0),0)</f>
        <v>0</v>
      </c>
      <c r="AM17" s="33">
        <v>95</v>
      </c>
      <c r="AN17" s="33">
        <f>+IFERROR(VLOOKUP($AN$16,Sheet1!AD2:AG840,2,0),0)</f>
        <v>0</v>
      </c>
      <c r="AO17" s="33">
        <f>+IFERROR(VLOOKUP($AO$16,Sheet1!AD2:AG840,2,0),0)</f>
        <v>0</v>
      </c>
      <c r="AP17" s="33">
        <f>+IFERROR(VLOOKUP($AP$16,Sheet1!AD2:AG840,2,0),0)</f>
        <v>0</v>
      </c>
      <c r="AQ17" s="33">
        <f>+IFERROR(VLOOKUP($AQ$16,Sheet1!AD2:AG840,2,0),0)</f>
        <v>0</v>
      </c>
      <c r="AR17" s="33">
        <f>+IFERROR(VLOOKUP($AR$16,Sheet1!AD2:AG840,2,0),0)</f>
        <v>0</v>
      </c>
      <c r="AS17" s="33">
        <f>+IFERROR(VLOOKUP($AS$16,Sheet1!AH2:AK840,2,0),0)</f>
        <v>0</v>
      </c>
      <c r="AT17" s="33">
        <f>+IFERROR(VLOOKUP($AT$16,Sheet1!AH2:AK840,2,0),0)</f>
        <v>0</v>
      </c>
      <c r="AU17" s="33">
        <f>+IFERROR(VLOOKUP($AU$16,Sheet1!AH2:AK840,2,0),0)</f>
        <v>0</v>
      </c>
      <c r="AV17" s="33">
        <f>+IFERROR(VLOOKUP($AV$16,Sheet1!AH2:AK840,2,0),0)</f>
        <v>0</v>
      </c>
      <c r="AW17" s="33">
        <f>+IFERROR(VLOOKUP($AW$16,Sheet1!AH2:AK840,2,0),0)</f>
        <v>0</v>
      </c>
      <c r="AX17" s="33">
        <f>+IFERROR(VLOOKUP($AX$16,Sheet1!AH2:AK840,2,0),0)</f>
        <v>0</v>
      </c>
      <c r="AY17" s="33">
        <f>+IFERROR(VLOOKUP($AY$16,Sheet1!AH2:AK840,2,0),0)</f>
        <v>0</v>
      </c>
      <c r="AZ17" s="33">
        <f>+IFERROR(VLOOKUP($AZ$16,Sheet1!AH2:AK840,2,0),0)</f>
        <v>0</v>
      </c>
      <c r="BA17" s="33">
        <v>89</v>
      </c>
      <c r="BB17" s="33">
        <f>+IFERROR(VLOOKUP($BB$16,Sheet1!AH2:AK840,2,0),0)</f>
        <v>0</v>
      </c>
      <c r="BC17" s="33">
        <f>+IFERROR(VLOOKUP($BC$16,Sheet1!AL2:AO840,2,0),0)</f>
        <v>0</v>
      </c>
      <c r="BD17" s="33">
        <f>+IFERROR(VLOOKUP($BD$16,Sheet1!AL2:AO840,2,0),0)</f>
        <v>0</v>
      </c>
      <c r="BE17" s="33">
        <f>+IFERROR(VLOOKUP($BE$16,Sheet1!AL2:AO840,2,0),0)</f>
        <v>0</v>
      </c>
      <c r="BF17" s="33">
        <v>94</v>
      </c>
      <c r="BG17" s="33">
        <f>+IFERROR(VLOOKUP($BG$16,Sheet1!AL2:AO840,2,0),0)</f>
        <v>0</v>
      </c>
      <c r="BH17" s="33">
        <f>+IFERROR(VLOOKUP($BH$16,Sheet1!AL2:AO840,2,0),0)</f>
        <v>0</v>
      </c>
      <c r="BI17" s="33">
        <f>+IFERROR(VLOOKUP($BI$16,Sheet1!AL2:AO840,2,0),0)</f>
        <v>0</v>
      </c>
      <c r="BJ17" s="33">
        <f>+IFERROR(VLOOKUP($BJ$16,Sheet1!AL2:AO840,2,0),0)</f>
        <v>0</v>
      </c>
      <c r="BK17" s="33">
        <f>+IFERROR(VLOOKUP($BK$16,Sheet1!AL2:AO840,2,0),0)</f>
        <v>0</v>
      </c>
      <c r="BL17" s="33">
        <f>+IFERROR(VLOOKUP($BL$16,Sheet1!AL2:AO840,2,0),0)</f>
        <v>0</v>
      </c>
      <c r="BM17" s="34">
        <f>+IFERROR(VLOOKUP($BM$16,Sheet1!AP2:AS840,2,0),0)</f>
        <v>0</v>
      </c>
      <c r="BN17" s="34">
        <f>+IFERROR(VLOOKUP($BN$16,Sheet1!AT2:AW840,2,0),0)</f>
        <v>0</v>
      </c>
      <c r="BO17" s="35">
        <f>+IFERROR(VLOOKUP($BO$16,Sheet1!AX2:BA840,2,0),0)</f>
        <v>0</v>
      </c>
      <c r="BP17" s="36">
        <f>+IFERROR(VLOOKUP($BP$16,Sheet1!BB2:BE840,2,0),0)</f>
        <v>0</v>
      </c>
      <c r="BQ17" s="35">
        <f>+IFERROR(VLOOKUP($BQ$16,Sheet1!BF2:BI840,2,0),0)</f>
        <v>0</v>
      </c>
      <c r="BR17" s="35">
        <f>+IFERROR(VLOOKUP($BR$16,Sheet1!BJ2:BM840,2,0),0)</f>
        <v>0</v>
      </c>
      <c r="BS17" s="35">
        <f>+IFERROR(VLOOKUP($BS$16,Sheet1!BN2:BQ840,2,0),0)</f>
        <v>0</v>
      </c>
      <c r="BT17" s="36">
        <f>+IFERROR(VLOOKUP($BT$16,Sheet1!BR2:BU840,2,0),0)</f>
        <v>0</v>
      </c>
      <c r="BU17" s="35">
        <f>+IFERROR(VLOOKUP($BU$16,Sheet1!BV2:BY840,2,0),0)</f>
        <v>0</v>
      </c>
      <c r="BV17" s="52"/>
      <c r="BW17" s="52"/>
      <c r="BX17" s="52"/>
      <c r="BY17" s="52"/>
      <c r="CD17" s="5"/>
      <c r="CE17" s="5"/>
      <c r="CF17" s="5"/>
      <c r="CG17" s="5"/>
      <c r="CH17" s="5"/>
      <c r="CI17" s="5"/>
      <c r="CJ17" s="5"/>
      <c r="CK17" s="5"/>
      <c r="CL17" s="5"/>
    </row>
    <row r="18" spans="1:90" ht="30" x14ac:dyDescent="0.25">
      <c r="A18" s="1" t="str">
        <f>Sheet1!A3</f>
        <v>ENQ-11487-22-23</v>
      </c>
      <c r="B18" s="51">
        <v>45215</v>
      </c>
      <c r="C18" s="1" t="str">
        <f>Sheet1!C3</f>
        <v>FA0200008</v>
      </c>
      <c r="D18" s="1" t="str">
        <f>Sheet1!D3</f>
        <v>2 CORE X 2.5 SQ. MM. CU/ARD - WIRE (PVC)</v>
      </c>
      <c r="E18" s="3">
        <f>CH18+CJ18+CL18</f>
        <v>89109.51191999999</v>
      </c>
      <c r="F18" s="63">
        <f>ROUNDUP(M24,0)</f>
        <v>2425</v>
      </c>
      <c r="G18" s="9">
        <f>E18+F18</f>
        <v>91534.51191999999</v>
      </c>
      <c r="H18" s="7">
        <f>Sheet1!CP3</f>
        <v>0.18</v>
      </c>
      <c r="I18" s="9">
        <f>G18*H18</f>
        <v>16476.212145599999</v>
      </c>
      <c r="J18" s="9">
        <f>G18+I18</f>
        <v>108010.72406559999</v>
      </c>
      <c r="K18" s="1">
        <v>33</v>
      </c>
      <c r="L18" s="1" t="str">
        <f>Sheet1!CT3</f>
        <v>KMS</v>
      </c>
      <c r="M18" s="3">
        <f>J18*K18</f>
        <v>3564353.8941647997</v>
      </c>
      <c r="N18" s="2">
        <f>+IFERROR(VLOOKUP($N$16,Sheet1!J3:L3,3,0),0)</f>
        <v>0</v>
      </c>
      <c r="O18" s="2">
        <f>+IFERROR(VLOOKUP($O$16,Sheet1!J3:L3,3,0),0)</f>
        <v>44.4</v>
      </c>
      <c r="P18" s="2">
        <f>+IFERROR(VLOOKUP($P$16,Sheet1!J3:M3,3,0),0)</f>
        <v>0</v>
      </c>
      <c r="Q18" s="2">
        <f>+IFERROR(VLOOKUP($Q$16,Sheet1!J3:M3,3,0),0)</f>
        <v>0</v>
      </c>
      <c r="R18" s="2">
        <f>+IFERROR(VLOOKUP($R$16,Sheet1!J3:M3,3,0),0)</f>
        <v>0</v>
      </c>
      <c r="S18" s="2">
        <f>+IFERROR(VLOOKUP($S$16,Sheet1!N3:Q3,3,0),0)</f>
        <v>0</v>
      </c>
      <c r="T18" s="2">
        <f>+IFERROR(VLOOKUP($T$16,Sheet1!N3:Q3,3,0),0)</f>
        <v>0</v>
      </c>
      <c r="U18" s="2">
        <f>+IFERROR(VLOOKUP($U$16,Sheet1!F3:I3,3,0),0)</f>
        <v>0</v>
      </c>
      <c r="V18" s="2">
        <f>+IFERROR(VLOOKUP($V$16,Sheet1!F3:I3,3,0),0)</f>
        <v>0</v>
      </c>
      <c r="W18" s="2">
        <f>+IFERROR(VLOOKUP($W$16,Sheet1!F3:I3,3,0),0)</f>
        <v>0</v>
      </c>
      <c r="X18" s="2">
        <f>+IFERROR(VLOOKUP($X$16,Sheet1!F3:I3,3,0),0)</f>
        <v>0</v>
      </c>
      <c r="Y18" s="2">
        <f>+IFERROR(VLOOKUP($Y$16,Sheet1!F3:I3,3,0),0)</f>
        <v>0</v>
      </c>
      <c r="Z18" s="2">
        <f>+IFERROR(VLOOKUP($Z$16,Sheet1!F3:I3,3,0),0)</f>
        <v>0</v>
      </c>
      <c r="AA18" s="2">
        <f>+IFERROR(VLOOKUP($AA$16,Sheet1!F3:I3,3,0),0)</f>
        <v>0</v>
      </c>
      <c r="AB18" s="2">
        <f>+IFERROR(VLOOKUP($AB$16,Sheet1!F3:I3,3,0),0)</f>
        <v>0</v>
      </c>
      <c r="AC18" s="2">
        <f>+IFERROR(VLOOKUP($AC$16,Sheet1!R3:U3,3,0),0)</f>
        <v>0</v>
      </c>
      <c r="AD18" s="15">
        <f>+IFERROR(VLOOKUP($AD$16,Sheet1!R3:U3,2,0),0)</f>
        <v>0</v>
      </c>
      <c r="AE18" s="2">
        <f>+IFERROR(VLOOKUP($AE$16,Sheet1!V3:Y3,3,0),0)</f>
        <v>0</v>
      </c>
      <c r="AF18" s="15">
        <f>+IFERROR(VLOOKUP($AF$16,Sheet1!V3:Y3,3,0),0)</f>
        <v>0</v>
      </c>
      <c r="AG18" s="15">
        <f>+IFERROR(VLOOKUP($AG$16,Sheet1!V3:Y3,3,0),0)</f>
        <v>0</v>
      </c>
      <c r="AH18" s="15">
        <f>+IFERROR(VLOOKUP($AH$16,Sheet1!V3:Y3,3,0),0)</f>
        <v>0</v>
      </c>
      <c r="AI18" s="15">
        <f>+IFERROR(VLOOKUP($AI$16,Sheet1!V3:Y3,3,0),0)</f>
        <v>26</v>
      </c>
      <c r="AJ18" s="15">
        <f>+IFERROR(VLOOKUP($AJ$16,Sheet1!V3:Y3,3,0),0)</f>
        <v>0</v>
      </c>
      <c r="AK18" s="15">
        <f>+IFERROR(VLOOKUP($AK$16,Sheet1!Z3:AB3,3,0),0)</f>
        <v>3</v>
      </c>
      <c r="AL18" s="15">
        <f>+IFERROR(VLOOKUP($AL$16,Sheet1!AD3:AG3,3,0),0)</f>
        <v>0</v>
      </c>
      <c r="AM18" s="15">
        <f>+IFERROR(VLOOKUP($AM$16,Sheet1!AD3:AG3,3,0),0)</f>
        <v>39</v>
      </c>
      <c r="AN18" s="15">
        <f>+IFERROR(VLOOKUP($AN$16,Sheet1!AD3:AG3,3,0),0)</f>
        <v>0</v>
      </c>
      <c r="AO18" s="15">
        <f>+IFERROR(VLOOKUP($AO$16,Sheet1!AD3:AG3,3,0),0)</f>
        <v>0</v>
      </c>
      <c r="AP18" s="15">
        <f>+IFERROR(VLOOKUP($AP$16,Sheet1!AD3:AG3,3,0),0)</f>
        <v>0</v>
      </c>
      <c r="AQ18" s="15">
        <f>+IFERROR(VLOOKUP($AQ$16,Sheet1!AD3:AG3,3,0),0)</f>
        <v>0</v>
      </c>
      <c r="AR18" s="15">
        <f>+IFERROR(VLOOKUP($AR$16,Sheet1!AD3:AG3,3,0),0)</f>
        <v>0</v>
      </c>
      <c r="AS18" s="15">
        <f>+IFERROR(VLOOKUP($AS$16,Sheet1!AH3:AK3,3,0),0)</f>
        <v>0</v>
      </c>
      <c r="AT18" s="15">
        <f>+IFERROR(VLOOKUP($AT$16,Sheet1!AH3:AK3,3,0),0)</f>
        <v>0</v>
      </c>
      <c r="AU18" s="15">
        <f>+IFERROR(VLOOKUP($AU$16,Sheet1!AH3:AK3,3,0),0)</f>
        <v>0</v>
      </c>
      <c r="AV18" s="15">
        <f>+IFERROR(VLOOKUP($AV$16,Sheet1!AH3:AK3,3,0),0)</f>
        <v>0</v>
      </c>
      <c r="AW18" s="15">
        <f>+IFERROR(VLOOKUP($AW$16,Sheet1!AH3:AK3,3,0),0)</f>
        <v>0</v>
      </c>
      <c r="AX18" s="15">
        <f>+IFERROR(VLOOKUP($AX$16,Sheet1!AH3:AK3,3,0),0)</f>
        <v>0</v>
      </c>
      <c r="AY18" s="15">
        <f>+IFERROR(VLOOKUP($AY$16,Sheet1!AH3:AK3,3,0),0)</f>
        <v>0</v>
      </c>
      <c r="AZ18" s="15">
        <f>+IFERROR(VLOOKUP($AZ$16,Sheet1!AH3:AK3,3,0),0)</f>
        <v>0</v>
      </c>
      <c r="BA18" s="15">
        <f>+IFERROR(VLOOKUP($BA$16,Sheet1!AH3:AK3,3,0),0)</f>
        <v>251</v>
      </c>
      <c r="BB18" s="15">
        <f>+IFERROR(VLOOKUP($BB$16,Sheet1!AH3:AK3,3,0),0)</f>
        <v>0</v>
      </c>
      <c r="BC18" s="15">
        <f>+IFERROR(VLOOKUP($BC$16,Sheet1!AL3:AO3,3,0),0)</f>
        <v>0</v>
      </c>
      <c r="BD18" s="15">
        <f>+IFERROR(VLOOKUP($BD$16,Sheet1!AL3:AO3,3,0),0)</f>
        <v>0</v>
      </c>
      <c r="BE18" s="15">
        <f>+IFERROR(VLOOKUP($BE$16,Sheet1!AL3:AO3,3,0),0)</f>
        <v>0</v>
      </c>
      <c r="BF18" s="15">
        <f>+IFERROR(VLOOKUP($BF$16,Sheet1!AL3:AO3,3,0),0)</f>
        <v>93</v>
      </c>
      <c r="BG18" s="15">
        <f>+IFERROR(VLOOKUP($BG$16,Sheet1!AL3:AO3,3,0),0)</f>
        <v>0</v>
      </c>
      <c r="BH18" s="15">
        <f>+IFERROR(VLOOKUP($BH$16,Sheet1!AL3:AO3,3,0),0)</f>
        <v>0</v>
      </c>
      <c r="BI18" s="15">
        <f>+IFERROR(VLOOKUP($BI$16,Sheet1!AL3:AO3,3,0),0)</f>
        <v>0</v>
      </c>
      <c r="BJ18" s="15">
        <f>+IFERROR(VLOOKUP($BJ$16,Sheet1!AL3:AO3,3,0),0)</f>
        <v>0</v>
      </c>
      <c r="BK18" s="15">
        <f>+IFERROR(VLOOKUP($BK$16,Sheet1!AL3:AO3,3,0),0)</f>
        <v>0</v>
      </c>
      <c r="BL18" s="15">
        <f>+IFERROR(VLOOKUP($BL$16,Sheet1!AL3:AO3,3,0),0)</f>
        <v>0</v>
      </c>
      <c r="BM18" s="15">
        <f>+IFERROR(VLOOKUP($BM$16,Sheet1!AP3:AS3,3,0),0)</f>
        <v>0</v>
      </c>
      <c r="BN18" s="15">
        <f>+IFERROR(VLOOKUP($BN$16,Sheet1!AT3:AW3,3,0),0)</f>
        <v>0</v>
      </c>
      <c r="BO18" s="15">
        <f>+IFERROR(VLOOKUP($BO$16,Sheet1!AX3:BA3,3,0),0)</f>
        <v>0</v>
      </c>
      <c r="BP18" s="15">
        <f>+IFERROR(VLOOKUP($BP$16,Sheet1!BB3:BE3,3,0),0)</f>
        <v>0</v>
      </c>
      <c r="BQ18" s="15">
        <f>+IFERROR(VLOOKUP($BQ$16,Sheet1!BF3:BI3,3,0),0)</f>
        <v>0</v>
      </c>
      <c r="BR18" s="15">
        <f>+IFERROR(VLOOKUP($BR$16,Sheet1!BJ3:BM3,3,0),0)</f>
        <v>0</v>
      </c>
      <c r="BS18" s="15">
        <f>+IFERROR(VLOOKUP($BS$16,Sheet1!BN3:BQ3,3,0),0)</f>
        <v>0</v>
      </c>
      <c r="BT18" s="15">
        <f>+IFERROR(VLOOKUP($BT$16,Sheet1!BR3:BU3,3,0),0)</f>
        <v>0</v>
      </c>
      <c r="BU18" s="15">
        <f>+IFERROR(VLOOKUP($BU$16,Sheet1!BV3:BY3,3,0),0)</f>
        <v>0</v>
      </c>
      <c r="BV18" s="15" t="str">
        <f>Sheet1!E3</f>
        <v>WOOD</v>
      </c>
      <c r="BW18" s="15" t="str">
        <f>Sheet1!CV3</f>
        <v>MD0100003</v>
      </c>
      <c r="BX18" s="15" t="str">
        <f>Sheet1!CW3</f>
        <v>DRUM - 28 X 14 X 23 X 2</v>
      </c>
      <c r="BY18" s="15">
        <f>Sheet1!CX3</f>
        <v>500</v>
      </c>
      <c r="BZ18" s="3">
        <f>Sheet1!BZ3</f>
        <v>3850.93</v>
      </c>
      <c r="CA18" s="3">
        <f>SUMPRODUCT($N$17:$BU$17,N18:BU18)+BZ18</f>
        <v>77892.929999999993</v>
      </c>
      <c r="CB18" s="27">
        <f>Sheet1!CB3</f>
        <v>0</v>
      </c>
      <c r="CC18" s="3">
        <f>CA18*CB18</f>
        <v>0</v>
      </c>
      <c r="CD18" s="48">
        <v>0.1</v>
      </c>
      <c r="CE18" s="3">
        <f>CA18*CD18</f>
        <v>7789.2929999999997</v>
      </c>
      <c r="CF18" s="48">
        <v>0</v>
      </c>
      <c r="CG18" s="3">
        <f>CA18*CF18</f>
        <v>0</v>
      </c>
      <c r="CH18" s="3">
        <f>CA18+CC18+CE18+CG18</f>
        <v>85682.222999999998</v>
      </c>
      <c r="CI18" s="48">
        <v>0.02</v>
      </c>
      <c r="CJ18" s="1">
        <f>CH18*CI18</f>
        <v>1713.64446</v>
      </c>
      <c r="CK18" s="48">
        <v>0.02</v>
      </c>
      <c r="CL18" s="1">
        <f>CH18*CK18</f>
        <v>1713.64446</v>
      </c>
    </row>
    <row r="19" spans="1:90" ht="30" x14ac:dyDescent="0.25">
      <c r="A19" s="1" t="str">
        <f>Sheet1!A5</f>
        <v>ENQ-11487-22-23</v>
      </c>
      <c r="B19" s="51">
        <v>45215</v>
      </c>
      <c r="C19" s="1" t="str">
        <f>Sheet1!C5</f>
        <v>FA0200011</v>
      </c>
      <c r="D19" s="1" t="str">
        <f>Sheet1!D5</f>
        <v>4 CORE X 2.5 SQ. MM. CU/ARD - WIRE (PVC)</v>
      </c>
      <c r="E19" s="3">
        <f>CH19+CJ19+CL19</f>
        <v>138216.69575999997</v>
      </c>
      <c r="F19" s="63">
        <f t="shared" ref="F19:F21" si="0">ROUNDUP(M25,0)</f>
        <v>2000</v>
      </c>
      <c r="G19" s="9">
        <f>E19+F19</f>
        <v>140216.69575999997</v>
      </c>
      <c r="H19" s="7">
        <f>Sheet1!CP5</f>
        <v>0.18</v>
      </c>
      <c r="I19" s="9">
        <f>G19*H19</f>
        <v>25239.005236799996</v>
      </c>
      <c r="J19" s="9">
        <f>G19+I19</f>
        <v>165455.70099679998</v>
      </c>
      <c r="K19" s="1">
        <f>Sheet1!CS5</f>
        <v>40</v>
      </c>
      <c r="L19" s="1" t="str">
        <f>Sheet1!CT5</f>
        <v>KMS</v>
      </c>
      <c r="M19" s="3">
        <f>J19*K19</f>
        <v>6618228.0398719991</v>
      </c>
      <c r="N19" s="2">
        <f>+IFERROR(VLOOKUP($N$16,Sheet1!J5:L5,3,0),0)</f>
        <v>0</v>
      </c>
      <c r="O19" s="2">
        <f>+IFERROR(VLOOKUP($O$16,Sheet1!J5:L5,3,0),0)</f>
        <v>88.8</v>
      </c>
      <c r="P19" s="2">
        <f>+IFERROR(VLOOKUP($P$16,Sheet1!J5:M5,3,0),0)</f>
        <v>0</v>
      </c>
      <c r="Q19" s="2">
        <f>+IFERROR(VLOOKUP($Q$16,Sheet1!J5:M5,3,0),0)</f>
        <v>0</v>
      </c>
      <c r="R19" s="2">
        <f>+IFERROR(VLOOKUP($R$16,Sheet1!J5:M5,3,0),0)</f>
        <v>0</v>
      </c>
      <c r="S19" s="2">
        <f>+IFERROR(VLOOKUP($S$16,Sheet1!N5:Q5,3,0),0)</f>
        <v>0</v>
      </c>
      <c r="T19" s="2">
        <f>+IFERROR(VLOOKUP($T$16,Sheet1!N5:Q5,3,0),0)</f>
        <v>0</v>
      </c>
      <c r="U19" s="2">
        <f>+IFERROR(VLOOKUP($U$16,Sheet1!F5:I5,3,0),0)</f>
        <v>0</v>
      </c>
      <c r="V19" s="2">
        <f>+IFERROR(VLOOKUP($V$16,Sheet1!F5:I5,3,0),0)</f>
        <v>0</v>
      </c>
      <c r="W19" s="2">
        <f>+IFERROR(VLOOKUP($W$16,Sheet1!F5:I5,3,0),0)</f>
        <v>0</v>
      </c>
      <c r="X19" s="2">
        <f>+IFERROR(VLOOKUP($X$16,Sheet1!F5:I5,3,0),0)</f>
        <v>0</v>
      </c>
      <c r="Y19" s="2">
        <f>+IFERROR(VLOOKUP($Y$16,Sheet1!F5:I5,3,0),0)</f>
        <v>0</v>
      </c>
      <c r="Z19" s="2">
        <f>+IFERROR(VLOOKUP($Z$16,Sheet1!F5:I5,3,0),0)</f>
        <v>0</v>
      </c>
      <c r="AA19" s="2">
        <f>+IFERROR(VLOOKUP($AA$16,Sheet1!F5:I5,3,0),0)</f>
        <v>0</v>
      </c>
      <c r="AB19" s="2">
        <f>+IFERROR(VLOOKUP($AB$16,Sheet1!F5:I5,3,0),0)</f>
        <v>0</v>
      </c>
      <c r="AC19" s="2">
        <f>+IFERROR(VLOOKUP($AC$16,Sheet1!R5:U5,3,0),0)</f>
        <v>0</v>
      </c>
      <c r="AD19" s="15">
        <f>+IFERROR(VLOOKUP($AD$16,Sheet1!R5:U5,2,0),0)</f>
        <v>0</v>
      </c>
      <c r="AE19" s="2">
        <f>+IFERROR(VLOOKUP($AE$16,Sheet1!V5:Y5,3,0),0)</f>
        <v>0</v>
      </c>
      <c r="AF19" s="15">
        <f>+IFERROR(VLOOKUP($AF$16,Sheet1!V5:Y5,3,0),0)</f>
        <v>0</v>
      </c>
      <c r="AG19" s="15">
        <f>+IFERROR(VLOOKUP($AG$16,Sheet1!V5:Y5,3,0),0)</f>
        <v>0</v>
      </c>
      <c r="AH19" s="15">
        <f>+IFERROR(VLOOKUP($AH$16,Sheet1!V5:Y5,3,0),0)</f>
        <v>0</v>
      </c>
      <c r="AI19" s="15">
        <f>+IFERROR(VLOOKUP($AI$16,Sheet1!V5:Y5,3,0),0)</f>
        <v>52</v>
      </c>
      <c r="AJ19" s="15">
        <f>+IFERROR(VLOOKUP($AJ$16,Sheet1!V5:Y5,3,0),0)</f>
        <v>0</v>
      </c>
      <c r="AK19" s="15">
        <f>+IFERROR(VLOOKUP($AK$16,Sheet1!Z5:AB5,3,0),0)</f>
        <v>3</v>
      </c>
      <c r="AL19" s="15">
        <f>+IFERROR(VLOOKUP($AL$16,Sheet1!AD5:AG5,3,0),0)</f>
        <v>0</v>
      </c>
      <c r="AM19" s="15">
        <f>+IFERROR(VLOOKUP($AM$16,Sheet1!AD5:AG5,3,0),0)</f>
        <v>27</v>
      </c>
      <c r="AN19" s="15">
        <f>+IFERROR(VLOOKUP($AN$16,Sheet1!AD5:AG5,3,0),0)</f>
        <v>0</v>
      </c>
      <c r="AO19" s="15">
        <f>+IFERROR(VLOOKUP($AO$16,Sheet1!AD5:AG5,3,0),0)</f>
        <v>0</v>
      </c>
      <c r="AP19" s="15">
        <f>+IFERROR(VLOOKUP($AP$16,Sheet1!AD5:AG5,3,0),0)</f>
        <v>0</v>
      </c>
      <c r="AQ19" s="15">
        <f>+IFERROR(VLOOKUP($AQ$16,Sheet1!AD5:AG5,3,0),0)</f>
        <v>0</v>
      </c>
      <c r="AR19" s="15">
        <f>+IFERROR(VLOOKUP($AR$16,Sheet1!AD5:AG5,3,0),0)</f>
        <v>0</v>
      </c>
      <c r="AS19" s="15">
        <f>+IFERROR(VLOOKUP($AS$16,Sheet1!AH5:AK5,3,0),0)</f>
        <v>0</v>
      </c>
      <c r="AT19" s="15">
        <f>+IFERROR(VLOOKUP($AT$16,Sheet1!AH5:AK5,3,0),0)</f>
        <v>0</v>
      </c>
      <c r="AU19" s="15">
        <f>+IFERROR(VLOOKUP($AU$16,Sheet1!AH5:AK5,3,0),0)</f>
        <v>0</v>
      </c>
      <c r="AV19" s="15">
        <f>+IFERROR(VLOOKUP($AV$16,Sheet1!AH5:AK5,3,0),0)</f>
        <v>0</v>
      </c>
      <c r="AW19" s="15">
        <f>+IFERROR(VLOOKUP($AW$16,Sheet1!AH5:AK5,3,0),0)</f>
        <v>0</v>
      </c>
      <c r="AX19" s="15">
        <f>+IFERROR(VLOOKUP($AX$16,Sheet1!AH5:AK5,3,0),0)</f>
        <v>0</v>
      </c>
      <c r="AY19" s="15">
        <f>+IFERROR(VLOOKUP($AY$16,Sheet1!AH5:AK5,3,0),0)</f>
        <v>0</v>
      </c>
      <c r="AZ19" s="15">
        <f>+IFERROR(VLOOKUP($AZ$16,Sheet1!AH5:AK5,3,0),0)</f>
        <v>0</v>
      </c>
      <c r="BA19" s="15">
        <f>+IFERROR(VLOOKUP($BA$16,Sheet1!AH5:AK5,3,0),0)</f>
        <v>289</v>
      </c>
      <c r="BB19" s="15">
        <f>+IFERROR(VLOOKUP($BB$16,Sheet1!AH5:AK5,3,0),0)</f>
        <v>0</v>
      </c>
      <c r="BC19" s="15">
        <f>+IFERROR(VLOOKUP($BC$16,Sheet1!AL5:AO5,3,0),0)</f>
        <v>0</v>
      </c>
      <c r="BD19" s="15">
        <f>+IFERROR(VLOOKUP($BD$16,Sheet1!AL5:AO5,3,0),0)</f>
        <v>0</v>
      </c>
      <c r="BE19" s="15">
        <f>+IFERROR(VLOOKUP($BE$16,Sheet1!AL5:AO5,3,0),0)</f>
        <v>0</v>
      </c>
      <c r="BF19" s="15">
        <f>+IFERROR(VLOOKUP($BF$16,Sheet1!AL5:AO5,3,0),0)</f>
        <v>104</v>
      </c>
      <c r="BG19" s="15">
        <f>+IFERROR(VLOOKUP($BG$16,Sheet1!AL5:AO5,3,0),0)</f>
        <v>0</v>
      </c>
      <c r="BH19" s="15">
        <f>+IFERROR(VLOOKUP($BH$16,Sheet1!AL5:AO5,3,0),0)</f>
        <v>0</v>
      </c>
      <c r="BI19" s="15">
        <f>+IFERROR(VLOOKUP($BI$16,Sheet1!AL5:AO5,3,0),0)</f>
        <v>0</v>
      </c>
      <c r="BJ19" s="15">
        <f>+IFERROR(VLOOKUP($BJ$16,Sheet1!AL5:AO5,3,0),0)</f>
        <v>0</v>
      </c>
      <c r="BK19" s="15">
        <f>+IFERROR(VLOOKUP($BK$16,Sheet1!AL5:AO5,3,0),0)</f>
        <v>0</v>
      </c>
      <c r="BL19" s="15">
        <f>+IFERROR(VLOOKUP($BL$16,Sheet1!AL5:AO5,3,0),0)</f>
        <v>0</v>
      </c>
      <c r="BM19" s="15">
        <f>+IFERROR(VLOOKUP($BM$16,Sheet1!AP5:AS5,3,0),0)</f>
        <v>0</v>
      </c>
      <c r="BN19" s="15">
        <f>+IFERROR(VLOOKUP($BN$16,Sheet1!AT5:AW5,3,0),0)</f>
        <v>0</v>
      </c>
      <c r="BO19" s="15">
        <f>+IFERROR(VLOOKUP($BO$16,Sheet1!AX5:BA5,3,0),0)</f>
        <v>0</v>
      </c>
      <c r="BP19" s="15">
        <f>+IFERROR(VLOOKUP($BP$16,Sheet1!BB5:BE5,3,0),0)</f>
        <v>0</v>
      </c>
      <c r="BQ19" s="15">
        <f>+IFERROR(VLOOKUP($BQ$16,Sheet1!BF5:BI5,3,0),0)</f>
        <v>0</v>
      </c>
      <c r="BR19" s="15">
        <f>+IFERROR(VLOOKUP($BR$16,Sheet1!BJ5:BM5,3,0),0)</f>
        <v>0</v>
      </c>
      <c r="BS19" s="15">
        <f>+IFERROR(VLOOKUP($BS$16,Sheet1!BN5:BQ5,3,0),0)</f>
        <v>0</v>
      </c>
      <c r="BT19" s="15">
        <f>+IFERROR(VLOOKUP($BT$16,Sheet1!BR5:BU5,3,0),0)</f>
        <v>0</v>
      </c>
      <c r="BU19" s="15">
        <f>+IFERROR(VLOOKUP($BU$16,Sheet1!BV5:BY5,3,0),0)</f>
        <v>0</v>
      </c>
      <c r="BV19" s="15" t="str">
        <f>Sheet1!E5</f>
        <v>WOOD</v>
      </c>
      <c r="BW19" s="15" t="str">
        <f>Sheet1!CV5</f>
        <v>MD0100005</v>
      </c>
      <c r="BX19" s="15" t="str">
        <f>Sheet1!CW5</f>
        <v>DRUM - 36 X 14 X 23 X 2</v>
      </c>
      <c r="BY19" s="15">
        <f>Sheet1!CX5</f>
        <v>500</v>
      </c>
      <c r="BZ19" s="3">
        <f>Sheet1!BZ5</f>
        <v>4610.79</v>
      </c>
      <c r="CA19" s="3">
        <f>SUMPRODUCT($N$17:$BU$17,N19:BU19)+BZ19</f>
        <v>120818.79</v>
      </c>
      <c r="CB19" s="27">
        <f>Sheet1!CB5</f>
        <v>0</v>
      </c>
      <c r="CC19" s="3">
        <f>CA19*CB19</f>
        <v>0</v>
      </c>
      <c r="CD19" s="48">
        <v>0.1</v>
      </c>
      <c r="CE19" s="3">
        <f>CA19*CD19</f>
        <v>12081.879000000001</v>
      </c>
      <c r="CF19" s="48">
        <v>0</v>
      </c>
      <c r="CG19" s="3">
        <f>CA19*CF19</f>
        <v>0</v>
      </c>
      <c r="CH19" s="3">
        <f>CA19+CC19+CE19+CG19</f>
        <v>132900.66899999999</v>
      </c>
      <c r="CI19" s="48">
        <v>0.02</v>
      </c>
      <c r="CJ19" s="1">
        <f>CH19*CI19</f>
        <v>2658.0133799999999</v>
      </c>
      <c r="CK19" s="48">
        <v>0.02</v>
      </c>
      <c r="CL19" s="1">
        <f>CH19*CK19</f>
        <v>2658.0133799999999</v>
      </c>
    </row>
    <row r="20" spans="1:90" ht="30" x14ac:dyDescent="0.25">
      <c r="A20" s="1" t="str">
        <f>Sheet1!A4</f>
        <v>ENQ-11487-22-23</v>
      </c>
      <c r="B20" s="51">
        <v>45215</v>
      </c>
      <c r="C20" s="1" t="str">
        <f>Sheet1!C4</f>
        <v>FA0200002</v>
      </c>
      <c r="D20" s="1" t="str">
        <f>Sheet1!D4</f>
        <v>10 CORE X 2.5 SQ. MM. CU/ARD - WIRE (PVC)</v>
      </c>
      <c r="E20" s="3">
        <f>CH20+CJ20+CL20</f>
        <v>301116.22112</v>
      </c>
      <c r="F20" s="63">
        <f t="shared" si="0"/>
        <v>3429</v>
      </c>
      <c r="G20" s="9">
        <f>E20+F20</f>
        <v>304545.22112</v>
      </c>
      <c r="H20" s="7">
        <f>Sheet1!CP4</f>
        <v>0.18</v>
      </c>
      <c r="I20" s="9">
        <f>G20*H20</f>
        <v>54818.139801599995</v>
      </c>
      <c r="J20" s="9">
        <f>G20+I20</f>
        <v>359363.36092160002</v>
      </c>
      <c r="K20" s="1">
        <v>35</v>
      </c>
      <c r="L20" s="1" t="str">
        <f>Sheet1!CT4</f>
        <v>KMS</v>
      </c>
      <c r="M20" s="3">
        <f>J20*K20</f>
        <v>12577717.632256001</v>
      </c>
      <c r="N20" s="2">
        <f>+IFERROR(VLOOKUP($N$16,Sheet1!J4:L4,3,0),0)</f>
        <v>0</v>
      </c>
      <c r="O20" s="2">
        <f>+IFERROR(VLOOKUP($O$16,Sheet1!J4:L4,3,0),0)</f>
        <v>222</v>
      </c>
      <c r="P20" s="2">
        <f>+IFERROR(VLOOKUP($P$16,Sheet1!J4:M4,3,0),0)</f>
        <v>0</v>
      </c>
      <c r="Q20" s="2">
        <f>+IFERROR(VLOOKUP($Q$16,Sheet1!J4:M4,3,0),0)</f>
        <v>0</v>
      </c>
      <c r="R20" s="2">
        <f>+IFERROR(VLOOKUP($R$16,Sheet1!J4:M4,3,0),0)</f>
        <v>0</v>
      </c>
      <c r="S20" s="2">
        <f>+IFERROR(VLOOKUP($S$16,Sheet1!N4:Q4,3,0),0)</f>
        <v>0</v>
      </c>
      <c r="T20" s="2">
        <f>+IFERROR(VLOOKUP($T$16,Sheet1!N4:Q4,3,0),0)</f>
        <v>0</v>
      </c>
      <c r="U20" s="2">
        <f>+IFERROR(VLOOKUP($U$16,Sheet1!F4:I4,3,0),0)</f>
        <v>0</v>
      </c>
      <c r="V20" s="2">
        <f>+IFERROR(VLOOKUP($V$16,Sheet1!F4:I4,3,0),0)</f>
        <v>0</v>
      </c>
      <c r="W20" s="2">
        <f>+IFERROR(VLOOKUP($W$16,Sheet1!F4:I4,3,0),0)</f>
        <v>0</v>
      </c>
      <c r="X20" s="2">
        <f>+IFERROR(VLOOKUP($X$16,Sheet1!F4:I4,3,0),0)</f>
        <v>0</v>
      </c>
      <c r="Y20" s="2">
        <f>+IFERROR(VLOOKUP($Y$16,Sheet1!F4:I4,3,0),0)</f>
        <v>0</v>
      </c>
      <c r="Z20" s="2">
        <f>+IFERROR(VLOOKUP($Z$16,Sheet1!F4:I4,3,0),0)</f>
        <v>0</v>
      </c>
      <c r="AA20" s="2">
        <f>+IFERROR(VLOOKUP($AA$16,Sheet1!F4:I4,3,0),0)</f>
        <v>0</v>
      </c>
      <c r="AB20" s="2">
        <f>+IFERROR(VLOOKUP($AB$16,Sheet1!F4:I4,3,0),0)</f>
        <v>0</v>
      </c>
      <c r="AC20" s="2">
        <f>+IFERROR(VLOOKUP($AC$16,Sheet1!R4:U4,3,0),0)</f>
        <v>0</v>
      </c>
      <c r="AD20" s="15">
        <f>+IFERROR(VLOOKUP($AD$16,Sheet1!R4:U4,2,0),0)</f>
        <v>0</v>
      </c>
      <c r="AE20" s="2">
        <f>+IFERROR(VLOOKUP($AE$16,Sheet1!V4:Y4,3,0),0)</f>
        <v>0</v>
      </c>
      <c r="AF20" s="15">
        <f>+IFERROR(VLOOKUP($AF$16,Sheet1!V4:Y4,3,0),0)</f>
        <v>0</v>
      </c>
      <c r="AG20" s="15">
        <f>+IFERROR(VLOOKUP($AG$16,Sheet1!V4:Y4,3,0),0)</f>
        <v>0</v>
      </c>
      <c r="AH20" s="15">
        <f>+IFERROR(VLOOKUP($AH$16,Sheet1!V4:Y4,3,0),0)</f>
        <v>0</v>
      </c>
      <c r="AI20" s="15">
        <f>+IFERROR(VLOOKUP($AI$16,Sheet1!V4:Y4,3,0),0)</f>
        <v>130</v>
      </c>
      <c r="AJ20" s="15">
        <f>+IFERROR(VLOOKUP($AJ$16,Sheet1!V4:Y4,3,0),0)</f>
        <v>0</v>
      </c>
      <c r="AK20" s="15">
        <f>+IFERROR(VLOOKUP($AK$16,Sheet1!Z4:AB4,3,0),0)</f>
        <v>5</v>
      </c>
      <c r="AL20" s="15">
        <f>+IFERROR(VLOOKUP($AL$16,Sheet1!AD4:AG4,3,0),0)</f>
        <v>0</v>
      </c>
      <c r="AM20" s="15">
        <f>+IFERROR(VLOOKUP($AM$16,Sheet1!AD4:AG4,3,0),0)</f>
        <v>38</v>
      </c>
      <c r="AN20" s="15">
        <f>+IFERROR(VLOOKUP($AN$16,Sheet1!AD4:AG4,3,0),0)</f>
        <v>0</v>
      </c>
      <c r="AO20" s="15">
        <f>+IFERROR(VLOOKUP($AO$16,Sheet1!AD4:AG4,3,0),0)</f>
        <v>0</v>
      </c>
      <c r="AP20" s="15">
        <f>+IFERROR(VLOOKUP($AP$16,Sheet1!AD4:AG4,3,0),0)</f>
        <v>0</v>
      </c>
      <c r="AQ20" s="15">
        <f>+IFERROR(VLOOKUP($AQ$16,Sheet1!AD4:AG4,3,0),0)</f>
        <v>0</v>
      </c>
      <c r="AR20" s="15">
        <f>+IFERROR(VLOOKUP($AR$16,Sheet1!AD4:AG4,3,0),0)</f>
        <v>0</v>
      </c>
      <c r="AS20" s="15">
        <f>+IFERROR(VLOOKUP($AS$16,Sheet1!AH4:AK4,3,0),0)</f>
        <v>0</v>
      </c>
      <c r="AT20" s="15">
        <f>+IFERROR(VLOOKUP($AT$16,Sheet1!AH4:AK4,3,0),0)</f>
        <v>0</v>
      </c>
      <c r="AU20" s="15">
        <f>+IFERROR(VLOOKUP($AU$16,Sheet1!AH4:AK4,3,0),0)</f>
        <v>0</v>
      </c>
      <c r="AV20" s="15">
        <f>+IFERROR(VLOOKUP($AV$16,Sheet1!AH4:AK4,3,0),0)</f>
        <v>0</v>
      </c>
      <c r="AW20" s="15">
        <f>+IFERROR(VLOOKUP($AW$16,Sheet1!AH4:AK4,3,0),0)</f>
        <v>0</v>
      </c>
      <c r="AX20" s="15">
        <f>+IFERROR(VLOOKUP($AX$16,Sheet1!AH4:AK4,3,0),0)</f>
        <v>0</v>
      </c>
      <c r="AY20" s="15">
        <f>+IFERROR(VLOOKUP($AY$16,Sheet1!AH4:AK4,3,0),0)</f>
        <v>0</v>
      </c>
      <c r="AZ20" s="15">
        <f>+IFERROR(VLOOKUP($AZ$16,Sheet1!AH4:AK4,3,0),0)</f>
        <v>0</v>
      </c>
      <c r="BA20" s="15">
        <f>+IFERROR(VLOOKUP($BA$16,Sheet1!AH4:AK4,3,0),0)</f>
        <v>492</v>
      </c>
      <c r="BB20" s="15">
        <f>+IFERROR(VLOOKUP($BB$16,Sheet1!AH4:AK4,3,0),0)</f>
        <v>0</v>
      </c>
      <c r="BC20" s="15">
        <f>+IFERROR(VLOOKUP($BC$16,Sheet1!AL4:AO4,3,0),0)</f>
        <v>0</v>
      </c>
      <c r="BD20" s="15">
        <f>+IFERROR(VLOOKUP($BD$16,Sheet1!AL4:AO4,3,0),0)</f>
        <v>0</v>
      </c>
      <c r="BE20" s="15">
        <f>+IFERROR(VLOOKUP($BE$16,Sheet1!AL4:AO4,3,0),0)</f>
        <v>0</v>
      </c>
      <c r="BF20" s="15">
        <f>+IFERROR(VLOOKUP($BF$16,Sheet1!AL4:AO4,3,0),0)</f>
        <v>166</v>
      </c>
      <c r="BG20" s="15">
        <f>+IFERROR(VLOOKUP($BG$16,Sheet1!AL4:AO4,3,0),0)</f>
        <v>0</v>
      </c>
      <c r="BH20" s="15">
        <f>+IFERROR(VLOOKUP($BH$16,Sheet1!AL4:AO4,3,0),0)</f>
        <v>0</v>
      </c>
      <c r="BI20" s="15">
        <f>+IFERROR(VLOOKUP($BI$16,Sheet1!AL4:AO4,3,0),0)</f>
        <v>0</v>
      </c>
      <c r="BJ20" s="15">
        <f>+IFERROR(VLOOKUP($BJ$16,Sheet1!AL4:AO4,3,0),0)</f>
        <v>0</v>
      </c>
      <c r="BK20" s="15">
        <f>+IFERROR(VLOOKUP($BK$16,Sheet1!AL4:AO4,3,0),0)</f>
        <v>0</v>
      </c>
      <c r="BL20" s="15">
        <f>+IFERROR(VLOOKUP($BL$16,Sheet1!AL4:AO4,3,0),0)</f>
        <v>0</v>
      </c>
      <c r="BM20" s="15">
        <f>+IFERROR(VLOOKUP($BM$16,Sheet1!AP4:AS4,3,0),0)</f>
        <v>0</v>
      </c>
      <c r="BN20" s="15">
        <f>+IFERROR(VLOOKUP($BN$16,Sheet1!AT4:AW4,3,0),0)</f>
        <v>0</v>
      </c>
      <c r="BO20" s="15">
        <f>+IFERROR(VLOOKUP($BO$16,Sheet1!AX4:BA4,3,0),0)</f>
        <v>0</v>
      </c>
      <c r="BP20" s="15">
        <f>+IFERROR(VLOOKUP($BP$16,Sheet1!BB4:BE4,3,0),0)</f>
        <v>0</v>
      </c>
      <c r="BQ20" s="15">
        <f>+IFERROR(VLOOKUP($BQ$16,Sheet1!BF4:BI4,3,0),0)</f>
        <v>0</v>
      </c>
      <c r="BR20" s="15">
        <f>+IFERROR(VLOOKUP($BR$16,Sheet1!BJ4:BM4,3,0),0)</f>
        <v>0</v>
      </c>
      <c r="BS20" s="15">
        <f>+IFERROR(VLOOKUP($BS$16,Sheet1!BN4:BQ4,3,0),0)</f>
        <v>0</v>
      </c>
      <c r="BT20" s="15">
        <f>+IFERROR(VLOOKUP($BT$16,Sheet1!BR4:BU4,3,0),0)</f>
        <v>0</v>
      </c>
      <c r="BU20" s="15">
        <f>+IFERROR(VLOOKUP($BU$16,Sheet1!BV4:BY4,3,0),0)</f>
        <v>0</v>
      </c>
      <c r="BV20" s="15" t="str">
        <f>Sheet1!E4</f>
        <v>WOOD</v>
      </c>
      <c r="BW20" s="15" t="str">
        <f>Sheet1!CV4</f>
        <v>MD0100066</v>
      </c>
      <c r="BX20" s="15" t="str">
        <f>Sheet1!CW4</f>
        <v>DRUM - 40 X 15 X 23 X 2</v>
      </c>
      <c r="BY20" s="15">
        <f>Sheet1!CX4</f>
        <v>500</v>
      </c>
      <c r="BZ20" s="3">
        <f>Sheet1!BZ4</f>
        <v>5151.4799999999996</v>
      </c>
      <c r="CA20" s="3">
        <f>SUMPRODUCT($N$17:$BU$17,N20:BU20)+BZ20</f>
        <v>263213.48</v>
      </c>
      <c r="CB20" s="27">
        <f>Sheet1!CB4</f>
        <v>0</v>
      </c>
      <c r="CC20" s="3">
        <f>CA20*CB20</f>
        <v>0</v>
      </c>
      <c r="CD20" s="48">
        <v>0.1</v>
      </c>
      <c r="CE20" s="3">
        <f>CA20*CD20</f>
        <v>26321.347999999998</v>
      </c>
      <c r="CF20" s="48">
        <v>0</v>
      </c>
      <c r="CG20" s="3">
        <f>CA20*CF20</f>
        <v>0</v>
      </c>
      <c r="CH20" s="3">
        <f>CA20+CC20+CE20+CG20</f>
        <v>289534.82799999998</v>
      </c>
      <c r="CI20" s="48">
        <v>0.02</v>
      </c>
      <c r="CJ20" s="1">
        <f>CH20*CI20</f>
        <v>5790.6965599999994</v>
      </c>
      <c r="CK20" s="48">
        <v>0.02</v>
      </c>
      <c r="CL20" s="1">
        <f>CH20*CK20</f>
        <v>5790.6965599999994</v>
      </c>
    </row>
    <row r="21" spans="1:90" ht="30" x14ac:dyDescent="0.25">
      <c r="A21" s="1" t="str">
        <f>Sheet1!A2</f>
        <v>ENQ-11487-22-23</v>
      </c>
      <c r="B21" s="51">
        <v>45215</v>
      </c>
      <c r="C21" s="1" t="str">
        <f>Sheet1!C2</f>
        <v>FA0200003</v>
      </c>
      <c r="D21" s="1" t="str">
        <f>Sheet1!D2</f>
        <v>12 CORE X 2.5 SQ. MM. CU/ARD - WIRE (PVC)</v>
      </c>
      <c r="E21" s="3">
        <f>CH21+CJ21+CL21</f>
        <v>348022.50912</v>
      </c>
      <c r="F21" s="63">
        <f t="shared" si="0"/>
        <v>4000</v>
      </c>
      <c r="G21" s="9">
        <f>E21+F21</f>
        <v>352022.50912</v>
      </c>
      <c r="H21" s="7">
        <f>Sheet1!CP2</f>
        <v>0.18</v>
      </c>
      <c r="I21" s="9">
        <f>G21*H21</f>
        <v>63364.051641599995</v>
      </c>
      <c r="J21" s="9">
        <f>G21+I21</f>
        <v>415386.56076159998</v>
      </c>
      <c r="K21" s="1">
        <v>30</v>
      </c>
      <c r="L21" s="1" t="str">
        <f>Sheet1!CT2</f>
        <v>KMS</v>
      </c>
      <c r="M21" s="3">
        <f>J21*K21</f>
        <v>12461596.822848</v>
      </c>
      <c r="N21" s="2">
        <f>+IFERROR(VLOOKUP($N$16,Sheet1!J2:L2,3,0),0)</f>
        <v>0</v>
      </c>
      <c r="O21" s="2">
        <f>+IFERROR(VLOOKUP($O$16,Sheet1!J2:L2,3,0),0)</f>
        <v>266.39999999999998</v>
      </c>
      <c r="P21" s="2">
        <f>+IFERROR(VLOOKUP($P$16,Sheet1!J2:M2,3,0),0)</f>
        <v>0</v>
      </c>
      <c r="Q21" s="2">
        <f>+IFERROR(VLOOKUP($Q$16,Sheet1!J2:M2,3,0),0)</f>
        <v>0</v>
      </c>
      <c r="R21" s="2">
        <f>+IFERROR(VLOOKUP($R$16,Sheet1!J2:M2,3,0),0)</f>
        <v>0</v>
      </c>
      <c r="S21" s="2">
        <f>+IFERROR(VLOOKUP($S$16,Sheet1!N2:Q2,3,0),0)</f>
        <v>0</v>
      </c>
      <c r="T21" s="2">
        <f>+IFERROR(VLOOKUP($T$16,Sheet1!N2:Q2,3,0),0)</f>
        <v>0</v>
      </c>
      <c r="U21" s="2">
        <f>+IFERROR(VLOOKUP($U$16,Sheet1!F2:I2,3,0),0)</f>
        <v>0</v>
      </c>
      <c r="V21" s="2">
        <f>+IFERROR(VLOOKUP($V$16,Sheet1!F2:I2,3,0),0)</f>
        <v>0</v>
      </c>
      <c r="W21" s="2">
        <f>+IFERROR(VLOOKUP($W$16,Sheet1!F2:I2,3,0),0)</f>
        <v>0</v>
      </c>
      <c r="X21" s="2">
        <f>+IFERROR(VLOOKUP($X$16,Sheet1!F2:I2,3,0),0)</f>
        <v>0</v>
      </c>
      <c r="Y21" s="2">
        <f>+IFERROR(VLOOKUP($Y$16,Sheet1!F2:I2,3,0),0)</f>
        <v>0</v>
      </c>
      <c r="Z21" s="2">
        <f>+IFERROR(VLOOKUP($Z$16,Sheet1!F2:I2,3,0),0)</f>
        <v>0</v>
      </c>
      <c r="AA21" s="2">
        <f>+IFERROR(VLOOKUP($AA$16,Sheet1!F2:I2,3,0),0)</f>
        <v>0</v>
      </c>
      <c r="AB21" s="2">
        <f>+IFERROR(VLOOKUP($AB$16,Sheet1!F2:I2,3,0),0)</f>
        <v>0</v>
      </c>
      <c r="AC21" s="2">
        <f>+IFERROR(VLOOKUP($AC$16,Sheet1!R2:U2,3,0),0)</f>
        <v>0</v>
      </c>
      <c r="AD21" s="15">
        <f>+IFERROR(VLOOKUP($AD$16,Sheet1!R2:U2,2,0),0)</f>
        <v>0</v>
      </c>
      <c r="AE21" s="2">
        <f>+IFERROR(VLOOKUP($AE$16,Sheet1!V2:Y2,3,0),0)</f>
        <v>0</v>
      </c>
      <c r="AF21" s="15">
        <f>+IFERROR(VLOOKUP($AF$16,Sheet1!V2:Y2,3,0),0)</f>
        <v>0</v>
      </c>
      <c r="AG21" s="15">
        <f>+IFERROR(VLOOKUP($AG$16,Sheet1!V2:Y2,3,0),0)</f>
        <v>0</v>
      </c>
      <c r="AH21" s="15">
        <f>+IFERROR(VLOOKUP($AH$16,Sheet1!V2:Y2,3,0),0)</f>
        <v>0</v>
      </c>
      <c r="AI21" s="15">
        <f>+IFERROR(VLOOKUP($AI$16,Sheet1!V2:Y2,3,0),0)</f>
        <v>156</v>
      </c>
      <c r="AJ21" s="15">
        <f>+IFERROR(VLOOKUP($AJ$16,Sheet1!V2:Y2,3,0),0)</f>
        <v>0</v>
      </c>
      <c r="AK21" s="15">
        <f>+IFERROR(VLOOKUP($AK$16,Sheet1!Z2:AB2,3,0),0)</f>
        <v>6</v>
      </c>
      <c r="AL21" s="15">
        <f>+IFERROR(VLOOKUP($AL$16,Sheet1!AD2:AG2,3,0),0)</f>
        <v>0</v>
      </c>
      <c r="AM21" s="15">
        <f>+IFERROR(VLOOKUP($AM$16,Sheet1!AD2:AG2,3,0),0)</f>
        <v>40</v>
      </c>
      <c r="AN21" s="15">
        <f>+IFERROR(VLOOKUP($AN$16,Sheet1!AD2:AG2,3,0),0)</f>
        <v>0</v>
      </c>
      <c r="AO21" s="15">
        <f>+IFERROR(VLOOKUP($AO$16,Sheet1!AD2:AG2,3,0),0)</f>
        <v>0</v>
      </c>
      <c r="AP21" s="15">
        <f>+IFERROR(VLOOKUP($AP$16,Sheet1!AD2:AG2,3,0),0)</f>
        <v>0</v>
      </c>
      <c r="AQ21" s="15">
        <f>+IFERROR(VLOOKUP($AQ$16,Sheet1!AD2:AG2,3,0),0)</f>
        <v>0</v>
      </c>
      <c r="AR21" s="15">
        <f>+IFERROR(VLOOKUP($AR$16,Sheet1!AD2:AG2,3,0),0)</f>
        <v>0</v>
      </c>
      <c r="AS21" s="15">
        <f>+IFERROR(VLOOKUP($AS$16,Sheet1!AH2:AK2,3,0),0)</f>
        <v>0</v>
      </c>
      <c r="AT21" s="15">
        <f>+IFERROR(VLOOKUP($AT$16,Sheet1!AH2:AK2,3,0),0)</f>
        <v>0</v>
      </c>
      <c r="AU21" s="15">
        <f>+IFERROR(VLOOKUP($AU$16,Sheet1!AH2:AK2,3,0),0)</f>
        <v>0</v>
      </c>
      <c r="AV21" s="15">
        <f>+IFERROR(VLOOKUP($AV$16,Sheet1!AH2:AK2,3,0),0)</f>
        <v>0</v>
      </c>
      <c r="AW21" s="15">
        <f>+IFERROR(VLOOKUP($AW$16,Sheet1!AH2:AK2,3,0),0)</f>
        <v>0</v>
      </c>
      <c r="AX21" s="15">
        <f>+IFERROR(VLOOKUP($AX$16,Sheet1!AH2:AK2,3,0),0)</f>
        <v>0</v>
      </c>
      <c r="AY21" s="15">
        <f>+IFERROR(VLOOKUP($AY$16,Sheet1!AH2:AK2,3,0),0)</f>
        <v>0</v>
      </c>
      <c r="AZ21" s="15">
        <f>+IFERROR(VLOOKUP($AZ$16,Sheet1!AH2:AK2,3,0),0)</f>
        <v>0</v>
      </c>
      <c r="BA21" s="15">
        <f>+IFERROR(VLOOKUP($BA$16,Sheet1!AH2:AK2,3,0),0)</f>
        <v>508</v>
      </c>
      <c r="BB21" s="15">
        <f>+IFERROR(VLOOKUP($BB$16,Sheet1!AH2:AK2,3,0),0)</f>
        <v>0</v>
      </c>
      <c r="BC21" s="15">
        <f>+IFERROR(VLOOKUP($BC$16,Sheet1!AL2:AO2,3,0),0)</f>
        <v>0</v>
      </c>
      <c r="BD21" s="15">
        <f>+IFERROR(VLOOKUP($BD$16,Sheet1!AL2:AO2,3,0),0)</f>
        <v>0</v>
      </c>
      <c r="BE21" s="15">
        <f>+IFERROR(VLOOKUP($BE$16,Sheet1!AL2:AO2,3,0),0)</f>
        <v>0</v>
      </c>
      <c r="BF21" s="15">
        <f>+IFERROR(VLOOKUP($BF$16,Sheet1!AL2:AO2,3,0),0)</f>
        <v>170</v>
      </c>
      <c r="BG21" s="15">
        <f>+IFERROR(VLOOKUP($BG$16,Sheet1!AL2:AO2,3,0),0)</f>
        <v>0</v>
      </c>
      <c r="BH21" s="15">
        <f>+IFERROR(VLOOKUP($BH$16,Sheet1!AL2:AO2,3,0),0)</f>
        <v>0</v>
      </c>
      <c r="BI21" s="15">
        <f>+IFERROR(VLOOKUP($BI$16,Sheet1!AL2:AO2,3,0),0)</f>
        <v>0</v>
      </c>
      <c r="BJ21" s="15">
        <f>+IFERROR(VLOOKUP($BJ$16,Sheet1!AL2:AO2,3,0),0)</f>
        <v>0</v>
      </c>
      <c r="BK21" s="15">
        <f>+IFERROR(VLOOKUP($BK$16,Sheet1!AL2:AO2,3,0),0)</f>
        <v>0</v>
      </c>
      <c r="BL21" s="15">
        <f>+IFERROR(VLOOKUP($BL$16,Sheet1!AL2:AO2,3,0),0)</f>
        <v>0</v>
      </c>
      <c r="BM21" s="15">
        <f>+IFERROR(VLOOKUP($BM$16,Sheet1!AP2:AS2,3,0),0)</f>
        <v>0</v>
      </c>
      <c r="BN21" s="15">
        <f>+IFERROR(VLOOKUP($BN$16,Sheet1!AT2:AW2,3,0),0)</f>
        <v>0</v>
      </c>
      <c r="BO21" s="15">
        <f>+IFERROR(VLOOKUP($BO$16,Sheet1!AX2:BA2,3,0),0)</f>
        <v>0</v>
      </c>
      <c r="BP21" s="15">
        <f>+IFERROR(VLOOKUP($BP$16,Sheet1!BB2:BE2,3,0),0)</f>
        <v>0</v>
      </c>
      <c r="BQ21" s="15">
        <f>+IFERROR(VLOOKUP($BQ$16,Sheet1!BF2:BI2,3,0),0)</f>
        <v>0</v>
      </c>
      <c r="BR21" s="15">
        <f>+IFERROR(VLOOKUP($BR$16,Sheet1!BJ2:BM2,3,0),0)</f>
        <v>0</v>
      </c>
      <c r="BS21" s="15">
        <f>+IFERROR(VLOOKUP($BS$16,Sheet1!BN2:BQ2,3,0),0)</f>
        <v>0</v>
      </c>
      <c r="BT21" s="15">
        <f>+IFERROR(VLOOKUP($BT$16,Sheet1!BR2:BU2,3,0),0)</f>
        <v>0</v>
      </c>
      <c r="BU21" s="15">
        <f>+IFERROR(VLOOKUP($BU$16,Sheet1!BV2:BY2,3,0),0)</f>
        <v>0</v>
      </c>
      <c r="BV21" s="15" t="str">
        <f>Sheet1!E2</f>
        <v>WOOD</v>
      </c>
      <c r="BW21" s="15" t="str">
        <f>Sheet1!CV2</f>
        <v>MD0100066</v>
      </c>
      <c r="BX21" s="15" t="str">
        <f>Sheet1!CW2</f>
        <v>DRUM - 40 X 15 X 23 X 2</v>
      </c>
      <c r="BY21" s="15">
        <f>Sheet1!CX2</f>
        <v>500</v>
      </c>
      <c r="BZ21" s="3">
        <f>Sheet1!BZ2</f>
        <v>5151.4799999999996</v>
      </c>
      <c r="CA21" s="3">
        <f>SUMPRODUCT($N$17:$BU$17,N21:BU21)+BZ21</f>
        <v>304215.48</v>
      </c>
      <c r="CB21" s="27">
        <f>Sheet1!CB2</f>
        <v>0</v>
      </c>
      <c r="CC21" s="3">
        <f>CA21*CB21</f>
        <v>0</v>
      </c>
      <c r="CD21" s="48">
        <v>0.1</v>
      </c>
      <c r="CE21" s="3">
        <f>CA21*CD21</f>
        <v>30421.547999999999</v>
      </c>
      <c r="CF21" s="48">
        <v>0</v>
      </c>
      <c r="CG21" s="3">
        <f>CA21*CF21</f>
        <v>0</v>
      </c>
      <c r="CH21" s="3">
        <f>CA21+CC21+CE21+CG21</f>
        <v>334637.02799999999</v>
      </c>
      <c r="CI21" s="48">
        <v>0.02</v>
      </c>
      <c r="CJ21" s="1">
        <f>CH21*CI21</f>
        <v>6692.7405600000002</v>
      </c>
      <c r="CK21" s="48">
        <v>0.02</v>
      </c>
      <c r="CL21" s="1">
        <f>CH21*CK21</f>
        <v>6692.7405600000002</v>
      </c>
    </row>
    <row r="23" spans="1:90" ht="30" x14ac:dyDescent="0.25">
      <c r="E23" s="2" t="s">
        <v>185</v>
      </c>
      <c r="F23" s="2" t="s">
        <v>186</v>
      </c>
      <c r="G23" s="58" t="s">
        <v>187</v>
      </c>
      <c r="H23" s="2" t="s">
        <v>188</v>
      </c>
      <c r="I23" s="2" t="s">
        <v>189</v>
      </c>
      <c r="J23" s="2" t="s">
        <v>190</v>
      </c>
      <c r="K23" s="2" t="s">
        <v>191</v>
      </c>
      <c r="L23" s="2" t="s">
        <v>192</v>
      </c>
      <c r="M23" s="59" t="s">
        <v>193</v>
      </c>
    </row>
    <row r="24" spans="1:90" ht="30" x14ac:dyDescent="0.25">
      <c r="D24" s="30" t="str">
        <f>D18</f>
        <v>2 CORE X 2.5 SQ. MM. CU/ARD - WIRE (PVC)</v>
      </c>
      <c r="E24" s="58">
        <f>K18</f>
        <v>33</v>
      </c>
      <c r="F24" s="60">
        <v>0.5</v>
      </c>
      <c r="G24" s="58" t="s">
        <v>194</v>
      </c>
      <c r="H24" s="61">
        <v>40000</v>
      </c>
      <c r="I24" s="60">
        <v>56</v>
      </c>
      <c r="J24" s="58">
        <f>F24*I24</f>
        <v>28</v>
      </c>
      <c r="K24" s="58">
        <f>ROUNDUP((E24/J24),0)</f>
        <v>2</v>
      </c>
      <c r="L24" s="58">
        <f>M24*E24</f>
        <v>80000</v>
      </c>
      <c r="M24" s="62">
        <f>(H24*K24)/E24</f>
        <v>2424.242424242424</v>
      </c>
    </row>
    <row r="25" spans="1:90" ht="30" x14ac:dyDescent="0.25">
      <c r="D25" s="30" t="str">
        <f t="shared" ref="D25:D27" si="1">D19</f>
        <v>4 CORE X 2.5 SQ. MM. CU/ARD - WIRE (PVC)</v>
      </c>
      <c r="E25" s="58">
        <f t="shared" ref="E25:E27" si="2">K19</f>
        <v>40</v>
      </c>
      <c r="F25" s="60">
        <v>0.5</v>
      </c>
      <c r="G25" s="58" t="s">
        <v>194</v>
      </c>
      <c r="H25" s="61">
        <v>40000</v>
      </c>
      <c r="I25" s="60">
        <v>46</v>
      </c>
      <c r="J25" s="58">
        <f t="shared" ref="J25:J27" si="3">F25*I25</f>
        <v>23</v>
      </c>
      <c r="K25" s="58">
        <f t="shared" ref="K25:K27" si="4">ROUNDUP((E25/J25),0)</f>
        <v>2</v>
      </c>
      <c r="L25" s="58">
        <f t="shared" ref="L25:L27" si="5">M25*E25</f>
        <v>80000</v>
      </c>
      <c r="M25" s="62">
        <f t="shared" ref="M25:M27" si="6">(H25*K25)/E25</f>
        <v>2000</v>
      </c>
    </row>
    <row r="26" spans="1:90" ht="30" x14ac:dyDescent="0.25">
      <c r="D26" s="30" t="str">
        <f t="shared" si="1"/>
        <v>10 CORE X 2.5 SQ. MM. CU/ARD - WIRE (PVC)</v>
      </c>
      <c r="E26" s="58">
        <f t="shared" si="2"/>
        <v>35</v>
      </c>
      <c r="F26" s="60">
        <v>0.5</v>
      </c>
      <c r="G26" s="58" t="s">
        <v>194</v>
      </c>
      <c r="H26" s="61">
        <v>40000</v>
      </c>
      <c r="I26" s="60">
        <v>27</v>
      </c>
      <c r="J26" s="58">
        <f t="shared" si="3"/>
        <v>13.5</v>
      </c>
      <c r="K26" s="58">
        <f t="shared" si="4"/>
        <v>3</v>
      </c>
      <c r="L26" s="58">
        <f t="shared" si="5"/>
        <v>120000</v>
      </c>
      <c r="M26" s="62">
        <f t="shared" si="6"/>
        <v>3428.5714285714284</v>
      </c>
    </row>
    <row r="27" spans="1:90" ht="30" x14ac:dyDescent="0.25">
      <c r="D27" s="30" t="str">
        <f t="shared" si="1"/>
        <v>12 CORE X 2.5 SQ. MM. CU/ARD - WIRE (PVC)</v>
      </c>
      <c r="E27" s="58">
        <f t="shared" si="2"/>
        <v>30</v>
      </c>
      <c r="F27" s="60">
        <v>0.5</v>
      </c>
      <c r="G27" s="58" t="s">
        <v>194</v>
      </c>
      <c r="H27" s="61">
        <v>40000</v>
      </c>
      <c r="I27" s="60">
        <v>25</v>
      </c>
      <c r="J27" s="58">
        <f t="shared" si="3"/>
        <v>12.5</v>
      </c>
      <c r="K27" s="58">
        <f t="shared" si="4"/>
        <v>3</v>
      </c>
      <c r="L27" s="58">
        <f t="shared" si="5"/>
        <v>120000</v>
      </c>
      <c r="M27" s="62">
        <f t="shared" si="6"/>
        <v>4000</v>
      </c>
    </row>
  </sheetData>
  <mergeCells count="19">
    <mergeCell ref="B7:R7"/>
    <mergeCell ref="B8:R8"/>
    <mergeCell ref="B9:R9"/>
    <mergeCell ref="A2:R2"/>
    <mergeCell ref="AL15:AR15"/>
    <mergeCell ref="B10:R10"/>
    <mergeCell ref="B11:R11"/>
    <mergeCell ref="B12:R12"/>
    <mergeCell ref="B13:R13"/>
    <mergeCell ref="B4:R4"/>
    <mergeCell ref="B5:R5"/>
    <mergeCell ref="B6:R6"/>
    <mergeCell ref="AS15:BB15"/>
    <mergeCell ref="BC15:BL15"/>
    <mergeCell ref="N15:R15"/>
    <mergeCell ref="S15:T15"/>
    <mergeCell ref="U15:AB15"/>
    <mergeCell ref="AC15:AD15"/>
    <mergeCell ref="AE15:AJ15"/>
  </mergeCells>
  <dataValidations count="1">
    <dataValidation type="list" allowBlank="1" showInputMessage="1" showErrorMessage="1" sqref="G24:G27" xr:uid="{00000000-0002-0000-0100-000000000000}">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AI21"/>
  <sheetViews>
    <sheetView showZeros="0" topLeftCell="A4" zoomScaleNormal="100" workbookViewId="0">
      <selection activeCell="B12" sqref="B12"/>
    </sheetView>
  </sheetViews>
  <sheetFormatPr defaultRowHeight="12.75" x14ac:dyDescent="0.2"/>
  <cols>
    <col min="1" max="1" width="54.140625" style="71" bestFit="1" customWidth="1"/>
    <col min="2" max="2" width="8.7109375" style="71" customWidth="1"/>
    <col min="3" max="4" width="12.42578125" style="71" customWidth="1"/>
    <col min="5" max="5" width="11.42578125" style="71" customWidth="1"/>
    <col min="6" max="7" width="9.42578125" style="71" customWidth="1"/>
    <col min="8" max="8" width="10.7109375" style="71" bestFit="1" customWidth="1"/>
    <col min="9" max="11" width="9.140625" style="71" customWidth="1"/>
    <col min="12" max="12" width="8.7109375" style="71" customWidth="1"/>
    <col min="13" max="14" width="7.42578125" style="71" customWidth="1"/>
    <col min="15" max="15" width="10.42578125" style="71" bestFit="1" customWidth="1"/>
    <col min="16" max="16" width="12" style="71" customWidth="1"/>
    <col min="17" max="17" width="12" style="71" bestFit="1" customWidth="1"/>
    <col min="18" max="18" width="11" style="71" customWidth="1"/>
    <col min="19" max="19" width="11" style="71" bestFit="1" customWidth="1"/>
    <col min="20" max="20" width="14.42578125" style="71" bestFit="1" customWidth="1"/>
    <col min="21" max="21" width="7.5703125" style="71" customWidth="1"/>
    <col min="22" max="26" width="9.5703125" style="71" customWidth="1"/>
    <col min="27" max="27" width="10.5703125" style="71" bestFit="1" customWidth="1"/>
    <col min="28" max="28" width="9.5703125" style="71" bestFit="1" customWidth="1"/>
    <col min="29" max="30" width="11.140625" style="71" bestFit="1" customWidth="1"/>
    <col min="31" max="32" width="9.140625" style="71"/>
    <col min="33" max="33" width="8" style="71" customWidth="1"/>
    <col min="34" max="34" width="7.85546875" style="71" customWidth="1"/>
    <col min="35" max="248" width="9.140625" style="71"/>
    <col min="249" max="249" width="54.140625" style="71" bestFit="1" customWidth="1"/>
    <col min="250" max="250" width="14.7109375" style="71" customWidth="1"/>
    <col min="251" max="251" width="10.140625" style="71" customWidth="1"/>
    <col min="252" max="252" width="10.42578125" style="71" bestFit="1" customWidth="1"/>
    <col min="253" max="254" width="9.42578125" style="71" bestFit="1" customWidth="1"/>
    <col min="255" max="256" width="9.42578125" style="71" customWidth="1"/>
    <col min="257" max="257" width="10.140625" style="71" bestFit="1" customWidth="1"/>
    <col min="258" max="261" width="9.140625" style="71"/>
    <col min="262" max="262" width="7.28515625" style="71" customWidth="1"/>
    <col min="263" max="265" width="7.42578125" style="71" customWidth="1"/>
    <col min="266" max="266" width="10.42578125" style="71" bestFit="1" customWidth="1"/>
    <col min="267" max="267" width="12" style="71" bestFit="1" customWidth="1"/>
    <col min="268" max="268" width="11" style="71" bestFit="1" customWidth="1"/>
    <col min="269" max="270" width="11" style="71" customWidth="1"/>
    <col min="271" max="271" width="10" style="71" bestFit="1" customWidth="1"/>
    <col min="272" max="272" width="14.42578125" style="71" bestFit="1" customWidth="1"/>
    <col min="273" max="283" width="0" style="71" hidden="1" customWidth="1"/>
    <col min="284" max="504" width="9.140625" style="71"/>
    <col min="505" max="505" width="54.140625" style="71" bestFit="1" customWidth="1"/>
    <col min="506" max="506" width="14.7109375" style="71" customWidth="1"/>
    <col min="507" max="507" width="10.140625" style="71" customWidth="1"/>
    <col min="508" max="508" width="10.42578125" style="71" bestFit="1" customWidth="1"/>
    <col min="509" max="510" width="9.42578125" style="71" bestFit="1" customWidth="1"/>
    <col min="511" max="512" width="9.42578125" style="71" customWidth="1"/>
    <col min="513" max="513" width="10.140625" style="71" bestFit="1" customWidth="1"/>
    <col min="514" max="517" width="9.140625" style="71"/>
    <col min="518" max="518" width="7.28515625" style="71" customWidth="1"/>
    <col min="519" max="521" width="7.42578125" style="71" customWidth="1"/>
    <col min="522" max="522" width="10.42578125" style="71" bestFit="1" customWidth="1"/>
    <col min="523" max="523" width="12" style="71" bestFit="1" customWidth="1"/>
    <col min="524" max="524" width="11" style="71" bestFit="1" customWidth="1"/>
    <col min="525" max="526" width="11" style="71" customWidth="1"/>
    <col min="527" max="527" width="10" style="71" bestFit="1" customWidth="1"/>
    <col min="528" max="528" width="14.42578125" style="71" bestFit="1" customWidth="1"/>
    <col min="529" max="539" width="0" style="71" hidden="1" customWidth="1"/>
    <col min="540" max="760" width="9.140625" style="71"/>
    <col min="761" max="761" width="54.140625" style="71" bestFit="1" customWidth="1"/>
    <col min="762" max="762" width="14.7109375" style="71" customWidth="1"/>
    <col min="763" max="763" width="10.140625" style="71" customWidth="1"/>
    <col min="764" max="764" width="10.42578125" style="71" bestFit="1" customWidth="1"/>
    <col min="765" max="766" width="9.42578125" style="71" bestFit="1" customWidth="1"/>
    <col min="767" max="768" width="9.42578125" style="71" customWidth="1"/>
    <col min="769" max="769" width="10.140625" style="71" bestFit="1" customWidth="1"/>
    <col min="770" max="773" width="9.140625" style="71"/>
    <col min="774" max="774" width="7.28515625" style="71" customWidth="1"/>
    <col min="775" max="777" width="7.42578125" style="71" customWidth="1"/>
    <col min="778" max="778" width="10.42578125" style="71" bestFit="1" customWidth="1"/>
    <col min="779" max="779" width="12" style="71" bestFit="1" customWidth="1"/>
    <col min="780" max="780" width="11" style="71" bestFit="1" customWidth="1"/>
    <col min="781" max="782" width="11" style="71" customWidth="1"/>
    <col min="783" max="783" width="10" style="71" bestFit="1" customWidth="1"/>
    <col min="784" max="784" width="14.42578125" style="71" bestFit="1" customWidth="1"/>
    <col min="785" max="795" width="0" style="71" hidden="1" customWidth="1"/>
    <col min="796" max="1016" width="9.140625" style="71"/>
    <col min="1017" max="1017" width="54.140625" style="71" bestFit="1" customWidth="1"/>
    <col min="1018" max="1018" width="14.7109375" style="71" customWidth="1"/>
    <col min="1019" max="1019" width="10.140625" style="71" customWidth="1"/>
    <col min="1020" max="1020" width="10.42578125" style="71" bestFit="1" customWidth="1"/>
    <col min="1021" max="1022" width="9.42578125" style="71" bestFit="1" customWidth="1"/>
    <col min="1023" max="1024" width="9.42578125" style="71" customWidth="1"/>
    <col min="1025" max="1025" width="10.140625" style="71" bestFit="1" customWidth="1"/>
    <col min="1026" max="1029" width="9.140625" style="71"/>
    <col min="1030" max="1030" width="7.28515625" style="71" customWidth="1"/>
    <col min="1031" max="1033" width="7.42578125" style="71" customWidth="1"/>
    <col min="1034" max="1034" width="10.42578125" style="71" bestFit="1" customWidth="1"/>
    <col min="1035" max="1035" width="12" style="71" bestFit="1" customWidth="1"/>
    <col min="1036" max="1036" width="11" style="71" bestFit="1" customWidth="1"/>
    <col min="1037" max="1038" width="11" style="71" customWidth="1"/>
    <col min="1039" max="1039" width="10" style="71" bestFit="1" customWidth="1"/>
    <col min="1040" max="1040" width="14.42578125" style="71" bestFit="1" customWidth="1"/>
    <col min="1041" max="1051" width="0" style="71" hidden="1" customWidth="1"/>
    <col min="1052" max="1272" width="9.140625" style="71"/>
    <col min="1273" max="1273" width="54.140625" style="71" bestFit="1" customWidth="1"/>
    <col min="1274" max="1274" width="14.7109375" style="71" customWidth="1"/>
    <col min="1275" max="1275" width="10.140625" style="71" customWidth="1"/>
    <col min="1276" max="1276" width="10.42578125" style="71" bestFit="1" customWidth="1"/>
    <col min="1277" max="1278" width="9.42578125" style="71" bestFit="1" customWidth="1"/>
    <col min="1279" max="1280" width="9.42578125" style="71" customWidth="1"/>
    <col min="1281" max="1281" width="10.140625" style="71" bestFit="1" customWidth="1"/>
    <col min="1282" max="1285" width="9.140625" style="71"/>
    <col min="1286" max="1286" width="7.28515625" style="71" customWidth="1"/>
    <col min="1287" max="1289" width="7.42578125" style="71" customWidth="1"/>
    <col min="1290" max="1290" width="10.42578125" style="71" bestFit="1" customWidth="1"/>
    <col min="1291" max="1291" width="12" style="71" bestFit="1" customWidth="1"/>
    <col min="1292" max="1292" width="11" style="71" bestFit="1" customWidth="1"/>
    <col min="1293" max="1294" width="11" style="71" customWidth="1"/>
    <col min="1295" max="1295" width="10" style="71" bestFit="1" customWidth="1"/>
    <col min="1296" max="1296" width="14.42578125" style="71" bestFit="1" customWidth="1"/>
    <col min="1297" max="1307" width="0" style="71" hidden="1" customWidth="1"/>
    <col min="1308" max="1528" width="9.140625" style="71"/>
    <col min="1529" max="1529" width="54.140625" style="71" bestFit="1" customWidth="1"/>
    <col min="1530" max="1530" width="14.7109375" style="71" customWidth="1"/>
    <col min="1531" max="1531" width="10.140625" style="71" customWidth="1"/>
    <col min="1532" max="1532" width="10.42578125" style="71" bestFit="1" customWidth="1"/>
    <col min="1533" max="1534" width="9.42578125" style="71" bestFit="1" customWidth="1"/>
    <col min="1535" max="1536" width="9.42578125" style="71" customWidth="1"/>
    <col min="1537" max="1537" width="10.140625" style="71" bestFit="1" customWidth="1"/>
    <col min="1538" max="1541" width="9.140625" style="71"/>
    <col min="1542" max="1542" width="7.28515625" style="71" customWidth="1"/>
    <col min="1543" max="1545" width="7.42578125" style="71" customWidth="1"/>
    <col min="1546" max="1546" width="10.42578125" style="71" bestFit="1" customWidth="1"/>
    <col min="1547" max="1547" width="12" style="71" bestFit="1" customWidth="1"/>
    <col min="1548" max="1548" width="11" style="71" bestFit="1" customWidth="1"/>
    <col min="1549" max="1550" width="11" style="71" customWidth="1"/>
    <col min="1551" max="1551" width="10" style="71" bestFit="1" customWidth="1"/>
    <col min="1552" max="1552" width="14.42578125" style="71" bestFit="1" customWidth="1"/>
    <col min="1553" max="1563" width="0" style="71" hidden="1" customWidth="1"/>
    <col min="1564" max="1784" width="9.140625" style="71"/>
    <col min="1785" max="1785" width="54.140625" style="71" bestFit="1" customWidth="1"/>
    <col min="1786" max="1786" width="14.7109375" style="71" customWidth="1"/>
    <col min="1787" max="1787" width="10.140625" style="71" customWidth="1"/>
    <col min="1788" max="1788" width="10.42578125" style="71" bestFit="1" customWidth="1"/>
    <col min="1789" max="1790" width="9.42578125" style="71" bestFit="1" customWidth="1"/>
    <col min="1791" max="1792" width="9.42578125" style="71" customWidth="1"/>
    <col min="1793" max="1793" width="10.140625" style="71" bestFit="1" customWidth="1"/>
    <col min="1794" max="1797" width="9.140625" style="71"/>
    <col min="1798" max="1798" width="7.28515625" style="71" customWidth="1"/>
    <col min="1799" max="1801" width="7.42578125" style="71" customWidth="1"/>
    <col min="1802" max="1802" width="10.42578125" style="71" bestFit="1" customWidth="1"/>
    <col min="1803" max="1803" width="12" style="71" bestFit="1" customWidth="1"/>
    <col min="1804" max="1804" width="11" style="71" bestFit="1" customWidth="1"/>
    <col min="1805" max="1806" width="11" style="71" customWidth="1"/>
    <col min="1807" max="1807" width="10" style="71" bestFit="1" customWidth="1"/>
    <col min="1808" max="1808" width="14.42578125" style="71" bestFit="1" customWidth="1"/>
    <col min="1809" max="1819" width="0" style="71" hidden="1" customWidth="1"/>
    <col min="1820" max="2040" width="9.140625" style="71"/>
    <col min="2041" max="2041" width="54.140625" style="71" bestFit="1" customWidth="1"/>
    <col min="2042" max="2042" width="14.7109375" style="71" customWidth="1"/>
    <col min="2043" max="2043" width="10.140625" style="71" customWidth="1"/>
    <col min="2044" max="2044" width="10.42578125" style="71" bestFit="1" customWidth="1"/>
    <col min="2045" max="2046" width="9.42578125" style="71" bestFit="1" customWidth="1"/>
    <col min="2047" max="2048" width="9.42578125" style="71" customWidth="1"/>
    <col min="2049" max="2049" width="10.140625" style="71" bestFit="1" customWidth="1"/>
    <col min="2050" max="2053" width="9.140625" style="71"/>
    <col min="2054" max="2054" width="7.28515625" style="71" customWidth="1"/>
    <col min="2055" max="2057" width="7.42578125" style="71" customWidth="1"/>
    <col min="2058" max="2058" width="10.42578125" style="71" bestFit="1" customWidth="1"/>
    <col min="2059" max="2059" width="12" style="71" bestFit="1" customWidth="1"/>
    <col min="2060" max="2060" width="11" style="71" bestFit="1" customWidth="1"/>
    <col min="2061" max="2062" width="11" style="71" customWidth="1"/>
    <col min="2063" max="2063" width="10" style="71" bestFit="1" customWidth="1"/>
    <col min="2064" max="2064" width="14.42578125" style="71" bestFit="1" customWidth="1"/>
    <col min="2065" max="2075" width="0" style="71" hidden="1" customWidth="1"/>
    <col min="2076" max="2296" width="9.140625" style="71"/>
    <col min="2297" max="2297" width="54.140625" style="71" bestFit="1" customWidth="1"/>
    <col min="2298" max="2298" width="14.7109375" style="71" customWidth="1"/>
    <col min="2299" max="2299" width="10.140625" style="71" customWidth="1"/>
    <col min="2300" max="2300" width="10.42578125" style="71" bestFit="1" customWidth="1"/>
    <col min="2301" max="2302" width="9.42578125" style="71" bestFit="1" customWidth="1"/>
    <col min="2303" max="2304" width="9.42578125" style="71" customWidth="1"/>
    <col min="2305" max="2305" width="10.140625" style="71" bestFit="1" customWidth="1"/>
    <col min="2306" max="2309" width="9.140625" style="71"/>
    <col min="2310" max="2310" width="7.28515625" style="71" customWidth="1"/>
    <col min="2311" max="2313" width="7.42578125" style="71" customWidth="1"/>
    <col min="2314" max="2314" width="10.42578125" style="71" bestFit="1" customWidth="1"/>
    <col min="2315" max="2315" width="12" style="71" bestFit="1" customWidth="1"/>
    <col min="2316" max="2316" width="11" style="71" bestFit="1" customWidth="1"/>
    <col min="2317" max="2318" width="11" style="71" customWidth="1"/>
    <col min="2319" max="2319" width="10" style="71" bestFit="1" customWidth="1"/>
    <col min="2320" max="2320" width="14.42578125" style="71" bestFit="1" customWidth="1"/>
    <col min="2321" max="2331" width="0" style="71" hidden="1" customWidth="1"/>
    <col min="2332" max="2552" width="9.140625" style="71"/>
    <col min="2553" max="2553" width="54.140625" style="71" bestFit="1" customWidth="1"/>
    <col min="2554" max="2554" width="14.7109375" style="71" customWidth="1"/>
    <col min="2555" max="2555" width="10.140625" style="71" customWidth="1"/>
    <col min="2556" max="2556" width="10.42578125" style="71" bestFit="1" customWidth="1"/>
    <col min="2557" max="2558" width="9.42578125" style="71" bestFit="1" customWidth="1"/>
    <col min="2559" max="2560" width="9.42578125" style="71" customWidth="1"/>
    <col min="2561" max="2561" width="10.140625" style="71" bestFit="1" customWidth="1"/>
    <col min="2562" max="2565" width="9.140625" style="71"/>
    <col min="2566" max="2566" width="7.28515625" style="71" customWidth="1"/>
    <col min="2567" max="2569" width="7.42578125" style="71" customWidth="1"/>
    <col min="2570" max="2570" width="10.42578125" style="71" bestFit="1" customWidth="1"/>
    <col min="2571" max="2571" width="12" style="71" bestFit="1" customWidth="1"/>
    <col min="2572" max="2572" width="11" style="71" bestFit="1" customWidth="1"/>
    <col min="2573" max="2574" width="11" style="71" customWidth="1"/>
    <col min="2575" max="2575" width="10" style="71" bestFit="1" customWidth="1"/>
    <col min="2576" max="2576" width="14.42578125" style="71" bestFit="1" customWidth="1"/>
    <col min="2577" max="2587" width="0" style="71" hidden="1" customWidth="1"/>
    <col min="2588" max="2808" width="9.140625" style="71"/>
    <col min="2809" max="2809" width="54.140625" style="71" bestFit="1" customWidth="1"/>
    <col min="2810" max="2810" width="14.7109375" style="71" customWidth="1"/>
    <col min="2811" max="2811" width="10.140625" style="71" customWidth="1"/>
    <col min="2812" max="2812" width="10.42578125" style="71" bestFit="1" customWidth="1"/>
    <col min="2813" max="2814" width="9.42578125" style="71" bestFit="1" customWidth="1"/>
    <col min="2815" max="2816" width="9.42578125" style="71" customWidth="1"/>
    <col min="2817" max="2817" width="10.140625" style="71" bestFit="1" customWidth="1"/>
    <col min="2818" max="2821" width="9.140625" style="71"/>
    <col min="2822" max="2822" width="7.28515625" style="71" customWidth="1"/>
    <col min="2823" max="2825" width="7.42578125" style="71" customWidth="1"/>
    <col min="2826" max="2826" width="10.42578125" style="71" bestFit="1" customWidth="1"/>
    <col min="2827" max="2827" width="12" style="71" bestFit="1" customWidth="1"/>
    <col min="2828" max="2828" width="11" style="71" bestFit="1" customWidth="1"/>
    <col min="2829" max="2830" width="11" style="71" customWidth="1"/>
    <col min="2831" max="2831" width="10" style="71" bestFit="1" customWidth="1"/>
    <col min="2832" max="2832" width="14.42578125" style="71" bestFit="1" customWidth="1"/>
    <col min="2833" max="2843" width="0" style="71" hidden="1" customWidth="1"/>
    <col min="2844" max="3064" width="9.140625" style="71"/>
    <col min="3065" max="3065" width="54.140625" style="71" bestFit="1" customWidth="1"/>
    <col min="3066" max="3066" width="14.7109375" style="71" customWidth="1"/>
    <col min="3067" max="3067" width="10.140625" style="71" customWidth="1"/>
    <col min="3068" max="3068" width="10.42578125" style="71" bestFit="1" customWidth="1"/>
    <col min="3069" max="3070" width="9.42578125" style="71" bestFit="1" customWidth="1"/>
    <col min="3071" max="3072" width="9.42578125" style="71" customWidth="1"/>
    <col min="3073" max="3073" width="10.140625" style="71" bestFit="1" customWidth="1"/>
    <col min="3074" max="3077" width="9.140625" style="71"/>
    <col min="3078" max="3078" width="7.28515625" style="71" customWidth="1"/>
    <col min="3079" max="3081" width="7.42578125" style="71" customWidth="1"/>
    <col min="3082" max="3082" width="10.42578125" style="71" bestFit="1" customWidth="1"/>
    <col min="3083" max="3083" width="12" style="71" bestFit="1" customWidth="1"/>
    <col min="3084" max="3084" width="11" style="71" bestFit="1" customWidth="1"/>
    <col min="3085" max="3086" width="11" style="71" customWidth="1"/>
    <col min="3087" max="3087" width="10" style="71" bestFit="1" customWidth="1"/>
    <col min="3088" max="3088" width="14.42578125" style="71" bestFit="1" customWidth="1"/>
    <col min="3089" max="3099" width="0" style="71" hidden="1" customWidth="1"/>
    <col min="3100" max="3320" width="9.140625" style="71"/>
    <col min="3321" max="3321" width="54.140625" style="71" bestFit="1" customWidth="1"/>
    <col min="3322" max="3322" width="14.7109375" style="71" customWidth="1"/>
    <col min="3323" max="3323" width="10.140625" style="71" customWidth="1"/>
    <col min="3324" max="3324" width="10.42578125" style="71" bestFit="1" customWidth="1"/>
    <col min="3325" max="3326" width="9.42578125" style="71" bestFit="1" customWidth="1"/>
    <col min="3327" max="3328" width="9.42578125" style="71" customWidth="1"/>
    <col min="3329" max="3329" width="10.140625" style="71" bestFit="1" customWidth="1"/>
    <col min="3330" max="3333" width="9.140625" style="71"/>
    <col min="3334" max="3334" width="7.28515625" style="71" customWidth="1"/>
    <col min="3335" max="3337" width="7.42578125" style="71" customWidth="1"/>
    <col min="3338" max="3338" width="10.42578125" style="71" bestFit="1" customWidth="1"/>
    <col min="3339" max="3339" width="12" style="71" bestFit="1" customWidth="1"/>
    <col min="3340" max="3340" width="11" style="71" bestFit="1" customWidth="1"/>
    <col min="3341" max="3342" width="11" style="71" customWidth="1"/>
    <col min="3343" max="3343" width="10" style="71" bestFit="1" customWidth="1"/>
    <col min="3344" max="3344" width="14.42578125" style="71" bestFit="1" customWidth="1"/>
    <col min="3345" max="3355" width="0" style="71" hidden="1" customWidth="1"/>
    <col min="3356" max="3576" width="9.140625" style="71"/>
    <col min="3577" max="3577" width="54.140625" style="71" bestFit="1" customWidth="1"/>
    <col min="3578" max="3578" width="14.7109375" style="71" customWidth="1"/>
    <col min="3579" max="3579" width="10.140625" style="71" customWidth="1"/>
    <col min="3580" max="3580" width="10.42578125" style="71" bestFit="1" customWidth="1"/>
    <col min="3581" max="3582" width="9.42578125" style="71" bestFit="1" customWidth="1"/>
    <col min="3583" max="3584" width="9.42578125" style="71" customWidth="1"/>
    <col min="3585" max="3585" width="10.140625" style="71" bestFit="1" customWidth="1"/>
    <col min="3586" max="3589" width="9.140625" style="71"/>
    <col min="3590" max="3590" width="7.28515625" style="71" customWidth="1"/>
    <col min="3591" max="3593" width="7.42578125" style="71" customWidth="1"/>
    <col min="3594" max="3594" width="10.42578125" style="71" bestFit="1" customWidth="1"/>
    <col min="3595" max="3595" width="12" style="71" bestFit="1" customWidth="1"/>
    <col min="3596" max="3596" width="11" style="71" bestFit="1" customWidth="1"/>
    <col min="3597" max="3598" width="11" style="71" customWidth="1"/>
    <col min="3599" max="3599" width="10" style="71" bestFit="1" customWidth="1"/>
    <col min="3600" max="3600" width="14.42578125" style="71" bestFit="1" customWidth="1"/>
    <col min="3601" max="3611" width="0" style="71" hidden="1" customWidth="1"/>
    <col min="3612" max="3832" width="9.140625" style="71"/>
    <col min="3833" max="3833" width="54.140625" style="71" bestFit="1" customWidth="1"/>
    <col min="3834" max="3834" width="14.7109375" style="71" customWidth="1"/>
    <col min="3835" max="3835" width="10.140625" style="71" customWidth="1"/>
    <col min="3836" max="3836" width="10.42578125" style="71" bestFit="1" customWidth="1"/>
    <col min="3837" max="3838" width="9.42578125" style="71" bestFit="1" customWidth="1"/>
    <col min="3839" max="3840" width="9.42578125" style="71" customWidth="1"/>
    <col min="3841" max="3841" width="10.140625" style="71" bestFit="1" customWidth="1"/>
    <col min="3842" max="3845" width="9.140625" style="71"/>
    <col min="3846" max="3846" width="7.28515625" style="71" customWidth="1"/>
    <col min="3847" max="3849" width="7.42578125" style="71" customWidth="1"/>
    <col min="3850" max="3850" width="10.42578125" style="71" bestFit="1" customWidth="1"/>
    <col min="3851" max="3851" width="12" style="71" bestFit="1" customWidth="1"/>
    <col min="3852" max="3852" width="11" style="71" bestFit="1" customWidth="1"/>
    <col min="3853" max="3854" width="11" style="71" customWidth="1"/>
    <col min="3855" max="3855" width="10" style="71" bestFit="1" customWidth="1"/>
    <col min="3856" max="3856" width="14.42578125" style="71" bestFit="1" customWidth="1"/>
    <col min="3857" max="3867" width="0" style="71" hidden="1" customWidth="1"/>
    <col min="3868" max="4088" width="9.140625" style="71"/>
    <col min="4089" max="4089" width="54.140625" style="71" bestFit="1" customWidth="1"/>
    <col min="4090" max="4090" width="14.7109375" style="71" customWidth="1"/>
    <col min="4091" max="4091" width="10.140625" style="71" customWidth="1"/>
    <col min="4092" max="4092" width="10.42578125" style="71" bestFit="1" customWidth="1"/>
    <col min="4093" max="4094" width="9.42578125" style="71" bestFit="1" customWidth="1"/>
    <col min="4095" max="4096" width="9.42578125" style="71" customWidth="1"/>
    <col min="4097" max="4097" width="10.140625" style="71" bestFit="1" customWidth="1"/>
    <col min="4098" max="4101" width="9.140625" style="71"/>
    <col min="4102" max="4102" width="7.28515625" style="71" customWidth="1"/>
    <col min="4103" max="4105" width="7.42578125" style="71" customWidth="1"/>
    <col min="4106" max="4106" width="10.42578125" style="71" bestFit="1" customWidth="1"/>
    <col min="4107" max="4107" width="12" style="71" bestFit="1" customWidth="1"/>
    <col min="4108" max="4108" width="11" style="71" bestFit="1" customWidth="1"/>
    <col min="4109" max="4110" width="11" style="71" customWidth="1"/>
    <col min="4111" max="4111" width="10" style="71" bestFit="1" customWidth="1"/>
    <col min="4112" max="4112" width="14.42578125" style="71" bestFit="1" customWidth="1"/>
    <col min="4113" max="4123" width="0" style="71" hidden="1" customWidth="1"/>
    <col min="4124" max="4344" width="9.140625" style="71"/>
    <col min="4345" max="4345" width="54.140625" style="71" bestFit="1" customWidth="1"/>
    <col min="4346" max="4346" width="14.7109375" style="71" customWidth="1"/>
    <col min="4347" max="4347" width="10.140625" style="71" customWidth="1"/>
    <col min="4348" max="4348" width="10.42578125" style="71" bestFit="1" customWidth="1"/>
    <col min="4349" max="4350" width="9.42578125" style="71" bestFit="1" customWidth="1"/>
    <col min="4351" max="4352" width="9.42578125" style="71" customWidth="1"/>
    <col min="4353" max="4353" width="10.140625" style="71" bestFit="1" customWidth="1"/>
    <col min="4354" max="4357" width="9.140625" style="71"/>
    <col min="4358" max="4358" width="7.28515625" style="71" customWidth="1"/>
    <col min="4359" max="4361" width="7.42578125" style="71" customWidth="1"/>
    <col min="4362" max="4362" width="10.42578125" style="71" bestFit="1" customWidth="1"/>
    <col min="4363" max="4363" width="12" style="71" bestFit="1" customWidth="1"/>
    <col min="4364" max="4364" width="11" style="71" bestFit="1" customWidth="1"/>
    <col min="4365" max="4366" width="11" style="71" customWidth="1"/>
    <col min="4367" max="4367" width="10" style="71" bestFit="1" customWidth="1"/>
    <col min="4368" max="4368" width="14.42578125" style="71" bestFit="1" customWidth="1"/>
    <col min="4369" max="4379" width="0" style="71" hidden="1" customWidth="1"/>
    <col min="4380" max="4600" width="9.140625" style="71"/>
    <col min="4601" max="4601" width="54.140625" style="71" bestFit="1" customWidth="1"/>
    <col min="4602" max="4602" width="14.7109375" style="71" customWidth="1"/>
    <col min="4603" max="4603" width="10.140625" style="71" customWidth="1"/>
    <col min="4604" max="4604" width="10.42578125" style="71" bestFit="1" customWidth="1"/>
    <col min="4605" max="4606" width="9.42578125" style="71" bestFit="1" customWidth="1"/>
    <col min="4607" max="4608" width="9.42578125" style="71" customWidth="1"/>
    <col min="4609" max="4609" width="10.140625" style="71" bestFit="1" customWidth="1"/>
    <col min="4610" max="4613" width="9.140625" style="71"/>
    <col min="4614" max="4614" width="7.28515625" style="71" customWidth="1"/>
    <col min="4615" max="4617" width="7.42578125" style="71" customWidth="1"/>
    <col min="4618" max="4618" width="10.42578125" style="71" bestFit="1" customWidth="1"/>
    <col min="4619" max="4619" width="12" style="71" bestFit="1" customWidth="1"/>
    <col min="4620" max="4620" width="11" style="71" bestFit="1" customWidth="1"/>
    <col min="4621" max="4622" width="11" style="71" customWidth="1"/>
    <col min="4623" max="4623" width="10" style="71" bestFit="1" customWidth="1"/>
    <col min="4624" max="4624" width="14.42578125" style="71" bestFit="1" customWidth="1"/>
    <col min="4625" max="4635" width="0" style="71" hidden="1" customWidth="1"/>
    <col min="4636" max="4856" width="9.140625" style="71"/>
    <col min="4857" max="4857" width="54.140625" style="71" bestFit="1" customWidth="1"/>
    <col min="4858" max="4858" width="14.7109375" style="71" customWidth="1"/>
    <col min="4859" max="4859" width="10.140625" style="71" customWidth="1"/>
    <col min="4860" max="4860" width="10.42578125" style="71" bestFit="1" customWidth="1"/>
    <col min="4861" max="4862" width="9.42578125" style="71" bestFit="1" customWidth="1"/>
    <col min="4863" max="4864" width="9.42578125" style="71" customWidth="1"/>
    <col min="4865" max="4865" width="10.140625" style="71" bestFit="1" customWidth="1"/>
    <col min="4866" max="4869" width="9.140625" style="71"/>
    <col min="4870" max="4870" width="7.28515625" style="71" customWidth="1"/>
    <col min="4871" max="4873" width="7.42578125" style="71" customWidth="1"/>
    <col min="4874" max="4874" width="10.42578125" style="71" bestFit="1" customWidth="1"/>
    <col min="4875" max="4875" width="12" style="71" bestFit="1" customWidth="1"/>
    <col min="4876" max="4876" width="11" style="71" bestFit="1" customWidth="1"/>
    <col min="4877" max="4878" width="11" style="71" customWidth="1"/>
    <col min="4879" max="4879" width="10" style="71" bestFit="1" customWidth="1"/>
    <col min="4880" max="4880" width="14.42578125" style="71" bestFit="1" customWidth="1"/>
    <col min="4881" max="4891" width="0" style="71" hidden="1" customWidth="1"/>
    <col min="4892" max="5112" width="9.140625" style="71"/>
    <col min="5113" max="5113" width="54.140625" style="71" bestFit="1" customWidth="1"/>
    <col min="5114" max="5114" width="14.7109375" style="71" customWidth="1"/>
    <col min="5115" max="5115" width="10.140625" style="71" customWidth="1"/>
    <col min="5116" max="5116" width="10.42578125" style="71" bestFit="1" customWidth="1"/>
    <col min="5117" max="5118" width="9.42578125" style="71" bestFit="1" customWidth="1"/>
    <col min="5119" max="5120" width="9.42578125" style="71" customWidth="1"/>
    <col min="5121" max="5121" width="10.140625" style="71" bestFit="1" customWidth="1"/>
    <col min="5122" max="5125" width="9.140625" style="71"/>
    <col min="5126" max="5126" width="7.28515625" style="71" customWidth="1"/>
    <col min="5127" max="5129" width="7.42578125" style="71" customWidth="1"/>
    <col min="5130" max="5130" width="10.42578125" style="71" bestFit="1" customWidth="1"/>
    <col min="5131" max="5131" width="12" style="71" bestFit="1" customWidth="1"/>
    <col min="5132" max="5132" width="11" style="71" bestFit="1" customWidth="1"/>
    <col min="5133" max="5134" width="11" style="71" customWidth="1"/>
    <col min="5135" max="5135" width="10" style="71" bestFit="1" customWidth="1"/>
    <col min="5136" max="5136" width="14.42578125" style="71" bestFit="1" customWidth="1"/>
    <col min="5137" max="5147" width="0" style="71" hidden="1" customWidth="1"/>
    <col min="5148" max="5368" width="9.140625" style="71"/>
    <col min="5369" max="5369" width="54.140625" style="71" bestFit="1" customWidth="1"/>
    <col min="5370" max="5370" width="14.7109375" style="71" customWidth="1"/>
    <col min="5371" max="5371" width="10.140625" style="71" customWidth="1"/>
    <col min="5372" max="5372" width="10.42578125" style="71" bestFit="1" customWidth="1"/>
    <col min="5373" max="5374" width="9.42578125" style="71" bestFit="1" customWidth="1"/>
    <col min="5375" max="5376" width="9.42578125" style="71" customWidth="1"/>
    <col min="5377" max="5377" width="10.140625" style="71" bestFit="1" customWidth="1"/>
    <col min="5378" max="5381" width="9.140625" style="71"/>
    <col min="5382" max="5382" width="7.28515625" style="71" customWidth="1"/>
    <col min="5383" max="5385" width="7.42578125" style="71" customWidth="1"/>
    <col min="5386" max="5386" width="10.42578125" style="71" bestFit="1" customWidth="1"/>
    <col min="5387" max="5387" width="12" style="71" bestFit="1" customWidth="1"/>
    <col min="5388" max="5388" width="11" style="71" bestFit="1" customWidth="1"/>
    <col min="5389" max="5390" width="11" style="71" customWidth="1"/>
    <col min="5391" max="5391" width="10" style="71" bestFit="1" customWidth="1"/>
    <col min="5392" max="5392" width="14.42578125" style="71" bestFit="1" customWidth="1"/>
    <col min="5393" max="5403" width="0" style="71" hidden="1" customWidth="1"/>
    <col min="5404" max="5624" width="9.140625" style="71"/>
    <col min="5625" max="5625" width="54.140625" style="71" bestFit="1" customWidth="1"/>
    <col min="5626" max="5626" width="14.7109375" style="71" customWidth="1"/>
    <col min="5627" max="5627" width="10.140625" style="71" customWidth="1"/>
    <col min="5628" max="5628" width="10.42578125" style="71" bestFit="1" customWidth="1"/>
    <col min="5629" max="5630" width="9.42578125" style="71" bestFit="1" customWidth="1"/>
    <col min="5631" max="5632" width="9.42578125" style="71" customWidth="1"/>
    <col min="5633" max="5633" width="10.140625" style="71" bestFit="1" customWidth="1"/>
    <col min="5634" max="5637" width="9.140625" style="71"/>
    <col min="5638" max="5638" width="7.28515625" style="71" customWidth="1"/>
    <col min="5639" max="5641" width="7.42578125" style="71" customWidth="1"/>
    <col min="5642" max="5642" width="10.42578125" style="71" bestFit="1" customWidth="1"/>
    <col min="5643" max="5643" width="12" style="71" bestFit="1" customWidth="1"/>
    <col min="5644" max="5644" width="11" style="71" bestFit="1" customWidth="1"/>
    <col min="5645" max="5646" width="11" style="71" customWidth="1"/>
    <col min="5647" max="5647" width="10" style="71" bestFit="1" customWidth="1"/>
    <col min="5648" max="5648" width="14.42578125" style="71" bestFit="1" customWidth="1"/>
    <col min="5649" max="5659" width="0" style="71" hidden="1" customWidth="1"/>
    <col min="5660" max="5880" width="9.140625" style="71"/>
    <col min="5881" max="5881" width="54.140625" style="71" bestFit="1" customWidth="1"/>
    <col min="5882" max="5882" width="14.7109375" style="71" customWidth="1"/>
    <col min="5883" max="5883" width="10.140625" style="71" customWidth="1"/>
    <col min="5884" max="5884" width="10.42578125" style="71" bestFit="1" customWidth="1"/>
    <col min="5885" max="5886" width="9.42578125" style="71" bestFit="1" customWidth="1"/>
    <col min="5887" max="5888" width="9.42578125" style="71" customWidth="1"/>
    <col min="5889" max="5889" width="10.140625" style="71" bestFit="1" customWidth="1"/>
    <col min="5890" max="5893" width="9.140625" style="71"/>
    <col min="5894" max="5894" width="7.28515625" style="71" customWidth="1"/>
    <col min="5895" max="5897" width="7.42578125" style="71" customWidth="1"/>
    <col min="5898" max="5898" width="10.42578125" style="71" bestFit="1" customWidth="1"/>
    <col min="5899" max="5899" width="12" style="71" bestFit="1" customWidth="1"/>
    <col min="5900" max="5900" width="11" style="71" bestFit="1" customWidth="1"/>
    <col min="5901" max="5902" width="11" style="71" customWidth="1"/>
    <col min="5903" max="5903" width="10" style="71" bestFit="1" customWidth="1"/>
    <col min="5904" max="5904" width="14.42578125" style="71" bestFit="1" customWidth="1"/>
    <col min="5905" max="5915" width="0" style="71" hidden="1" customWidth="1"/>
    <col min="5916" max="6136" width="9.140625" style="71"/>
    <col min="6137" max="6137" width="54.140625" style="71" bestFit="1" customWidth="1"/>
    <col min="6138" max="6138" width="14.7109375" style="71" customWidth="1"/>
    <col min="6139" max="6139" width="10.140625" style="71" customWidth="1"/>
    <col min="6140" max="6140" width="10.42578125" style="71" bestFit="1" customWidth="1"/>
    <col min="6141" max="6142" width="9.42578125" style="71" bestFit="1" customWidth="1"/>
    <col min="6143" max="6144" width="9.42578125" style="71" customWidth="1"/>
    <col min="6145" max="6145" width="10.140625" style="71" bestFit="1" customWidth="1"/>
    <col min="6146" max="6149" width="9.140625" style="71"/>
    <col min="6150" max="6150" width="7.28515625" style="71" customWidth="1"/>
    <col min="6151" max="6153" width="7.42578125" style="71" customWidth="1"/>
    <col min="6154" max="6154" width="10.42578125" style="71" bestFit="1" customWidth="1"/>
    <col min="6155" max="6155" width="12" style="71" bestFit="1" customWidth="1"/>
    <col min="6156" max="6156" width="11" style="71" bestFit="1" customWidth="1"/>
    <col min="6157" max="6158" width="11" style="71" customWidth="1"/>
    <col min="6159" max="6159" width="10" style="71" bestFit="1" customWidth="1"/>
    <col min="6160" max="6160" width="14.42578125" style="71" bestFit="1" customWidth="1"/>
    <col min="6161" max="6171" width="0" style="71" hidden="1" customWidth="1"/>
    <col min="6172" max="6392" width="9.140625" style="71"/>
    <col min="6393" max="6393" width="54.140625" style="71" bestFit="1" customWidth="1"/>
    <col min="6394" max="6394" width="14.7109375" style="71" customWidth="1"/>
    <col min="6395" max="6395" width="10.140625" style="71" customWidth="1"/>
    <col min="6396" max="6396" width="10.42578125" style="71" bestFit="1" customWidth="1"/>
    <col min="6397" max="6398" width="9.42578125" style="71" bestFit="1" customWidth="1"/>
    <col min="6399" max="6400" width="9.42578125" style="71" customWidth="1"/>
    <col min="6401" max="6401" width="10.140625" style="71" bestFit="1" customWidth="1"/>
    <col min="6402" max="6405" width="9.140625" style="71"/>
    <col min="6406" max="6406" width="7.28515625" style="71" customWidth="1"/>
    <col min="6407" max="6409" width="7.42578125" style="71" customWidth="1"/>
    <col min="6410" max="6410" width="10.42578125" style="71" bestFit="1" customWidth="1"/>
    <col min="6411" max="6411" width="12" style="71" bestFit="1" customWidth="1"/>
    <col min="6412" max="6412" width="11" style="71" bestFit="1" customWidth="1"/>
    <col min="6413" max="6414" width="11" style="71" customWidth="1"/>
    <col min="6415" max="6415" width="10" style="71" bestFit="1" customWidth="1"/>
    <col min="6416" max="6416" width="14.42578125" style="71" bestFit="1" customWidth="1"/>
    <col min="6417" max="6427" width="0" style="71" hidden="1" customWidth="1"/>
    <col min="6428" max="6648" width="9.140625" style="71"/>
    <col min="6649" max="6649" width="54.140625" style="71" bestFit="1" customWidth="1"/>
    <col min="6650" max="6650" width="14.7109375" style="71" customWidth="1"/>
    <col min="6651" max="6651" width="10.140625" style="71" customWidth="1"/>
    <col min="6652" max="6652" width="10.42578125" style="71" bestFit="1" customWidth="1"/>
    <col min="6653" max="6654" width="9.42578125" style="71" bestFit="1" customWidth="1"/>
    <col min="6655" max="6656" width="9.42578125" style="71" customWidth="1"/>
    <col min="6657" max="6657" width="10.140625" style="71" bestFit="1" customWidth="1"/>
    <col min="6658" max="6661" width="9.140625" style="71"/>
    <col min="6662" max="6662" width="7.28515625" style="71" customWidth="1"/>
    <col min="6663" max="6665" width="7.42578125" style="71" customWidth="1"/>
    <col min="6666" max="6666" width="10.42578125" style="71" bestFit="1" customWidth="1"/>
    <col min="6667" max="6667" width="12" style="71" bestFit="1" customWidth="1"/>
    <col min="6668" max="6668" width="11" style="71" bestFit="1" customWidth="1"/>
    <col min="6669" max="6670" width="11" style="71" customWidth="1"/>
    <col min="6671" max="6671" width="10" style="71" bestFit="1" customWidth="1"/>
    <col min="6672" max="6672" width="14.42578125" style="71" bestFit="1" customWidth="1"/>
    <col min="6673" max="6683" width="0" style="71" hidden="1" customWidth="1"/>
    <col min="6684" max="6904" width="9.140625" style="71"/>
    <col min="6905" max="6905" width="54.140625" style="71" bestFit="1" customWidth="1"/>
    <col min="6906" max="6906" width="14.7109375" style="71" customWidth="1"/>
    <col min="6907" max="6907" width="10.140625" style="71" customWidth="1"/>
    <col min="6908" max="6908" width="10.42578125" style="71" bestFit="1" customWidth="1"/>
    <col min="6909" max="6910" width="9.42578125" style="71" bestFit="1" customWidth="1"/>
    <col min="6911" max="6912" width="9.42578125" style="71" customWidth="1"/>
    <col min="6913" max="6913" width="10.140625" style="71" bestFit="1" customWidth="1"/>
    <col min="6914" max="6917" width="9.140625" style="71"/>
    <col min="6918" max="6918" width="7.28515625" style="71" customWidth="1"/>
    <col min="6919" max="6921" width="7.42578125" style="71" customWidth="1"/>
    <col min="6922" max="6922" width="10.42578125" style="71" bestFit="1" customWidth="1"/>
    <col min="6923" max="6923" width="12" style="71" bestFit="1" customWidth="1"/>
    <col min="6924" max="6924" width="11" style="71" bestFit="1" customWidth="1"/>
    <col min="6925" max="6926" width="11" style="71" customWidth="1"/>
    <col min="6927" max="6927" width="10" style="71" bestFit="1" customWidth="1"/>
    <col min="6928" max="6928" width="14.42578125" style="71" bestFit="1" customWidth="1"/>
    <col min="6929" max="6939" width="0" style="71" hidden="1" customWidth="1"/>
    <col min="6940" max="7160" width="9.140625" style="71"/>
    <col min="7161" max="7161" width="54.140625" style="71" bestFit="1" customWidth="1"/>
    <col min="7162" max="7162" width="14.7109375" style="71" customWidth="1"/>
    <col min="7163" max="7163" width="10.140625" style="71" customWidth="1"/>
    <col min="7164" max="7164" width="10.42578125" style="71" bestFit="1" customWidth="1"/>
    <col min="7165" max="7166" width="9.42578125" style="71" bestFit="1" customWidth="1"/>
    <col min="7167" max="7168" width="9.42578125" style="71" customWidth="1"/>
    <col min="7169" max="7169" width="10.140625" style="71" bestFit="1" customWidth="1"/>
    <col min="7170" max="7173" width="9.140625" style="71"/>
    <col min="7174" max="7174" width="7.28515625" style="71" customWidth="1"/>
    <col min="7175" max="7177" width="7.42578125" style="71" customWidth="1"/>
    <col min="7178" max="7178" width="10.42578125" style="71" bestFit="1" customWidth="1"/>
    <col min="7179" max="7179" width="12" style="71" bestFit="1" customWidth="1"/>
    <col min="7180" max="7180" width="11" style="71" bestFit="1" customWidth="1"/>
    <col min="7181" max="7182" width="11" style="71" customWidth="1"/>
    <col min="7183" max="7183" width="10" style="71" bestFit="1" customWidth="1"/>
    <col min="7184" max="7184" width="14.42578125" style="71" bestFit="1" customWidth="1"/>
    <col min="7185" max="7195" width="0" style="71" hidden="1" customWidth="1"/>
    <col min="7196" max="7416" width="9.140625" style="71"/>
    <col min="7417" max="7417" width="54.140625" style="71" bestFit="1" customWidth="1"/>
    <col min="7418" max="7418" width="14.7109375" style="71" customWidth="1"/>
    <col min="7419" max="7419" width="10.140625" style="71" customWidth="1"/>
    <col min="7420" max="7420" width="10.42578125" style="71" bestFit="1" customWidth="1"/>
    <col min="7421" max="7422" width="9.42578125" style="71" bestFit="1" customWidth="1"/>
    <col min="7423" max="7424" width="9.42578125" style="71" customWidth="1"/>
    <col min="7425" max="7425" width="10.140625" style="71" bestFit="1" customWidth="1"/>
    <col min="7426" max="7429" width="9.140625" style="71"/>
    <col min="7430" max="7430" width="7.28515625" style="71" customWidth="1"/>
    <col min="7431" max="7433" width="7.42578125" style="71" customWidth="1"/>
    <col min="7434" max="7434" width="10.42578125" style="71" bestFit="1" customWidth="1"/>
    <col min="7435" max="7435" width="12" style="71" bestFit="1" customWidth="1"/>
    <col min="7436" max="7436" width="11" style="71" bestFit="1" customWidth="1"/>
    <col min="7437" max="7438" width="11" style="71" customWidth="1"/>
    <col min="7439" max="7439" width="10" style="71" bestFit="1" customWidth="1"/>
    <col min="7440" max="7440" width="14.42578125" style="71" bestFit="1" customWidth="1"/>
    <col min="7441" max="7451" width="0" style="71" hidden="1" customWidth="1"/>
    <col min="7452" max="7672" width="9.140625" style="71"/>
    <col min="7673" max="7673" width="54.140625" style="71" bestFit="1" customWidth="1"/>
    <col min="7674" max="7674" width="14.7109375" style="71" customWidth="1"/>
    <col min="7675" max="7675" width="10.140625" style="71" customWidth="1"/>
    <col min="7676" max="7676" width="10.42578125" style="71" bestFit="1" customWidth="1"/>
    <col min="7677" max="7678" width="9.42578125" style="71" bestFit="1" customWidth="1"/>
    <col min="7679" max="7680" width="9.42578125" style="71" customWidth="1"/>
    <col min="7681" max="7681" width="10.140625" style="71" bestFit="1" customWidth="1"/>
    <col min="7682" max="7685" width="9.140625" style="71"/>
    <col min="7686" max="7686" width="7.28515625" style="71" customWidth="1"/>
    <col min="7687" max="7689" width="7.42578125" style="71" customWidth="1"/>
    <col min="7690" max="7690" width="10.42578125" style="71" bestFit="1" customWidth="1"/>
    <col min="7691" max="7691" width="12" style="71" bestFit="1" customWidth="1"/>
    <col min="7692" max="7692" width="11" style="71" bestFit="1" customWidth="1"/>
    <col min="7693" max="7694" width="11" style="71" customWidth="1"/>
    <col min="7695" max="7695" width="10" style="71" bestFit="1" customWidth="1"/>
    <col min="7696" max="7696" width="14.42578125" style="71" bestFit="1" customWidth="1"/>
    <col min="7697" max="7707" width="0" style="71" hidden="1" customWidth="1"/>
    <col min="7708" max="7928" width="9.140625" style="71"/>
    <col min="7929" max="7929" width="54.140625" style="71" bestFit="1" customWidth="1"/>
    <col min="7930" max="7930" width="14.7109375" style="71" customWidth="1"/>
    <col min="7931" max="7931" width="10.140625" style="71" customWidth="1"/>
    <col min="7932" max="7932" width="10.42578125" style="71" bestFit="1" customWidth="1"/>
    <col min="7933" max="7934" width="9.42578125" style="71" bestFit="1" customWidth="1"/>
    <col min="7935" max="7936" width="9.42578125" style="71" customWidth="1"/>
    <col min="7937" max="7937" width="10.140625" style="71" bestFit="1" customWidth="1"/>
    <col min="7938" max="7941" width="9.140625" style="71"/>
    <col min="7942" max="7942" width="7.28515625" style="71" customWidth="1"/>
    <col min="7943" max="7945" width="7.42578125" style="71" customWidth="1"/>
    <col min="7946" max="7946" width="10.42578125" style="71" bestFit="1" customWidth="1"/>
    <col min="7947" max="7947" width="12" style="71" bestFit="1" customWidth="1"/>
    <col min="7948" max="7948" width="11" style="71" bestFit="1" customWidth="1"/>
    <col min="7949" max="7950" width="11" style="71" customWidth="1"/>
    <col min="7951" max="7951" width="10" style="71" bestFit="1" customWidth="1"/>
    <col min="7952" max="7952" width="14.42578125" style="71" bestFit="1" customWidth="1"/>
    <col min="7953" max="7963" width="0" style="71" hidden="1" customWidth="1"/>
    <col min="7964" max="8184" width="9.140625" style="71"/>
    <col min="8185" max="8185" width="54.140625" style="71" bestFit="1" customWidth="1"/>
    <col min="8186" max="8186" width="14.7109375" style="71" customWidth="1"/>
    <col min="8187" max="8187" width="10.140625" style="71" customWidth="1"/>
    <col min="8188" max="8188" width="10.42578125" style="71" bestFit="1" customWidth="1"/>
    <col min="8189" max="8190" width="9.42578125" style="71" bestFit="1" customWidth="1"/>
    <col min="8191" max="8192" width="9.42578125" style="71" customWidth="1"/>
    <col min="8193" max="8193" width="10.140625" style="71" bestFit="1" customWidth="1"/>
    <col min="8194" max="8197" width="9.140625" style="71"/>
    <col min="8198" max="8198" width="7.28515625" style="71" customWidth="1"/>
    <col min="8199" max="8201" width="7.42578125" style="71" customWidth="1"/>
    <col min="8202" max="8202" width="10.42578125" style="71" bestFit="1" customWidth="1"/>
    <col min="8203" max="8203" width="12" style="71" bestFit="1" customWidth="1"/>
    <col min="8204" max="8204" width="11" style="71" bestFit="1" customWidth="1"/>
    <col min="8205" max="8206" width="11" style="71" customWidth="1"/>
    <col min="8207" max="8207" width="10" style="71" bestFit="1" customWidth="1"/>
    <col min="8208" max="8208" width="14.42578125" style="71" bestFit="1" customWidth="1"/>
    <col min="8209" max="8219" width="0" style="71" hidden="1" customWidth="1"/>
    <col min="8220" max="8440" width="9.140625" style="71"/>
    <col min="8441" max="8441" width="54.140625" style="71" bestFit="1" customWidth="1"/>
    <col min="8442" max="8442" width="14.7109375" style="71" customWidth="1"/>
    <col min="8443" max="8443" width="10.140625" style="71" customWidth="1"/>
    <col min="8444" max="8444" width="10.42578125" style="71" bestFit="1" customWidth="1"/>
    <col min="8445" max="8446" width="9.42578125" style="71" bestFit="1" customWidth="1"/>
    <col min="8447" max="8448" width="9.42578125" style="71" customWidth="1"/>
    <col min="8449" max="8449" width="10.140625" style="71" bestFit="1" customWidth="1"/>
    <col min="8450" max="8453" width="9.140625" style="71"/>
    <col min="8454" max="8454" width="7.28515625" style="71" customWidth="1"/>
    <col min="8455" max="8457" width="7.42578125" style="71" customWidth="1"/>
    <col min="8458" max="8458" width="10.42578125" style="71" bestFit="1" customWidth="1"/>
    <col min="8459" max="8459" width="12" style="71" bestFit="1" customWidth="1"/>
    <col min="8460" max="8460" width="11" style="71" bestFit="1" customWidth="1"/>
    <col min="8461" max="8462" width="11" style="71" customWidth="1"/>
    <col min="8463" max="8463" width="10" style="71" bestFit="1" customWidth="1"/>
    <col min="8464" max="8464" width="14.42578125" style="71" bestFit="1" customWidth="1"/>
    <col min="8465" max="8475" width="0" style="71" hidden="1" customWidth="1"/>
    <col min="8476" max="8696" width="9.140625" style="71"/>
    <col min="8697" max="8697" width="54.140625" style="71" bestFit="1" customWidth="1"/>
    <col min="8698" max="8698" width="14.7109375" style="71" customWidth="1"/>
    <col min="8699" max="8699" width="10.140625" style="71" customWidth="1"/>
    <col min="8700" max="8700" width="10.42578125" style="71" bestFit="1" customWidth="1"/>
    <col min="8701" max="8702" width="9.42578125" style="71" bestFit="1" customWidth="1"/>
    <col min="8703" max="8704" width="9.42578125" style="71" customWidth="1"/>
    <col min="8705" max="8705" width="10.140625" style="71" bestFit="1" customWidth="1"/>
    <col min="8706" max="8709" width="9.140625" style="71"/>
    <col min="8710" max="8710" width="7.28515625" style="71" customWidth="1"/>
    <col min="8711" max="8713" width="7.42578125" style="71" customWidth="1"/>
    <col min="8714" max="8714" width="10.42578125" style="71" bestFit="1" customWidth="1"/>
    <col min="8715" max="8715" width="12" style="71" bestFit="1" customWidth="1"/>
    <col min="8716" max="8716" width="11" style="71" bestFit="1" customWidth="1"/>
    <col min="8717" max="8718" width="11" style="71" customWidth="1"/>
    <col min="8719" max="8719" width="10" style="71" bestFit="1" customWidth="1"/>
    <col min="8720" max="8720" width="14.42578125" style="71" bestFit="1" customWidth="1"/>
    <col min="8721" max="8731" width="0" style="71" hidden="1" customWidth="1"/>
    <col min="8732" max="8952" width="9.140625" style="71"/>
    <col min="8953" max="8953" width="54.140625" style="71" bestFit="1" customWidth="1"/>
    <col min="8954" max="8954" width="14.7109375" style="71" customWidth="1"/>
    <col min="8955" max="8955" width="10.140625" style="71" customWidth="1"/>
    <col min="8956" max="8956" width="10.42578125" style="71" bestFit="1" customWidth="1"/>
    <col min="8957" max="8958" width="9.42578125" style="71" bestFit="1" customWidth="1"/>
    <col min="8959" max="8960" width="9.42578125" style="71" customWidth="1"/>
    <col min="8961" max="8961" width="10.140625" style="71" bestFit="1" customWidth="1"/>
    <col min="8962" max="8965" width="9.140625" style="71"/>
    <col min="8966" max="8966" width="7.28515625" style="71" customWidth="1"/>
    <col min="8967" max="8969" width="7.42578125" style="71" customWidth="1"/>
    <col min="8970" max="8970" width="10.42578125" style="71" bestFit="1" customWidth="1"/>
    <col min="8971" max="8971" width="12" style="71" bestFit="1" customWidth="1"/>
    <col min="8972" max="8972" width="11" style="71" bestFit="1" customWidth="1"/>
    <col min="8973" max="8974" width="11" style="71" customWidth="1"/>
    <col min="8975" max="8975" width="10" style="71" bestFit="1" customWidth="1"/>
    <col min="8976" max="8976" width="14.42578125" style="71" bestFit="1" customWidth="1"/>
    <col min="8977" max="8987" width="0" style="71" hidden="1" customWidth="1"/>
    <col min="8988" max="9208" width="9.140625" style="71"/>
    <col min="9209" max="9209" width="54.140625" style="71" bestFit="1" customWidth="1"/>
    <col min="9210" max="9210" width="14.7109375" style="71" customWidth="1"/>
    <col min="9211" max="9211" width="10.140625" style="71" customWidth="1"/>
    <col min="9212" max="9212" width="10.42578125" style="71" bestFit="1" customWidth="1"/>
    <col min="9213" max="9214" width="9.42578125" style="71" bestFit="1" customWidth="1"/>
    <col min="9215" max="9216" width="9.42578125" style="71" customWidth="1"/>
    <col min="9217" max="9217" width="10.140625" style="71" bestFit="1" customWidth="1"/>
    <col min="9218" max="9221" width="9.140625" style="71"/>
    <col min="9222" max="9222" width="7.28515625" style="71" customWidth="1"/>
    <col min="9223" max="9225" width="7.42578125" style="71" customWidth="1"/>
    <col min="9226" max="9226" width="10.42578125" style="71" bestFit="1" customWidth="1"/>
    <col min="9227" max="9227" width="12" style="71" bestFit="1" customWidth="1"/>
    <col min="9228" max="9228" width="11" style="71" bestFit="1" customWidth="1"/>
    <col min="9229" max="9230" width="11" style="71" customWidth="1"/>
    <col min="9231" max="9231" width="10" style="71" bestFit="1" customWidth="1"/>
    <col min="9232" max="9232" width="14.42578125" style="71" bestFit="1" customWidth="1"/>
    <col min="9233" max="9243" width="0" style="71" hidden="1" customWidth="1"/>
    <col min="9244" max="9464" width="9.140625" style="71"/>
    <col min="9465" max="9465" width="54.140625" style="71" bestFit="1" customWidth="1"/>
    <col min="9466" max="9466" width="14.7109375" style="71" customWidth="1"/>
    <col min="9467" max="9467" width="10.140625" style="71" customWidth="1"/>
    <col min="9468" max="9468" width="10.42578125" style="71" bestFit="1" customWidth="1"/>
    <col min="9469" max="9470" width="9.42578125" style="71" bestFit="1" customWidth="1"/>
    <col min="9471" max="9472" width="9.42578125" style="71" customWidth="1"/>
    <col min="9473" max="9473" width="10.140625" style="71" bestFit="1" customWidth="1"/>
    <col min="9474" max="9477" width="9.140625" style="71"/>
    <col min="9478" max="9478" width="7.28515625" style="71" customWidth="1"/>
    <col min="9479" max="9481" width="7.42578125" style="71" customWidth="1"/>
    <col min="9482" max="9482" width="10.42578125" style="71" bestFit="1" customWidth="1"/>
    <col min="9483" max="9483" width="12" style="71" bestFit="1" customWidth="1"/>
    <col min="9484" max="9484" width="11" style="71" bestFit="1" customWidth="1"/>
    <col min="9485" max="9486" width="11" style="71" customWidth="1"/>
    <col min="9487" max="9487" width="10" style="71" bestFit="1" customWidth="1"/>
    <col min="9488" max="9488" width="14.42578125" style="71" bestFit="1" customWidth="1"/>
    <col min="9489" max="9499" width="0" style="71" hidden="1" customWidth="1"/>
    <col min="9500" max="9720" width="9.140625" style="71"/>
    <col min="9721" max="9721" width="54.140625" style="71" bestFit="1" customWidth="1"/>
    <col min="9722" max="9722" width="14.7109375" style="71" customWidth="1"/>
    <col min="9723" max="9723" width="10.140625" style="71" customWidth="1"/>
    <col min="9724" max="9724" width="10.42578125" style="71" bestFit="1" customWidth="1"/>
    <col min="9725" max="9726" width="9.42578125" style="71" bestFit="1" customWidth="1"/>
    <col min="9727" max="9728" width="9.42578125" style="71" customWidth="1"/>
    <col min="9729" max="9729" width="10.140625" style="71" bestFit="1" customWidth="1"/>
    <col min="9730" max="9733" width="9.140625" style="71"/>
    <col min="9734" max="9734" width="7.28515625" style="71" customWidth="1"/>
    <col min="9735" max="9737" width="7.42578125" style="71" customWidth="1"/>
    <col min="9738" max="9738" width="10.42578125" style="71" bestFit="1" customWidth="1"/>
    <col min="9739" max="9739" width="12" style="71" bestFit="1" customWidth="1"/>
    <col min="9740" max="9740" width="11" style="71" bestFit="1" customWidth="1"/>
    <col min="9741" max="9742" width="11" style="71" customWidth="1"/>
    <col min="9743" max="9743" width="10" style="71" bestFit="1" customWidth="1"/>
    <col min="9744" max="9744" width="14.42578125" style="71" bestFit="1" customWidth="1"/>
    <col min="9745" max="9755" width="0" style="71" hidden="1" customWidth="1"/>
    <col min="9756" max="9976" width="9.140625" style="71"/>
    <col min="9977" max="9977" width="54.140625" style="71" bestFit="1" customWidth="1"/>
    <col min="9978" max="9978" width="14.7109375" style="71" customWidth="1"/>
    <col min="9979" max="9979" width="10.140625" style="71" customWidth="1"/>
    <col min="9980" max="9980" width="10.42578125" style="71" bestFit="1" customWidth="1"/>
    <col min="9981" max="9982" width="9.42578125" style="71" bestFit="1" customWidth="1"/>
    <col min="9983" max="9984" width="9.42578125" style="71" customWidth="1"/>
    <col min="9985" max="9985" width="10.140625" style="71" bestFit="1" customWidth="1"/>
    <col min="9986" max="9989" width="9.140625" style="71"/>
    <col min="9990" max="9990" width="7.28515625" style="71" customWidth="1"/>
    <col min="9991" max="9993" width="7.42578125" style="71" customWidth="1"/>
    <col min="9994" max="9994" width="10.42578125" style="71" bestFit="1" customWidth="1"/>
    <col min="9995" max="9995" width="12" style="71" bestFit="1" customWidth="1"/>
    <col min="9996" max="9996" width="11" style="71" bestFit="1" customWidth="1"/>
    <col min="9997" max="9998" width="11" style="71" customWidth="1"/>
    <col min="9999" max="9999" width="10" style="71" bestFit="1" customWidth="1"/>
    <col min="10000" max="10000" width="14.42578125" style="71" bestFit="1" customWidth="1"/>
    <col min="10001" max="10011" width="0" style="71" hidden="1" customWidth="1"/>
    <col min="10012" max="10232" width="9.140625" style="71"/>
    <col min="10233" max="10233" width="54.140625" style="71" bestFit="1" customWidth="1"/>
    <col min="10234" max="10234" width="14.7109375" style="71" customWidth="1"/>
    <col min="10235" max="10235" width="10.140625" style="71" customWidth="1"/>
    <col min="10236" max="10236" width="10.42578125" style="71" bestFit="1" customWidth="1"/>
    <col min="10237" max="10238" width="9.42578125" style="71" bestFit="1" customWidth="1"/>
    <col min="10239" max="10240" width="9.42578125" style="71" customWidth="1"/>
    <col min="10241" max="10241" width="10.140625" style="71" bestFit="1" customWidth="1"/>
    <col min="10242" max="10245" width="9.140625" style="71"/>
    <col min="10246" max="10246" width="7.28515625" style="71" customWidth="1"/>
    <col min="10247" max="10249" width="7.42578125" style="71" customWidth="1"/>
    <col min="10250" max="10250" width="10.42578125" style="71" bestFit="1" customWidth="1"/>
    <col min="10251" max="10251" width="12" style="71" bestFit="1" customWidth="1"/>
    <col min="10252" max="10252" width="11" style="71" bestFit="1" customWidth="1"/>
    <col min="10253" max="10254" width="11" style="71" customWidth="1"/>
    <col min="10255" max="10255" width="10" style="71" bestFit="1" customWidth="1"/>
    <col min="10256" max="10256" width="14.42578125" style="71" bestFit="1" customWidth="1"/>
    <col min="10257" max="10267" width="0" style="71" hidden="1" customWidth="1"/>
    <col min="10268" max="10488" width="9.140625" style="71"/>
    <col min="10489" max="10489" width="54.140625" style="71" bestFit="1" customWidth="1"/>
    <col min="10490" max="10490" width="14.7109375" style="71" customWidth="1"/>
    <col min="10491" max="10491" width="10.140625" style="71" customWidth="1"/>
    <col min="10492" max="10492" width="10.42578125" style="71" bestFit="1" customWidth="1"/>
    <col min="10493" max="10494" width="9.42578125" style="71" bestFit="1" customWidth="1"/>
    <col min="10495" max="10496" width="9.42578125" style="71" customWidth="1"/>
    <col min="10497" max="10497" width="10.140625" style="71" bestFit="1" customWidth="1"/>
    <col min="10498" max="10501" width="9.140625" style="71"/>
    <col min="10502" max="10502" width="7.28515625" style="71" customWidth="1"/>
    <col min="10503" max="10505" width="7.42578125" style="71" customWidth="1"/>
    <col min="10506" max="10506" width="10.42578125" style="71" bestFit="1" customWidth="1"/>
    <col min="10507" max="10507" width="12" style="71" bestFit="1" customWidth="1"/>
    <col min="10508" max="10508" width="11" style="71" bestFit="1" customWidth="1"/>
    <col min="10509" max="10510" width="11" style="71" customWidth="1"/>
    <col min="10511" max="10511" width="10" style="71" bestFit="1" customWidth="1"/>
    <col min="10512" max="10512" width="14.42578125" style="71" bestFit="1" customWidth="1"/>
    <col min="10513" max="10523" width="0" style="71" hidden="1" customWidth="1"/>
    <col min="10524" max="10744" width="9.140625" style="71"/>
    <col min="10745" max="10745" width="54.140625" style="71" bestFit="1" customWidth="1"/>
    <col min="10746" max="10746" width="14.7109375" style="71" customWidth="1"/>
    <col min="10747" max="10747" width="10.140625" style="71" customWidth="1"/>
    <col min="10748" max="10748" width="10.42578125" style="71" bestFit="1" customWidth="1"/>
    <col min="10749" max="10750" width="9.42578125" style="71" bestFit="1" customWidth="1"/>
    <col min="10751" max="10752" width="9.42578125" style="71" customWidth="1"/>
    <col min="10753" max="10753" width="10.140625" style="71" bestFit="1" customWidth="1"/>
    <col min="10754" max="10757" width="9.140625" style="71"/>
    <col min="10758" max="10758" width="7.28515625" style="71" customWidth="1"/>
    <col min="10759" max="10761" width="7.42578125" style="71" customWidth="1"/>
    <col min="10762" max="10762" width="10.42578125" style="71" bestFit="1" customWidth="1"/>
    <col min="10763" max="10763" width="12" style="71" bestFit="1" customWidth="1"/>
    <col min="10764" max="10764" width="11" style="71" bestFit="1" customWidth="1"/>
    <col min="10765" max="10766" width="11" style="71" customWidth="1"/>
    <col min="10767" max="10767" width="10" style="71" bestFit="1" customWidth="1"/>
    <col min="10768" max="10768" width="14.42578125" style="71" bestFit="1" customWidth="1"/>
    <col min="10769" max="10779" width="0" style="71" hidden="1" customWidth="1"/>
    <col min="10780" max="11000" width="9.140625" style="71"/>
    <col min="11001" max="11001" width="54.140625" style="71" bestFit="1" customWidth="1"/>
    <col min="11002" max="11002" width="14.7109375" style="71" customWidth="1"/>
    <col min="11003" max="11003" width="10.140625" style="71" customWidth="1"/>
    <col min="11004" max="11004" width="10.42578125" style="71" bestFit="1" customWidth="1"/>
    <col min="11005" max="11006" width="9.42578125" style="71" bestFit="1" customWidth="1"/>
    <col min="11007" max="11008" width="9.42578125" style="71" customWidth="1"/>
    <col min="11009" max="11009" width="10.140625" style="71" bestFit="1" customWidth="1"/>
    <col min="11010" max="11013" width="9.140625" style="71"/>
    <col min="11014" max="11014" width="7.28515625" style="71" customWidth="1"/>
    <col min="11015" max="11017" width="7.42578125" style="71" customWidth="1"/>
    <col min="11018" max="11018" width="10.42578125" style="71" bestFit="1" customWidth="1"/>
    <col min="11019" max="11019" width="12" style="71" bestFit="1" customWidth="1"/>
    <col min="11020" max="11020" width="11" style="71" bestFit="1" customWidth="1"/>
    <col min="11021" max="11022" width="11" style="71" customWidth="1"/>
    <col min="11023" max="11023" width="10" style="71" bestFit="1" customWidth="1"/>
    <col min="11024" max="11024" width="14.42578125" style="71" bestFit="1" customWidth="1"/>
    <col min="11025" max="11035" width="0" style="71" hidden="1" customWidth="1"/>
    <col min="11036" max="11256" width="9.140625" style="71"/>
    <col min="11257" max="11257" width="54.140625" style="71" bestFit="1" customWidth="1"/>
    <col min="11258" max="11258" width="14.7109375" style="71" customWidth="1"/>
    <col min="11259" max="11259" width="10.140625" style="71" customWidth="1"/>
    <col min="11260" max="11260" width="10.42578125" style="71" bestFit="1" customWidth="1"/>
    <col min="11261" max="11262" width="9.42578125" style="71" bestFit="1" customWidth="1"/>
    <col min="11263" max="11264" width="9.42578125" style="71" customWidth="1"/>
    <col min="11265" max="11265" width="10.140625" style="71" bestFit="1" customWidth="1"/>
    <col min="11266" max="11269" width="9.140625" style="71"/>
    <col min="11270" max="11270" width="7.28515625" style="71" customWidth="1"/>
    <col min="11271" max="11273" width="7.42578125" style="71" customWidth="1"/>
    <col min="11274" max="11274" width="10.42578125" style="71" bestFit="1" customWidth="1"/>
    <col min="11275" max="11275" width="12" style="71" bestFit="1" customWidth="1"/>
    <col min="11276" max="11276" width="11" style="71" bestFit="1" customWidth="1"/>
    <col min="11277" max="11278" width="11" style="71" customWidth="1"/>
    <col min="11279" max="11279" width="10" style="71" bestFit="1" customWidth="1"/>
    <col min="11280" max="11280" width="14.42578125" style="71" bestFit="1" customWidth="1"/>
    <col min="11281" max="11291" width="0" style="71" hidden="1" customWidth="1"/>
    <col min="11292" max="11512" width="9.140625" style="71"/>
    <col min="11513" max="11513" width="54.140625" style="71" bestFit="1" customWidth="1"/>
    <col min="11514" max="11514" width="14.7109375" style="71" customWidth="1"/>
    <col min="11515" max="11515" width="10.140625" style="71" customWidth="1"/>
    <col min="11516" max="11516" width="10.42578125" style="71" bestFit="1" customWidth="1"/>
    <col min="11517" max="11518" width="9.42578125" style="71" bestFit="1" customWidth="1"/>
    <col min="11519" max="11520" width="9.42578125" style="71" customWidth="1"/>
    <col min="11521" max="11521" width="10.140625" style="71" bestFit="1" customWidth="1"/>
    <col min="11522" max="11525" width="9.140625" style="71"/>
    <col min="11526" max="11526" width="7.28515625" style="71" customWidth="1"/>
    <col min="11527" max="11529" width="7.42578125" style="71" customWidth="1"/>
    <col min="11530" max="11530" width="10.42578125" style="71" bestFit="1" customWidth="1"/>
    <col min="11531" max="11531" width="12" style="71" bestFit="1" customWidth="1"/>
    <col min="11532" max="11532" width="11" style="71" bestFit="1" customWidth="1"/>
    <col min="11533" max="11534" width="11" style="71" customWidth="1"/>
    <col min="11535" max="11535" width="10" style="71" bestFit="1" customWidth="1"/>
    <col min="11536" max="11536" width="14.42578125" style="71" bestFit="1" customWidth="1"/>
    <col min="11537" max="11547" width="0" style="71" hidden="1" customWidth="1"/>
    <col min="11548" max="11768" width="9.140625" style="71"/>
    <col min="11769" max="11769" width="54.140625" style="71" bestFit="1" customWidth="1"/>
    <col min="11770" max="11770" width="14.7109375" style="71" customWidth="1"/>
    <col min="11771" max="11771" width="10.140625" style="71" customWidth="1"/>
    <col min="11772" max="11772" width="10.42578125" style="71" bestFit="1" customWidth="1"/>
    <col min="11773" max="11774" width="9.42578125" style="71" bestFit="1" customWidth="1"/>
    <col min="11775" max="11776" width="9.42578125" style="71" customWidth="1"/>
    <col min="11777" max="11777" width="10.140625" style="71" bestFit="1" customWidth="1"/>
    <col min="11778" max="11781" width="9.140625" style="71"/>
    <col min="11782" max="11782" width="7.28515625" style="71" customWidth="1"/>
    <col min="11783" max="11785" width="7.42578125" style="71" customWidth="1"/>
    <col min="11786" max="11786" width="10.42578125" style="71" bestFit="1" customWidth="1"/>
    <col min="11787" max="11787" width="12" style="71" bestFit="1" customWidth="1"/>
    <col min="11788" max="11788" width="11" style="71" bestFit="1" customWidth="1"/>
    <col min="11789" max="11790" width="11" style="71" customWidth="1"/>
    <col min="11791" max="11791" width="10" style="71" bestFit="1" customWidth="1"/>
    <col min="11792" max="11792" width="14.42578125" style="71" bestFit="1" customWidth="1"/>
    <col min="11793" max="11803" width="0" style="71" hidden="1" customWidth="1"/>
    <col min="11804" max="12024" width="9.140625" style="71"/>
    <col min="12025" max="12025" width="54.140625" style="71" bestFit="1" customWidth="1"/>
    <col min="12026" max="12026" width="14.7109375" style="71" customWidth="1"/>
    <col min="12027" max="12027" width="10.140625" style="71" customWidth="1"/>
    <col min="12028" max="12028" width="10.42578125" style="71" bestFit="1" customWidth="1"/>
    <col min="12029" max="12030" width="9.42578125" style="71" bestFit="1" customWidth="1"/>
    <col min="12031" max="12032" width="9.42578125" style="71" customWidth="1"/>
    <col min="12033" max="12033" width="10.140625" style="71" bestFit="1" customWidth="1"/>
    <col min="12034" max="12037" width="9.140625" style="71"/>
    <col min="12038" max="12038" width="7.28515625" style="71" customWidth="1"/>
    <col min="12039" max="12041" width="7.42578125" style="71" customWidth="1"/>
    <col min="12042" max="12042" width="10.42578125" style="71" bestFit="1" customWidth="1"/>
    <col min="12043" max="12043" width="12" style="71" bestFit="1" customWidth="1"/>
    <col min="12044" max="12044" width="11" style="71" bestFit="1" customWidth="1"/>
    <col min="12045" max="12046" width="11" style="71" customWidth="1"/>
    <col min="12047" max="12047" width="10" style="71" bestFit="1" customWidth="1"/>
    <col min="12048" max="12048" width="14.42578125" style="71" bestFit="1" customWidth="1"/>
    <col min="12049" max="12059" width="0" style="71" hidden="1" customWidth="1"/>
    <col min="12060" max="12280" width="9.140625" style="71"/>
    <col min="12281" max="12281" width="54.140625" style="71" bestFit="1" customWidth="1"/>
    <col min="12282" max="12282" width="14.7109375" style="71" customWidth="1"/>
    <col min="12283" max="12283" width="10.140625" style="71" customWidth="1"/>
    <col min="12284" max="12284" width="10.42578125" style="71" bestFit="1" customWidth="1"/>
    <col min="12285" max="12286" width="9.42578125" style="71" bestFit="1" customWidth="1"/>
    <col min="12287" max="12288" width="9.42578125" style="71" customWidth="1"/>
    <col min="12289" max="12289" width="10.140625" style="71" bestFit="1" customWidth="1"/>
    <col min="12290" max="12293" width="9.140625" style="71"/>
    <col min="12294" max="12294" width="7.28515625" style="71" customWidth="1"/>
    <col min="12295" max="12297" width="7.42578125" style="71" customWidth="1"/>
    <col min="12298" max="12298" width="10.42578125" style="71" bestFit="1" customWidth="1"/>
    <col min="12299" max="12299" width="12" style="71" bestFit="1" customWidth="1"/>
    <col min="12300" max="12300" width="11" style="71" bestFit="1" customWidth="1"/>
    <col min="12301" max="12302" width="11" style="71" customWidth="1"/>
    <col min="12303" max="12303" width="10" style="71" bestFit="1" customWidth="1"/>
    <col min="12304" max="12304" width="14.42578125" style="71" bestFit="1" customWidth="1"/>
    <col min="12305" max="12315" width="0" style="71" hidden="1" customWidth="1"/>
    <col min="12316" max="12536" width="9.140625" style="71"/>
    <col min="12537" max="12537" width="54.140625" style="71" bestFit="1" customWidth="1"/>
    <col min="12538" max="12538" width="14.7109375" style="71" customWidth="1"/>
    <col min="12539" max="12539" width="10.140625" style="71" customWidth="1"/>
    <col min="12540" max="12540" width="10.42578125" style="71" bestFit="1" customWidth="1"/>
    <col min="12541" max="12542" width="9.42578125" style="71" bestFit="1" customWidth="1"/>
    <col min="12543" max="12544" width="9.42578125" style="71" customWidth="1"/>
    <col min="12545" max="12545" width="10.140625" style="71" bestFit="1" customWidth="1"/>
    <col min="12546" max="12549" width="9.140625" style="71"/>
    <col min="12550" max="12550" width="7.28515625" style="71" customWidth="1"/>
    <col min="12551" max="12553" width="7.42578125" style="71" customWidth="1"/>
    <col min="12554" max="12554" width="10.42578125" style="71" bestFit="1" customWidth="1"/>
    <col min="12555" max="12555" width="12" style="71" bestFit="1" customWidth="1"/>
    <col min="12556" max="12556" width="11" style="71" bestFit="1" customWidth="1"/>
    <col min="12557" max="12558" width="11" style="71" customWidth="1"/>
    <col min="12559" max="12559" width="10" style="71" bestFit="1" customWidth="1"/>
    <col min="12560" max="12560" width="14.42578125" style="71" bestFit="1" customWidth="1"/>
    <col min="12561" max="12571" width="0" style="71" hidden="1" customWidth="1"/>
    <col min="12572" max="12792" width="9.140625" style="71"/>
    <col min="12793" max="12793" width="54.140625" style="71" bestFit="1" customWidth="1"/>
    <col min="12794" max="12794" width="14.7109375" style="71" customWidth="1"/>
    <col min="12795" max="12795" width="10.140625" style="71" customWidth="1"/>
    <col min="12796" max="12796" width="10.42578125" style="71" bestFit="1" customWidth="1"/>
    <col min="12797" max="12798" width="9.42578125" style="71" bestFit="1" customWidth="1"/>
    <col min="12799" max="12800" width="9.42578125" style="71" customWidth="1"/>
    <col min="12801" max="12801" width="10.140625" style="71" bestFit="1" customWidth="1"/>
    <col min="12802" max="12805" width="9.140625" style="71"/>
    <col min="12806" max="12806" width="7.28515625" style="71" customWidth="1"/>
    <col min="12807" max="12809" width="7.42578125" style="71" customWidth="1"/>
    <col min="12810" max="12810" width="10.42578125" style="71" bestFit="1" customWidth="1"/>
    <col min="12811" max="12811" width="12" style="71" bestFit="1" customWidth="1"/>
    <col min="12812" max="12812" width="11" style="71" bestFit="1" customWidth="1"/>
    <col min="12813" max="12814" width="11" style="71" customWidth="1"/>
    <col min="12815" max="12815" width="10" style="71" bestFit="1" customWidth="1"/>
    <col min="12816" max="12816" width="14.42578125" style="71" bestFit="1" customWidth="1"/>
    <col min="12817" max="12827" width="0" style="71" hidden="1" customWidth="1"/>
    <col min="12828" max="13048" width="9.140625" style="71"/>
    <col min="13049" max="13049" width="54.140625" style="71" bestFit="1" customWidth="1"/>
    <col min="13050" max="13050" width="14.7109375" style="71" customWidth="1"/>
    <col min="13051" max="13051" width="10.140625" style="71" customWidth="1"/>
    <col min="13052" max="13052" width="10.42578125" style="71" bestFit="1" customWidth="1"/>
    <col min="13053" max="13054" width="9.42578125" style="71" bestFit="1" customWidth="1"/>
    <col min="13055" max="13056" width="9.42578125" style="71" customWidth="1"/>
    <col min="13057" max="13057" width="10.140625" style="71" bestFit="1" customWidth="1"/>
    <col min="13058" max="13061" width="9.140625" style="71"/>
    <col min="13062" max="13062" width="7.28515625" style="71" customWidth="1"/>
    <col min="13063" max="13065" width="7.42578125" style="71" customWidth="1"/>
    <col min="13066" max="13066" width="10.42578125" style="71" bestFit="1" customWidth="1"/>
    <col min="13067" max="13067" width="12" style="71" bestFit="1" customWidth="1"/>
    <col min="13068" max="13068" width="11" style="71" bestFit="1" customWidth="1"/>
    <col min="13069" max="13070" width="11" style="71" customWidth="1"/>
    <col min="13071" max="13071" width="10" style="71" bestFit="1" customWidth="1"/>
    <col min="13072" max="13072" width="14.42578125" style="71" bestFit="1" customWidth="1"/>
    <col min="13073" max="13083" width="0" style="71" hidden="1" customWidth="1"/>
    <col min="13084" max="13304" width="9.140625" style="71"/>
    <col min="13305" max="13305" width="54.140625" style="71" bestFit="1" customWidth="1"/>
    <col min="13306" max="13306" width="14.7109375" style="71" customWidth="1"/>
    <col min="13307" max="13307" width="10.140625" style="71" customWidth="1"/>
    <col min="13308" max="13308" width="10.42578125" style="71" bestFit="1" customWidth="1"/>
    <col min="13309" max="13310" width="9.42578125" style="71" bestFit="1" customWidth="1"/>
    <col min="13311" max="13312" width="9.42578125" style="71" customWidth="1"/>
    <col min="13313" max="13313" width="10.140625" style="71" bestFit="1" customWidth="1"/>
    <col min="13314" max="13317" width="9.140625" style="71"/>
    <col min="13318" max="13318" width="7.28515625" style="71" customWidth="1"/>
    <col min="13319" max="13321" width="7.42578125" style="71" customWidth="1"/>
    <col min="13322" max="13322" width="10.42578125" style="71" bestFit="1" customWidth="1"/>
    <col min="13323" max="13323" width="12" style="71" bestFit="1" customWidth="1"/>
    <col min="13324" max="13324" width="11" style="71" bestFit="1" customWidth="1"/>
    <col min="13325" max="13326" width="11" style="71" customWidth="1"/>
    <col min="13327" max="13327" width="10" style="71" bestFit="1" customWidth="1"/>
    <col min="13328" max="13328" width="14.42578125" style="71" bestFit="1" customWidth="1"/>
    <col min="13329" max="13339" width="0" style="71" hidden="1" customWidth="1"/>
    <col min="13340" max="13560" width="9.140625" style="71"/>
    <col min="13561" max="13561" width="54.140625" style="71" bestFit="1" customWidth="1"/>
    <col min="13562" max="13562" width="14.7109375" style="71" customWidth="1"/>
    <col min="13563" max="13563" width="10.140625" style="71" customWidth="1"/>
    <col min="13564" max="13564" width="10.42578125" style="71" bestFit="1" customWidth="1"/>
    <col min="13565" max="13566" width="9.42578125" style="71" bestFit="1" customWidth="1"/>
    <col min="13567" max="13568" width="9.42578125" style="71" customWidth="1"/>
    <col min="13569" max="13569" width="10.140625" style="71" bestFit="1" customWidth="1"/>
    <col min="13570" max="13573" width="9.140625" style="71"/>
    <col min="13574" max="13574" width="7.28515625" style="71" customWidth="1"/>
    <col min="13575" max="13577" width="7.42578125" style="71" customWidth="1"/>
    <col min="13578" max="13578" width="10.42578125" style="71" bestFit="1" customWidth="1"/>
    <col min="13579" max="13579" width="12" style="71" bestFit="1" customWidth="1"/>
    <col min="13580" max="13580" width="11" style="71" bestFit="1" customWidth="1"/>
    <col min="13581" max="13582" width="11" style="71" customWidth="1"/>
    <col min="13583" max="13583" width="10" style="71" bestFit="1" customWidth="1"/>
    <col min="13584" max="13584" width="14.42578125" style="71" bestFit="1" customWidth="1"/>
    <col min="13585" max="13595" width="0" style="71" hidden="1" customWidth="1"/>
    <col min="13596" max="13816" width="9.140625" style="71"/>
    <col min="13817" max="13817" width="54.140625" style="71" bestFit="1" customWidth="1"/>
    <col min="13818" max="13818" width="14.7109375" style="71" customWidth="1"/>
    <col min="13819" max="13819" width="10.140625" style="71" customWidth="1"/>
    <col min="13820" max="13820" width="10.42578125" style="71" bestFit="1" customWidth="1"/>
    <col min="13821" max="13822" width="9.42578125" style="71" bestFit="1" customWidth="1"/>
    <col min="13823" max="13824" width="9.42578125" style="71" customWidth="1"/>
    <col min="13825" max="13825" width="10.140625" style="71" bestFit="1" customWidth="1"/>
    <col min="13826" max="13829" width="9.140625" style="71"/>
    <col min="13830" max="13830" width="7.28515625" style="71" customWidth="1"/>
    <col min="13831" max="13833" width="7.42578125" style="71" customWidth="1"/>
    <col min="13834" max="13834" width="10.42578125" style="71" bestFit="1" customWidth="1"/>
    <col min="13835" max="13835" width="12" style="71" bestFit="1" customWidth="1"/>
    <col min="13836" max="13836" width="11" style="71" bestFit="1" customWidth="1"/>
    <col min="13837" max="13838" width="11" style="71" customWidth="1"/>
    <col min="13839" max="13839" width="10" style="71" bestFit="1" customWidth="1"/>
    <col min="13840" max="13840" width="14.42578125" style="71" bestFit="1" customWidth="1"/>
    <col min="13841" max="13851" width="0" style="71" hidden="1" customWidth="1"/>
    <col min="13852" max="14072" width="9.140625" style="71"/>
    <col min="14073" max="14073" width="54.140625" style="71" bestFit="1" customWidth="1"/>
    <col min="14074" max="14074" width="14.7109375" style="71" customWidth="1"/>
    <col min="14075" max="14075" width="10.140625" style="71" customWidth="1"/>
    <col min="14076" max="14076" width="10.42578125" style="71" bestFit="1" customWidth="1"/>
    <col min="14077" max="14078" width="9.42578125" style="71" bestFit="1" customWidth="1"/>
    <col min="14079" max="14080" width="9.42578125" style="71" customWidth="1"/>
    <col min="14081" max="14081" width="10.140625" style="71" bestFit="1" customWidth="1"/>
    <col min="14082" max="14085" width="9.140625" style="71"/>
    <col min="14086" max="14086" width="7.28515625" style="71" customWidth="1"/>
    <col min="14087" max="14089" width="7.42578125" style="71" customWidth="1"/>
    <col min="14090" max="14090" width="10.42578125" style="71" bestFit="1" customWidth="1"/>
    <col min="14091" max="14091" width="12" style="71" bestFit="1" customWidth="1"/>
    <col min="14092" max="14092" width="11" style="71" bestFit="1" customWidth="1"/>
    <col min="14093" max="14094" width="11" style="71" customWidth="1"/>
    <col min="14095" max="14095" width="10" style="71" bestFit="1" customWidth="1"/>
    <col min="14096" max="14096" width="14.42578125" style="71" bestFit="1" customWidth="1"/>
    <col min="14097" max="14107" width="0" style="71" hidden="1" customWidth="1"/>
    <col min="14108" max="14328" width="9.140625" style="71"/>
    <col min="14329" max="14329" width="54.140625" style="71" bestFit="1" customWidth="1"/>
    <col min="14330" max="14330" width="14.7109375" style="71" customWidth="1"/>
    <col min="14331" max="14331" width="10.140625" style="71" customWidth="1"/>
    <col min="14332" max="14332" width="10.42578125" style="71" bestFit="1" customWidth="1"/>
    <col min="14333" max="14334" width="9.42578125" style="71" bestFit="1" customWidth="1"/>
    <col min="14335" max="14336" width="9.42578125" style="71" customWidth="1"/>
    <col min="14337" max="14337" width="10.140625" style="71" bestFit="1" customWidth="1"/>
    <col min="14338" max="14341" width="9.140625" style="71"/>
    <col min="14342" max="14342" width="7.28515625" style="71" customWidth="1"/>
    <col min="14343" max="14345" width="7.42578125" style="71" customWidth="1"/>
    <col min="14346" max="14346" width="10.42578125" style="71" bestFit="1" customWidth="1"/>
    <col min="14347" max="14347" width="12" style="71" bestFit="1" customWidth="1"/>
    <col min="14348" max="14348" width="11" style="71" bestFit="1" customWidth="1"/>
    <col min="14349" max="14350" width="11" style="71" customWidth="1"/>
    <col min="14351" max="14351" width="10" style="71" bestFit="1" customWidth="1"/>
    <col min="14352" max="14352" width="14.42578125" style="71" bestFit="1" customWidth="1"/>
    <col min="14353" max="14363" width="0" style="71" hidden="1" customWidth="1"/>
    <col min="14364" max="14584" width="9.140625" style="71"/>
    <col min="14585" max="14585" width="54.140625" style="71" bestFit="1" customWidth="1"/>
    <col min="14586" max="14586" width="14.7109375" style="71" customWidth="1"/>
    <col min="14587" max="14587" width="10.140625" style="71" customWidth="1"/>
    <col min="14588" max="14588" width="10.42578125" style="71" bestFit="1" customWidth="1"/>
    <col min="14589" max="14590" width="9.42578125" style="71" bestFit="1" customWidth="1"/>
    <col min="14591" max="14592" width="9.42578125" style="71" customWidth="1"/>
    <col min="14593" max="14593" width="10.140625" style="71" bestFit="1" customWidth="1"/>
    <col min="14594" max="14597" width="9.140625" style="71"/>
    <col min="14598" max="14598" width="7.28515625" style="71" customWidth="1"/>
    <col min="14599" max="14601" width="7.42578125" style="71" customWidth="1"/>
    <col min="14602" max="14602" width="10.42578125" style="71" bestFit="1" customWidth="1"/>
    <col min="14603" max="14603" width="12" style="71" bestFit="1" customWidth="1"/>
    <col min="14604" max="14604" width="11" style="71" bestFit="1" customWidth="1"/>
    <col min="14605" max="14606" width="11" style="71" customWidth="1"/>
    <col min="14607" max="14607" width="10" style="71" bestFit="1" customWidth="1"/>
    <col min="14608" max="14608" width="14.42578125" style="71" bestFit="1" customWidth="1"/>
    <col min="14609" max="14619" width="0" style="71" hidden="1" customWidth="1"/>
    <col min="14620" max="14840" width="9.140625" style="71"/>
    <col min="14841" max="14841" width="54.140625" style="71" bestFit="1" customWidth="1"/>
    <col min="14842" max="14842" width="14.7109375" style="71" customWidth="1"/>
    <col min="14843" max="14843" width="10.140625" style="71" customWidth="1"/>
    <col min="14844" max="14844" width="10.42578125" style="71" bestFit="1" customWidth="1"/>
    <col min="14845" max="14846" width="9.42578125" style="71" bestFit="1" customWidth="1"/>
    <col min="14847" max="14848" width="9.42578125" style="71" customWidth="1"/>
    <col min="14849" max="14849" width="10.140625" style="71" bestFit="1" customWidth="1"/>
    <col min="14850" max="14853" width="9.140625" style="71"/>
    <col min="14854" max="14854" width="7.28515625" style="71" customWidth="1"/>
    <col min="14855" max="14857" width="7.42578125" style="71" customWidth="1"/>
    <col min="14858" max="14858" width="10.42578125" style="71" bestFit="1" customWidth="1"/>
    <col min="14859" max="14859" width="12" style="71" bestFit="1" customWidth="1"/>
    <col min="14860" max="14860" width="11" style="71" bestFit="1" customWidth="1"/>
    <col min="14861" max="14862" width="11" style="71" customWidth="1"/>
    <col min="14863" max="14863" width="10" style="71" bestFit="1" customWidth="1"/>
    <col min="14864" max="14864" width="14.42578125" style="71" bestFit="1" customWidth="1"/>
    <col min="14865" max="14875" width="0" style="71" hidden="1" customWidth="1"/>
    <col min="14876" max="15096" width="9.140625" style="71"/>
    <col min="15097" max="15097" width="54.140625" style="71" bestFit="1" customWidth="1"/>
    <col min="15098" max="15098" width="14.7109375" style="71" customWidth="1"/>
    <col min="15099" max="15099" width="10.140625" style="71" customWidth="1"/>
    <col min="15100" max="15100" width="10.42578125" style="71" bestFit="1" customWidth="1"/>
    <col min="15101" max="15102" width="9.42578125" style="71" bestFit="1" customWidth="1"/>
    <col min="15103" max="15104" width="9.42578125" style="71" customWidth="1"/>
    <col min="15105" max="15105" width="10.140625" style="71" bestFit="1" customWidth="1"/>
    <col min="15106" max="15109" width="9.140625" style="71"/>
    <col min="15110" max="15110" width="7.28515625" style="71" customWidth="1"/>
    <col min="15111" max="15113" width="7.42578125" style="71" customWidth="1"/>
    <col min="15114" max="15114" width="10.42578125" style="71" bestFit="1" customWidth="1"/>
    <col min="15115" max="15115" width="12" style="71" bestFit="1" customWidth="1"/>
    <col min="15116" max="15116" width="11" style="71" bestFit="1" customWidth="1"/>
    <col min="15117" max="15118" width="11" style="71" customWidth="1"/>
    <col min="15119" max="15119" width="10" style="71" bestFit="1" customWidth="1"/>
    <col min="15120" max="15120" width="14.42578125" style="71" bestFit="1" customWidth="1"/>
    <col min="15121" max="15131" width="0" style="71" hidden="1" customWidth="1"/>
    <col min="15132" max="15352" width="9.140625" style="71"/>
    <col min="15353" max="15353" width="54.140625" style="71" bestFit="1" customWidth="1"/>
    <col min="15354" max="15354" width="14.7109375" style="71" customWidth="1"/>
    <col min="15355" max="15355" width="10.140625" style="71" customWidth="1"/>
    <col min="15356" max="15356" width="10.42578125" style="71" bestFit="1" customWidth="1"/>
    <col min="15357" max="15358" width="9.42578125" style="71" bestFit="1" customWidth="1"/>
    <col min="15359" max="15360" width="9.42578125" style="71" customWidth="1"/>
    <col min="15361" max="15361" width="10.140625" style="71" bestFit="1" customWidth="1"/>
    <col min="15362" max="15365" width="9.140625" style="71"/>
    <col min="15366" max="15366" width="7.28515625" style="71" customWidth="1"/>
    <col min="15367" max="15369" width="7.42578125" style="71" customWidth="1"/>
    <col min="15370" max="15370" width="10.42578125" style="71" bestFit="1" customWidth="1"/>
    <col min="15371" max="15371" width="12" style="71" bestFit="1" customWidth="1"/>
    <col min="15372" max="15372" width="11" style="71" bestFit="1" customWidth="1"/>
    <col min="15373" max="15374" width="11" style="71" customWidth="1"/>
    <col min="15375" max="15375" width="10" style="71" bestFit="1" customWidth="1"/>
    <col min="15376" max="15376" width="14.42578125" style="71" bestFit="1" customWidth="1"/>
    <col min="15377" max="15387" width="0" style="71" hidden="1" customWidth="1"/>
    <col min="15388" max="15608" width="9.140625" style="71"/>
    <col min="15609" max="15609" width="54.140625" style="71" bestFit="1" customWidth="1"/>
    <col min="15610" max="15610" width="14.7109375" style="71" customWidth="1"/>
    <col min="15611" max="15611" width="10.140625" style="71" customWidth="1"/>
    <col min="15612" max="15612" width="10.42578125" style="71" bestFit="1" customWidth="1"/>
    <col min="15613" max="15614" width="9.42578125" style="71" bestFit="1" customWidth="1"/>
    <col min="15615" max="15616" width="9.42578125" style="71" customWidth="1"/>
    <col min="15617" max="15617" width="10.140625" style="71" bestFit="1" customWidth="1"/>
    <col min="15618" max="15621" width="9.140625" style="71"/>
    <col min="15622" max="15622" width="7.28515625" style="71" customWidth="1"/>
    <col min="15623" max="15625" width="7.42578125" style="71" customWidth="1"/>
    <col min="15626" max="15626" width="10.42578125" style="71" bestFit="1" customWidth="1"/>
    <col min="15627" max="15627" width="12" style="71" bestFit="1" customWidth="1"/>
    <col min="15628" max="15628" width="11" style="71" bestFit="1" customWidth="1"/>
    <col min="15629" max="15630" width="11" style="71" customWidth="1"/>
    <col min="15631" max="15631" width="10" style="71" bestFit="1" customWidth="1"/>
    <col min="15632" max="15632" width="14.42578125" style="71" bestFit="1" customWidth="1"/>
    <col min="15633" max="15643" width="0" style="71" hidden="1" customWidth="1"/>
    <col min="15644" max="15864" width="9.140625" style="71"/>
    <col min="15865" max="15865" width="54.140625" style="71" bestFit="1" customWidth="1"/>
    <col min="15866" max="15866" width="14.7109375" style="71" customWidth="1"/>
    <col min="15867" max="15867" width="10.140625" style="71" customWidth="1"/>
    <col min="15868" max="15868" width="10.42578125" style="71" bestFit="1" customWidth="1"/>
    <col min="15869" max="15870" width="9.42578125" style="71" bestFit="1" customWidth="1"/>
    <col min="15871" max="15872" width="9.42578125" style="71" customWidth="1"/>
    <col min="15873" max="15873" width="10.140625" style="71" bestFit="1" customWidth="1"/>
    <col min="15874" max="15877" width="9.140625" style="71"/>
    <col min="15878" max="15878" width="7.28515625" style="71" customWidth="1"/>
    <col min="15879" max="15881" width="7.42578125" style="71" customWidth="1"/>
    <col min="15882" max="15882" width="10.42578125" style="71" bestFit="1" customWidth="1"/>
    <col min="15883" max="15883" width="12" style="71" bestFit="1" customWidth="1"/>
    <col min="15884" max="15884" width="11" style="71" bestFit="1" customWidth="1"/>
    <col min="15885" max="15886" width="11" style="71" customWidth="1"/>
    <col min="15887" max="15887" width="10" style="71" bestFit="1" customWidth="1"/>
    <col min="15888" max="15888" width="14.42578125" style="71" bestFit="1" customWidth="1"/>
    <col min="15889" max="15899" width="0" style="71" hidden="1" customWidth="1"/>
    <col min="15900" max="16120" width="9.140625" style="71"/>
    <col min="16121" max="16121" width="54.140625" style="71" bestFit="1" customWidth="1"/>
    <col min="16122" max="16122" width="14.7109375" style="71" customWidth="1"/>
    <col min="16123" max="16123" width="10.140625" style="71" customWidth="1"/>
    <col min="16124" max="16124" width="10.42578125" style="71" bestFit="1" customWidth="1"/>
    <col min="16125" max="16126" width="9.42578125" style="71" bestFit="1" customWidth="1"/>
    <col min="16127" max="16128" width="9.42578125" style="71" customWidth="1"/>
    <col min="16129" max="16129" width="10.140625" style="71" bestFit="1" customWidth="1"/>
    <col min="16130" max="16133" width="9.140625" style="71"/>
    <col min="16134" max="16134" width="7.28515625" style="71" customWidth="1"/>
    <col min="16135" max="16137" width="7.42578125" style="71" customWidth="1"/>
    <col min="16138" max="16138" width="10.42578125" style="71" bestFit="1" customWidth="1"/>
    <col min="16139" max="16139" width="12" style="71" bestFit="1" customWidth="1"/>
    <col min="16140" max="16140" width="11" style="71" bestFit="1" customWidth="1"/>
    <col min="16141" max="16142" width="11" style="71" customWidth="1"/>
    <col min="16143" max="16143" width="10" style="71" bestFit="1" customWidth="1"/>
    <col min="16144" max="16144" width="14.42578125" style="71" bestFit="1" customWidth="1"/>
    <col min="16145" max="16155" width="0" style="71" hidden="1" customWidth="1"/>
    <col min="16156" max="16384" width="9.140625" style="71"/>
  </cols>
  <sheetData>
    <row r="1" spans="1:35" s="67" customFormat="1" ht="45.75" customHeight="1" x14ac:dyDescent="0.25">
      <c r="A1" s="64" t="s">
        <v>134</v>
      </c>
      <c r="B1" s="155">
        <v>45215</v>
      </c>
      <c r="C1" s="156"/>
      <c r="D1" s="156"/>
      <c r="E1" s="156"/>
      <c r="F1" s="156"/>
      <c r="G1" s="156"/>
      <c r="H1" s="156"/>
      <c r="I1" s="156"/>
      <c r="J1" s="65"/>
      <c r="K1" s="65"/>
      <c r="L1" s="65"/>
      <c r="M1" s="65"/>
      <c r="N1" s="65"/>
      <c r="O1" s="65"/>
      <c r="P1" s="65"/>
      <c r="Q1" s="65"/>
      <c r="R1" s="65"/>
      <c r="S1" s="66"/>
      <c r="T1" s="66"/>
    </row>
    <row r="2" spans="1:35" ht="28.5" customHeight="1" x14ac:dyDescent="0.2">
      <c r="A2" s="157" t="s">
        <v>195</v>
      </c>
      <c r="B2" s="157"/>
      <c r="C2" s="157"/>
      <c r="D2" s="157"/>
      <c r="E2" s="157"/>
      <c r="F2" s="157"/>
      <c r="G2" s="157"/>
      <c r="H2" s="157"/>
      <c r="I2" s="157"/>
      <c r="J2" s="68"/>
      <c r="K2" s="68"/>
      <c r="L2" s="69"/>
      <c r="M2" s="69"/>
      <c r="N2" s="69"/>
      <c r="O2" s="69"/>
      <c r="P2" s="69"/>
      <c r="Q2" s="69"/>
      <c r="R2" s="69"/>
      <c r="S2" s="70"/>
      <c r="T2" s="70"/>
    </row>
    <row r="3" spans="1:35" s="67" customFormat="1" ht="31.5" customHeight="1" thickBot="1" x14ac:dyDescent="0.3">
      <c r="A3" s="72"/>
      <c r="B3" s="73"/>
      <c r="C3" s="65"/>
      <c r="D3" s="65"/>
      <c r="E3" s="65"/>
      <c r="F3" s="65"/>
      <c r="G3" s="65"/>
      <c r="H3" s="65"/>
      <c r="I3" s="65"/>
      <c r="J3" s="65"/>
      <c r="K3" s="65"/>
      <c r="L3" s="65"/>
      <c r="M3" s="65"/>
      <c r="N3" s="65"/>
      <c r="O3" s="65"/>
      <c r="P3" s="65"/>
      <c r="Q3" s="65"/>
      <c r="R3" s="65"/>
    </row>
    <row r="4" spans="1:35" ht="13.5" thickBot="1" x14ac:dyDescent="0.25">
      <c r="A4" s="74" t="s">
        <v>196</v>
      </c>
      <c r="C4" s="75"/>
      <c r="D4" s="76"/>
      <c r="E4" s="77"/>
      <c r="F4" s="77"/>
      <c r="G4" s="77"/>
      <c r="H4" s="77"/>
      <c r="I4" s="77"/>
      <c r="J4" s="65"/>
      <c r="K4" s="65"/>
      <c r="L4" s="77"/>
      <c r="M4" s="77"/>
      <c r="N4" s="77"/>
      <c r="O4" s="77"/>
      <c r="P4" s="77"/>
      <c r="Q4" s="77"/>
      <c r="R4" s="77"/>
      <c r="S4" s="78"/>
      <c r="T4" s="78"/>
      <c r="U4" s="158"/>
      <c r="V4" s="158"/>
      <c r="W4" s="158"/>
      <c r="X4" s="158"/>
      <c r="Y4" s="158"/>
      <c r="Z4" s="158"/>
      <c r="AA4" s="158"/>
      <c r="AB4" s="158"/>
      <c r="AC4" s="158"/>
      <c r="AD4" s="158"/>
      <c r="AE4" s="158"/>
      <c r="AF4" s="158"/>
      <c r="AG4" s="158"/>
      <c r="AH4" s="158"/>
      <c r="AI4" s="159"/>
    </row>
    <row r="5" spans="1:35" ht="26.25" customHeight="1" thickBot="1" x14ac:dyDescent="0.25">
      <c r="A5" s="163" t="s">
        <v>197</v>
      </c>
      <c r="B5" s="166" t="s">
        <v>198</v>
      </c>
      <c r="C5" s="169"/>
      <c r="D5" s="172" t="s">
        <v>199</v>
      </c>
      <c r="E5" s="173"/>
      <c r="F5" s="173"/>
      <c r="G5" s="173"/>
      <c r="H5" s="172" t="s">
        <v>200</v>
      </c>
      <c r="I5" s="173"/>
      <c r="J5" s="173"/>
      <c r="K5" s="174"/>
      <c r="L5" s="175"/>
      <c r="M5" s="175"/>
      <c r="N5" s="175"/>
      <c r="O5" s="177" t="s">
        <v>201</v>
      </c>
      <c r="P5" s="191" t="s">
        <v>202</v>
      </c>
      <c r="Q5" s="191" t="s">
        <v>203</v>
      </c>
      <c r="R5" s="191" t="s">
        <v>204</v>
      </c>
      <c r="S5" s="181" t="s">
        <v>205</v>
      </c>
      <c r="T5" s="169" t="s">
        <v>206</v>
      </c>
      <c r="U5" s="160"/>
      <c r="V5" s="160"/>
      <c r="W5" s="160"/>
      <c r="X5" s="160"/>
      <c r="Y5" s="160"/>
      <c r="Z5" s="160"/>
      <c r="AA5" s="161"/>
      <c r="AB5" s="161"/>
      <c r="AC5" s="161"/>
      <c r="AD5" s="161"/>
      <c r="AE5" s="161"/>
      <c r="AF5" s="161"/>
      <c r="AG5" s="161"/>
      <c r="AH5" s="161"/>
      <c r="AI5" s="162"/>
    </row>
    <row r="6" spans="1:35" ht="38.25" customHeight="1" thickBot="1" x14ac:dyDescent="0.25">
      <c r="A6" s="164"/>
      <c r="B6" s="167"/>
      <c r="C6" s="170"/>
      <c r="D6" s="180" t="s">
        <v>207</v>
      </c>
      <c r="E6" s="181" t="s">
        <v>208</v>
      </c>
      <c r="F6" s="182" t="s">
        <v>209</v>
      </c>
      <c r="G6" s="182" t="s">
        <v>210</v>
      </c>
      <c r="H6" s="183" t="s">
        <v>207</v>
      </c>
      <c r="I6" s="185" t="s">
        <v>211</v>
      </c>
      <c r="J6" s="182" t="s">
        <v>212</v>
      </c>
      <c r="K6" s="187" t="s">
        <v>213</v>
      </c>
      <c r="L6" s="176"/>
      <c r="M6" s="176"/>
      <c r="N6" s="176"/>
      <c r="O6" s="178"/>
      <c r="P6" s="192"/>
      <c r="Q6" s="192"/>
      <c r="R6" s="192"/>
      <c r="S6" s="181"/>
      <c r="T6" s="170"/>
      <c r="U6" s="81" t="str">
        <f>'AUTO CALCULATION SHEET (2)'!O16</f>
        <v>Tinned Copper</v>
      </c>
      <c r="V6" s="81" t="str">
        <f>'AUTO CALCULATION SHEET (2)'!AI16</f>
        <v>Type C PVC (HR)</v>
      </c>
      <c r="W6" s="81" t="str">
        <f>'AUTO CALCULATION SHEET (2)'!AK16</f>
        <v>POLY TAPE</v>
      </c>
      <c r="X6" s="81" t="str">
        <f>'AUTO CALCULATION SHEET (2)'!AM16</f>
        <v>FR PVC Type ST-2</v>
      </c>
      <c r="Y6" s="81" t="str">
        <f>'AUTO CALCULATION SHEET (2)'!BA16</f>
        <v>Galvanised Steel Round Wire</v>
      </c>
      <c r="Z6" s="81" t="str">
        <f>'AUTO CALCULATION SHEET (2)'!BF16</f>
        <v>FRLSH PVC Type ST-2</v>
      </c>
      <c r="AA6" s="188" t="s">
        <v>214</v>
      </c>
      <c r="AB6" s="188" t="s">
        <v>215</v>
      </c>
      <c r="AC6" s="188" t="s">
        <v>216</v>
      </c>
      <c r="AD6" s="188" t="s">
        <v>217</v>
      </c>
      <c r="AE6" s="188" t="s">
        <v>218</v>
      </c>
      <c r="AF6" s="188" t="s">
        <v>219</v>
      </c>
      <c r="AG6" s="188" t="s">
        <v>220</v>
      </c>
      <c r="AH6" s="188" t="s">
        <v>221</v>
      </c>
      <c r="AI6" s="193" t="s">
        <v>222</v>
      </c>
    </row>
    <row r="7" spans="1:35" ht="30.75" customHeight="1" thickBot="1" x14ac:dyDescent="0.25">
      <c r="A7" s="165"/>
      <c r="B7" s="168"/>
      <c r="C7" s="171"/>
      <c r="D7" s="180"/>
      <c r="E7" s="181"/>
      <c r="F7" s="182"/>
      <c r="G7" s="182"/>
      <c r="H7" s="184"/>
      <c r="I7" s="186"/>
      <c r="J7" s="182"/>
      <c r="K7" s="187"/>
      <c r="L7" s="82" t="s">
        <v>225</v>
      </c>
      <c r="M7" s="80" t="s">
        <v>226</v>
      </c>
      <c r="N7" s="83" t="s">
        <v>223</v>
      </c>
      <c r="O7" s="179"/>
      <c r="P7" s="186"/>
      <c r="Q7" s="186"/>
      <c r="R7" s="186"/>
      <c r="S7" s="181"/>
      <c r="T7" s="171"/>
      <c r="U7" s="84">
        <f>723+100</f>
        <v>823</v>
      </c>
      <c r="V7" s="84">
        <v>102</v>
      </c>
      <c r="W7" s="84">
        <v>123</v>
      </c>
      <c r="X7" s="84">
        <v>93</v>
      </c>
      <c r="Y7" s="84">
        <v>89</v>
      </c>
      <c r="Z7" s="84">
        <v>92</v>
      </c>
      <c r="AA7" s="189"/>
      <c r="AB7" s="189"/>
      <c r="AC7" s="189"/>
      <c r="AD7" s="189"/>
      <c r="AE7" s="189"/>
      <c r="AF7" s="189"/>
      <c r="AG7" s="189"/>
      <c r="AH7" s="189"/>
      <c r="AI7" s="194"/>
    </row>
    <row r="8" spans="1:35" ht="25.5" customHeight="1" thickBot="1" x14ac:dyDescent="0.25">
      <c r="A8" s="85"/>
      <c r="B8" s="85"/>
      <c r="C8" s="86"/>
      <c r="D8" s="87"/>
      <c r="E8" s="88"/>
      <c r="F8" s="89"/>
      <c r="G8" s="90"/>
      <c r="H8" s="91"/>
      <c r="I8" s="89"/>
      <c r="J8" s="92"/>
      <c r="K8" s="93"/>
      <c r="L8" s="196"/>
      <c r="M8" s="196"/>
      <c r="N8" s="196"/>
      <c r="O8" s="94"/>
      <c r="P8" s="82"/>
      <c r="Q8" s="79"/>
      <c r="R8" s="79"/>
      <c r="S8" s="95"/>
      <c r="T8" s="96"/>
      <c r="U8" s="97" t="s">
        <v>224</v>
      </c>
      <c r="V8" s="98" t="s">
        <v>224</v>
      </c>
      <c r="W8" s="98" t="s">
        <v>224</v>
      </c>
      <c r="X8" s="98" t="s">
        <v>224</v>
      </c>
      <c r="Y8" s="98" t="s">
        <v>224</v>
      </c>
      <c r="Z8" s="98" t="s">
        <v>224</v>
      </c>
      <c r="AA8" s="190"/>
      <c r="AB8" s="190"/>
      <c r="AC8" s="190"/>
      <c r="AD8" s="190"/>
      <c r="AE8" s="190"/>
      <c r="AF8" s="190"/>
      <c r="AG8" s="190"/>
      <c r="AH8" s="190"/>
      <c r="AI8" s="195"/>
    </row>
    <row r="9" spans="1:35" x14ac:dyDescent="0.2">
      <c r="A9" s="99" t="str">
        <f>'AUTO CALCULATION SHEET (2)'!D18</f>
        <v>2 CORE X 2.5 SQ. MM. CU/ARD - WIRE (PVC)</v>
      </c>
      <c r="B9" s="100"/>
      <c r="C9" s="112" t="s">
        <v>227</v>
      </c>
      <c r="D9" s="102">
        <v>45239</v>
      </c>
      <c r="E9" s="139">
        <v>731287.44</v>
      </c>
      <c r="F9" s="101">
        <v>154575</v>
      </c>
      <c r="G9" s="114">
        <v>79250</v>
      </c>
      <c r="H9" s="102">
        <f t="shared" ref="H9:H12" si="0">$B$1</f>
        <v>45215</v>
      </c>
      <c r="I9" s="113">
        <v>721052</v>
      </c>
      <c r="J9" s="101">
        <v>154575</v>
      </c>
      <c r="K9" s="114">
        <v>79250</v>
      </c>
      <c r="L9" s="106">
        <v>4.7E-2</v>
      </c>
      <c r="M9" s="103">
        <v>0.13900000000000001</v>
      </c>
      <c r="N9" s="104">
        <v>0.27700000000000002</v>
      </c>
      <c r="O9" s="94">
        <f>'AUTO CALCULATION SHEET (2)'!E18</f>
        <v>89109.51191999999</v>
      </c>
      <c r="P9" s="105">
        <f>L9*(E9-I9)</f>
        <v>481.06567999999737</v>
      </c>
      <c r="Q9" s="103">
        <f t="shared" ref="Q9:R12" si="1">(M9*(F9-J9))</f>
        <v>0</v>
      </c>
      <c r="R9" s="103">
        <f t="shared" si="1"/>
        <v>0</v>
      </c>
      <c r="S9" s="107">
        <f>+P9+Q9+R9</f>
        <v>481.06567999999737</v>
      </c>
      <c r="T9" s="108">
        <f>O9+S9</f>
        <v>89590.57759999999</v>
      </c>
      <c r="U9" s="109">
        <f>'AUTO CALCULATION SHEET (2)'!O18</f>
        <v>44.4</v>
      </c>
      <c r="V9" s="109">
        <f>'AUTO CALCULATION SHEET (2)'!AI18</f>
        <v>26</v>
      </c>
      <c r="W9" s="109">
        <f>'AUTO CALCULATION SHEET (2)'!AK18</f>
        <v>3</v>
      </c>
      <c r="X9" s="109">
        <f>'AUTO CALCULATION SHEET (2)'!AM18</f>
        <v>39</v>
      </c>
      <c r="Y9" s="109">
        <f>'AUTO CALCULATION SHEET (2)'!BA18</f>
        <v>251</v>
      </c>
      <c r="Z9" s="109">
        <f>'AUTO CALCULATION SHEET (2)'!BF18</f>
        <v>93</v>
      </c>
      <c r="AA9" s="110">
        <f>SUMPRODUCT(U9:Z9,$U$7:Z$7)</f>
        <v>74084.2</v>
      </c>
      <c r="AB9" s="109">
        <f>'AUTO CALCULATION SHEET (2)'!BZ18</f>
        <v>3850.93</v>
      </c>
      <c r="AC9" s="110">
        <f>AA9+AB9</f>
        <v>77935.12999999999</v>
      </c>
      <c r="AD9" s="109">
        <f>T9-AC9</f>
        <v>11655.4476</v>
      </c>
      <c r="AE9" s="110">
        <f>ROUND((AD9/AC9)*100,2)</f>
        <v>14.96</v>
      </c>
      <c r="AF9" s="109"/>
      <c r="AG9" s="109">
        <v>2</v>
      </c>
      <c r="AH9" s="109">
        <v>2</v>
      </c>
      <c r="AI9" s="111">
        <f t="shared" ref="AI9:AI12" si="2">AE9-AF9-AG9-AH9</f>
        <v>10.96</v>
      </c>
    </row>
    <row r="10" spans="1:35" x14ac:dyDescent="0.2">
      <c r="A10" s="99" t="str">
        <f>'AUTO CALCULATION SHEET (2)'!D19</f>
        <v>4 CORE X 2.5 SQ. MM. CU/ARD - WIRE (PVC)</v>
      </c>
      <c r="B10" s="100"/>
      <c r="C10" s="112" t="s">
        <v>227</v>
      </c>
      <c r="D10" s="102">
        <v>45239</v>
      </c>
      <c r="E10" s="139">
        <v>731287.44</v>
      </c>
      <c r="F10" s="101">
        <v>154575</v>
      </c>
      <c r="G10" s="114">
        <v>79250</v>
      </c>
      <c r="H10" s="102">
        <f t="shared" si="0"/>
        <v>45215</v>
      </c>
      <c r="I10" s="113">
        <v>721052</v>
      </c>
      <c r="J10" s="101">
        <v>154575</v>
      </c>
      <c r="K10" s="114">
        <v>79250</v>
      </c>
      <c r="L10" s="106">
        <v>9.4E-2</v>
      </c>
      <c r="M10" s="103">
        <v>0.17899999999999999</v>
      </c>
      <c r="N10" s="104">
        <v>0.314</v>
      </c>
      <c r="O10" s="94">
        <f>'AUTO CALCULATION SHEET (2)'!E19</f>
        <v>138216.69575999997</v>
      </c>
      <c r="P10" s="105">
        <f>L10*(E10-I10)</f>
        <v>962.13135999999474</v>
      </c>
      <c r="Q10" s="103">
        <f t="shared" si="1"/>
        <v>0</v>
      </c>
      <c r="R10" s="103">
        <f t="shared" si="1"/>
        <v>0</v>
      </c>
      <c r="S10" s="107">
        <f>+P10+Q10+R10</f>
        <v>962.13135999999474</v>
      </c>
      <c r="T10" s="108">
        <f>O10+S10</f>
        <v>139178.82711999997</v>
      </c>
      <c r="U10" s="109">
        <f>'AUTO CALCULATION SHEET (2)'!O19</f>
        <v>88.8</v>
      </c>
      <c r="V10" s="109">
        <f>'AUTO CALCULATION SHEET (2)'!AI19</f>
        <v>52</v>
      </c>
      <c r="W10" s="109">
        <f>'AUTO CALCULATION SHEET (2)'!AK19</f>
        <v>3</v>
      </c>
      <c r="X10" s="109">
        <f>'AUTO CALCULATION SHEET (2)'!AM19</f>
        <v>27</v>
      </c>
      <c r="Y10" s="109">
        <f>'AUTO CALCULATION SHEET (2)'!BA19</f>
        <v>289</v>
      </c>
      <c r="Z10" s="109">
        <f>'AUTO CALCULATION SHEET (2)'!BF19</f>
        <v>104</v>
      </c>
      <c r="AA10" s="110">
        <f>SUMPRODUCT(U10:Z10,$U$7:Z$7)</f>
        <v>116555.4</v>
      </c>
      <c r="AB10" s="109">
        <f>'AUTO CALCULATION SHEET (2)'!BZ19</f>
        <v>4610.79</v>
      </c>
      <c r="AC10" s="110">
        <f>AA10+AB10</f>
        <v>121166.18999999999</v>
      </c>
      <c r="AD10" s="109">
        <f>T10-AC10</f>
        <v>18012.637119999985</v>
      </c>
      <c r="AE10" s="110">
        <f>ROUND((AD10/AC10)*100,2)</f>
        <v>14.87</v>
      </c>
      <c r="AF10" s="109"/>
      <c r="AG10" s="109">
        <v>2</v>
      </c>
      <c r="AH10" s="109">
        <v>2</v>
      </c>
      <c r="AI10" s="111">
        <f t="shared" si="2"/>
        <v>10.87</v>
      </c>
    </row>
    <row r="11" spans="1:35" x14ac:dyDescent="0.2">
      <c r="A11" s="99" t="str">
        <f>'AUTO CALCULATION SHEET (2)'!D20</f>
        <v>10 CORE X 2.5 SQ. MM. CU/ARD - WIRE (PVC)</v>
      </c>
      <c r="B11" s="100"/>
      <c r="C11" s="112" t="s">
        <v>227</v>
      </c>
      <c r="D11" s="102">
        <v>45239</v>
      </c>
      <c r="E11" s="139">
        <v>731287.44</v>
      </c>
      <c r="F11" s="101">
        <v>154575</v>
      </c>
      <c r="G11" s="114">
        <v>78750</v>
      </c>
      <c r="H11" s="102">
        <f t="shared" si="0"/>
        <v>45215</v>
      </c>
      <c r="I11" s="113">
        <v>721052</v>
      </c>
      <c r="J11" s="101">
        <v>154575</v>
      </c>
      <c r="K11" s="114">
        <v>78750</v>
      </c>
      <c r="L11" s="106">
        <v>0.23499999999999999</v>
      </c>
      <c r="M11" s="103">
        <v>0.33700000000000002</v>
      </c>
      <c r="N11" s="104">
        <v>0.53500000000000003</v>
      </c>
      <c r="O11" s="94">
        <f>'AUTO CALCULATION SHEET (2)'!E20</f>
        <v>301116.22112</v>
      </c>
      <c r="P11" s="105">
        <f>L11*(E11-I11)</f>
        <v>2405.3283999999867</v>
      </c>
      <c r="Q11" s="103">
        <f t="shared" si="1"/>
        <v>0</v>
      </c>
      <c r="R11" s="103">
        <f t="shared" si="1"/>
        <v>0</v>
      </c>
      <c r="S11" s="107">
        <f>+P11+Q11+R11</f>
        <v>2405.3283999999867</v>
      </c>
      <c r="T11" s="108">
        <f>O11+S11</f>
        <v>303521.54952</v>
      </c>
      <c r="U11" s="109">
        <f>'AUTO CALCULATION SHEET (2)'!O20</f>
        <v>222</v>
      </c>
      <c r="V11" s="109">
        <f>'AUTO CALCULATION SHEET (2)'!AI20</f>
        <v>130</v>
      </c>
      <c r="W11" s="109">
        <f>'AUTO CALCULATION SHEET (2)'!AK20</f>
        <v>5</v>
      </c>
      <c r="X11" s="109">
        <f>'AUTO CALCULATION SHEET (2)'!AM20</f>
        <v>38</v>
      </c>
      <c r="Y11" s="109">
        <f>'AUTO CALCULATION SHEET (2)'!BA20</f>
        <v>492</v>
      </c>
      <c r="Z11" s="109">
        <f>'AUTO CALCULATION SHEET (2)'!BF20</f>
        <v>166</v>
      </c>
      <c r="AA11" s="110">
        <f>SUMPRODUCT(U11:Z11,$U$7:Z$7)</f>
        <v>259175</v>
      </c>
      <c r="AB11" s="109">
        <f>'AUTO CALCULATION SHEET (2)'!BZ20</f>
        <v>5151.4799999999996</v>
      </c>
      <c r="AC11" s="110">
        <f>AA11+AB11</f>
        <v>264326.48</v>
      </c>
      <c r="AD11" s="109">
        <f>T11-AC11</f>
        <v>39195.069520000019</v>
      </c>
      <c r="AE11" s="110">
        <f>ROUND((AD11/AC11)*100,2)</f>
        <v>14.83</v>
      </c>
      <c r="AF11" s="109"/>
      <c r="AG11" s="109">
        <v>2</v>
      </c>
      <c r="AH11" s="109">
        <v>2</v>
      </c>
      <c r="AI11" s="111">
        <f t="shared" si="2"/>
        <v>10.83</v>
      </c>
    </row>
    <row r="12" spans="1:35" x14ac:dyDescent="0.2">
      <c r="A12" s="99" t="str">
        <f>'AUTO CALCULATION SHEET (2)'!D21</f>
        <v>12 CORE X 2.5 SQ. MM. CU/ARD - WIRE (PVC)</v>
      </c>
      <c r="B12" s="100"/>
      <c r="C12" s="112" t="s">
        <v>227</v>
      </c>
      <c r="D12" s="102">
        <v>45239</v>
      </c>
      <c r="E12" s="139">
        <v>731287.44</v>
      </c>
      <c r="F12" s="101">
        <v>154575</v>
      </c>
      <c r="G12" s="114">
        <v>78750</v>
      </c>
      <c r="H12" s="102">
        <f t="shared" si="0"/>
        <v>45215</v>
      </c>
      <c r="I12" s="113">
        <v>721052</v>
      </c>
      <c r="J12" s="101">
        <v>154575</v>
      </c>
      <c r="K12" s="114">
        <v>78750</v>
      </c>
      <c r="L12" s="106">
        <v>0.28199999999999997</v>
      </c>
      <c r="M12" s="103">
        <v>0.371</v>
      </c>
      <c r="N12" s="104">
        <v>0.57199999999999995</v>
      </c>
      <c r="O12" s="94">
        <f>'AUTO CALCULATION SHEET (2)'!E21</f>
        <v>348022.50912</v>
      </c>
      <c r="P12" s="105">
        <f>L12*(E12-I12)</f>
        <v>2886.3940799999841</v>
      </c>
      <c r="Q12" s="103">
        <f t="shared" si="1"/>
        <v>0</v>
      </c>
      <c r="R12" s="103">
        <f t="shared" si="1"/>
        <v>0</v>
      </c>
      <c r="S12" s="107">
        <f>+P12+Q12+R12</f>
        <v>2886.3940799999841</v>
      </c>
      <c r="T12" s="108">
        <f>O12+S12</f>
        <v>350908.9032</v>
      </c>
      <c r="U12" s="109">
        <f>'AUTO CALCULATION SHEET (2)'!O21</f>
        <v>266.39999999999998</v>
      </c>
      <c r="V12" s="109">
        <f>'AUTO CALCULATION SHEET (2)'!AI21</f>
        <v>156</v>
      </c>
      <c r="W12" s="109">
        <f>'AUTO CALCULATION SHEET (2)'!AK21</f>
        <v>6</v>
      </c>
      <c r="X12" s="109">
        <f>'AUTO CALCULATION SHEET (2)'!AM21</f>
        <v>40</v>
      </c>
      <c r="Y12" s="109">
        <f>'AUTO CALCULATION SHEET (2)'!BA21</f>
        <v>508</v>
      </c>
      <c r="Z12" s="109">
        <f>'AUTO CALCULATION SHEET (2)'!BF21</f>
        <v>170</v>
      </c>
      <c r="AA12" s="110">
        <f>SUMPRODUCT(U12:Z12,$U$7:Z$7)</f>
        <v>300469.19999999995</v>
      </c>
      <c r="AB12" s="109">
        <f>'AUTO CALCULATION SHEET (2)'!BZ21</f>
        <v>5151.4799999999996</v>
      </c>
      <c r="AC12" s="110">
        <f>AA12+AB12</f>
        <v>305620.67999999993</v>
      </c>
      <c r="AD12" s="109">
        <f>T12-AC12</f>
        <v>45288.223200000066</v>
      </c>
      <c r="AE12" s="110">
        <f>ROUND((AD12/AC12)*100,2)</f>
        <v>14.82</v>
      </c>
      <c r="AF12" s="109"/>
      <c r="AG12" s="109">
        <v>2</v>
      </c>
      <c r="AH12" s="109">
        <v>2</v>
      </c>
      <c r="AI12" s="111">
        <f t="shared" si="2"/>
        <v>10.82</v>
      </c>
    </row>
    <row r="13" spans="1:35" s="136" customFormat="1" ht="31.5" customHeight="1" thickBot="1" x14ac:dyDescent="0.25">
      <c r="A13" s="115"/>
      <c r="B13" s="115"/>
      <c r="C13" s="116"/>
      <c r="D13" s="117"/>
      <c r="E13" s="118"/>
      <c r="F13" s="119"/>
      <c r="G13" s="120"/>
      <c r="H13" s="121"/>
      <c r="I13" s="122"/>
      <c r="J13" s="123"/>
      <c r="K13" s="124"/>
      <c r="L13" s="125"/>
      <c r="M13" s="127"/>
      <c r="N13" s="126"/>
      <c r="O13" s="128"/>
      <c r="P13" s="129"/>
      <c r="Q13" s="130"/>
      <c r="R13" s="131"/>
      <c r="S13" s="132"/>
      <c r="T13" s="133"/>
      <c r="U13" s="134"/>
      <c r="V13" s="134"/>
      <c r="W13" s="134"/>
      <c r="X13" s="134"/>
      <c r="Y13" s="134"/>
      <c r="Z13" s="134"/>
      <c r="AA13" s="134"/>
      <c r="AB13" s="134"/>
      <c r="AC13" s="134"/>
      <c r="AD13" s="134"/>
      <c r="AE13" s="134"/>
      <c r="AF13" s="134"/>
      <c r="AG13" s="134"/>
      <c r="AH13" s="134"/>
      <c r="AI13" s="135"/>
    </row>
    <row r="14" spans="1:35" s="136" customFormat="1" x14ac:dyDescent="0.2">
      <c r="A14" s="71"/>
      <c r="B14" s="71"/>
      <c r="C14" s="71"/>
      <c r="D14" s="71"/>
      <c r="E14" s="137"/>
      <c r="F14" s="71"/>
      <c r="G14" s="71"/>
      <c r="H14" s="71"/>
      <c r="I14" s="71"/>
    </row>
    <row r="19" spans="18:18" x14ac:dyDescent="0.2">
      <c r="R19" s="138"/>
    </row>
    <row r="20" spans="18:18" x14ac:dyDescent="0.2">
      <c r="R20" s="138"/>
    </row>
    <row r="21" spans="18:18" x14ac:dyDescent="0.2">
      <c r="R21" s="138"/>
    </row>
  </sheetData>
  <mergeCells count="33">
    <mergeCell ref="AI6:AI8"/>
    <mergeCell ref="L8:N8"/>
    <mergeCell ref="AC6:AC8"/>
    <mergeCell ref="AD6:AD8"/>
    <mergeCell ref="AE6:AE8"/>
    <mergeCell ref="AF6:AF8"/>
    <mergeCell ref="AG6:AG8"/>
    <mergeCell ref="AH6:AH8"/>
    <mergeCell ref="J6:J7"/>
    <mergeCell ref="K6:K7"/>
    <mergeCell ref="AA6:AA8"/>
    <mergeCell ref="AB6:AB8"/>
    <mergeCell ref="T5:T7"/>
    <mergeCell ref="P5:P7"/>
    <mergeCell ref="Q5:Q7"/>
    <mergeCell ref="R5:R7"/>
    <mergeCell ref="S5:S7"/>
    <mergeCell ref="B1:I1"/>
    <mergeCell ref="A2:I2"/>
    <mergeCell ref="U4:AI5"/>
    <mergeCell ref="A5:A7"/>
    <mergeCell ref="B5:B7"/>
    <mergeCell ref="C5:C7"/>
    <mergeCell ref="D5:G5"/>
    <mergeCell ref="H5:K5"/>
    <mergeCell ref="L5:N6"/>
    <mergeCell ref="O5:O7"/>
    <mergeCell ref="D6:D7"/>
    <mergeCell ref="E6:E7"/>
    <mergeCell ref="F6:F7"/>
    <mergeCell ref="G6:G7"/>
    <mergeCell ref="H6:H7"/>
    <mergeCell ref="I6:I7"/>
  </mergeCells>
  <pageMargins left="0.56000000000000005" right="0.17" top="0.75" bottom="0.75" header="0.3" footer="0.3"/>
  <pageSetup paperSize="5" scale="2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CONTROL CABLE</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2023-11-15T10:04:34Z</dcterms:modified>
</cp:coreProperties>
</file>