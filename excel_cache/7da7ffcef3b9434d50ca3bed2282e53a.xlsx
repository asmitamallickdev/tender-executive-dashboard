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10_OCTOBER 2023\TPDDL-CABLES-11285\"/>
    </mc:Choice>
  </mc:AlternateContent>
  <bookViews>
    <workbookView xWindow="0" yWindow="0" windowWidth="20055" windowHeight="9510" activeTab="1"/>
  </bookViews>
  <sheets>
    <sheet name="Sheet1" sheetId="1" r:id="rId1"/>
    <sheet name="AUTO CALCULATION SHEET (2)" sheetId="4" r:id="rId2"/>
    <sheet name="PV-CALCULATION" sheetId="7" r:id="rId3"/>
  </sheets>
  <definedNames>
    <definedName name="_xlnm._FilterDatabase" localSheetId="0" hidden="1">Sheet1!$A$1:$CU$1</definedName>
  </definedNames>
  <calcPr calcId="162913"/>
</workbook>
</file>

<file path=xl/calcChain.xml><?xml version="1.0" encoding="utf-8"?>
<calcChain xmlns="http://schemas.openxmlformats.org/spreadsheetml/2006/main">
  <c r="M73" i="4" l="1"/>
  <c r="M33" i="4"/>
  <c r="H58" i="4"/>
  <c r="H59" i="4"/>
  <c r="H60" i="4"/>
  <c r="H61" i="4"/>
  <c r="H62" i="4"/>
  <c r="H63" i="4"/>
  <c r="H64" i="4"/>
  <c r="H65" i="4"/>
  <c r="H66" i="4"/>
  <c r="H67" i="4"/>
  <c r="H68" i="4"/>
  <c r="H69" i="4"/>
  <c r="H70" i="4"/>
  <c r="H71" i="4"/>
  <c r="H72" i="4"/>
  <c r="H57" i="4"/>
  <c r="C50" i="4"/>
  <c r="AB14" i="7" l="1"/>
  <c r="BF16" i="4" l="1"/>
  <c r="BY15" i="4" l="1"/>
  <c r="G30" i="7" l="1"/>
  <c r="G31" i="7"/>
  <c r="P31" i="7"/>
  <c r="R31" i="7" s="1"/>
  <c r="P30" i="7"/>
  <c r="R30" i="7" s="1"/>
  <c r="T16" i="4"/>
  <c r="AF21" i="7"/>
  <c r="AF26" i="7"/>
  <c r="AF30" i="7"/>
  <c r="V30" i="7"/>
  <c r="U31" i="7"/>
  <c r="V31" i="7"/>
  <c r="T18" i="7"/>
  <c r="T19" i="7"/>
  <c r="T20" i="7"/>
  <c r="AB20" i="7"/>
  <c r="AC20" i="7"/>
  <c r="AD20" i="7"/>
  <c r="AB21" i="7"/>
  <c r="AC21" i="7"/>
  <c r="V22" i="7"/>
  <c r="AB22" i="7"/>
  <c r="AC22" i="7"/>
  <c r="T23" i="7"/>
  <c r="X23" i="7"/>
  <c r="AA23" i="7"/>
  <c r="AB23" i="7"/>
  <c r="AD23" i="7"/>
  <c r="V24" i="7"/>
  <c r="X24" i="7"/>
  <c r="Y24" i="7"/>
  <c r="AB24" i="7"/>
  <c r="AD24" i="7"/>
  <c r="AD25" i="7"/>
  <c r="AD26" i="7"/>
  <c r="AD27" i="7"/>
  <c r="V28" i="7"/>
  <c r="W28" i="7"/>
  <c r="Z28" i="7"/>
  <c r="AB28" i="7"/>
  <c r="AD28" i="7"/>
  <c r="V29" i="7"/>
  <c r="W29" i="7"/>
  <c r="AA29" i="7"/>
  <c r="AB29" i="7"/>
  <c r="AC29" i="7"/>
  <c r="AD29" i="7"/>
  <c r="AB16" i="7"/>
  <c r="V16" i="7"/>
  <c r="T16" i="7"/>
  <c r="AD13" i="7"/>
  <c r="AC13" i="7"/>
  <c r="AB13" i="7"/>
  <c r="AA13" i="7"/>
  <c r="Z13" i="7"/>
  <c r="Y13" i="7"/>
  <c r="X13" i="7"/>
  <c r="W13" i="7"/>
  <c r="V13" i="7"/>
  <c r="U13" i="7"/>
  <c r="T13" i="7"/>
  <c r="M23" i="7"/>
  <c r="Q23" i="7" s="1"/>
  <c r="J23" i="7"/>
  <c r="P23" i="7" s="1"/>
  <c r="G23" i="7"/>
  <c r="Q29" i="7"/>
  <c r="P29" i="7"/>
  <c r="G29" i="7"/>
  <c r="Q19" i="7"/>
  <c r="P19" i="7"/>
  <c r="G19" i="7"/>
  <c r="Q24" i="7"/>
  <c r="P24" i="7"/>
  <c r="G24" i="7"/>
  <c r="Q22" i="7"/>
  <c r="P22" i="7"/>
  <c r="G22" i="7"/>
  <c r="Q21" i="7"/>
  <c r="J21" i="7"/>
  <c r="P21" i="7" s="1"/>
  <c r="G21" i="7"/>
  <c r="Q20" i="7"/>
  <c r="J20" i="7"/>
  <c r="P20" i="7" s="1"/>
  <c r="G20" i="7"/>
  <c r="Q18" i="7"/>
  <c r="J18" i="7"/>
  <c r="P18" i="7" s="1"/>
  <c r="G18" i="7"/>
  <c r="Q17" i="7"/>
  <c r="J17" i="7"/>
  <c r="P17" i="7" s="1"/>
  <c r="G17" i="7"/>
  <c r="Q16" i="7"/>
  <c r="J16" i="7"/>
  <c r="P16" i="7" s="1"/>
  <c r="G16" i="7"/>
  <c r="Q28" i="7"/>
  <c r="P28" i="7"/>
  <c r="G28" i="7"/>
  <c r="Q27" i="7"/>
  <c r="P27" i="7"/>
  <c r="G27" i="7"/>
  <c r="Q26" i="7"/>
  <c r="P26" i="7"/>
  <c r="G26" i="7"/>
  <c r="Q25" i="7"/>
  <c r="P25" i="7"/>
  <c r="G25" i="7"/>
  <c r="BZ28" i="4"/>
  <c r="AF27" i="7" s="1"/>
  <c r="BZ29" i="4"/>
  <c r="AF28" i="7" s="1"/>
  <c r="R18" i="7" l="1"/>
  <c r="R16" i="7"/>
  <c r="R26" i="7"/>
  <c r="R22" i="7"/>
  <c r="R27" i="7"/>
  <c r="R29" i="7"/>
  <c r="R28" i="7"/>
  <c r="R20" i="7"/>
  <c r="R25" i="7"/>
  <c r="R19" i="7"/>
  <c r="R17" i="7"/>
  <c r="R24" i="7"/>
  <c r="R23" i="7"/>
  <c r="R21" i="7"/>
  <c r="A18" i="4" l="1"/>
  <c r="A58" i="4" s="1"/>
  <c r="B18" i="4"/>
  <c r="B58" i="4" s="1"/>
  <c r="C18" i="4"/>
  <c r="D18" i="4"/>
  <c r="K18" i="4"/>
  <c r="L18" i="4"/>
  <c r="N18" i="4"/>
  <c r="O18" i="4"/>
  <c r="P18" i="4"/>
  <c r="Q18" i="4"/>
  <c r="R18" i="4"/>
  <c r="S18" i="4"/>
  <c r="T18" i="4"/>
  <c r="U17" i="7" s="1"/>
  <c r="U18" i="4"/>
  <c r="V18" i="4"/>
  <c r="W18" i="4"/>
  <c r="X18" i="4"/>
  <c r="Y18" i="4"/>
  <c r="Z18" i="4"/>
  <c r="AA18" i="4"/>
  <c r="AB18" i="4"/>
  <c r="AC18" i="4"/>
  <c r="AD18" i="4"/>
  <c r="AE18" i="4"/>
  <c r="AF18" i="4"/>
  <c r="V17" i="7" s="1"/>
  <c r="AG18" i="4"/>
  <c r="AH18" i="4"/>
  <c r="AI18" i="4"/>
  <c r="AJ18" i="4"/>
  <c r="AK18" i="4"/>
  <c r="AL18" i="4"/>
  <c r="AM18" i="4"/>
  <c r="AN18" i="4"/>
  <c r="AO18" i="4"/>
  <c r="AP18" i="4"/>
  <c r="AQ18" i="4"/>
  <c r="W17" i="7" s="1"/>
  <c r="AR18" i="4"/>
  <c r="X17" i="7" s="1"/>
  <c r="AS18" i="4"/>
  <c r="AT18" i="4"/>
  <c r="AU18" i="4"/>
  <c r="AV18" i="4"/>
  <c r="AW18" i="4"/>
  <c r="AX18" i="4"/>
  <c r="Y17" i="7" s="1"/>
  <c r="AY18" i="4"/>
  <c r="AZ18" i="4"/>
  <c r="Z17" i="7" s="1"/>
  <c r="BA18" i="4"/>
  <c r="AA17" i="7" s="1"/>
  <c r="BB18" i="4"/>
  <c r="BC18" i="4"/>
  <c r="BD18" i="4"/>
  <c r="BE18" i="4"/>
  <c r="BF18" i="4"/>
  <c r="AB17" i="7" s="1"/>
  <c r="BG18" i="4"/>
  <c r="BH18" i="4"/>
  <c r="BI18" i="4"/>
  <c r="BJ18" i="4"/>
  <c r="BK18" i="4"/>
  <c r="BL18" i="4"/>
  <c r="BM18" i="4"/>
  <c r="BN18" i="4"/>
  <c r="BO18" i="4"/>
  <c r="AC17" i="7" s="1"/>
  <c r="BP18" i="4"/>
  <c r="BQ18" i="4"/>
  <c r="BR18" i="4"/>
  <c r="BS18" i="4"/>
  <c r="BT18" i="4"/>
  <c r="AD17" i="7" s="1"/>
  <c r="BU18" i="4"/>
  <c r="BV18" i="4"/>
  <c r="C37" i="4" s="1"/>
  <c r="BW18" i="4"/>
  <c r="BX18" i="4"/>
  <c r="AF17" i="7"/>
  <c r="CB18" i="4"/>
  <c r="CF18" i="4"/>
  <c r="A23" i="4"/>
  <c r="A63" i="4" s="1"/>
  <c r="B23" i="4"/>
  <c r="B63" i="4" s="1"/>
  <c r="C23" i="4"/>
  <c r="D23" i="4"/>
  <c r="K23" i="4"/>
  <c r="L23" i="4"/>
  <c r="N23" i="4"/>
  <c r="O23" i="4"/>
  <c r="P23" i="4"/>
  <c r="Q23" i="4"/>
  <c r="R23" i="4"/>
  <c r="S23" i="4"/>
  <c r="T23" i="4"/>
  <c r="U22" i="7" s="1"/>
  <c r="U23" i="4"/>
  <c r="V23" i="4"/>
  <c r="W23" i="4"/>
  <c r="X23" i="4"/>
  <c r="Y23" i="4"/>
  <c r="Z23" i="4"/>
  <c r="AA23" i="4"/>
  <c r="AB23" i="4"/>
  <c r="AC23" i="4"/>
  <c r="AD23" i="4"/>
  <c r="AE23" i="4"/>
  <c r="AG23" i="4"/>
  <c r="AH23" i="4"/>
  <c r="AI23" i="4"/>
  <c r="AJ23" i="4"/>
  <c r="AK23" i="4"/>
  <c r="AL23" i="4"/>
  <c r="AM23" i="4"/>
  <c r="AN23" i="4"/>
  <c r="AO23" i="4"/>
  <c r="AP23" i="4"/>
  <c r="AQ23" i="4"/>
  <c r="W22" i="7" s="1"/>
  <c r="AR23" i="4"/>
  <c r="X22" i="7" s="1"/>
  <c r="AS23" i="4"/>
  <c r="AT23" i="4"/>
  <c r="AU23" i="4"/>
  <c r="AV23" i="4"/>
  <c r="AW23" i="4"/>
  <c r="AX23" i="4"/>
  <c r="Y22" i="7" s="1"/>
  <c r="AY23" i="4"/>
  <c r="AZ23" i="4"/>
  <c r="Z22" i="7" s="1"/>
  <c r="BA23" i="4"/>
  <c r="AA22" i="7" s="1"/>
  <c r="BB23" i="4"/>
  <c r="BC23" i="4"/>
  <c r="BD23" i="4"/>
  <c r="BE23" i="4"/>
  <c r="BG23" i="4"/>
  <c r="BH23" i="4"/>
  <c r="BI23" i="4"/>
  <c r="BJ23" i="4"/>
  <c r="BK23" i="4"/>
  <c r="BL23" i="4"/>
  <c r="BM23" i="4"/>
  <c r="BN23" i="4"/>
  <c r="BP23" i="4"/>
  <c r="BQ23" i="4"/>
  <c r="BR23" i="4"/>
  <c r="BS23" i="4"/>
  <c r="BT23" i="4"/>
  <c r="AD22" i="7" s="1"/>
  <c r="BU23" i="4"/>
  <c r="BV23" i="4"/>
  <c r="C42" i="4" s="1"/>
  <c r="BW23" i="4"/>
  <c r="BX23" i="4"/>
  <c r="BZ23" i="4"/>
  <c r="AF22" i="7" s="1"/>
  <c r="CB23" i="4"/>
  <c r="CF23" i="4"/>
  <c r="A20" i="4"/>
  <c r="A60" i="4" s="1"/>
  <c r="B20" i="4"/>
  <c r="B60" i="4" s="1"/>
  <c r="C20" i="4"/>
  <c r="D20" i="4"/>
  <c r="K20" i="4"/>
  <c r="L20" i="4"/>
  <c r="O20" i="4"/>
  <c r="P20" i="4"/>
  <c r="Q20" i="4"/>
  <c r="R20" i="4"/>
  <c r="S20" i="4"/>
  <c r="T20" i="4"/>
  <c r="U19" i="7" s="1"/>
  <c r="U20" i="4"/>
  <c r="V20" i="4"/>
  <c r="W20" i="4"/>
  <c r="X20" i="4"/>
  <c r="Y20" i="4"/>
  <c r="Z20" i="4"/>
  <c r="AA20" i="4"/>
  <c r="AB20" i="4"/>
  <c r="AC20" i="4"/>
  <c r="AD20" i="4"/>
  <c r="AE20" i="4"/>
  <c r="AF20" i="4"/>
  <c r="V19" i="7" s="1"/>
  <c r="AG20" i="4"/>
  <c r="AH20" i="4"/>
  <c r="AI20" i="4"/>
  <c r="AJ20" i="4"/>
  <c r="AK20" i="4"/>
  <c r="AL20" i="4"/>
  <c r="AM20" i="4"/>
  <c r="AN20" i="4"/>
  <c r="AO20" i="4"/>
  <c r="AP20" i="4"/>
  <c r="AQ20" i="4"/>
  <c r="W19" i="7" s="1"/>
  <c r="AR20" i="4"/>
  <c r="X19" i="7" s="1"/>
  <c r="AS20" i="4"/>
  <c r="AT20" i="4"/>
  <c r="AU20" i="4"/>
  <c r="AV20" i="4"/>
  <c r="AW20" i="4"/>
  <c r="AX20" i="4"/>
  <c r="Y19" i="7" s="1"/>
  <c r="AY20" i="4"/>
  <c r="AZ20" i="4"/>
  <c r="Z19" i="7" s="1"/>
  <c r="BA20" i="4"/>
  <c r="AA19" i="7" s="1"/>
  <c r="BB20" i="4"/>
  <c r="BC20" i="4"/>
  <c r="BD20" i="4"/>
  <c r="BE20" i="4"/>
  <c r="BF20" i="4"/>
  <c r="AB19" i="7" s="1"/>
  <c r="BG20" i="4"/>
  <c r="BH20" i="4"/>
  <c r="BI20" i="4"/>
  <c r="BJ20" i="4"/>
  <c r="BK20" i="4"/>
  <c r="BL20" i="4"/>
  <c r="BM20" i="4"/>
  <c r="BN20" i="4"/>
  <c r="BO20" i="4"/>
  <c r="AC19" i="7" s="1"/>
  <c r="BP20" i="4"/>
  <c r="BQ20" i="4"/>
  <c r="BR20" i="4"/>
  <c r="BS20" i="4"/>
  <c r="BT20" i="4"/>
  <c r="AD19" i="7" s="1"/>
  <c r="BU20" i="4"/>
  <c r="BV20" i="4"/>
  <c r="C39" i="4" s="1"/>
  <c r="BW20" i="4"/>
  <c r="BX20" i="4"/>
  <c r="BZ20" i="4"/>
  <c r="AF19" i="7" s="1"/>
  <c r="CB20" i="4"/>
  <c r="CF20" i="4"/>
  <c r="A22" i="4"/>
  <c r="A62" i="4" s="1"/>
  <c r="B22" i="4"/>
  <c r="B62" i="4" s="1"/>
  <c r="C22" i="4"/>
  <c r="D22" i="4"/>
  <c r="K22" i="4"/>
  <c r="L22" i="4"/>
  <c r="N22" i="4"/>
  <c r="O22" i="4"/>
  <c r="P22" i="4"/>
  <c r="Q22" i="4"/>
  <c r="R22" i="4"/>
  <c r="S22" i="4"/>
  <c r="T22" i="4"/>
  <c r="U21" i="7" s="1"/>
  <c r="U22" i="4"/>
  <c r="V22" i="4"/>
  <c r="W22" i="4"/>
  <c r="X22" i="4"/>
  <c r="Y22" i="4"/>
  <c r="Z22" i="4"/>
  <c r="AA22" i="4"/>
  <c r="AB22" i="4"/>
  <c r="AC22" i="4"/>
  <c r="AD22" i="4"/>
  <c r="AE22" i="4"/>
  <c r="AF22" i="4"/>
  <c r="V21" i="7" s="1"/>
  <c r="AG22" i="4"/>
  <c r="AH22" i="4"/>
  <c r="AI22" i="4"/>
  <c r="AJ22" i="4"/>
  <c r="AK22" i="4"/>
  <c r="AL22" i="4"/>
  <c r="AM22" i="4"/>
  <c r="AN22" i="4"/>
  <c r="AO22" i="4"/>
  <c r="AP22" i="4"/>
  <c r="AQ22" i="4"/>
  <c r="W21" i="7" s="1"/>
  <c r="AR22" i="4"/>
  <c r="X21" i="7" s="1"/>
  <c r="AS22" i="4"/>
  <c r="AT22" i="4"/>
  <c r="AU22" i="4"/>
  <c r="AV22" i="4"/>
  <c r="AW22" i="4"/>
  <c r="AX22" i="4"/>
  <c r="Y21" i="7" s="1"/>
  <c r="AY22" i="4"/>
  <c r="AZ22" i="4"/>
  <c r="Z21" i="7" s="1"/>
  <c r="BA22" i="4"/>
  <c r="AA21" i="7" s="1"/>
  <c r="BB22" i="4"/>
  <c r="BC22" i="4"/>
  <c r="BD22" i="4"/>
  <c r="BE22" i="4"/>
  <c r="BG22" i="4"/>
  <c r="BH22" i="4"/>
  <c r="BI22" i="4"/>
  <c r="BJ22" i="4"/>
  <c r="BK22" i="4"/>
  <c r="BL22" i="4"/>
  <c r="BM22" i="4"/>
  <c r="BN22" i="4"/>
  <c r="BP22" i="4"/>
  <c r="BQ22" i="4"/>
  <c r="BR22" i="4"/>
  <c r="BS22" i="4"/>
  <c r="BT22" i="4"/>
  <c r="AD21" i="7" s="1"/>
  <c r="BU22" i="4"/>
  <c r="BV22" i="4"/>
  <c r="C41" i="4" s="1"/>
  <c r="CB22" i="4"/>
  <c r="CF22" i="4"/>
  <c r="A19" i="4"/>
  <c r="A59" i="4" s="1"/>
  <c r="B19" i="4"/>
  <c r="B59" i="4" s="1"/>
  <c r="C19" i="4"/>
  <c r="D19" i="4"/>
  <c r="K19" i="4"/>
  <c r="L19" i="4"/>
  <c r="O19" i="4"/>
  <c r="P19" i="4"/>
  <c r="Q19" i="4"/>
  <c r="R19" i="4"/>
  <c r="S19" i="4"/>
  <c r="T19" i="4"/>
  <c r="U18" i="7" s="1"/>
  <c r="U19" i="4"/>
  <c r="V19" i="4"/>
  <c r="W19" i="4"/>
  <c r="X19" i="4"/>
  <c r="Y19" i="4"/>
  <c r="Z19" i="4"/>
  <c r="AA19" i="4"/>
  <c r="AB19" i="4"/>
  <c r="AC19" i="4"/>
  <c r="AD19" i="4"/>
  <c r="AE19" i="4"/>
  <c r="AF19" i="4"/>
  <c r="V18" i="7" s="1"/>
  <c r="AG19" i="4"/>
  <c r="AH19" i="4"/>
  <c r="AI19" i="4"/>
  <c r="AJ19" i="4"/>
  <c r="AK19" i="4"/>
  <c r="AL19" i="4"/>
  <c r="AM19" i="4"/>
  <c r="AN19" i="4"/>
  <c r="AO19" i="4"/>
  <c r="AP19" i="4"/>
  <c r="AQ19" i="4"/>
  <c r="W18" i="7" s="1"/>
  <c r="AR19" i="4"/>
  <c r="X18" i="7" s="1"/>
  <c r="AS19" i="4"/>
  <c r="AT19" i="4"/>
  <c r="AU19" i="4"/>
  <c r="AV19" i="4"/>
  <c r="AW19" i="4"/>
  <c r="AX19" i="4"/>
  <c r="Y18" i="7" s="1"/>
  <c r="AY19" i="4"/>
  <c r="AZ19" i="4"/>
  <c r="Z18" i="7" s="1"/>
  <c r="BA19" i="4"/>
  <c r="AA18" i="7" s="1"/>
  <c r="BB19" i="4"/>
  <c r="BC19" i="4"/>
  <c r="BD19" i="4"/>
  <c r="BE19" i="4"/>
  <c r="BF19" i="4"/>
  <c r="AB18" i="7" s="1"/>
  <c r="BG19" i="4"/>
  <c r="BH19" i="4"/>
  <c r="BI19" i="4"/>
  <c r="BJ19" i="4"/>
  <c r="BK19" i="4"/>
  <c r="BL19" i="4"/>
  <c r="BM19" i="4"/>
  <c r="BN19" i="4"/>
  <c r="BO19" i="4"/>
  <c r="AC18" i="7" s="1"/>
  <c r="BP19" i="4"/>
  <c r="BQ19" i="4"/>
  <c r="BR19" i="4"/>
  <c r="BS19" i="4"/>
  <c r="BT19" i="4"/>
  <c r="AD18" i="7" s="1"/>
  <c r="BU19" i="4"/>
  <c r="BV19" i="4"/>
  <c r="C38" i="4" s="1"/>
  <c r="BW19" i="4"/>
  <c r="BX19" i="4"/>
  <c r="AF18" i="7"/>
  <c r="CB19" i="4"/>
  <c r="CF19" i="4"/>
  <c r="A31" i="4"/>
  <c r="A71" i="4" s="1"/>
  <c r="B31" i="4"/>
  <c r="B71" i="4" s="1"/>
  <c r="C31" i="4"/>
  <c r="D31" i="4"/>
  <c r="D71" i="4" s="1"/>
  <c r="K31" i="4"/>
  <c r="L31" i="4"/>
  <c r="N31" i="4"/>
  <c r="O31" i="4"/>
  <c r="P31" i="4"/>
  <c r="Q31" i="4"/>
  <c r="R31" i="4"/>
  <c r="S31" i="4"/>
  <c r="T31" i="4"/>
  <c r="U30" i="7" s="1"/>
  <c r="U31" i="4"/>
  <c r="V31" i="4"/>
  <c r="W31" i="4"/>
  <c r="X31" i="4"/>
  <c r="Y31" i="4"/>
  <c r="Z31" i="4"/>
  <c r="AA31" i="4"/>
  <c r="AB31" i="4"/>
  <c r="AC31" i="4"/>
  <c r="AD31" i="4"/>
  <c r="AE31" i="4"/>
  <c r="AG31" i="4"/>
  <c r="AH31" i="4"/>
  <c r="AI31" i="4"/>
  <c r="AJ31" i="4"/>
  <c r="AK31" i="4"/>
  <c r="AL31" i="4"/>
  <c r="AM31" i="4"/>
  <c r="AN31" i="4"/>
  <c r="AO31" i="4"/>
  <c r="AP31" i="4"/>
  <c r="AQ31" i="4"/>
  <c r="W30" i="7" s="1"/>
  <c r="AR31" i="4"/>
  <c r="X30" i="7" s="1"/>
  <c r="AS31" i="4"/>
  <c r="AT31" i="4"/>
  <c r="AU31" i="4"/>
  <c r="AV31" i="4"/>
  <c r="AW31" i="4"/>
  <c r="AX31" i="4"/>
  <c r="Y30" i="7" s="1"/>
  <c r="AY31" i="4"/>
  <c r="AZ31" i="4"/>
  <c r="Z30" i="7" s="1"/>
  <c r="BA31" i="4"/>
  <c r="AA30" i="7" s="1"/>
  <c r="BB31" i="4"/>
  <c r="BC31" i="4"/>
  <c r="BD31" i="4"/>
  <c r="BE31" i="4"/>
  <c r="BF31" i="4"/>
  <c r="AB30" i="7" s="1"/>
  <c r="BG31" i="4"/>
  <c r="BH31" i="4"/>
  <c r="BI31" i="4"/>
  <c r="BJ31" i="4"/>
  <c r="BK31" i="4"/>
  <c r="BL31" i="4"/>
  <c r="BM31" i="4"/>
  <c r="BN31" i="4"/>
  <c r="BO31" i="4"/>
  <c r="AC30" i="7" s="1"/>
  <c r="BP31" i="4"/>
  <c r="BQ31" i="4"/>
  <c r="BR31" i="4"/>
  <c r="BS31" i="4"/>
  <c r="BT31" i="4"/>
  <c r="AD30" i="7" s="1"/>
  <c r="BU31" i="4"/>
  <c r="CB31" i="4"/>
  <c r="CF31" i="4"/>
  <c r="A29" i="4"/>
  <c r="A69" i="4" s="1"/>
  <c r="B29" i="4"/>
  <c r="B69" i="4" s="1"/>
  <c r="C29" i="4"/>
  <c r="D29" i="4"/>
  <c r="K29" i="4"/>
  <c r="L29" i="4"/>
  <c r="N29" i="4"/>
  <c r="O29" i="4"/>
  <c r="P29" i="4"/>
  <c r="Q29" i="4"/>
  <c r="R29" i="4"/>
  <c r="S29" i="4"/>
  <c r="T29" i="4"/>
  <c r="U28" i="7" s="1"/>
  <c r="U29" i="4"/>
  <c r="V29" i="4"/>
  <c r="W29" i="4"/>
  <c r="X29" i="4"/>
  <c r="Y29" i="4"/>
  <c r="Z29" i="4"/>
  <c r="AA29" i="4"/>
  <c r="AB29" i="4"/>
  <c r="AC29" i="4"/>
  <c r="AD29" i="4"/>
  <c r="AE29" i="4"/>
  <c r="AG29" i="4"/>
  <c r="AH29" i="4"/>
  <c r="AI29" i="4"/>
  <c r="AJ29" i="4"/>
  <c r="AK29" i="4"/>
  <c r="AL29" i="4"/>
  <c r="AM29" i="4"/>
  <c r="AN29" i="4"/>
  <c r="AO29" i="4"/>
  <c r="AP29" i="4"/>
  <c r="AR29" i="4"/>
  <c r="X28" i="7" s="1"/>
  <c r="AS29" i="4"/>
  <c r="AT29" i="4"/>
  <c r="AU29" i="4"/>
  <c r="AV29" i="4"/>
  <c r="AW29" i="4"/>
  <c r="AX29" i="4"/>
  <c r="Y28" i="7" s="1"/>
  <c r="AY29" i="4"/>
  <c r="BA29" i="4"/>
  <c r="AA28" i="7" s="1"/>
  <c r="BB29" i="4"/>
  <c r="BC29" i="4"/>
  <c r="BD29" i="4"/>
  <c r="BE29" i="4"/>
  <c r="BG29" i="4"/>
  <c r="BH29" i="4"/>
  <c r="BI29" i="4"/>
  <c r="BJ29" i="4"/>
  <c r="BK29" i="4"/>
  <c r="BL29" i="4"/>
  <c r="BM29" i="4"/>
  <c r="BN29" i="4"/>
  <c r="AC28" i="7"/>
  <c r="BP29" i="4"/>
  <c r="BQ29" i="4"/>
  <c r="BR29" i="4"/>
  <c r="BS29" i="4"/>
  <c r="BU29" i="4"/>
  <c r="BV29" i="4"/>
  <c r="C48" i="4" s="1"/>
  <c r="CB29" i="4"/>
  <c r="CF29" i="4"/>
  <c r="A17" i="4"/>
  <c r="A57" i="4" s="1"/>
  <c r="B17" i="4"/>
  <c r="B57" i="4" s="1"/>
  <c r="C17" i="4"/>
  <c r="D17" i="4"/>
  <c r="K17" i="4"/>
  <c r="L17" i="4"/>
  <c r="O17" i="4"/>
  <c r="P17" i="4"/>
  <c r="Q17" i="4"/>
  <c r="R17" i="4"/>
  <c r="S17" i="4"/>
  <c r="T17" i="4"/>
  <c r="U16" i="7" s="1"/>
  <c r="U17" i="4"/>
  <c r="V17" i="4"/>
  <c r="W17" i="4"/>
  <c r="X17" i="4"/>
  <c r="Y17" i="4"/>
  <c r="Z17" i="4"/>
  <c r="AA17" i="4"/>
  <c r="AB17" i="4"/>
  <c r="AC17" i="4"/>
  <c r="AD17" i="4"/>
  <c r="AE17" i="4"/>
  <c r="AG17" i="4"/>
  <c r="AH17" i="4"/>
  <c r="AI17" i="4"/>
  <c r="AJ17" i="4"/>
  <c r="AK17" i="4"/>
  <c r="AL17" i="4"/>
  <c r="AM17" i="4"/>
  <c r="AN17" i="4"/>
  <c r="AO17" i="4"/>
  <c r="AP17" i="4"/>
  <c r="AQ17" i="4"/>
  <c r="W16" i="7" s="1"/>
  <c r="AR17" i="4"/>
  <c r="X16" i="7" s="1"/>
  <c r="AS17" i="4"/>
  <c r="AT17" i="4"/>
  <c r="AU17" i="4"/>
  <c r="AV17" i="4"/>
  <c r="AW17" i="4"/>
  <c r="AX17" i="4"/>
  <c r="Y16" i="7" s="1"/>
  <c r="AY17" i="4"/>
  <c r="AZ17" i="4"/>
  <c r="Z16" i="7" s="1"/>
  <c r="BA17" i="4"/>
  <c r="AA16" i="7" s="1"/>
  <c r="BB17" i="4"/>
  <c r="BC17" i="4"/>
  <c r="BD17" i="4"/>
  <c r="BE17" i="4"/>
  <c r="BG17" i="4"/>
  <c r="BH17" i="4"/>
  <c r="BI17" i="4"/>
  <c r="BJ17" i="4"/>
  <c r="BK17" i="4"/>
  <c r="BL17" i="4"/>
  <c r="BM17" i="4"/>
  <c r="BN17" i="4"/>
  <c r="BO17" i="4"/>
  <c r="AC16" i="7" s="1"/>
  <c r="BP17" i="4"/>
  <c r="BQ17" i="4"/>
  <c r="BR17" i="4"/>
  <c r="BS17" i="4"/>
  <c r="BT17" i="4"/>
  <c r="AD16" i="7" s="1"/>
  <c r="BU17" i="4"/>
  <c r="BV17" i="4"/>
  <c r="C36" i="4" s="1"/>
  <c r="BW17" i="4"/>
  <c r="BX17" i="4"/>
  <c r="AF16" i="7"/>
  <c r="CB17" i="4"/>
  <c r="A30" i="4"/>
  <c r="A70" i="4" s="1"/>
  <c r="B30" i="4"/>
  <c r="B70" i="4" s="1"/>
  <c r="C30" i="4"/>
  <c r="D30" i="4"/>
  <c r="K30" i="4"/>
  <c r="L30" i="4"/>
  <c r="N30" i="4"/>
  <c r="O30" i="4"/>
  <c r="P30" i="4"/>
  <c r="Q30" i="4"/>
  <c r="R30" i="4"/>
  <c r="S30" i="4"/>
  <c r="T30" i="4"/>
  <c r="U29" i="7" s="1"/>
  <c r="U30" i="4"/>
  <c r="V30" i="4"/>
  <c r="W30" i="4"/>
  <c r="X30" i="4"/>
  <c r="Y30" i="4"/>
  <c r="Z30" i="4"/>
  <c r="AA30" i="4"/>
  <c r="AB30" i="4"/>
  <c r="AC30" i="4"/>
  <c r="AD30" i="4"/>
  <c r="AE30" i="4"/>
  <c r="AG30" i="4"/>
  <c r="AH30" i="4"/>
  <c r="AI30" i="4"/>
  <c r="AJ30" i="4"/>
  <c r="AK30" i="4"/>
  <c r="AL30" i="4"/>
  <c r="AM30" i="4"/>
  <c r="AN30" i="4"/>
  <c r="AO30" i="4"/>
  <c r="AP30" i="4"/>
  <c r="AR30" i="4"/>
  <c r="X29" i="7" s="1"/>
  <c r="AS30" i="4"/>
  <c r="AT30" i="4"/>
  <c r="AU30" i="4"/>
  <c r="AV30" i="4"/>
  <c r="AW30" i="4"/>
  <c r="AX30" i="4"/>
  <c r="Y29" i="7" s="1"/>
  <c r="AY30" i="4"/>
  <c r="AZ30" i="4"/>
  <c r="Z29" i="7" s="1"/>
  <c r="BB30" i="4"/>
  <c r="BC30" i="4"/>
  <c r="BD30" i="4"/>
  <c r="BE30" i="4"/>
  <c r="BG30" i="4"/>
  <c r="BH30" i="4"/>
  <c r="BI30" i="4"/>
  <c r="BJ30" i="4"/>
  <c r="BK30" i="4"/>
  <c r="BL30" i="4"/>
  <c r="BM30" i="4"/>
  <c r="BN30" i="4"/>
  <c r="BP30" i="4"/>
  <c r="BQ30" i="4"/>
  <c r="BR30" i="4"/>
  <c r="BS30" i="4"/>
  <c r="BU30" i="4"/>
  <c r="BV30" i="4"/>
  <c r="C49" i="4" s="1"/>
  <c r="BW30" i="4"/>
  <c r="BX30" i="4"/>
  <c r="BZ30" i="4"/>
  <c r="AF29" i="7" s="1"/>
  <c r="CB30" i="4"/>
  <c r="CF30" i="4"/>
  <c r="A28" i="4"/>
  <c r="A68" i="4" s="1"/>
  <c r="B28" i="4"/>
  <c r="B68" i="4" s="1"/>
  <c r="C28" i="4"/>
  <c r="D28" i="4"/>
  <c r="K28" i="4"/>
  <c r="L28" i="4"/>
  <c r="N28" i="4"/>
  <c r="O28" i="4"/>
  <c r="P28" i="4"/>
  <c r="Q28" i="4"/>
  <c r="R28" i="4"/>
  <c r="S28" i="4"/>
  <c r="T28" i="4"/>
  <c r="U27" i="7" s="1"/>
  <c r="U28" i="4"/>
  <c r="V28" i="4"/>
  <c r="W28" i="4"/>
  <c r="X28" i="4"/>
  <c r="Y28" i="4"/>
  <c r="Z28" i="4"/>
  <c r="AA28" i="4"/>
  <c r="AB28" i="4"/>
  <c r="AC28" i="4"/>
  <c r="AD28" i="4"/>
  <c r="AE28" i="4"/>
  <c r="AF28" i="4"/>
  <c r="V27" i="7" s="1"/>
  <c r="AG28" i="4"/>
  <c r="AH28" i="4"/>
  <c r="AI28" i="4"/>
  <c r="AJ28" i="4"/>
  <c r="AK28" i="4"/>
  <c r="AL28" i="4"/>
  <c r="AM28" i="4"/>
  <c r="AN28" i="4"/>
  <c r="AO28" i="4"/>
  <c r="AP28" i="4"/>
  <c r="AQ28" i="4"/>
  <c r="W27" i="7" s="1"/>
  <c r="AR28" i="4"/>
  <c r="X27" i="7" s="1"/>
  <c r="AS28" i="4"/>
  <c r="AT28" i="4"/>
  <c r="AU28" i="4"/>
  <c r="AV28" i="4"/>
  <c r="AW28" i="4"/>
  <c r="AX28" i="4"/>
  <c r="Y27" i="7" s="1"/>
  <c r="AY28" i="4"/>
  <c r="AZ28" i="4"/>
  <c r="Z27" i="7" s="1"/>
  <c r="BA28" i="4"/>
  <c r="AA27" i="7" s="1"/>
  <c r="BB28" i="4"/>
  <c r="BC28" i="4"/>
  <c r="BD28" i="4"/>
  <c r="BE28" i="4"/>
  <c r="BF28" i="4"/>
  <c r="AB27" i="7" s="1"/>
  <c r="BG28" i="4"/>
  <c r="BH28" i="4"/>
  <c r="BI28" i="4"/>
  <c r="BJ28" i="4"/>
  <c r="BK28" i="4"/>
  <c r="BL28" i="4"/>
  <c r="BM28" i="4"/>
  <c r="BN28" i="4"/>
  <c r="BO28" i="4"/>
  <c r="AC27" i="7" s="1"/>
  <c r="BP28" i="4"/>
  <c r="BQ28" i="4"/>
  <c r="BR28" i="4"/>
  <c r="BS28" i="4"/>
  <c r="BU28" i="4"/>
  <c r="BV28" i="4"/>
  <c r="C47" i="4" s="1"/>
  <c r="CB28" i="4"/>
  <c r="CF28" i="4"/>
  <c r="A27" i="4"/>
  <c r="A67" i="4" s="1"/>
  <c r="B27" i="4"/>
  <c r="B67" i="4" s="1"/>
  <c r="C27" i="4"/>
  <c r="D27" i="4"/>
  <c r="K27" i="4"/>
  <c r="L27" i="4"/>
  <c r="N27" i="4"/>
  <c r="O27" i="4"/>
  <c r="P27" i="4"/>
  <c r="Q27" i="4"/>
  <c r="R27" i="4"/>
  <c r="S27" i="4"/>
  <c r="T27" i="4"/>
  <c r="U26" i="7" s="1"/>
  <c r="U27" i="4"/>
  <c r="V27" i="4"/>
  <c r="W27" i="4"/>
  <c r="X27" i="4"/>
  <c r="Y27" i="4"/>
  <c r="Z27" i="4"/>
  <c r="AA27" i="4"/>
  <c r="AB27" i="4"/>
  <c r="AC27" i="4"/>
  <c r="AD27" i="4"/>
  <c r="AE27" i="4"/>
  <c r="AF27" i="4"/>
  <c r="V26" i="7" s="1"/>
  <c r="AG27" i="4"/>
  <c r="AH27" i="4"/>
  <c r="AI27" i="4"/>
  <c r="AJ27" i="4"/>
  <c r="AK27" i="4"/>
  <c r="AL27" i="4"/>
  <c r="AM27" i="4"/>
  <c r="AN27" i="4"/>
  <c r="AO27" i="4"/>
  <c r="AP27" i="4"/>
  <c r="AQ27" i="4"/>
  <c r="W26" i="7" s="1"/>
  <c r="AR27" i="4"/>
  <c r="X26" i="7" s="1"/>
  <c r="AS27" i="4"/>
  <c r="AT27" i="4"/>
  <c r="AU27" i="4"/>
  <c r="AV27" i="4"/>
  <c r="AW27" i="4"/>
  <c r="AX27" i="4"/>
  <c r="Y26" i="7" s="1"/>
  <c r="AY27" i="4"/>
  <c r="AZ27" i="4"/>
  <c r="Z26" i="7" s="1"/>
  <c r="BA27" i="4"/>
  <c r="AA26" i="7" s="1"/>
  <c r="BB27" i="4"/>
  <c r="BC27" i="4"/>
  <c r="BD27" i="4"/>
  <c r="BE27" i="4"/>
  <c r="BF27" i="4"/>
  <c r="AB26" i="7" s="1"/>
  <c r="BG27" i="4"/>
  <c r="BH27" i="4"/>
  <c r="BI27" i="4"/>
  <c r="BJ27" i="4"/>
  <c r="BK27" i="4"/>
  <c r="BL27" i="4"/>
  <c r="BM27" i="4"/>
  <c r="BN27" i="4"/>
  <c r="BO27" i="4"/>
  <c r="AC26" i="7" s="1"/>
  <c r="BP27" i="4"/>
  <c r="BQ27" i="4"/>
  <c r="BR27" i="4"/>
  <c r="BS27" i="4"/>
  <c r="BU27" i="4"/>
  <c r="BV27" i="4"/>
  <c r="C46" i="4" s="1"/>
  <c r="CB27" i="4"/>
  <c r="CF27" i="4"/>
  <c r="A25" i="4"/>
  <c r="A65" i="4" s="1"/>
  <c r="B25" i="4"/>
  <c r="B65" i="4" s="1"/>
  <c r="C25" i="4"/>
  <c r="D25" i="4"/>
  <c r="K25" i="4"/>
  <c r="L25" i="4"/>
  <c r="N25" i="4"/>
  <c r="O25" i="4"/>
  <c r="P25" i="4"/>
  <c r="Q25" i="4"/>
  <c r="R25" i="4"/>
  <c r="S25" i="4"/>
  <c r="T25" i="4"/>
  <c r="U24" i="7" s="1"/>
  <c r="U25" i="4"/>
  <c r="V25" i="4"/>
  <c r="W25" i="4"/>
  <c r="X25" i="4"/>
  <c r="Y25" i="4"/>
  <c r="Z25" i="4"/>
  <c r="AA25" i="4"/>
  <c r="AB25" i="4"/>
  <c r="AC25" i="4"/>
  <c r="AD25" i="4"/>
  <c r="AE25" i="4"/>
  <c r="AG25" i="4"/>
  <c r="AH25" i="4"/>
  <c r="AI25" i="4"/>
  <c r="AJ25" i="4"/>
  <c r="AK25" i="4"/>
  <c r="AL25" i="4"/>
  <c r="AM25" i="4"/>
  <c r="AN25" i="4"/>
  <c r="AO25" i="4"/>
  <c r="AP25" i="4"/>
  <c r="AQ25" i="4"/>
  <c r="W24" i="7" s="1"/>
  <c r="AS25" i="4"/>
  <c r="AT25" i="4"/>
  <c r="AU25" i="4"/>
  <c r="AV25" i="4"/>
  <c r="AW25" i="4"/>
  <c r="AY25" i="4"/>
  <c r="AZ25" i="4"/>
  <c r="Z24" i="7" s="1"/>
  <c r="BA25" i="4"/>
  <c r="AA24" i="7" s="1"/>
  <c r="BB25" i="4"/>
  <c r="BC25" i="4"/>
  <c r="BD25" i="4"/>
  <c r="BE25" i="4"/>
  <c r="BG25" i="4"/>
  <c r="BH25" i="4"/>
  <c r="BI25" i="4"/>
  <c r="BJ25" i="4"/>
  <c r="BK25" i="4"/>
  <c r="BL25" i="4"/>
  <c r="BM25" i="4"/>
  <c r="BN25" i="4"/>
  <c r="BO25" i="4"/>
  <c r="AC24" i="7" s="1"/>
  <c r="BP25" i="4"/>
  <c r="BQ25" i="4"/>
  <c r="BR25" i="4"/>
  <c r="BS25" i="4"/>
  <c r="BU25" i="4"/>
  <c r="BV25" i="4"/>
  <c r="C44" i="4" s="1"/>
  <c r="BW25" i="4"/>
  <c r="BX25" i="4"/>
  <c r="BZ25" i="4"/>
  <c r="AF24" i="7" s="1"/>
  <c r="CB25" i="4"/>
  <c r="CF25" i="4"/>
  <c r="A32" i="4"/>
  <c r="A72" i="4" s="1"/>
  <c r="B32" i="4"/>
  <c r="B72" i="4" s="1"/>
  <c r="C32" i="4"/>
  <c r="D32" i="4"/>
  <c r="D72" i="4" s="1"/>
  <c r="K32" i="4"/>
  <c r="L32" i="4"/>
  <c r="N32" i="4"/>
  <c r="O32" i="4"/>
  <c r="P32" i="4"/>
  <c r="Q32" i="4"/>
  <c r="R32" i="4"/>
  <c r="S32" i="4"/>
  <c r="U32" i="4"/>
  <c r="V32" i="4"/>
  <c r="W32" i="4"/>
  <c r="X32" i="4"/>
  <c r="Y32" i="4"/>
  <c r="Z32" i="4"/>
  <c r="AA32" i="4"/>
  <c r="AB32" i="4"/>
  <c r="AC32" i="4"/>
  <c r="AD32" i="4"/>
  <c r="AE32" i="4"/>
  <c r="AG32" i="4"/>
  <c r="AH32" i="4"/>
  <c r="AI32" i="4"/>
  <c r="AJ32" i="4"/>
  <c r="AK32" i="4"/>
  <c r="AL32" i="4"/>
  <c r="AM32" i="4"/>
  <c r="AN32" i="4"/>
  <c r="AO32" i="4"/>
  <c r="AP32" i="4"/>
  <c r="AQ32" i="4"/>
  <c r="W31" i="7" s="1"/>
  <c r="AR32" i="4"/>
  <c r="X31" i="7" s="1"/>
  <c r="AS32" i="4"/>
  <c r="AT32" i="4"/>
  <c r="AU32" i="4"/>
  <c r="AV32" i="4"/>
  <c r="AW32" i="4"/>
  <c r="AX32" i="4"/>
  <c r="Y31" i="7" s="1"/>
  <c r="AY32" i="4"/>
  <c r="AZ32" i="4"/>
  <c r="Z31" i="7" s="1"/>
  <c r="BA32" i="4"/>
  <c r="AA31" i="7" s="1"/>
  <c r="BB32" i="4"/>
  <c r="BC32" i="4"/>
  <c r="BD32" i="4"/>
  <c r="BE32" i="4"/>
  <c r="BF32" i="4"/>
  <c r="AB31" i="7" s="1"/>
  <c r="BG32" i="4"/>
  <c r="BH32" i="4"/>
  <c r="BI32" i="4"/>
  <c r="BJ32" i="4"/>
  <c r="BK32" i="4"/>
  <c r="BL32" i="4"/>
  <c r="BM32" i="4"/>
  <c r="BN32" i="4"/>
  <c r="BO32" i="4"/>
  <c r="AC31" i="7" s="1"/>
  <c r="BP32" i="4"/>
  <c r="BQ32" i="4"/>
  <c r="BR32" i="4"/>
  <c r="BS32" i="4"/>
  <c r="BT32" i="4"/>
  <c r="AD31" i="7" s="1"/>
  <c r="BU32" i="4"/>
  <c r="BV32" i="4"/>
  <c r="C51" i="4" s="1"/>
  <c r="BW32" i="4"/>
  <c r="BX32" i="4"/>
  <c r="BZ32" i="4"/>
  <c r="AF31" i="7" s="1"/>
  <c r="CB32" i="4"/>
  <c r="CF32" i="4"/>
  <c r="A26" i="4"/>
  <c r="A66" i="4" s="1"/>
  <c r="B26" i="4"/>
  <c r="B66" i="4" s="1"/>
  <c r="C26" i="4"/>
  <c r="D26" i="4"/>
  <c r="K26" i="4"/>
  <c r="L26" i="4"/>
  <c r="N26" i="4"/>
  <c r="O26" i="4"/>
  <c r="P26" i="4"/>
  <c r="Q26" i="4"/>
  <c r="R26" i="4"/>
  <c r="S26" i="4"/>
  <c r="T26" i="4"/>
  <c r="U25" i="7" s="1"/>
  <c r="U26" i="4"/>
  <c r="V26" i="4"/>
  <c r="W26" i="4"/>
  <c r="X26" i="4"/>
  <c r="Y26" i="4"/>
  <c r="Z26" i="4"/>
  <c r="AA26" i="4"/>
  <c r="AB26" i="4"/>
  <c r="AC26" i="4"/>
  <c r="AD26" i="4"/>
  <c r="AE26" i="4"/>
  <c r="AF26" i="4"/>
  <c r="V25" i="7" s="1"/>
  <c r="AG26" i="4"/>
  <c r="AH26" i="4"/>
  <c r="AI26" i="4"/>
  <c r="AJ26" i="4"/>
  <c r="AK26" i="4"/>
  <c r="AL26" i="4"/>
  <c r="AM26" i="4"/>
  <c r="AN26" i="4"/>
  <c r="AO26" i="4"/>
  <c r="AP26" i="4"/>
  <c r="AQ26" i="4"/>
  <c r="W25" i="7" s="1"/>
  <c r="AR26" i="4"/>
  <c r="X25" i="7" s="1"/>
  <c r="AS26" i="4"/>
  <c r="AT26" i="4"/>
  <c r="AU26" i="4"/>
  <c r="AV26" i="4"/>
  <c r="AW26" i="4"/>
  <c r="AX26" i="4"/>
  <c r="Y25" i="7" s="1"/>
  <c r="AY26" i="4"/>
  <c r="AZ26" i="4"/>
  <c r="Z25" i="7" s="1"/>
  <c r="BA26" i="4"/>
  <c r="AA25" i="7" s="1"/>
  <c r="BB26" i="4"/>
  <c r="BC26" i="4"/>
  <c r="BD26" i="4"/>
  <c r="BE26" i="4"/>
  <c r="BF26" i="4"/>
  <c r="AB25" i="7" s="1"/>
  <c r="BG26" i="4"/>
  <c r="BH26" i="4"/>
  <c r="BI26" i="4"/>
  <c r="BJ26" i="4"/>
  <c r="BK26" i="4"/>
  <c r="BL26" i="4"/>
  <c r="BM26" i="4"/>
  <c r="BN26" i="4"/>
  <c r="BO26" i="4"/>
  <c r="AC25" i="7" s="1"/>
  <c r="BP26" i="4"/>
  <c r="BQ26" i="4"/>
  <c r="BR26" i="4"/>
  <c r="BS26" i="4"/>
  <c r="BU26" i="4"/>
  <c r="BV26" i="4"/>
  <c r="C45" i="4" s="1"/>
  <c r="BW26" i="4"/>
  <c r="BX26" i="4"/>
  <c r="AF25" i="7"/>
  <c r="CB26" i="4"/>
  <c r="CF26" i="4"/>
  <c r="A24" i="4"/>
  <c r="A64" i="4" s="1"/>
  <c r="B24" i="4"/>
  <c r="B64" i="4" s="1"/>
  <c r="C24" i="4"/>
  <c r="D24" i="4"/>
  <c r="K24" i="4"/>
  <c r="L24" i="4"/>
  <c r="O24" i="4"/>
  <c r="P24" i="4"/>
  <c r="Q24" i="4"/>
  <c r="R24" i="4"/>
  <c r="S24" i="4"/>
  <c r="T24" i="4"/>
  <c r="U23" i="7" s="1"/>
  <c r="U24" i="4"/>
  <c r="V24" i="4"/>
  <c r="W24" i="4"/>
  <c r="X24" i="4"/>
  <c r="Y24" i="4"/>
  <c r="Z24" i="4"/>
  <c r="AA24" i="4"/>
  <c r="AB24" i="4"/>
  <c r="AC24" i="4"/>
  <c r="AD24" i="4"/>
  <c r="AE24" i="4"/>
  <c r="AF24" i="4"/>
  <c r="V23" i="7" s="1"/>
  <c r="AG24" i="4"/>
  <c r="AH24" i="4"/>
  <c r="AI24" i="4"/>
  <c r="AJ24" i="4"/>
  <c r="AK24" i="4"/>
  <c r="AL24" i="4"/>
  <c r="AM24" i="4"/>
  <c r="AN24" i="4"/>
  <c r="AO24" i="4"/>
  <c r="AP24" i="4"/>
  <c r="AQ24" i="4"/>
  <c r="W23" i="7" s="1"/>
  <c r="AS24" i="4"/>
  <c r="AT24" i="4"/>
  <c r="AU24" i="4"/>
  <c r="AV24" i="4"/>
  <c r="AW24" i="4"/>
  <c r="AX24" i="4"/>
  <c r="Y23" i="7" s="1"/>
  <c r="AY24" i="4"/>
  <c r="AZ24" i="4"/>
  <c r="Z23" i="7" s="1"/>
  <c r="BB24" i="4"/>
  <c r="BC24" i="4"/>
  <c r="BD24" i="4"/>
  <c r="BE24" i="4"/>
  <c r="BG24" i="4"/>
  <c r="BH24" i="4"/>
  <c r="BI24" i="4"/>
  <c r="BJ24" i="4"/>
  <c r="BK24" i="4"/>
  <c r="BL24" i="4"/>
  <c r="BM24" i="4"/>
  <c r="BN24" i="4"/>
  <c r="BO24" i="4"/>
  <c r="AC23" i="7" s="1"/>
  <c r="BP24" i="4"/>
  <c r="BQ24" i="4"/>
  <c r="BR24" i="4"/>
  <c r="BS24" i="4"/>
  <c r="BU24" i="4"/>
  <c r="BV24" i="4"/>
  <c r="C43" i="4" s="1"/>
  <c r="BW24" i="4"/>
  <c r="BX24" i="4"/>
  <c r="BZ24" i="4"/>
  <c r="AF23" i="7" s="1"/>
  <c r="CB24" i="4"/>
  <c r="CF24" i="4"/>
  <c r="B43" i="4" l="1"/>
  <c r="E43" i="4"/>
  <c r="K64" i="4"/>
  <c r="BY24" i="4"/>
  <c r="F43" i="4" s="1"/>
  <c r="J43" i="4" s="1"/>
  <c r="C64" i="4"/>
  <c r="D45" i="4"/>
  <c r="D66" i="4"/>
  <c r="T24" i="7"/>
  <c r="AE24" i="7" s="1"/>
  <c r="AG24" i="7" s="1"/>
  <c r="B44" i="4"/>
  <c r="E44" i="4"/>
  <c r="K44" i="4" s="1"/>
  <c r="M44" i="4" s="1"/>
  <c r="K65" i="4"/>
  <c r="BY25" i="4"/>
  <c r="F44" i="4" s="1"/>
  <c r="J44" i="4" s="1"/>
  <c r="C65" i="4"/>
  <c r="T26" i="7"/>
  <c r="AE26" i="7" s="1"/>
  <c r="AG26" i="7" s="1"/>
  <c r="B46" i="4"/>
  <c r="E46" i="4"/>
  <c r="K67" i="4"/>
  <c r="BY27" i="4"/>
  <c r="F46" i="4" s="1"/>
  <c r="J46" i="4" s="1"/>
  <c r="K46" i="4" s="1"/>
  <c r="M46" i="4" s="1"/>
  <c r="L46" i="4" s="1"/>
  <c r="C67" i="4"/>
  <c r="T27" i="7"/>
  <c r="AE27" i="7" s="1"/>
  <c r="AG27" i="7" s="1"/>
  <c r="B47" i="4"/>
  <c r="E47" i="4"/>
  <c r="K68" i="4"/>
  <c r="BY28" i="4"/>
  <c r="F47" i="4" s="1"/>
  <c r="J47" i="4" s="1"/>
  <c r="C68" i="4"/>
  <c r="T29" i="7"/>
  <c r="AE29" i="7" s="1"/>
  <c r="AG29" i="7" s="1"/>
  <c r="B49" i="4"/>
  <c r="E49" i="4"/>
  <c r="K49" i="4" s="1"/>
  <c r="M49" i="4" s="1"/>
  <c r="K70" i="4"/>
  <c r="BY30" i="4"/>
  <c r="F49" i="4" s="1"/>
  <c r="J49" i="4" s="1"/>
  <c r="C70" i="4"/>
  <c r="B36" i="4"/>
  <c r="E36" i="4"/>
  <c r="K57" i="4"/>
  <c r="BY17" i="4"/>
  <c r="F36" i="4" s="1"/>
  <c r="J36" i="4" s="1"/>
  <c r="C57" i="4"/>
  <c r="T28" i="7"/>
  <c r="AE28" i="7" s="1"/>
  <c r="AG28" i="7" s="1"/>
  <c r="B48" i="4"/>
  <c r="E48" i="4"/>
  <c r="K69" i="4"/>
  <c r="BY29" i="4"/>
  <c r="F48" i="4" s="1"/>
  <c r="J48" i="4" s="1"/>
  <c r="C69" i="4"/>
  <c r="B38" i="4"/>
  <c r="E38" i="4"/>
  <c r="K59" i="4"/>
  <c r="BY19" i="4"/>
  <c r="F38" i="4" s="1"/>
  <c r="J38" i="4" s="1"/>
  <c r="C59" i="4"/>
  <c r="D41" i="4"/>
  <c r="D62" i="4"/>
  <c r="B39" i="4"/>
  <c r="E39" i="4"/>
  <c r="K60" i="4"/>
  <c r="BY20" i="4"/>
  <c r="F39" i="4" s="1"/>
  <c r="J39" i="4" s="1"/>
  <c r="C60" i="4"/>
  <c r="D42" i="4"/>
  <c r="D63" i="4"/>
  <c r="D37" i="4"/>
  <c r="D58" i="4"/>
  <c r="AE23" i="7"/>
  <c r="AG23" i="7" s="1"/>
  <c r="D43" i="4"/>
  <c r="D64" i="4"/>
  <c r="T25" i="7"/>
  <c r="AE25" i="7" s="1"/>
  <c r="AG25" i="7" s="1"/>
  <c r="B45" i="4"/>
  <c r="E45" i="4"/>
  <c r="K66" i="4"/>
  <c r="BY26" i="4"/>
  <c r="F45" i="4" s="1"/>
  <c r="J45" i="4" s="1"/>
  <c r="C66" i="4"/>
  <c r="T31" i="7"/>
  <c r="AE31" i="7" s="1"/>
  <c r="AG31" i="7" s="1"/>
  <c r="B51" i="4"/>
  <c r="E51" i="4"/>
  <c r="K51" i="4" s="1"/>
  <c r="M51" i="4" s="1"/>
  <c r="K72" i="4"/>
  <c r="BY32" i="4"/>
  <c r="F51" i="4" s="1"/>
  <c r="J51" i="4" s="1"/>
  <c r="C72" i="4"/>
  <c r="D44" i="4"/>
  <c r="D65" i="4"/>
  <c r="D46" i="4"/>
  <c r="D67" i="4"/>
  <c r="D47" i="4"/>
  <c r="D68" i="4"/>
  <c r="D49" i="4"/>
  <c r="D70" i="4"/>
  <c r="AE16" i="7"/>
  <c r="AG16" i="7" s="1"/>
  <c r="D36" i="4"/>
  <c r="D57" i="4"/>
  <c r="D48" i="4"/>
  <c r="D69" i="4"/>
  <c r="T30" i="7"/>
  <c r="AE30" i="7" s="1"/>
  <c r="AG30" i="7" s="1"/>
  <c r="B50" i="4"/>
  <c r="E50" i="4"/>
  <c r="K71" i="4"/>
  <c r="BY31" i="4"/>
  <c r="F50" i="4" s="1"/>
  <c r="J50" i="4" s="1"/>
  <c r="C71" i="4"/>
  <c r="AE18" i="7"/>
  <c r="AG18" i="7" s="1"/>
  <c r="D38" i="4"/>
  <c r="D59" i="4"/>
  <c r="T21" i="7"/>
  <c r="AE21" i="7" s="1"/>
  <c r="AG21" i="7" s="1"/>
  <c r="B41" i="4"/>
  <c r="E41" i="4"/>
  <c r="K41" i="4" s="1"/>
  <c r="M41" i="4" s="1"/>
  <c r="K62" i="4"/>
  <c r="BY22" i="4"/>
  <c r="F41" i="4" s="1"/>
  <c r="J41" i="4" s="1"/>
  <c r="C62" i="4"/>
  <c r="AE19" i="7"/>
  <c r="AG19" i="7" s="1"/>
  <c r="D39" i="4"/>
  <c r="D60" i="4"/>
  <c r="T22" i="7"/>
  <c r="AE22" i="7" s="1"/>
  <c r="AG22" i="7" s="1"/>
  <c r="B42" i="4"/>
  <c r="E42" i="4"/>
  <c r="K63" i="4"/>
  <c r="BY23" i="4"/>
  <c r="F42" i="4" s="1"/>
  <c r="J42" i="4" s="1"/>
  <c r="C63" i="4"/>
  <c r="T17" i="7"/>
  <c r="AE17" i="7" s="1"/>
  <c r="AG17" i="7" s="1"/>
  <c r="B37" i="4"/>
  <c r="E37" i="4"/>
  <c r="K58" i="4"/>
  <c r="BY18" i="4"/>
  <c r="F37" i="4" s="1"/>
  <c r="J37" i="4" s="1"/>
  <c r="C58" i="4"/>
  <c r="K48" i="4"/>
  <c r="M48" i="4" s="1"/>
  <c r="F27" i="4"/>
  <c r="F67" i="4" s="1"/>
  <c r="K42" i="4"/>
  <c r="M42" i="4" s="1"/>
  <c r="K37" i="4"/>
  <c r="M37" i="4" s="1"/>
  <c r="K38" i="4"/>
  <c r="M38" i="4" s="1"/>
  <c r="K39" i="4"/>
  <c r="M39" i="4" s="1"/>
  <c r="D51" i="4"/>
  <c r="A31" i="7"/>
  <c r="K47" i="4"/>
  <c r="M47" i="4" s="1"/>
  <c r="D50" i="4"/>
  <c r="A30" i="7"/>
  <c r="K45" i="4"/>
  <c r="M45" i="4" s="1"/>
  <c r="K36" i="4"/>
  <c r="M36" i="4" s="1"/>
  <c r="K43" i="4"/>
  <c r="M43" i="4" s="1"/>
  <c r="K50" i="4"/>
  <c r="M50" i="4" s="1"/>
  <c r="B21" i="4"/>
  <c r="B61" i="4" s="1"/>
  <c r="L43" i="4" l="1"/>
  <c r="F24" i="4"/>
  <c r="F64" i="4" s="1"/>
  <c r="L38" i="4"/>
  <c r="F19" i="4"/>
  <c r="F59" i="4" s="1"/>
  <c r="L37" i="4"/>
  <c r="F18" i="4"/>
  <c r="F58" i="4" s="1"/>
  <c r="L48" i="4"/>
  <c r="F29" i="4"/>
  <c r="F69" i="4" s="1"/>
  <c r="L50" i="4"/>
  <c r="F31" i="4"/>
  <c r="F71" i="4" s="1"/>
  <c r="L51" i="4"/>
  <c r="F32" i="4"/>
  <c r="F72" i="4" s="1"/>
  <c r="L36" i="4"/>
  <c r="F17" i="4"/>
  <c r="F57" i="4" s="1"/>
  <c r="L45" i="4"/>
  <c r="F26" i="4"/>
  <c r="F66" i="4" s="1"/>
  <c r="L41" i="4"/>
  <c r="F22" i="4"/>
  <c r="F62" i="4" s="1"/>
  <c r="L47" i="4"/>
  <c r="F28" i="4"/>
  <c r="F68" i="4" s="1"/>
  <c r="L39" i="4"/>
  <c r="F20" i="4"/>
  <c r="F60" i="4" s="1"/>
  <c r="L42" i="4"/>
  <c r="F23" i="4"/>
  <c r="F63" i="4" s="1"/>
  <c r="L44" i="4"/>
  <c r="F25" i="4"/>
  <c r="F65" i="4" s="1"/>
  <c r="L49" i="4"/>
  <c r="F30" i="4"/>
  <c r="F70" i="4" s="1"/>
  <c r="BX21" i="4"/>
  <c r="BW21" i="4"/>
  <c r="BX15" i="4"/>
  <c r="BW15" i="4"/>
  <c r="BV21" i="4"/>
  <c r="C40" i="4" s="1"/>
  <c r="BV15" i="4"/>
  <c r="B15" i="4"/>
  <c r="S16" i="4" l="1"/>
  <c r="AB21" i="4" l="1"/>
  <c r="AA21" i="4"/>
  <c r="Z21" i="4"/>
  <c r="Y21" i="4"/>
  <c r="X21" i="4"/>
  <c r="W21" i="4"/>
  <c r="V21" i="4"/>
  <c r="U21" i="4"/>
  <c r="T21" i="4"/>
  <c r="U20" i="7" s="1"/>
  <c r="S21" i="4"/>
  <c r="BU21" i="4"/>
  <c r="BS21" i="4"/>
  <c r="BR21" i="4"/>
  <c r="BQ21" i="4"/>
  <c r="BP21" i="4"/>
  <c r="BN21" i="4"/>
  <c r="BU16" i="4"/>
  <c r="BM21" i="4"/>
  <c r="BL21" i="4"/>
  <c r="BK21" i="4"/>
  <c r="BJ21" i="4"/>
  <c r="BI21" i="4"/>
  <c r="BH21" i="4"/>
  <c r="BG21" i="4"/>
  <c r="BE21" i="4"/>
  <c r="BD21" i="4"/>
  <c r="BC21" i="4"/>
  <c r="BB21" i="4"/>
  <c r="BA21" i="4"/>
  <c r="AA20" i="7" s="1"/>
  <c r="AZ21" i="4"/>
  <c r="Z20" i="7" s="1"/>
  <c r="AY21" i="4"/>
  <c r="AX21" i="4"/>
  <c r="Y20" i="7" s="1"/>
  <c r="AW21" i="4"/>
  <c r="AV21" i="4"/>
  <c r="AU21" i="4"/>
  <c r="AT21" i="4"/>
  <c r="AS21" i="4"/>
  <c r="AR21" i="4"/>
  <c r="X20" i="7" s="1"/>
  <c r="AQ21" i="4"/>
  <c r="W20" i="7" s="1"/>
  <c r="AP21" i="4"/>
  <c r="AO21" i="4"/>
  <c r="AN21" i="4"/>
  <c r="AM21" i="4"/>
  <c r="AL21" i="4"/>
  <c r="AP16" i="4"/>
  <c r="AO16" i="4"/>
  <c r="AN16" i="4"/>
  <c r="AM16" i="4"/>
  <c r="AL16" i="4"/>
  <c r="AK16" i="4"/>
  <c r="CF21" i="4"/>
  <c r="AK21" i="4"/>
  <c r="AJ21" i="4"/>
  <c r="AI21" i="4"/>
  <c r="AH21" i="4"/>
  <c r="AG21" i="4"/>
  <c r="AF21" i="4"/>
  <c r="V20" i="7" s="1"/>
  <c r="AE21" i="4"/>
  <c r="AJ16" i="4"/>
  <c r="AI16" i="4"/>
  <c r="AH16" i="4"/>
  <c r="AE16" i="4"/>
  <c r="AG16" i="4"/>
  <c r="AF16" i="4"/>
  <c r="AD16" i="4"/>
  <c r="AD21" i="4"/>
  <c r="AC21" i="4"/>
  <c r="AC16" i="4"/>
  <c r="AE20" i="7" l="1"/>
  <c r="AB16" i="4"/>
  <c r="AA16" i="4"/>
  <c r="Z16" i="4"/>
  <c r="Y16" i="4"/>
  <c r="X16" i="4"/>
  <c r="W16" i="4"/>
  <c r="V16" i="4"/>
  <c r="U16" i="4"/>
  <c r="R16" i="4" l="1"/>
  <c r="Q16" i="4"/>
  <c r="P16" i="4"/>
  <c r="O16" i="4"/>
  <c r="R21" i="4"/>
  <c r="Q21" i="4"/>
  <c r="P21" i="4"/>
  <c r="O21" i="4"/>
  <c r="N14" i="4"/>
  <c r="L21" i="4"/>
  <c r="K21" i="4"/>
  <c r="CB21" i="4"/>
  <c r="BZ21" i="4"/>
  <c r="AF20" i="7" s="1"/>
  <c r="AG20" i="7" s="1"/>
  <c r="D21" i="4"/>
  <c r="C21" i="4"/>
  <c r="A21" i="4"/>
  <c r="A61" i="4" s="1"/>
  <c r="BY21" i="4" l="1"/>
  <c r="F40" i="4" s="1"/>
  <c r="J40" i="4" s="1"/>
  <c r="C61" i="4"/>
  <c r="E40" i="4"/>
  <c r="K61" i="4"/>
  <c r="D40" i="4"/>
  <c r="D61" i="4"/>
  <c r="B40" i="4"/>
  <c r="CA27" i="4"/>
  <c r="CA20" i="4"/>
  <c r="CA30" i="4"/>
  <c r="CA25" i="4"/>
  <c r="CA19" i="4"/>
  <c r="CA31" i="4"/>
  <c r="CA17" i="4"/>
  <c r="CA22" i="4"/>
  <c r="CA29" i="4"/>
  <c r="CA26" i="4"/>
  <c r="CA23" i="4"/>
  <c r="CA24" i="4"/>
  <c r="CA32" i="4"/>
  <c r="CA28" i="4"/>
  <c r="CA18" i="4"/>
  <c r="CA21" i="4"/>
  <c r="K40" i="4" l="1"/>
  <c r="M40" i="4" s="1"/>
  <c r="CE18" i="4"/>
  <c r="CG18" i="4"/>
  <c r="CC18" i="4"/>
  <c r="CC24" i="4"/>
  <c r="CE24" i="4"/>
  <c r="CG24" i="4"/>
  <c r="CG26" i="4"/>
  <c r="CE26" i="4"/>
  <c r="CC26" i="4"/>
  <c r="CG31" i="4"/>
  <c r="CE31" i="4"/>
  <c r="CC31" i="4"/>
  <c r="CC28" i="4"/>
  <c r="CG28" i="4"/>
  <c r="CE28" i="4"/>
  <c r="CC23" i="4"/>
  <c r="CG23" i="4"/>
  <c r="CE23" i="4"/>
  <c r="CC29" i="4"/>
  <c r="CE29" i="4"/>
  <c r="CG29" i="4"/>
  <c r="CE19" i="4"/>
  <c r="CC19" i="4"/>
  <c r="CG19" i="4"/>
  <c r="CG30" i="4"/>
  <c r="CC30" i="4"/>
  <c r="CE30" i="4"/>
  <c r="CE32" i="4"/>
  <c r="CG32" i="4"/>
  <c r="CC32" i="4"/>
  <c r="CC22" i="4"/>
  <c r="CG22" i="4"/>
  <c r="CE22" i="4"/>
  <c r="CC20" i="4"/>
  <c r="CG20" i="4"/>
  <c r="CE20" i="4"/>
  <c r="CG17" i="4"/>
  <c r="CE17" i="4"/>
  <c r="CC17" i="4"/>
  <c r="CE25" i="4"/>
  <c r="CC25" i="4"/>
  <c r="CG25" i="4"/>
  <c r="CC27" i="4"/>
  <c r="CE27" i="4"/>
  <c r="CG27" i="4"/>
  <c r="CC21" i="4"/>
  <c r="CE21" i="4"/>
  <c r="CG21" i="4"/>
  <c r="F21" i="4" l="1"/>
  <c r="F61" i="4" s="1"/>
  <c r="L40" i="4"/>
  <c r="CH18" i="4"/>
  <c r="CJ18" i="4" s="1"/>
  <c r="CH29" i="4"/>
  <c r="CJ29" i="4" s="1"/>
  <c r="CH31" i="4"/>
  <c r="CJ31" i="4" s="1"/>
  <c r="CH30" i="4"/>
  <c r="CJ30" i="4" s="1"/>
  <c r="CH25" i="4"/>
  <c r="CH22" i="4"/>
  <c r="CH32" i="4"/>
  <c r="CH27" i="4"/>
  <c r="CH20" i="4"/>
  <c r="CH26" i="4"/>
  <c r="CL31" i="4"/>
  <c r="CH17" i="4"/>
  <c r="CH19" i="4"/>
  <c r="CH28" i="4"/>
  <c r="CH24" i="4"/>
  <c r="CH23" i="4"/>
  <c r="CH21" i="4"/>
  <c r="CL18" i="4" l="1"/>
  <c r="CL29" i="4"/>
  <c r="CL30" i="4"/>
  <c r="E30" i="4" s="1"/>
  <c r="E70" i="4" s="1"/>
  <c r="G70" i="4" s="1"/>
  <c r="E18" i="4"/>
  <c r="E58" i="4" s="1"/>
  <c r="G58" i="4" s="1"/>
  <c r="E31" i="4"/>
  <c r="E71" i="4" s="1"/>
  <c r="G71" i="4" s="1"/>
  <c r="E29" i="4"/>
  <c r="E69" i="4" s="1"/>
  <c r="G69" i="4" s="1"/>
  <c r="CJ24" i="4"/>
  <c r="CL24" i="4"/>
  <c r="CJ23" i="4"/>
  <c r="CL23" i="4"/>
  <c r="CJ28" i="4"/>
  <c r="CL28" i="4"/>
  <c r="CL27" i="4"/>
  <c r="CJ27" i="4"/>
  <c r="CL32" i="4"/>
  <c r="CJ32" i="4"/>
  <c r="CL19" i="4"/>
  <c r="CJ19" i="4"/>
  <c r="CJ17" i="4"/>
  <c r="CL17" i="4"/>
  <c r="CL26" i="4"/>
  <c r="CJ26" i="4"/>
  <c r="CL22" i="4"/>
  <c r="CJ22" i="4"/>
  <c r="CJ20" i="4"/>
  <c r="CL20" i="4"/>
  <c r="CJ25" i="4"/>
  <c r="CL25" i="4"/>
  <c r="CJ21" i="4"/>
  <c r="CL21" i="4"/>
  <c r="I69" i="4" l="1"/>
  <c r="J69" i="4" s="1"/>
  <c r="M69" i="4" s="1"/>
  <c r="I58" i="4"/>
  <c r="J58" i="4" s="1"/>
  <c r="M58" i="4" s="1"/>
  <c r="I71" i="4"/>
  <c r="J71" i="4" s="1"/>
  <c r="M71" i="4" s="1"/>
  <c r="I70" i="4"/>
  <c r="J70" i="4" s="1"/>
  <c r="M70" i="4" s="1"/>
  <c r="G31" i="4"/>
  <c r="I31" i="4" s="1"/>
  <c r="J31" i="4" s="1"/>
  <c r="M31" i="4" s="1"/>
  <c r="O30" i="7"/>
  <c r="S30" i="7" s="1"/>
  <c r="AH30" i="7" s="1"/>
  <c r="G18" i="4"/>
  <c r="I18" i="4" s="1"/>
  <c r="J18" i="4" s="1"/>
  <c r="M18" i="4" s="1"/>
  <c r="O17" i="7"/>
  <c r="S17" i="7" s="1"/>
  <c r="AH17" i="7" s="1"/>
  <c r="G30" i="4"/>
  <c r="I30" i="4" s="1"/>
  <c r="J30" i="4" s="1"/>
  <c r="M30" i="4" s="1"/>
  <c r="O29" i="7"/>
  <c r="S29" i="7" s="1"/>
  <c r="AH29" i="7" s="1"/>
  <c r="G29" i="4"/>
  <c r="I29" i="4" s="1"/>
  <c r="J29" i="4" s="1"/>
  <c r="M29" i="4" s="1"/>
  <c r="O28" i="7"/>
  <c r="S28" i="7" s="1"/>
  <c r="AH28" i="7" s="1"/>
  <c r="E28" i="4"/>
  <c r="E68" i="4" s="1"/>
  <c r="G68" i="4" s="1"/>
  <c r="E22" i="4"/>
  <c r="E62" i="4" s="1"/>
  <c r="G62" i="4" s="1"/>
  <c r="E23" i="4"/>
  <c r="E63" i="4" s="1"/>
  <c r="G63" i="4" s="1"/>
  <c r="E17" i="4"/>
  <c r="E57" i="4" s="1"/>
  <c r="G57" i="4" s="1"/>
  <c r="E19" i="4"/>
  <c r="E59" i="4" s="1"/>
  <c r="G59" i="4" s="1"/>
  <c r="E25" i="4"/>
  <c r="E65" i="4" s="1"/>
  <c r="G65" i="4" s="1"/>
  <c r="E26" i="4"/>
  <c r="E66" i="4" s="1"/>
  <c r="G66" i="4" s="1"/>
  <c r="E32" i="4"/>
  <c r="E72" i="4" s="1"/>
  <c r="G72" i="4" s="1"/>
  <c r="E20" i="4"/>
  <c r="E60" i="4" s="1"/>
  <c r="G60" i="4" s="1"/>
  <c r="E27" i="4"/>
  <c r="E67" i="4" s="1"/>
  <c r="G67" i="4" s="1"/>
  <c r="E24" i="4"/>
  <c r="E64" i="4" s="1"/>
  <c r="G64" i="4" s="1"/>
  <c r="E21" i="4"/>
  <c r="O20" i="7" l="1"/>
  <c r="S20" i="7" s="1"/>
  <c r="AH20" i="7" s="1"/>
  <c r="E61" i="4"/>
  <c r="G61" i="4" s="1"/>
  <c r="I67" i="4"/>
  <c r="J67" i="4" s="1"/>
  <c r="M67" i="4" s="1"/>
  <c r="I72" i="4"/>
  <c r="J72" i="4" s="1"/>
  <c r="M72" i="4" s="1"/>
  <c r="I65" i="4"/>
  <c r="J65" i="4" s="1"/>
  <c r="M65" i="4" s="1"/>
  <c r="I57" i="4"/>
  <c r="J57" i="4"/>
  <c r="M57" i="4" s="1"/>
  <c r="I62" i="4"/>
  <c r="J62" i="4" s="1"/>
  <c r="M62" i="4" s="1"/>
  <c r="AI28" i="7"/>
  <c r="AM28" i="7" s="1"/>
  <c r="AI29" i="7"/>
  <c r="AM29" i="7" s="1"/>
  <c r="AI17" i="7"/>
  <c r="AM17" i="7" s="1"/>
  <c r="AI30" i="7"/>
  <c r="AM30" i="7" s="1"/>
  <c r="I64" i="4"/>
  <c r="J64" i="4" s="1"/>
  <c r="M64" i="4" s="1"/>
  <c r="I60" i="4"/>
  <c r="J60" i="4" s="1"/>
  <c r="M60" i="4" s="1"/>
  <c r="I66" i="4"/>
  <c r="J66" i="4" s="1"/>
  <c r="M66" i="4" s="1"/>
  <c r="I59" i="4"/>
  <c r="J59" i="4" s="1"/>
  <c r="M59" i="4" s="1"/>
  <c r="I63" i="4"/>
  <c r="J63" i="4" s="1"/>
  <c r="M63" i="4" s="1"/>
  <c r="I68" i="4"/>
  <c r="J68" i="4" s="1"/>
  <c r="M68" i="4" s="1"/>
  <c r="G20" i="4"/>
  <c r="I20" i="4" s="1"/>
  <c r="J20" i="4" s="1"/>
  <c r="M20" i="4" s="1"/>
  <c r="O19" i="7"/>
  <c r="S19" i="7" s="1"/>
  <c r="AH19" i="7" s="1"/>
  <c r="G22" i="4"/>
  <c r="I22" i="4" s="1"/>
  <c r="J22" i="4" s="1"/>
  <c r="M22" i="4" s="1"/>
  <c r="O21" i="7"/>
  <c r="S21" i="7" s="1"/>
  <c r="AH21" i="7" s="1"/>
  <c r="G32" i="4"/>
  <c r="I32" i="4" s="1"/>
  <c r="J32" i="4" s="1"/>
  <c r="M32" i="4" s="1"/>
  <c r="O31" i="7"/>
  <c r="S31" i="7" s="1"/>
  <c r="AH31" i="7" s="1"/>
  <c r="G19" i="4"/>
  <c r="O18" i="7"/>
  <c r="S18" i="7" s="1"/>
  <c r="AH18" i="7" s="1"/>
  <c r="G28" i="4"/>
  <c r="I28" i="4" s="1"/>
  <c r="J28" i="4" s="1"/>
  <c r="M28" i="4" s="1"/>
  <c r="O27" i="7"/>
  <c r="S27" i="7" s="1"/>
  <c r="AH27" i="7" s="1"/>
  <c r="G24" i="4"/>
  <c r="I24" i="4" s="1"/>
  <c r="J24" i="4" s="1"/>
  <c r="M24" i="4" s="1"/>
  <c r="O23" i="7"/>
  <c r="S23" i="7" s="1"/>
  <c r="AH23" i="7" s="1"/>
  <c r="G26" i="4"/>
  <c r="I26" i="4" s="1"/>
  <c r="J26" i="4" s="1"/>
  <c r="M26" i="4" s="1"/>
  <c r="O25" i="7"/>
  <c r="S25" i="7" s="1"/>
  <c r="AH25" i="7" s="1"/>
  <c r="G17" i="4"/>
  <c r="I17" i="4" s="1"/>
  <c r="J17" i="4" s="1"/>
  <c r="M17" i="4" s="1"/>
  <c r="O16" i="7"/>
  <c r="S16" i="7" s="1"/>
  <c r="AH16" i="7" s="1"/>
  <c r="G27" i="4"/>
  <c r="I27" i="4" s="1"/>
  <c r="J27" i="4" s="1"/>
  <c r="M27" i="4" s="1"/>
  <c r="O26" i="7"/>
  <c r="S26" i="7" s="1"/>
  <c r="AH26" i="7" s="1"/>
  <c r="G25" i="4"/>
  <c r="I25" i="4" s="1"/>
  <c r="J25" i="4" s="1"/>
  <c r="M25" i="4" s="1"/>
  <c r="O24" i="7"/>
  <c r="S24" i="7" s="1"/>
  <c r="AH24" i="7" s="1"/>
  <c r="G23" i="4"/>
  <c r="I23" i="4" s="1"/>
  <c r="J23" i="4" s="1"/>
  <c r="M23" i="4" s="1"/>
  <c r="O22" i="7"/>
  <c r="S22" i="7" s="1"/>
  <c r="AH22" i="7" s="1"/>
  <c r="I19" i="4"/>
  <c r="J19" i="4" s="1"/>
  <c r="M19" i="4" s="1"/>
  <c r="G21" i="4"/>
  <c r="I21" i="4" s="1"/>
  <c r="J21" i="4" s="1"/>
  <c r="M21" i="4" s="1"/>
  <c r="AI22" i="7" l="1"/>
  <c r="AM22" i="7" s="1"/>
  <c r="AI24" i="7"/>
  <c r="AM24" i="7" s="1"/>
  <c r="AI26" i="7"/>
  <c r="AM26" i="7" s="1"/>
  <c r="AI16" i="7"/>
  <c r="AM16" i="7" s="1"/>
  <c r="AI25" i="7"/>
  <c r="AM25" i="7" s="1"/>
  <c r="AI23" i="7"/>
  <c r="AM23" i="7" s="1"/>
  <c r="AI27" i="7"/>
  <c r="AM27" i="7" s="1"/>
  <c r="AI18" i="7"/>
  <c r="AM18" i="7" s="1"/>
  <c r="AI31" i="7"/>
  <c r="AM31" i="7" s="1"/>
  <c r="AI21" i="7"/>
  <c r="AM21" i="7" s="1"/>
  <c r="AI19" i="7"/>
  <c r="AM19" i="7" s="1"/>
  <c r="I61" i="4"/>
  <c r="J61" i="4" s="1"/>
  <c r="M61" i="4" s="1"/>
  <c r="AI20" i="7"/>
  <c r="AM20" i="7" s="1"/>
</calcChain>
</file>

<file path=xl/comments1.xml><?xml version="1.0" encoding="utf-8"?>
<comments xmlns="http://schemas.openxmlformats.org/spreadsheetml/2006/main">
  <authors>
    <author>Author</author>
  </authors>
  <commentList>
    <comment ref="I35" authorId="0" shapeId="0">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authors>
    <author>pratit</author>
  </authors>
  <commentList>
    <comment ref="AB13" authorId="0" shapeId="0">
      <text>
        <r>
          <rPr>
            <b/>
            <sz val="9"/>
            <color indexed="81"/>
            <rFont val="Tahoma"/>
            <charset val="1"/>
          </rPr>
          <t>pratit:</t>
        </r>
        <r>
          <rPr>
            <sz val="9"/>
            <color indexed="81"/>
            <rFont val="Tahoma"/>
            <charset val="1"/>
          </rPr>
          <t xml:space="preserve">
Consider 5 rs/kg extra on outer sheath for UV protection for all cables
Consider Rs. 1 extra for colour of o/sh for all cables</t>
        </r>
      </text>
    </comment>
  </commentList>
</comments>
</file>

<file path=xl/sharedStrings.xml><?xml version="1.0" encoding="utf-8"?>
<sst xmlns="http://schemas.openxmlformats.org/spreadsheetml/2006/main" count="547" uniqueCount="285">
  <si>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</si>
  <si>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</si>
  <si>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</si>
  <si>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</si>
  <si>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</si>
  <si>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</si>
  <si>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</si>
  <si>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</si>
  <si>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</si>
  <si>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</si>
  <si>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</si>
  <si>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</si>
  <si>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</si>
  <si>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</si>
  <si>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</si>
  <si>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</si>
  <si>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</si>
  <si>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</si>
  <si>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</si>
  <si>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</si>
  <si>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</si>
  <si>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</si>
  <si>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</si>
  <si>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</si>
  <si>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</si>
  <si>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</si>
  <si>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</si>
  <si>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</si>
  <si>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</si>
  <si>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</si>
  <si>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</si>
  <si>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</si>
  <si>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</si>
  <si>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</si>
  <si>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</si>
  <si>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</si>
  <si>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</si>
  <si>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</si>
  <si>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</si>
  <si>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</si>
  <si>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</si>
  <si>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</si>
  <si>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</si>
  <si>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</si>
  <si>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</si>
  <si>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</si>
  <si>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</si>
  <si>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</si>
  <si>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</si>
  <si>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</si>
  <si>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</si>
  <si>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</si>
  <si>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</si>
  <si>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</si>
  <si>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</si>
  <si>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</si>
  <si>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</si>
  <si>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</si>
  <si>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</si>
  <si>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</si>
  <si>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</si>
  <si>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</si>
  <si>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</si>
  <si>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</si>
  <si>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</si>
  <si>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</si>
  <si>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</si>
  <si>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</si>
  <si>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</si>
  <si>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</si>
  <si>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</si>
  <si>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</si>
  <si>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</si>
  <si>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</si>
  <si>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</si>
  <si>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</si>
  <si>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</si>
  <si>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</si>
  <si>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</si>
  <si>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</si>
  <si>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</si>
  <si>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</si>
  <si>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</si>
  <si>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</si>
  <si>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</si>
  <si>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</si>
  <si>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</si>
  <si>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</si>
  <si>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</si>
  <si>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</si>
  <si>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</si>
  <si>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</si>
  <si>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</si>
  <si>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</si>
  <si>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</si>
  <si>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</si>
  <si>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</si>
  <si>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</si>
  <si>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</si>
  <si>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</si>
  <si>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</si>
  <si>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</si>
  <si>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</si>
  <si>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</si>
  <si>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</si>
  <si>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</si>
  <si>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</si>
  <si>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</si>
  <si>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</si>
  <si>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</si>
  <si>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</si>
  <si>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</si>
  <si>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</si>
  <si>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</si>
  <si>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</si>
  <si>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</si>
  <si>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</si>
  <si>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</si>
  <si>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</si>
  <si>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</si>
  <si>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</si>
  <si>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</si>
  <si>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</si>
  <si>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</si>
  <si>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</si>
  <si>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</si>
  <si>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</si>
  <si>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</si>
  <si>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</si>
  <si>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</si>
  <si>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</si>
  <si>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</si>
  <si>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Technical Specification</t>
  </si>
  <si>
    <t>Base Date</t>
  </si>
  <si>
    <t>PROPOSE DRUM TYPE</t>
  </si>
  <si>
    <t>DRUM CODE</t>
  </si>
  <si>
    <t>DRUM SIZE (FxbXtx Ft)</t>
  </si>
  <si>
    <t>Rate Contract for supply of LT XLPE Power and AB Cables at Tata Power-DDL Site/Store.</t>
  </si>
  <si>
    <t>TPDDL/ENGG/ENQ/200001584/23-24</t>
  </si>
  <si>
    <t>Tata Power Delhi Distribution Limited</t>
  </si>
  <si>
    <t>06.10.2023 up to 1500 Hours</t>
  </si>
  <si>
    <t>Tata Power-DDL reserves the right to conduct the reverse auction (instead of public opening of price bids) for the products/ services being asked for in the tender. The terms and conditions for such reverse auction events shall be as per the Acceptance Form attached as Annexure VI of this document. The bidders along with the tender document shall mandatorily submit a duly signed copy of the Acceptance Form attached as Annexure VI as a token of acceptance for the same.</t>
  </si>
  <si>
    <t xml:space="preserve">LME Average Settlement Price in Kg including Premium for Ingot as per IEEMA. This price is applicable as of 1st working day of the month, 1 month prior to the due date of submission of tender.
</t>
  </si>
  <si>
    <t>Bids shall remain valid for 180 days from the due date of submission of the bid.
Notwithstanding clause above, the Tata Power-DDL may solicit the Bidder’s consent to an extension of the Period of Bid Validity. The request and responses thereto shall be made in writing.</t>
  </si>
  <si>
    <t>The total time for completion of delivery at Tata Power-DDL Stores shall be within 60 days from the date of issue of RO to BA or manufacturing clearance whichever is later.</t>
  </si>
  <si>
    <t>Tata Power-DDL will make 100% payment within 45 days (MSME) / 60 days (Non MSME) of submission of the Bill/Invoice complete in all respects and along with all the requisite documents at Bill Inward Receipt Desk (BIRD) located at Civil Lines II Office, Tata Power-DDL Near Delhi Vidhan Sabha; subject to condition that associate has furnished the requisite Security-cumPerformance Guarantee as stipulated in the contract.</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</si>
  <si>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</si>
  <si>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</si>
  <si>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</si>
  <si>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</si>
  <si>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</si>
  <si>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</si>
  <si>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</si>
  <si>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</si>
  <si>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</si>
  <si>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</si>
  <si>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</si>
  <si>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</si>
  <si>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</si>
  <si>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</si>
  <si>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</si>
  <si>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</si>
  <si>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</si>
  <si>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</si>
  <si>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</si>
  <si>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ENQ-11285-22-23</t>
  </si>
  <si>
    <t>FA0600021</t>
  </si>
  <si>
    <t>1 CORE X 185 SQ. MM. AL/UNARD. (XLPE)</t>
  </si>
  <si>
    <t>Hybrid</t>
  </si>
  <si>
    <t>KMS</t>
  </si>
  <si>
    <t>MD0100107</t>
  </si>
  <si>
    <t>DRUM - 42 X 15 X 38 X 2 (LOMBU-HYBRID)</t>
  </si>
  <si>
    <t>FA1000114</t>
  </si>
  <si>
    <t>1 CORE X 4 SQ. MM. AL/UNARD (XLPE)</t>
  </si>
  <si>
    <t>MD0100004</t>
  </si>
  <si>
    <t>DRUM - 28 X 10 X 23 X 2</t>
  </si>
  <si>
    <t>FA0600032</t>
  </si>
  <si>
    <t>1 CORE X 630 SQ. MM. ALU/UNARD (XLPE)</t>
  </si>
  <si>
    <t>STEEL</t>
  </si>
  <si>
    <t>SP0400126</t>
  </si>
  <si>
    <t>CORRUGATED DISPATCH STEEL DRUM 1900 X 830 X 915 MM</t>
  </si>
  <si>
    <t>FA0600013</t>
  </si>
  <si>
    <t>1 CORE X 95 SQ. MM. AL/UNARD(XLPE )</t>
  </si>
  <si>
    <t>MD0100106</t>
  </si>
  <si>
    <t>DRUM - 42 X 15 X 23 X 2 (LOMBU-HYBRID)</t>
  </si>
  <si>
    <t>FA0600020</t>
  </si>
  <si>
    <t>1 CORE X 300 SQ. MM. AL/UNARD. (XLPE)</t>
  </si>
  <si>
    <t>FA0500020</t>
  </si>
  <si>
    <t>1 CORE X 25 SQ. MM. ALU/UNARD (XLPE )</t>
  </si>
  <si>
    <t>FA1500045</t>
  </si>
  <si>
    <t>2 CORE X 25 SQ MM + 1 CORE X 25 SQ MM (AB CABLES) (BARE)</t>
  </si>
  <si>
    <t>Alumimium Alloy</t>
  </si>
  <si>
    <t>FA1100262</t>
  </si>
  <si>
    <t>4 CORE X 150 SQ. MM. AL/ARD - STRIP/TYPE - B (XLPE)</t>
  </si>
  <si>
    <t>FA0500035</t>
  </si>
  <si>
    <t>1 CORE X 2.5 SQ. MM. ALU/UNARD (XLPE)</t>
  </si>
  <si>
    <t>FA1100176</t>
  </si>
  <si>
    <t>4 CORE X 300 SQ. MM. AL/ARD - WIRE (XLPE)</t>
  </si>
  <si>
    <t>SP0400139</t>
  </si>
  <si>
    <t>CORRUGATED DISPATCH STEEL DRUM 2130 X 890 X 965</t>
  </si>
  <si>
    <t>FA1100012</t>
  </si>
  <si>
    <t>4 CORE X 95 SQ. MM. AL/ARD - STRIP (XLPE)</t>
  </si>
  <si>
    <t>FA0900036</t>
  </si>
  <si>
    <t>4 CORE X 50 SQ. MM. ALU/ARD - STRIP (XLPE)</t>
  </si>
  <si>
    <t>FA0900038</t>
  </si>
  <si>
    <t>2 CORE X 25 SQ. MM. AL/ARD - STRIP (XLPE)</t>
  </si>
  <si>
    <t>MD0100105</t>
  </si>
  <si>
    <t>DRUM - 42 X 24 X 38 X 2 (LOMBU-HYBRID)</t>
  </si>
  <si>
    <t>FA0100086</t>
  </si>
  <si>
    <t>4 CORE X 150 SQ MM + 1 CORE X 16 SQ MM + 1 CORE X 150 SQ MM (AB CABLES) (BARE)</t>
  </si>
  <si>
    <t>WOOD</t>
  </si>
  <si>
    <t>MD0100070</t>
  </si>
  <si>
    <t>DRUM - 68 X 24 X 32 X 3</t>
  </si>
  <si>
    <t>FA0900015</t>
  </si>
  <si>
    <t>4 CORE X 25 SQ. MM. ALU/ARD - STRIP (XLPE)</t>
  </si>
  <si>
    <t>MD0100092</t>
  </si>
  <si>
    <t>DRUM - 42 X 18 X 36 X 2 (LOMBU)</t>
  </si>
  <si>
    <t>FA0900133</t>
  </si>
  <si>
    <t>2 CORE X 16 SQ. MM. AL/ARD - WIRE (XLPE)</t>
  </si>
  <si>
    <t>MD0100075</t>
  </si>
  <si>
    <t>DRUM - 42 X 15 X 23 X 2</t>
  </si>
  <si>
    <t>SP0400125</t>
  </si>
  <si>
    <t>CORRUGATED DISPATCH STEEL DRUM 1600 X 700 X 915 MM</t>
  </si>
  <si>
    <t>SP0400124</t>
  </si>
  <si>
    <t>CORRUGATED DISPATCH STEEL DRUM 1220 X 550 X 915 MM</t>
  </si>
  <si>
    <t>NCWBT</t>
  </si>
  <si>
    <t>PV Terms(Price Variation Formula)</t>
  </si>
  <si>
    <t>BASE DATE : This price is applicable as of 1st working day of the month, 1 month prior to the due date of submission of tender.</t>
  </si>
  <si>
    <t>PV FORMULA</t>
  </si>
  <si>
    <t>P=Po+{Wt. of Al conductor in Kg/Mtr * (Al - Alo) } +{Wt. of Armor (GI wire) in Kg/Mtr * (Fe - Feo)}</t>
  </si>
  <si>
    <t>Alf</t>
  </si>
  <si>
    <t>Variation factor for aluminum.</t>
  </si>
  <si>
    <t>Fef</t>
  </si>
  <si>
    <t>Variation factor for steel</t>
  </si>
  <si>
    <t>Item</t>
  </si>
  <si>
    <t>VALUE ADDITION CALCULATION</t>
  </si>
  <si>
    <t>Calculation part</t>
  </si>
  <si>
    <t>Date of Inspection</t>
  </si>
  <si>
    <t>Applicable Date</t>
  </si>
  <si>
    <t>BASE DATE</t>
  </si>
  <si>
    <t>FACTORS</t>
  </si>
  <si>
    <t>Ex-Work
Po</t>
  </si>
  <si>
    <t>PVC of al</t>
  </si>
  <si>
    <t>PVC OF FE</t>
  </si>
  <si>
    <t>PV/PKM</t>
  </si>
  <si>
    <t>Billing Price/PKM</t>
  </si>
  <si>
    <t>Date</t>
  </si>
  <si>
    <t>Al</t>
  </si>
  <si>
    <t>Fe</t>
  </si>
  <si>
    <t>Alo</t>
  </si>
  <si>
    <t>Feo</t>
  </si>
  <si>
    <t>RMC</t>
  </si>
  <si>
    <t>Drum</t>
  </si>
  <si>
    <t>RMC+Drum</t>
  </si>
  <si>
    <t>VA</t>
  </si>
  <si>
    <t>Groos VA%</t>
  </si>
  <si>
    <t>Mfg %</t>
  </si>
  <si>
    <t>Int %</t>
  </si>
  <si>
    <t>Ins%</t>
  </si>
  <si>
    <t>Net VA</t>
  </si>
  <si>
    <t>XLFAL</t>
  </si>
  <si>
    <t>CCFAI</t>
  </si>
  <si>
    <t>FeF</t>
  </si>
  <si>
    <t>SMIF</t>
  </si>
  <si>
    <t>Kg/Km</t>
  </si>
  <si>
    <t>PROVISIONAL</t>
  </si>
  <si>
    <t>1 CORE X 4 SQ. MM. ALU/UNARD (XLPE)</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</si>
  <si>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</si>
  <si>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</si>
  <si>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</si>
  <si>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</si>
  <si>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</si>
  <si>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</si>
  <si>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</si>
  <si>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</si>
  <si>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</si>
  <si>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</si>
  <si>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Consider 5 rs/kg extra on outer sheath for UV protection for all cables</t>
  </si>
  <si>
    <t>Consider Rs. 1 extra for colour of o/sh for all cables</t>
  </si>
  <si>
    <t>WEIGHT OF CABLE</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</si>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</sst>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0.000%"/>
    <numFmt numFmtId="165" formatCode="_(* #,##0.00_);_(* \(#,##0.00\);_(* &quot;-&quot;??_);_(@_)"/>
    <numFmt numFmtId="166" formatCode="0.0000"/>
    <numFmt numFmtId="167" formatCode="&quot;Rs.&quot;#,##0"/>
    <numFmt numFmtId="168" formatCode="0.0"/>
    <numFmt numFmtId="169" formatCode="0.000"/>
    <numFmt numFmtId="170" formatCode="0.00000"/>
    <numFmt numFmtId="171" formatCode="#00.000\ &quot;KG/KM&quot;"/>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0"/>
      <name val="Verdana"/>
      <family val="2"/>
    </font>
    <font>
      <b/>
      <sz val="10"/>
      <name val="Calibri"/>
      <family val="2"/>
      <scheme val="minor"/>
    </font>
    <font>
      <sz val="10"/>
      <name val="Calibri"/>
      <family val="2"/>
      <scheme val="minor"/>
    </font>
    <font>
      <b/>
      <sz val="12"/>
      <name val="Calibri"/>
      <family val="2"/>
      <scheme val="minor"/>
    </font>
    <font>
      <sz val="14"/>
      <name val="Calibri"/>
      <family val="2"/>
      <scheme val="minor"/>
    </font>
    <font>
      <b/>
      <sz val="10"/>
      <name val="Arial"/>
      <family val="2"/>
    </font>
    <font>
      <b/>
      <sz val="9"/>
      <color indexed="81"/>
      <name val="Tahoma"/>
      <family val="2"/>
    </font>
    <font>
      <sz val="9"/>
      <color indexed="81"/>
      <name val="Tahoma"/>
      <family val="2"/>
    </font>
    <font>
      <sz val="9"/>
      <color indexed="81"/>
      <name val="Tahoma"/>
      <charset val="1"/>
    </font>
    <font>
      <b/>
      <sz val="9"/>
      <color indexed="81"/>
      <name val="Tahoma"/>
      <charset val="1"/>
    </font>
    <font>
      <b/>
      <sz val="11"/>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3" tint="0.59999389629810485"/>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medium">
        <color indexed="64"/>
      </top>
      <bottom/>
      <diagonal/>
    </border>
    <border>
      <left style="thin">
        <color indexed="64"/>
      </left>
      <right/>
      <top/>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233">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0" borderId="0" xfId="0" applyFont="1" applyFill="1" applyBorder="1" applyAlignment="1">
      <alignment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3" fontId="0" fillId="0" borderId="0" xfId="0" applyNumberFormat="1"/>
    <xf numFmtId="4" fontId="0" fillId="0" borderId="0" xfId="0" applyNumberFormat="1"/>
    <xf numFmtId="43" fontId="0" fillId="6" borderId="1" xfId="1" applyFont="1" applyFill="1" applyBorder="1" applyAlignment="1">
      <alignment wrapText="1"/>
    </xf>
    <xf numFmtId="0" fontId="3"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7" fillId="3" borderId="1" xfId="0" applyFont="1" applyFill="1" applyBorder="1" applyAlignment="1">
      <alignment vertical="center" wrapText="1"/>
    </xf>
    <xf numFmtId="0" fontId="13" fillId="0" borderId="1" xfId="4" applyFont="1" applyFill="1" applyBorder="1" applyAlignment="1">
      <alignment horizontal="center" vertical="center"/>
    </xf>
    <xf numFmtId="14" fontId="11" fillId="0" borderId="0" xfId="4" applyNumberFormat="1" applyFont="1" applyFill="1" applyBorder="1" applyAlignment="1">
      <alignment vertical="center"/>
    </xf>
    <xf numFmtId="0" fontId="14" fillId="0" borderId="0" xfId="4" applyFont="1" applyFill="1" applyAlignment="1">
      <alignment horizontal="center" vertical="center"/>
    </xf>
    <xf numFmtId="0" fontId="15" fillId="0" borderId="0" xfId="5" applyFont="1" applyFill="1" applyAlignment="1">
      <alignment horizontal="center" vertical="center"/>
    </xf>
    <xf numFmtId="0" fontId="11" fillId="0" borderId="0" xfId="4" applyFont="1" applyFill="1" applyAlignment="1">
      <alignment horizontal="center" vertical="center"/>
    </xf>
    <xf numFmtId="0" fontId="11" fillId="0" borderId="0" xfId="4" applyAlignment="1">
      <alignment horizontal="center" vertical="center"/>
    </xf>
    <xf numFmtId="0" fontId="16" fillId="0" borderId="1" xfId="4" applyFont="1" applyFill="1" applyBorder="1" applyAlignment="1">
      <alignment horizontal="center" vertical="center" wrapText="1"/>
    </xf>
    <xf numFmtId="0" fontId="17" fillId="0" borderId="0" xfId="4" applyFont="1" applyFill="1" applyBorder="1" applyAlignment="1">
      <alignment vertical="center" wrapText="1"/>
    </xf>
    <xf numFmtId="0" fontId="15" fillId="0" borderId="0" xfId="4" applyFont="1" applyFill="1" applyAlignment="1">
      <alignment horizontal="center"/>
    </xf>
    <xf numFmtId="0" fontId="15" fillId="0" borderId="0" xfId="5" applyFont="1" applyFill="1"/>
    <xf numFmtId="0" fontId="11" fillId="0" borderId="0" xfId="4" applyFont="1" applyFill="1"/>
    <xf numFmtId="0" fontId="11" fillId="0" borderId="0" xfId="4"/>
    <xf numFmtId="0" fontId="14" fillId="0" borderId="0" xfId="4" applyFont="1" applyFill="1" applyBorder="1" applyAlignment="1">
      <alignment horizontal="left" vertical="center" wrapText="1"/>
    </xf>
    <xf numFmtId="0" fontId="14" fillId="0" borderId="0" xfId="4" applyFont="1" applyFill="1" applyBorder="1" applyAlignment="1"/>
    <xf numFmtId="0" fontId="14" fillId="0" borderId="0" xfId="4" applyFont="1" applyFill="1" applyBorder="1" applyAlignment="1">
      <alignment horizontal="center"/>
    </xf>
    <xf numFmtId="0" fontId="11" fillId="0" borderId="0" xfId="4" applyFont="1" applyFill="1" applyAlignment="1"/>
    <xf numFmtId="0" fontId="14" fillId="0" borderId="0" xfId="4" applyFont="1" applyFill="1" applyBorder="1" applyAlignment="1">
      <alignment horizontal="center" vertical="center"/>
    </xf>
    <xf numFmtId="0" fontId="14" fillId="0" borderId="0" xfId="4" applyFont="1" applyFill="1" applyBorder="1" applyAlignment="1">
      <alignment vertical="center"/>
    </xf>
    <xf numFmtId="0" fontId="14" fillId="0" borderId="1" xfId="4" applyFont="1" applyFill="1" applyBorder="1" applyAlignment="1">
      <alignment horizontal="left" vertical="center"/>
    </xf>
    <xf numFmtId="0" fontId="14" fillId="0" borderId="1" xfId="4" applyFont="1" applyFill="1" applyBorder="1" applyAlignment="1">
      <alignment horizontal="center" vertical="center" wrapText="1"/>
    </xf>
    <xf numFmtId="0" fontId="11" fillId="0" borderId="0" xfId="4" applyFont="1" applyFill="1" applyBorder="1" applyAlignment="1">
      <alignment horizontal="center"/>
    </xf>
    <xf numFmtId="166" fontId="14" fillId="0" borderId="0" xfId="4" applyNumberFormat="1" applyFont="1" applyFill="1" applyBorder="1" applyAlignment="1">
      <alignment vertical="center"/>
    </xf>
    <xf numFmtId="0" fontId="11" fillId="0" borderId="0" xfId="4" applyFont="1" applyFill="1" applyBorder="1"/>
    <xf numFmtId="0" fontId="15" fillId="0" borderId="0" xfId="4" applyFont="1" applyFill="1" applyBorder="1" applyAlignment="1">
      <alignment horizontal="center"/>
    </xf>
    <xf numFmtId="14" fontId="15" fillId="0" borderId="0" xfId="4" applyNumberFormat="1" applyFont="1" applyFill="1" applyBorder="1" applyAlignment="1">
      <alignment horizontal="center"/>
    </xf>
    <xf numFmtId="0" fontId="18" fillId="0" borderId="6" xfId="5" applyFont="1" applyFill="1" applyBorder="1" applyAlignment="1">
      <alignment horizontal="center" vertical="center" wrapText="1"/>
    </xf>
    <xf numFmtId="0" fontId="18" fillId="0" borderId="1" xfId="5" applyFont="1" applyFill="1" applyBorder="1" applyAlignment="1">
      <alignment horizontal="center" vertical="center" wrapText="1"/>
    </xf>
    <xf numFmtId="0" fontId="14" fillId="0" borderId="6" xfId="5" applyFont="1" applyFill="1" applyBorder="1" applyAlignment="1">
      <alignment horizontal="center" vertical="center" wrapText="1"/>
    </xf>
    <xf numFmtId="0" fontId="14" fillId="0" borderId="2" xfId="5" applyFont="1" applyFill="1" applyBorder="1" applyAlignment="1">
      <alignment horizontal="center" vertical="center" wrapText="1"/>
    </xf>
    <xf numFmtId="0" fontId="14" fillId="0" borderId="1" xfId="5" applyFont="1" applyFill="1" applyBorder="1" applyAlignment="1">
      <alignment horizontal="center" vertical="center" wrapText="1"/>
    </xf>
    <xf numFmtId="0" fontId="14" fillId="0" borderId="19" xfId="5" applyFont="1" applyFill="1" applyBorder="1" applyAlignment="1">
      <alignment horizontal="center" vertical="center" wrapText="1"/>
    </xf>
    <xf numFmtId="167" fontId="18" fillId="0" borderId="6" xfId="5" applyNumberFormat="1" applyFont="1" applyFill="1" applyBorder="1" applyAlignment="1">
      <alignment horizontal="center" vertical="center" wrapText="1"/>
    </xf>
    <xf numFmtId="0" fontId="11" fillId="0" borderId="20" xfId="4" applyFont="1" applyFill="1" applyBorder="1"/>
    <xf numFmtId="0" fontId="11" fillId="0" borderId="21" xfId="4" applyFont="1" applyFill="1" applyBorder="1"/>
    <xf numFmtId="0" fontId="15" fillId="0" borderId="0" xfId="5" applyFont="1" applyFill="1" applyBorder="1"/>
    <xf numFmtId="0" fontId="15" fillId="0" borderId="6" xfId="5" applyFont="1" applyFill="1" applyBorder="1" applyAlignment="1">
      <alignment horizontal="left" vertical="center" wrapText="1"/>
    </xf>
    <xf numFmtId="14" fontId="15" fillId="0" borderId="1" xfId="5" applyNumberFormat="1" applyFont="1" applyFill="1" applyBorder="1" applyAlignment="1">
      <alignment horizontal="center" vertical="center" wrapText="1"/>
    </xf>
    <xf numFmtId="14" fontId="15" fillId="0" borderId="2" xfId="5" applyNumberFormat="1" applyFont="1" applyFill="1" applyBorder="1" applyAlignment="1">
      <alignment horizontal="center" vertical="center" wrapText="1"/>
    </xf>
    <xf numFmtId="14" fontId="15" fillId="0" borderId="4" xfId="5" applyNumberFormat="1" applyFont="1" applyFill="1" applyBorder="1" applyAlignment="1">
      <alignment horizontal="center" vertical="center" wrapText="1"/>
    </xf>
    <xf numFmtId="2" fontId="14" fillId="0" borderId="6" xfId="5" applyNumberFormat="1" applyFont="1" applyFill="1" applyBorder="1" applyAlignment="1">
      <alignment horizontal="center" vertical="center" wrapText="1"/>
    </xf>
    <xf numFmtId="2" fontId="14" fillId="0" borderId="2" xfId="5" applyNumberFormat="1" applyFont="1" applyFill="1" applyBorder="1" applyAlignment="1">
      <alignment horizontal="center" vertical="center" wrapText="1"/>
    </xf>
    <xf numFmtId="2" fontId="14" fillId="0" borderId="1" xfId="5" applyNumberFormat="1" applyFont="1" applyFill="1" applyBorder="1" applyAlignment="1">
      <alignment horizontal="center" vertical="center" wrapText="1"/>
    </xf>
    <xf numFmtId="2" fontId="14" fillId="0" borderId="19" xfId="5" applyNumberFormat="1" applyFont="1" applyFill="1" applyBorder="1" applyAlignment="1">
      <alignment horizontal="center" vertical="center" wrapText="1"/>
    </xf>
    <xf numFmtId="0" fontId="14" fillId="0" borderId="32" xfId="5" applyFont="1" applyFill="1" applyBorder="1" applyAlignment="1">
      <alignment horizontal="center" vertical="center" wrapText="1"/>
    </xf>
    <xf numFmtId="0" fontId="15" fillId="0" borderId="20" xfId="5" applyFont="1" applyFill="1" applyBorder="1" applyAlignment="1">
      <alignment horizontal="center" vertical="center" wrapText="1"/>
    </xf>
    <xf numFmtId="167" fontId="18" fillId="0" borderId="4" xfId="5" applyNumberFormat="1" applyFont="1" applyFill="1" applyBorder="1" applyAlignment="1">
      <alignment horizontal="center" vertical="center" wrapText="1"/>
    </xf>
    <xf numFmtId="0" fontId="11" fillId="0" borderId="2" xfId="4" applyFont="1" applyFill="1" applyBorder="1" applyAlignment="1">
      <alignment horizontal="center" vertical="center" wrapText="1"/>
    </xf>
    <xf numFmtId="0" fontId="11" fillId="0" borderId="21" xfId="4" applyFont="1" applyFill="1" applyBorder="1" applyAlignment="1">
      <alignment wrapText="1"/>
    </xf>
    <xf numFmtId="14" fontId="15" fillId="0" borderId="3" xfId="5" applyNumberFormat="1" applyFont="1" applyFill="1" applyBorder="1" applyAlignment="1">
      <alignment horizontal="center" vertical="center" wrapText="1"/>
    </xf>
    <xf numFmtId="14" fontId="15" fillId="7" borderId="6" xfId="5" applyNumberFormat="1" applyFont="1" applyFill="1" applyBorder="1" applyAlignment="1">
      <alignment horizontal="center" vertical="center" wrapText="1"/>
    </xf>
    <xf numFmtId="2" fontId="15" fillId="0" borderId="1" xfId="6" applyNumberFormat="1" applyFont="1" applyFill="1" applyBorder="1" applyAlignment="1">
      <alignment horizontal="center" vertical="center" wrapText="1"/>
    </xf>
    <xf numFmtId="168" fontId="15" fillId="0" borderId="1" xfId="6" applyNumberFormat="1" applyFont="1" applyFill="1" applyBorder="1" applyAlignment="1">
      <alignment horizontal="center" vertical="center" wrapText="1"/>
    </xf>
    <xf numFmtId="14" fontId="15" fillId="7" borderId="4" xfId="6" applyNumberFormat="1" applyFont="1" applyFill="1" applyBorder="1" applyAlignment="1">
      <alignment horizontal="center" vertical="center" wrapText="1"/>
    </xf>
    <xf numFmtId="166" fontId="15" fillId="0" borderId="6" xfId="5" applyNumberFormat="1" applyFont="1" applyFill="1" applyBorder="1" applyAlignment="1">
      <alignment horizontal="center" vertical="center" wrapText="1"/>
    </xf>
    <xf numFmtId="166" fontId="15" fillId="0" borderId="2" xfId="5" applyNumberFormat="1" applyFont="1" applyFill="1" applyBorder="1" applyAlignment="1">
      <alignment horizontal="center" vertical="center" wrapText="1"/>
    </xf>
    <xf numFmtId="166" fontId="15" fillId="0" borderId="1" xfId="5" applyNumberFormat="1" applyFont="1" applyFill="1" applyBorder="1" applyAlignment="1">
      <alignment horizontal="center" vertical="center" wrapText="1"/>
    </xf>
    <xf numFmtId="166" fontId="15" fillId="0" borderId="19" xfId="5" applyNumberFormat="1" applyFont="1" applyFill="1" applyBorder="1" applyAlignment="1">
      <alignment horizontal="center" vertical="center" wrapText="1"/>
    </xf>
    <xf numFmtId="166" fontId="15" fillId="0" borderId="4" xfId="5" applyNumberFormat="1" applyFont="1" applyFill="1" applyBorder="1" applyAlignment="1">
      <alignment vertical="center" wrapText="1"/>
    </xf>
    <xf numFmtId="169" fontId="15" fillId="0" borderId="1" xfId="5" applyNumberFormat="1" applyFont="1" applyFill="1" applyBorder="1" applyAlignment="1">
      <alignment horizontal="center" vertical="center" wrapText="1"/>
    </xf>
    <xf numFmtId="2" fontId="15" fillId="8" borderId="21" xfId="5" applyNumberFormat="1" applyFont="1" applyFill="1" applyBorder="1" applyAlignment="1">
      <alignment horizontal="center" vertical="center" wrapText="1"/>
    </xf>
    <xf numFmtId="169" fontId="12" fillId="0" borderId="6" xfId="5" applyNumberFormat="1" applyFont="1" applyFill="1" applyBorder="1" applyAlignment="1">
      <alignment vertical="center"/>
    </xf>
    <xf numFmtId="169" fontId="12" fillId="0" borderId="1" xfId="5" applyNumberFormat="1" applyFont="1" applyFill="1" applyBorder="1" applyAlignment="1">
      <alignment vertical="center"/>
    </xf>
    <xf numFmtId="2" fontId="18" fillId="0" borderId="1" xfId="5" applyNumberFormat="1" applyFont="1" applyFill="1" applyBorder="1" applyAlignment="1">
      <alignment vertical="center"/>
    </xf>
    <xf numFmtId="2" fontId="12" fillId="0" borderId="1" xfId="5" applyNumberFormat="1" applyFont="1" applyFill="1" applyBorder="1" applyAlignment="1">
      <alignment vertical="center"/>
    </xf>
    <xf numFmtId="2" fontId="18" fillId="0" borderId="19" xfId="5" applyNumberFormat="1" applyFont="1" applyFill="1" applyBorder="1" applyAlignment="1">
      <alignment vertical="center"/>
    </xf>
    <xf numFmtId="0" fontId="11" fillId="0" borderId="33" xfId="4" applyFont="1" applyFill="1" applyBorder="1" applyAlignment="1">
      <alignment wrapText="1"/>
    </xf>
    <xf numFmtId="166" fontId="15" fillId="0" borderId="34" xfId="5" applyNumberFormat="1" applyFont="1" applyFill="1" applyBorder="1" applyAlignment="1">
      <alignment horizontal="center" vertical="center" wrapText="1"/>
    </xf>
    <xf numFmtId="166" fontId="15" fillId="0" borderId="35" xfId="5" applyNumberFormat="1" applyFont="1" applyFill="1" applyBorder="1" applyAlignment="1">
      <alignment horizontal="center" vertical="center" wrapText="1"/>
    </xf>
    <xf numFmtId="166" fontId="15" fillId="0" borderId="27" xfId="5" applyNumberFormat="1" applyFont="1" applyFill="1" applyBorder="1" applyAlignment="1">
      <alignment horizontal="center" vertical="center" wrapText="1"/>
    </xf>
    <xf numFmtId="166" fontId="15" fillId="0" borderId="36" xfId="5" applyNumberFormat="1" applyFont="1" applyFill="1" applyBorder="1" applyAlignment="1">
      <alignment horizontal="center" vertical="center" wrapText="1"/>
    </xf>
    <xf numFmtId="0" fontId="11" fillId="0" borderId="37" xfId="4" applyFont="1" applyFill="1" applyBorder="1" applyAlignment="1">
      <alignment wrapText="1"/>
    </xf>
    <xf numFmtId="0" fontId="11" fillId="0" borderId="38" xfId="4" applyFont="1" applyFill="1" applyBorder="1" applyAlignment="1">
      <alignment wrapText="1"/>
    </xf>
    <xf numFmtId="14" fontId="15" fillId="0" borderId="39" xfId="5" applyNumberFormat="1" applyFont="1" applyFill="1" applyBorder="1" applyAlignment="1">
      <alignment horizontal="center" vertical="center" wrapText="1"/>
    </xf>
    <xf numFmtId="14" fontId="15" fillId="0" borderId="40" xfId="5" applyNumberFormat="1" applyFont="1" applyFill="1" applyBorder="1" applyAlignment="1">
      <alignment horizontal="center" vertical="center" wrapText="1"/>
    </xf>
    <xf numFmtId="2" fontId="15" fillId="0" borderId="41" xfId="5" applyNumberFormat="1" applyFont="1" applyFill="1" applyBorder="1" applyAlignment="1">
      <alignment horizontal="center" vertical="center" wrapText="1"/>
    </xf>
    <xf numFmtId="2" fontId="15" fillId="0" borderId="42" xfId="6" applyNumberFormat="1" applyFont="1" applyFill="1" applyBorder="1" applyAlignment="1">
      <alignment horizontal="center" vertical="center" wrapText="1"/>
    </xf>
    <xf numFmtId="2" fontId="15" fillId="0" borderId="43" xfId="6" applyNumberFormat="1" applyFont="1" applyFill="1" applyBorder="1" applyAlignment="1">
      <alignment horizontal="center" vertical="center" wrapText="1"/>
    </xf>
    <xf numFmtId="168" fontId="15" fillId="0" borderId="41" xfId="6" applyNumberFormat="1" applyFont="1" applyFill="1" applyBorder="1" applyAlignment="1">
      <alignment horizontal="center" vertical="center" wrapText="1"/>
    </xf>
    <xf numFmtId="2" fontId="15" fillId="0" borderId="40" xfId="5" applyNumberFormat="1" applyFont="1" applyFill="1" applyBorder="1" applyAlignment="1">
      <alignment horizontal="center" vertical="center" wrapText="1"/>
    </xf>
    <xf numFmtId="2" fontId="15" fillId="0" borderId="44" xfId="5" applyNumberFormat="1" applyFont="1" applyFill="1" applyBorder="1" applyAlignment="1">
      <alignment horizontal="center" vertical="center" wrapText="1"/>
    </xf>
    <xf numFmtId="2" fontId="15" fillId="0" borderId="45" xfId="5" applyNumberFormat="1" applyFont="1" applyFill="1" applyBorder="1" applyAlignment="1">
      <alignment horizontal="center" vertical="center" wrapText="1"/>
    </xf>
    <xf numFmtId="170" fontId="15" fillId="0" borderId="43" xfId="5" applyNumberFormat="1" applyFont="1" applyFill="1" applyBorder="1" applyAlignment="1">
      <alignment vertical="center" wrapText="1"/>
    </xf>
    <xf numFmtId="170" fontId="15" fillId="0" borderId="41" xfId="5" applyNumberFormat="1" applyFont="1" applyFill="1" applyBorder="1" applyAlignment="1">
      <alignment vertical="center" wrapText="1"/>
    </xf>
    <xf numFmtId="2" fontId="15" fillId="0" borderId="38" xfId="5" applyNumberFormat="1" applyFont="1" applyFill="1" applyBorder="1" applyAlignment="1">
      <alignment horizontal="center" vertical="center" wrapText="1"/>
    </xf>
    <xf numFmtId="0" fontId="11" fillId="0" borderId="46" xfId="4" applyFont="1" applyFill="1" applyBorder="1"/>
    <xf numFmtId="0" fontId="11" fillId="0" borderId="47" xfId="4" applyFont="1" applyFill="1" applyBorder="1"/>
    <xf numFmtId="0" fontId="11" fillId="0" borderId="48" xfId="4" applyFont="1" applyFill="1" applyBorder="1"/>
    <xf numFmtId="0" fontId="11" fillId="0" borderId="0" xfId="4" applyAlignment="1">
      <alignment wrapText="1"/>
    </xf>
    <xf numFmtId="0" fontId="13" fillId="0" borderId="0" xfId="4" applyFont="1" applyFill="1"/>
    <xf numFmtId="0" fontId="11" fillId="0" borderId="0" xfId="4" applyBorder="1"/>
    <xf numFmtId="2" fontId="14" fillId="0" borderId="21" xfId="5" applyNumberFormat="1" applyFont="1" applyFill="1" applyBorder="1" applyAlignment="1">
      <alignment horizontal="center" vertical="center" wrapText="1"/>
    </xf>
    <xf numFmtId="2" fontId="15" fillId="0" borderId="21" xfId="5" applyNumberFormat="1" applyFont="1" applyFill="1" applyBorder="1" applyAlignment="1">
      <alignment horizontal="center" vertical="center" wrapText="1"/>
    </xf>
    <xf numFmtId="167" fontId="18" fillId="0" borderId="1" xfId="5" applyNumberFormat="1" applyFont="1" applyFill="1" applyBorder="1" applyAlignment="1">
      <alignment horizontal="center" vertical="center" wrapText="1"/>
    </xf>
    <xf numFmtId="0" fontId="15" fillId="0" borderId="53" xfId="5" applyFont="1" applyFill="1" applyBorder="1" applyAlignment="1">
      <alignment horizontal="center" vertical="center" wrapText="1"/>
    </xf>
    <xf numFmtId="2" fontId="15" fillId="0" borderId="2" xfId="5" applyNumberFormat="1" applyFont="1" applyFill="1" applyBorder="1" applyAlignment="1">
      <alignment horizontal="center" vertical="center" wrapText="1"/>
    </xf>
    <xf numFmtId="166" fontId="15" fillId="0" borderId="44" xfId="5" applyNumberFormat="1" applyFont="1" applyFill="1" applyBorder="1" applyAlignment="1">
      <alignment horizontal="center" vertical="center" wrapText="1"/>
    </xf>
    <xf numFmtId="0" fontId="2" fillId="0" borderId="1" xfId="0" applyFont="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9" borderId="1" xfId="7" applyFont="1" applyFill="1" applyBorder="1" applyAlignment="1">
      <alignment horizontal="center" vertical="center"/>
    </xf>
    <xf numFmtId="43" fontId="0" fillId="0" borderId="1" xfId="1" applyFont="1" applyFill="1" applyBorder="1" applyAlignment="1">
      <alignment wrapText="1"/>
    </xf>
    <xf numFmtId="165" fontId="0" fillId="0" borderId="1" xfId="0" applyNumberFormat="1" applyBorder="1" applyAlignment="1">
      <alignment wrapText="1"/>
    </xf>
    <xf numFmtId="0" fontId="0" fillId="11" borderId="0" xfId="0" applyFill="1" applyAlignment="1">
      <alignment wrapText="1"/>
    </xf>
    <xf numFmtId="0" fontId="0" fillId="0" borderId="1" xfId="0" applyFill="1" applyBorder="1" applyAlignment="1">
      <alignment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10" fillId="0" borderId="1"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0" fillId="11" borderId="1" xfId="0" applyFont="1" applyFill="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10" fillId="0" borderId="1" xfId="0" applyFont="1" applyFill="1" applyBorder="1" applyAlignment="1">
      <alignment horizontal="left" vertical="top"/>
    </xf>
    <xf numFmtId="0" fontId="18" fillId="0" borderId="28" xfId="5" applyFont="1" applyFill="1" applyBorder="1" applyAlignment="1">
      <alignment horizontal="center" vertical="center" wrapText="1"/>
    </xf>
    <xf numFmtId="0" fontId="18" fillId="0" borderId="26" xfId="5" applyFont="1" applyFill="1" applyBorder="1" applyAlignment="1">
      <alignment horizontal="center" vertical="center" wrapText="1"/>
    </xf>
    <xf numFmtId="0" fontId="18" fillId="0" borderId="31" xfId="5" applyFont="1" applyFill="1" applyBorder="1" applyAlignment="1">
      <alignment horizontal="center" vertical="center" wrapText="1"/>
    </xf>
    <xf numFmtId="0" fontId="18" fillId="0" borderId="27" xfId="5" applyFont="1" applyFill="1" applyBorder="1" applyAlignment="1">
      <alignment horizontal="center" vertical="center" wrapText="1"/>
    </xf>
    <xf numFmtId="0" fontId="18" fillId="0" borderId="25" xfId="5" applyFont="1" applyFill="1" applyBorder="1" applyAlignment="1">
      <alignment horizontal="center" vertical="center" wrapText="1"/>
    </xf>
    <xf numFmtId="0" fontId="18" fillId="0" borderId="30" xfId="5" applyFont="1" applyFill="1" applyBorder="1" applyAlignment="1">
      <alignment horizontal="center" vertical="center" wrapText="1"/>
    </xf>
    <xf numFmtId="0" fontId="14" fillId="0" borderId="4" xfId="5" applyFont="1" applyFill="1" applyBorder="1" applyAlignment="1">
      <alignment horizontal="center" vertical="center" wrapText="1"/>
    </xf>
    <xf numFmtId="0" fontId="14" fillId="0" borderId="1" xfId="5" applyFont="1" applyFill="1" applyBorder="1" applyAlignment="1">
      <alignment horizontal="center" vertical="center" wrapText="1"/>
    </xf>
    <xf numFmtId="0" fontId="11" fillId="0" borderId="0" xfId="4" applyFont="1" applyFill="1" applyBorder="1" applyAlignment="1">
      <alignment horizontal="center"/>
    </xf>
    <xf numFmtId="0" fontId="18" fillId="0" borderId="5" xfId="5" applyFont="1" applyFill="1" applyBorder="1" applyAlignment="1">
      <alignment horizontal="center" vertical="center"/>
    </xf>
    <xf numFmtId="0" fontId="18" fillId="0" borderId="10" xfId="5" applyFont="1" applyFill="1" applyBorder="1" applyAlignment="1">
      <alignment horizontal="center" vertical="center"/>
    </xf>
    <xf numFmtId="0" fontId="18" fillId="0" borderId="11" xfId="5" applyFont="1" applyFill="1" applyBorder="1" applyAlignment="1">
      <alignment horizontal="center" vertical="center"/>
    </xf>
    <xf numFmtId="0" fontId="18" fillId="0" borderId="6" xfId="5" applyFont="1" applyFill="1" applyBorder="1" applyAlignment="1">
      <alignment horizontal="center" vertical="center"/>
    </xf>
    <xf numFmtId="0" fontId="18" fillId="0" borderId="1" xfId="5" applyFont="1" applyFill="1" applyBorder="1" applyAlignment="1">
      <alignment horizontal="center" vertical="center"/>
    </xf>
    <xf numFmtId="0" fontId="18" fillId="0" borderId="19" xfId="5" applyFont="1" applyFill="1" applyBorder="1" applyAlignment="1">
      <alignment horizontal="center" vertical="center"/>
    </xf>
    <xf numFmtId="0" fontId="13" fillId="0" borderId="12" xfId="4" applyFont="1" applyFill="1" applyBorder="1" applyAlignment="1">
      <alignment horizontal="center" vertical="center"/>
    </xf>
    <xf numFmtId="0" fontId="13" fillId="0" borderId="20" xfId="4" applyFont="1" applyFill="1" applyBorder="1" applyAlignment="1">
      <alignment horizontal="center" vertical="center"/>
    </xf>
    <xf numFmtId="0" fontId="13" fillId="0" borderId="29" xfId="4" applyFont="1" applyFill="1" applyBorder="1" applyAlignment="1">
      <alignment horizontal="center" vertical="center"/>
    </xf>
    <xf numFmtId="0" fontId="13" fillId="0" borderId="13" xfId="4" applyFont="1" applyFill="1" applyBorder="1" applyAlignment="1">
      <alignment horizontal="center" vertical="center" wrapText="1"/>
    </xf>
    <xf numFmtId="0" fontId="13" fillId="0" borderId="21" xfId="4" applyFont="1" applyFill="1" applyBorder="1" applyAlignment="1">
      <alignment horizontal="center" vertical="center" wrapText="1"/>
    </xf>
    <xf numFmtId="0" fontId="14" fillId="0" borderId="14" xfId="5" applyFont="1" applyFill="1" applyBorder="1" applyAlignment="1">
      <alignment horizontal="center" vertical="center" wrapText="1"/>
    </xf>
    <xf numFmtId="0" fontId="14" fillId="0" borderId="0" xfId="5" applyFont="1" applyFill="1" applyBorder="1" applyAlignment="1">
      <alignment horizontal="center" vertical="center" wrapText="1"/>
    </xf>
    <xf numFmtId="0" fontId="14" fillId="0" borderId="23" xfId="5" applyFont="1" applyFill="1" applyBorder="1" applyAlignment="1">
      <alignment horizontal="center" vertical="center" wrapText="1"/>
    </xf>
    <xf numFmtId="0" fontId="14" fillId="0" borderId="15" xfId="5" applyFont="1" applyFill="1" applyBorder="1" applyAlignment="1">
      <alignment horizontal="center" vertical="center" wrapText="1"/>
    </xf>
    <xf numFmtId="0" fontId="14" fillId="0" borderId="16" xfId="5" applyFont="1" applyFill="1" applyBorder="1" applyAlignment="1">
      <alignment horizontal="center" vertical="center" wrapText="1"/>
    </xf>
    <xf numFmtId="0" fontId="14" fillId="0" borderId="17" xfId="5" applyFont="1" applyFill="1" applyBorder="1" applyAlignment="1">
      <alignment horizontal="center" vertical="center" wrapText="1"/>
    </xf>
    <xf numFmtId="0" fontId="14" fillId="0" borderId="18" xfId="5" applyFont="1" applyFill="1" applyBorder="1" applyAlignment="1">
      <alignment horizontal="center" vertical="center" wrapText="1"/>
    </xf>
    <xf numFmtId="0" fontId="14" fillId="0" borderId="22" xfId="5" applyFont="1" applyFill="1" applyBorder="1" applyAlignment="1">
      <alignment horizontal="center" vertical="center" wrapText="1"/>
    </xf>
    <xf numFmtId="0" fontId="14" fillId="0" borderId="24" xfId="5" applyFont="1" applyFill="1" applyBorder="1" applyAlignment="1">
      <alignment horizontal="center" vertical="center" wrapText="1"/>
    </xf>
    <xf numFmtId="0" fontId="14" fillId="0" borderId="12" xfId="5" applyFont="1" applyFill="1" applyBorder="1" applyAlignment="1">
      <alignment horizontal="center" vertical="center" wrapText="1"/>
    </xf>
    <xf numFmtId="0" fontId="14" fillId="0" borderId="20" xfId="5" applyFont="1" applyFill="1" applyBorder="1" applyAlignment="1">
      <alignment horizontal="center" vertical="center" wrapText="1"/>
    </xf>
    <xf numFmtId="0" fontId="14" fillId="0" borderId="29" xfId="5" applyFont="1" applyFill="1" applyBorder="1" applyAlignment="1">
      <alignment horizontal="center" vertical="center" wrapText="1"/>
    </xf>
    <xf numFmtId="0" fontId="14" fillId="0" borderId="49" xfId="5" applyFont="1" applyFill="1" applyBorder="1" applyAlignment="1">
      <alignment horizontal="center" vertical="center" wrapText="1"/>
    </xf>
    <xf numFmtId="0" fontId="14" fillId="0" borderId="32" xfId="5" applyFont="1" applyFill="1" applyBorder="1" applyAlignment="1">
      <alignment horizontal="center" vertical="center" wrapText="1"/>
    </xf>
    <xf numFmtId="0" fontId="14" fillId="0" borderId="50" xfId="5" applyFont="1" applyFill="1" applyBorder="1" applyAlignment="1">
      <alignment horizontal="center" vertical="center" wrapText="1"/>
    </xf>
    <xf numFmtId="0" fontId="14" fillId="0" borderId="10" xfId="5" applyFont="1" applyFill="1" applyBorder="1" applyAlignment="1">
      <alignment horizontal="center" vertical="center" wrapText="1"/>
    </xf>
    <xf numFmtId="0" fontId="14" fillId="0" borderId="52" xfId="5" applyFont="1" applyFill="1" applyBorder="1" applyAlignment="1">
      <alignment horizontal="center" vertical="center" wrapText="1"/>
    </xf>
    <xf numFmtId="0" fontId="14" fillId="0" borderId="53" xfId="5" applyFont="1" applyFill="1" applyBorder="1" applyAlignment="1">
      <alignment horizontal="center" vertical="center" wrapText="1"/>
    </xf>
    <xf numFmtId="0" fontId="14" fillId="0" borderId="51" xfId="5" applyFont="1" applyFill="1" applyBorder="1" applyAlignment="1">
      <alignment horizontal="center" vertical="center" wrapText="1"/>
    </xf>
    <xf numFmtId="0" fontId="14" fillId="0" borderId="6" xfId="5" applyFont="1" applyFill="1" applyBorder="1" applyAlignment="1">
      <alignment horizontal="center" vertical="center" wrapText="1"/>
    </xf>
    <xf numFmtId="0" fontId="14" fillId="0" borderId="2" xfId="5" applyFont="1" applyFill="1" applyBorder="1" applyAlignment="1">
      <alignment horizontal="center" vertical="center" wrapText="1"/>
    </xf>
    <xf numFmtId="0" fontId="14" fillId="0" borderId="2" xfId="4" applyFont="1" applyFill="1" applyBorder="1" applyAlignment="1">
      <alignment horizontal="left" vertical="center" wrapText="1"/>
    </xf>
    <xf numFmtId="0" fontId="14" fillId="0" borderId="4" xfId="4" applyFont="1" applyFill="1" applyBorder="1" applyAlignment="1">
      <alignment horizontal="left" vertical="center"/>
    </xf>
    <xf numFmtId="14" fontId="13" fillId="5" borderId="1" xfId="4" applyNumberFormat="1" applyFont="1" applyFill="1" applyBorder="1" applyAlignment="1">
      <alignment horizontal="center" vertical="center"/>
    </xf>
    <xf numFmtId="0" fontId="17" fillId="0" borderId="1" xfId="4" applyFont="1" applyFill="1" applyBorder="1" applyAlignment="1">
      <alignment horizontal="center" vertical="center" wrapText="1"/>
    </xf>
    <xf numFmtId="0" fontId="14" fillId="0" borderId="1" xfId="4" applyFont="1" applyFill="1" applyBorder="1" applyAlignment="1">
      <alignment horizontal="center" vertical="center"/>
    </xf>
    <xf numFmtId="0" fontId="23" fillId="10" borderId="1" xfId="0" applyFont="1" applyFill="1" applyBorder="1" applyAlignment="1">
      <alignment horizontal="center" vertical="center"/>
    </xf>
    <xf numFmtId="171" fontId="0" fillId="0" borderId="0" xfId="0" applyNumberFormat="1"/>
    <xf numFmtId="43" fontId="0" fillId="0" borderId="0" xfId="0" applyNumberFormat="1"/>
  </cellXfs>
  <cellStyles count="8">
    <cellStyle name="Comma" xfId="1" builtinId="3"/>
    <cellStyle name="Comma 3" xfId="7"/>
    <cellStyle name="Normal" xfId="0" builtinId="0"/>
    <cellStyle name="Normal 2" xfId="3"/>
    <cellStyle name="Normal 2 2" xfId="5"/>
    <cellStyle name="Normal 2 2 2" xfId="6"/>
    <cellStyle name="Normal 6 2" xfId="4"/>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0"/>
  <sheetViews>
    <sheetView topLeftCell="CK1" workbookViewId="0">
      <selection sqref="A1:CX17"/>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6" customFormat="1" x14ac:dyDescent="0.25">
      <c r="A1" t="s">
        <v>0</v>
      </c>
      <c r="B1" t="s">
        <v>133</v>
      </c>
      <c r="C1" t="s">
        <v>1</v>
      </c>
      <c r="D1" t="s">
        <v>2</v>
      </c>
      <c r="E1" t="s">
        <v>134</v>
      </c>
      <c r="F1" t="s">
        <v>3</v>
      </c>
      <c r="G1" t="s">
        <v>146</v>
      </c>
      <c r="H1" t="s">
        <v>4</v>
      </c>
      <c r="I1" t="s">
        <v>5</v>
      </c>
      <c r="J1" t="s">
        <v>6</v>
      </c>
      <c r="K1" t="s">
        <v>147</v>
      </c>
      <c r="L1" t="s">
        <v>7</v>
      </c>
      <c r="M1" t="s">
        <v>8</v>
      </c>
      <c r="N1" t="s">
        <v>9</v>
      </c>
      <c r="O1" t="s">
        <v>148</v>
      </c>
      <c r="P1" t="s">
        <v>10</v>
      </c>
      <c r="Q1" t="s">
        <v>11</v>
      </c>
      <c r="R1" t="s">
        <v>12</v>
      </c>
      <c r="S1" t="s">
        <v>149</v>
      </c>
      <c r="T1" t="s">
        <v>13</v>
      </c>
      <c r="U1" t="s">
        <v>14</v>
      </c>
      <c r="V1" t="s">
        <v>15</v>
      </c>
      <c r="W1" t="s">
        <v>150</v>
      </c>
      <c r="X1" t="s">
        <v>16</v>
      </c>
      <c r="Y1" t="s">
        <v>17</v>
      </c>
      <c r="Z1" t="s">
        <v>18</v>
      </c>
      <c r="AA1" t="s">
        <v>151</v>
      </c>
      <c r="AB1" t="s">
        <v>19</v>
      </c>
      <c r="AC1" t="s">
        <v>20</v>
      </c>
      <c r="AD1" t="s">
        <v>21</v>
      </c>
      <c r="AE1" t="s">
        <v>152</v>
      </c>
      <c r="AF1" t="s">
        <v>22</v>
      </c>
      <c r="AG1" t="s">
        <v>23</v>
      </c>
      <c r="AH1" t="s">
        <v>24</v>
      </c>
      <c r="AI1" t="s">
        <v>153</v>
      </c>
      <c r="AJ1" t="s">
        <v>25</v>
      </c>
      <c r="AK1" t="s">
        <v>26</v>
      </c>
      <c r="AL1" t="s">
        <v>27</v>
      </c>
      <c r="AM1" t="s">
        <v>154</v>
      </c>
      <c r="AN1" t="s">
        <v>28</v>
      </c>
      <c r="AO1" t="s">
        <v>29</v>
      </c>
      <c r="AP1" t="s">
        <v>30</v>
      </c>
      <c r="AQ1" t="s">
        <v>155</v>
      </c>
      <c r="AR1" t="s">
        <v>31</v>
      </c>
      <c r="AS1" t="s">
        <v>32</v>
      </c>
      <c r="AT1" t="s">
        <v>33</v>
      </c>
      <c r="AU1" t="s">
        <v>156</v>
      </c>
      <c r="AV1" t="s">
        <v>34</v>
      </c>
      <c r="AW1" t="s">
        <v>35</v>
      </c>
      <c r="AX1" t="s">
        <v>36</v>
      </c>
      <c r="AY1" t="s">
        <v>157</v>
      </c>
      <c r="AZ1" t="s">
        <v>37</v>
      </c>
      <c r="BA1" t="s">
        <v>38</v>
      </c>
      <c r="BB1" t="s">
        <v>39</v>
      </c>
      <c r="BC1" t="s">
        <v>158</v>
      </c>
      <c r="BD1" t="s">
        <v>40</v>
      </c>
      <c r="BE1" t="s">
        <v>41</v>
      </c>
      <c r="BF1" t="s">
        <v>42</v>
      </c>
      <c r="BG1" t="s">
        <v>159</v>
      </c>
      <c r="BH1" t="s">
        <v>43</v>
      </c>
      <c r="BI1" t="s">
        <v>44</v>
      </c>
      <c r="BJ1" t="s">
        <v>45</v>
      </c>
      <c r="BK1" t="s">
        <v>160</v>
      </c>
      <c r="BL1" t="s">
        <v>46</v>
      </c>
      <c r="BM1" t="s">
        <v>47</v>
      </c>
      <c r="BN1" t="s">
        <v>48</v>
      </c>
      <c r="BO1" t="s">
        <v>161</v>
      </c>
      <c r="BP1" t="s">
        <v>49</v>
      </c>
      <c r="BQ1" t="s">
        <v>50</v>
      </c>
      <c r="BR1" t="s">
        <v>51</v>
      </c>
      <c r="BS1" t="s">
        <v>162</v>
      </c>
      <c r="BT1" t="s">
        <v>52</v>
      </c>
      <c r="BU1" t="s">
        <v>53</v>
      </c>
      <c r="BV1" t="s">
        <v>54</v>
      </c>
      <c r="BW1" t="s">
        <v>163</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135</v>
      </c>
      <c r="CW1" t="s">
        <v>136</v>
      </c>
      <c r="CX1" t="s">
        <v>164</v>
      </c>
    </row>
    <row r="2" spans="1:102" x14ac:dyDescent="0.25">
      <c r="A2" t="s">
        <v>165</v>
      </c>
      <c r="B2" s="56">
        <v>45170</v>
      </c>
      <c r="C2" t="s">
        <v>166</v>
      </c>
      <c r="D2" t="s">
        <v>167</v>
      </c>
      <c r="E2" t="s">
        <v>168</v>
      </c>
      <c r="J2" t="s">
        <v>80</v>
      </c>
      <c r="K2">
        <v>212</v>
      </c>
      <c r="L2">
        <v>499.5</v>
      </c>
      <c r="M2">
        <v>105894</v>
      </c>
      <c r="P2">
        <v>0</v>
      </c>
      <c r="T2">
        <v>0</v>
      </c>
      <c r="V2" t="s">
        <v>86</v>
      </c>
      <c r="W2">
        <v>116</v>
      </c>
      <c r="X2">
        <v>90</v>
      </c>
      <c r="Y2">
        <v>10440</v>
      </c>
      <c r="AB2">
        <v>0</v>
      </c>
      <c r="AF2">
        <v>0</v>
      </c>
      <c r="AJ2">
        <v>0</v>
      </c>
      <c r="AL2" t="s">
        <v>100</v>
      </c>
      <c r="AM2">
        <v>94</v>
      </c>
      <c r="AN2">
        <v>207</v>
      </c>
      <c r="AO2">
        <v>19458</v>
      </c>
      <c r="AR2">
        <v>0</v>
      </c>
      <c r="AV2">
        <v>0</v>
      </c>
      <c r="AX2" t="s">
        <v>36</v>
      </c>
      <c r="AY2">
        <v>455</v>
      </c>
      <c r="AZ2">
        <v>0</v>
      </c>
      <c r="BA2">
        <v>0</v>
      </c>
      <c r="BD2">
        <v>0</v>
      </c>
      <c r="BH2">
        <v>0</v>
      </c>
      <c r="BL2">
        <v>0</v>
      </c>
      <c r="BP2">
        <v>0</v>
      </c>
      <c r="BT2">
        <v>0</v>
      </c>
      <c r="BX2">
        <v>0</v>
      </c>
      <c r="BZ2">
        <v>7976.12</v>
      </c>
      <c r="CA2">
        <v>143768.12</v>
      </c>
      <c r="CH2">
        <v>143768.12</v>
      </c>
      <c r="CM2">
        <v>143768.12</v>
      </c>
      <c r="CO2">
        <v>143768.12</v>
      </c>
      <c r="CR2">
        <v>143768.12</v>
      </c>
      <c r="CS2">
        <v>6.7</v>
      </c>
      <c r="CT2" t="s">
        <v>169</v>
      </c>
      <c r="CU2" s="57">
        <v>963246</v>
      </c>
      <c r="CV2" t="s">
        <v>170</v>
      </c>
      <c r="CW2" t="s">
        <v>171</v>
      </c>
      <c r="CX2">
        <v>1000</v>
      </c>
    </row>
    <row r="3" spans="1:102" x14ac:dyDescent="0.25">
      <c r="A3" t="s">
        <v>165</v>
      </c>
      <c r="B3" s="56">
        <v>45170</v>
      </c>
      <c r="C3" t="s">
        <v>172</v>
      </c>
      <c r="D3" t="s">
        <v>173</v>
      </c>
      <c r="E3" t="s">
        <v>168</v>
      </c>
      <c r="J3" t="s">
        <v>80</v>
      </c>
      <c r="K3">
        <v>212</v>
      </c>
      <c r="L3">
        <v>11</v>
      </c>
      <c r="M3">
        <v>2332</v>
      </c>
      <c r="P3">
        <v>0</v>
      </c>
      <c r="T3">
        <v>0</v>
      </c>
      <c r="V3" t="s">
        <v>86</v>
      </c>
      <c r="W3">
        <v>116</v>
      </c>
      <c r="X3">
        <v>11</v>
      </c>
      <c r="Y3">
        <v>1276</v>
      </c>
      <c r="AB3">
        <v>0</v>
      </c>
      <c r="AF3">
        <v>0</v>
      </c>
      <c r="AJ3">
        <v>0</v>
      </c>
      <c r="AL3" t="s">
        <v>100</v>
      </c>
      <c r="AM3">
        <v>94</v>
      </c>
      <c r="AN3">
        <v>56</v>
      </c>
      <c r="AO3">
        <v>5264</v>
      </c>
      <c r="AR3">
        <v>0</v>
      </c>
      <c r="AV3">
        <v>0</v>
      </c>
      <c r="AZ3">
        <v>0</v>
      </c>
      <c r="BD3">
        <v>0</v>
      </c>
      <c r="BH3">
        <v>0</v>
      </c>
      <c r="BL3">
        <v>0</v>
      </c>
      <c r="BP3">
        <v>0</v>
      </c>
      <c r="BT3">
        <v>0</v>
      </c>
      <c r="BX3">
        <v>0</v>
      </c>
      <c r="BZ3">
        <v>1875.84</v>
      </c>
      <c r="CA3">
        <v>10747.84</v>
      </c>
      <c r="CH3">
        <v>10747.84</v>
      </c>
      <c r="CM3">
        <v>10747.84</v>
      </c>
      <c r="CO3">
        <v>10747.84</v>
      </c>
      <c r="CR3">
        <v>10747.84</v>
      </c>
      <c r="CS3">
        <v>12.5</v>
      </c>
      <c r="CT3" t="s">
        <v>169</v>
      </c>
      <c r="CU3" s="57">
        <v>134348</v>
      </c>
      <c r="CV3" t="s">
        <v>174</v>
      </c>
      <c r="CW3" t="s">
        <v>175</v>
      </c>
      <c r="CX3">
        <v>1000</v>
      </c>
    </row>
    <row r="4" spans="1:102" x14ac:dyDescent="0.25">
      <c r="A4" t="s">
        <v>165</v>
      </c>
      <c r="B4" s="56">
        <v>45170</v>
      </c>
      <c r="C4" t="s">
        <v>176</v>
      </c>
      <c r="D4" t="s">
        <v>177</v>
      </c>
      <c r="E4" t="s">
        <v>178</v>
      </c>
      <c r="J4" t="s">
        <v>80</v>
      </c>
      <c r="K4">
        <v>212</v>
      </c>
      <c r="L4">
        <v>1701</v>
      </c>
      <c r="M4">
        <v>360612</v>
      </c>
      <c r="P4">
        <v>0</v>
      </c>
      <c r="T4">
        <v>0</v>
      </c>
      <c r="V4" t="s">
        <v>86</v>
      </c>
      <c r="W4">
        <v>116</v>
      </c>
      <c r="X4">
        <v>253</v>
      </c>
      <c r="Y4">
        <v>29348</v>
      </c>
      <c r="AB4">
        <v>0</v>
      </c>
      <c r="AF4">
        <v>0</v>
      </c>
      <c r="AJ4">
        <v>0</v>
      </c>
      <c r="AL4" t="s">
        <v>100</v>
      </c>
      <c r="AM4">
        <v>94</v>
      </c>
      <c r="AN4">
        <v>429</v>
      </c>
      <c r="AO4">
        <v>40326</v>
      </c>
      <c r="AR4">
        <v>0</v>
      </c>
      <c r="AV4">
        <v>0</v>
      </c>
      <c r="AX4" t="s">
        <v>36</v>
      </c>
      <c r="AY4">
        <v>455</v>
      </c>
      <c r="AZ4">
        <v>0</v>
      </c>
      <c r="BA4">
        <v>0</v>
      </c>
      <c r="BD4">
        <v>0</v>
      </c>
      <c r="BH4">
        <v>0</v>
      </c>
      <c r="BL4">
        <v>0</v>
      </c>
      <c r="BP4">
        <v>0</v>
      </c>
      <c r="BT4">
        <v>0</v>
      </c>
      <c r="BX4">
        <v>0</v>
      </c>
      <c r="BZ4">
        <v>26600</v>
      </c>
      <c r="CA4">
        <v>456886</v>
      </c>
      <c r="CH4">
        <v>456886</v>
      </c>
      <c r="CM4">
        <v>456886</v>
      </c>
      <c r="CO4">
        <v>456886</v>
      </c>
      <c r="CR4">
        <v>456886</v>
      </c>
      <c r="CS4">
        <v>18</v>
      </c>
      <c r="CT4" t="s">
        <v>169</v>
      </c>
      <c r="CU4" s="57">
        <v>8223948</v>
      </c>
      <c r="CV4" t="s">
        <v>179</v>
      </c>
      <c r="CW4" t="s">
        <v>180</v>
      </c>
      <c r="CX4">
        <v>1000</v>
      </c>
    </row>
    <row r="5" spans="1:102" x14ac:dyDescent="0.25">
      <c r="A5" t="s">
        <v>165</v>
      </c>
      <c r="B5" s="56">
        <v>45170</v>
      </c>
      <c r="C5" t="s">
        <v>181</v>
      </c>
      <c r="D5" t="s">
        <v>182</v>
      </c>
      <c r="E5" t="s">
        <v>168</v>
      </c>
      <c r="J5" t="s">
        <v>80</v>
      </c>
      <c r="K5">
        <v>212</v>
      </c>
      <c r="L5">
        <v>256.5</v>
      </c>
      <c r="M5">
        <v>54378</v>
      </c>
      <c r="P5">
        <v>0</v>
      </c>
      <c r="T5">
        <v>0</v>
      </c>
      <c r="V5" t="s">
        <v>86</v>
      </c>
      <c r="W5">
        <v>116</v>
      </c>
      <c r="X5">
        <v>53</v>
      </c>
      <c r="Y5">
        <v>6148</v>
      </c>
      <c r="AB5">
        <v>0</v>
      </c>
      <c r="AF5">
        <v>0</v>
      </c>
      <c r="AJ5">
        <v>0</v>
      </c>
      <c r="AL5" t="s">
        <v>100</v>
      </c>
      <c r="AM5">
        <v>94</v>
      </c>
      <c r="AN5">
        <v>139</v>
      </c>
      <c r="AO5">
        <v>13066</v>
      </c>
      <c r="AR5">
        <v>0</v>
      </c>
      <c r="AV5">
        <v>0</v>
      </c>
      <c r="AZ5">
        <v>0</v>
      </c>
      <c r="BD5">
        <v>0</v>
      </c>
      <c r="BH5">
        <v>0</v>
      </c>
      <c r="BL5">
        <v>0</v>
      </c>
      <c r="BP5">
        <v>0</v>
      </c>
      <c r="BT5">
        <v>0</v>
      </c>
      <c r="BX5">
        <v>0</v>
      </c>
      <c r="BZ5">
        <v>7244.19</v>
      </c>
      <c r="CA5">
        <v>80836.19</v>
      </c>
      <c r="CH5">
        <v>80836.19</v>
      </c>
      <c r="CM5">
        <v>80836.19</v>
      </c>
      <c r="CO5">
        <v>80836.19</v>
      </c>
      <c r="CR5">
        <v>80836.19</v>
      </c>
      <c r="CS5">
        <v>18.5</v>
      </c>
      <c r="CT5" t="s">
        <v>169</v>
      </c>
      <c r="CU5" s="57">
        <v>1495470</v>
      </c>
      <c r="CV5" t="s">
        <v>183</v>
      </c>
      <c r="CW5" t="s">
        <v>184</v>
      </c>
      <c r="CX5">
        <v>1000</v>
      </c>
    </row>
    <row r="6" spans="1:102" x14ac:dyDescent="0.25">
      <c r="A6" t="s">
        <v>165</v>
      </c>
      <c r="B6" s="56">
        <v>45170</v>
      </c>
      <c r="C6" t="s">
        <v>185</v>
      </c>
      <c r="D6" t="s">
        <v>186</v>
      </c>
      <c r="E6" t="s">
        <v>178</v>
      </c>
      <c r="J6" t="s">
        <v>80</v>
      </c>
      <c r="K6">
        <v>212</v>
      </c>
      <c r="L6">
        <v>810</v>
      </c>
      <c r="M6">
        <v>171720</v>
      </c>
      <c r="P6">
        <v>0</v>
      </c>
      <c r="T6">
        <v>0</v>
      </c>
      <c r="V6" t="s">
        <v>86</v>
      </c>
      <c r="W6">
        <v>116</v>
      </c>
      <c r="X6">
        <v>132</v>
      </c>
      <c r="Y6">
        <v>15312</v>
      </c>
      <c r="AB6">
        <v>0</v>
      </c>
      <c r="AF6">
        <v>0</v>
      </c>
      <c r="AJ6">
        <v>0</v>
      </c>
      <c r="AL6" t="s">
        <v>100</v>
      </c>
      <c r="AM6">
        <v>94</v>
      </c>
      <c r="AN6">
        <v>251</v>
      </c>
      <c r="AO6">
        <v>23594</v>
      </c>
      <c r="AR6">
        <v>0</v>
      </c>
      <c r="AV6">
        <v>0</v>
      </c>
      <c r="AX6" t="s">
        <v>36</v>
      </c>
      <c r="AY6">
        <v>455</v>
      </c>
      <c r="AZ6">
        <v>0</v>
      </c>
      <c r="BA6">
        <v>0</v>
      </c>
      <c r="BD6">
        <v>0</v>
      </c>
      <c r="BH6">
        <v>0</v>
      </c>
      <c r="BL6">
        <v>0</v>
      </c>
      <c r="BP6">
        <v>0</v>
      </c>
      <c r="BT6">
        <v>0</v>
      </c>
      <c r="BX6">
        <v>0</v>
      </c>
      <c r="CA6">
        <v>210626</v>
      </c>
      <c r="CH6">
        <v>210626</v>
      </c>
      <c r="CM6">
        <v>210626</v>
      </c>
      <c r="CO6">
        <v>210626</v>
      </c>
      <c r="CR6">
        <v>210626</v>
      </c>
      <c r="CS6">
        <v>20.7</v>
      </c>
      <c r="CT6" t="s">
        <v>169</v>
      </c>
      <c r="CU6" s="57">
        <v>4359958</v>
      </c>
      <c r="CX6">
        <v>1000</v>
      </c>
    </row>
    <row r="7" spans="1:102" x14ac:dyDescent="0.25">
      <c r="A7" t="s">
        <v>165</v>
      </c>
      <c r="B7" s="56">
        <v>45170</v>
      </c>
      <c r="C7" t="s">
        <v>187</v>
      </c>
      <c r="D7" t="s">
        <v>188</v>
      </c>
      <c r="E7" t="s">
        <v>168</v>
      </c>
      <c r="J7" t="s">
        <v>80</v>
      </c>
      <c r="K7">
        <v>212</v>
      </c>
      <c r="L7">
        <v>67.5</v>
      </c>
      <c r="M7">
        <v>14310</v>
      </c>
      <c r="P7">
        <v>0</v>
      </c>
      <c r="T7">
        <v>0</v>
      </c>
      <c r="V7" t="s">
        <v>86</v>
      </c>
      <c r="W7">
        <v>116</v>
      </c>
      <c r="X7">
        <v>26</v>
      </c>
      <c r="Y7">
        <v>3016</v>
      </c>
      <c r="AB7">
        <v>0</v>
      </c>
      <c r="AF7">
        <v>0</v>
      </c>
      <c r="AJ7">
        <v>0</v>
      </c>
      <c r="AL7" t="s">
        <v>100</v>
      </c>
      <c r="AM7">
        <v>94</v>
      </c>
      <c r="AN7">
        <v>89</v>
      </c>
      <c r="AO7">
        <v>8366</v>
      </c>
      <c r="AR7">
        <v>0</v>
      </c>
      <c r="AV7">
        <v>0</v>
      </c>
      <c r="AZ7">
        <v>0</v>
      </c>
      <c r="BD7">
        <v>0</v>
      </c>
      <c r="BH7">
        <v>0</v>
      </c>
      <c r="BL7">
        <v>0</v>
      </c>
      <c r="BP7">
        <v>0</v>
      </c>
      <c r="BT7">
        <v>0</v>
      </c>
      <c r="BX7">
        <v>0</v>
      </c>
      <c r="BZ7">
        <v>1875.84</v>
      </c>
      <c r="CA7">
        <v>27567.84</v>
      </c>
      <c r="CH7">
        <v>27567.84</v>
      </c>
      <c r="CM7">
        <v>27567.84</v>
      </c>
      <c r="CO7">
        <v>27567.84</v>
      </c>
      <c r="CR7">
        <v>27567.84</v>
      </c>
      <c r="CS7">
        <v>39</v>
      </c>
      <c r="CT7" t="s">
        <v>169</v>
      </c>
      <c r="CU7" s="57">
        <v>1075146</v>
      </c>
      <c r="CV7" t="s">
        <v>174</v>
      </c>
      <c r="CW7" t="s">
        <v>175</v>
      </c>
      <c r="CX7">
        <v>1000</v>
      </c>
    </row>
    <row r="8" spans="1:102" x14ac:dyDescent="0.25">
      <c r="A8" t="s">
        <v>165</v>
      </c>
      <c r="B8" s="56">
        <v>45170</v>
      </c>
      <c r="C8" t="s">
        <v>189</v>
      </c>
      <c r="D8" t="s">
        <v>190</v>
      </c>
      <c r="E8" t="s">
        <v>178</v>
      </c>
      <c r="J8" t="s">
        <v>80</v>
      </c>
      <c r="K8">
        <v>212</v>
      </c>
      <c r="L8">
        <v>135</v>
      </c>
      <c r="M8">
        <v>28620</v>
      </c>
      <c r="N8" t="s">
        <v>191</v>
      </c>
      <c r="O8">
        <v>219</v>
      </c>
      <c r="P8">
        <v>67.5</v>
      </c>
      <c r="Q8">
        <v>14782.5</v>
      </c>
      <c r="T8">
        <v>0</v>
      </c>
      <c r="V8" t="s">
        <v>86</v>
      </c>
      <c r="W8">
        <v>116</v>
      </c>
      <c r="X8">
        <v>56</v>
      </c>
      <c r="Y8">
        <v>6496</v>
      </c>
      <c r="AB8">
        <v>0</v>
      </c>
      <c r="AF8">
        <v>0</v>
      </c>
      <c r="AJ8">
        <v>0</v>
      </c>
      <c r="AN8">
        <v>0</v>
      </c>
      <c r="AR8">
        <v>0</v>
      </c>
      <c r="AV8">
        <v>0</v>
      </c>
      <c r="AZ8">
        <v>0</v>
      </c>
      <c r="BD8">
        <v>0</v>
      </c>
      <c r="BH8">
        <v>0</v>
      </c>
      <c r="BL8">
        <v>0</v>
      </c>
      <c r="BP8">
        <v>0</v>
      </c>
      <c r="BT8">
        <v>0</v>
      </c>
      <c r="BX8">
        <v>0</v>
      </c>
      <c r="CA8">
        <v>49898.5</v>
      </c>
      <c r="CH8">
        <v>49898.5</v>
      </c>
      <c r="CM8">
        <v>49898.5</v>
      </c>
      <c r="CO8">
        <v>49898.5</v>
      </c>
      <c r="CR8">
        <v>49898.5</v>
      </c>
      <c r="CS8">
        <v>40</v>
      </c>
      <c r="CT8" t="s">
        <v>169</v>
      </c>
      <c r="CU8" s="57">
        <v>1995940</v>
      </c>
      <c r="CX8">
        <v>1000</v>
      </c>
    </row>
    <row r="9" spans="1:102" x14ac:dyDescent="0.25">
      <c r="A9" t="s">
        <v>165</v>
      </c>
      <c r="B9" s="56">
        <v>45170</v>
      </c>
      <c r="C9" t="s">
        <v>192</v>
      </c>
      <c r="D9" t="s">
        <v>193</v>
      </c>
      <c r="E9" t="s">
        <v>178</v>
      </c>
      <c r="J9" t="s">
        <v>80</v>
      </c>
      <c r="K9">
        <v>212</v>
      </c>
      <c r="L9">
        <v>1620</v>
      </c>
      <c r="M9">
        <v>343440</v>
      </c>
      <c r="P9">
        <v>0</v>
      </c>
      <c r="T9">
        <v>0</v>
      </c>
      <c r="V9" t="s">
        <v>86</v>
      </c>
      <c r="W9">
        <v>116</v>
      </c>
      <c r="X9">
        <v>275</v>
      </c>
      <c r="Y9">
        <v>31900</v>
      </c>
      <c r="AB9">
        <v>0</v>
      </c>
      <c r="AD9" t="s">
        <v>87</v>
      </c>
      <c r="AE9">
        <v>61.6</v>
      </c>
      <c r="AF9">
        <v>135</v>
      </c>
      <c r="AG9">
        <v>8316</v>
      </c>
      <c r="AH9" t="s">
        <v>119</v>
      </c>
      <c r="AI9">
        <v>87.87</v>
      </c>
      <c r="AJ9">
        <v>1212</v>
      </c>
      <c r="AK9">
        <v>106498.44</v>
      </c>
      <c r="AL9" t="s">
        <v>100</v>
      </c>
      <c r="AM9">
        <v>94</v>
      </c>
      <c r="AN9">
        <v>445</v>
      </c>
      <c r="AO9">
        <v>41830</v>
      </c>
      <c r="AR9">
        <v>0</v>
      </c>
      <c r="AV9">
        <v>0</v>
      </c>
      <c r="AX9" t="s">
        <v>36</v>
      </c>
      <c r="AY9">
        <v>455</v>
      </c>
      <c r="AZ9">
        <v>0</v>
      </c>
      <c r="BA9">
        <v>0</v>
      </c>
      <c r="BD9">
        <v>0</v>
      </c>
      <c r="BH9">
        <v>0</v>
      </c>
      <c r="BL9">
        <v>0</v>
      </c>
      <c r="BP9">
        <v>0</v>
      </c>
      <c r="BR9" t="s">
        <v>51</v>
      </c>
      <c r="BS9">
        <v>450</v>
      </c>
      <c r="BT9">
        <v>0</v>
      </c>
      <c r="BU9">
        <v>0</v>
      </c>
      <c r="BX9">
        <v>0</v>
      </c>
      <c r="CA9">
        <v>531984.43999999994</v>
      </c>
      <c r="CH9">
        <v>531984.43999999994</v>
      </c>
      <c r="CM9">
        <v>531984.43999999994</v>
      </c>
      <c r="CO9">
        <v>531984.43999999994</v>
      </c>
      <c r="CR9">
        <v>531984.43999999994</v>
      </c>
      <c r="CS9">
        <v>45</v>
      </c>
      <c r="CT9" t="s">
        <v>169</v>
      </c>
      <c r="CU9" s="57">
        <v>23939300</v>
      </c>
      <c r="CX9">
        <v>500</v>
      </c>
    </row>
    <row r="10" spans="1:102" x14ac:dyDescent="0.25">
      <c r="A10" t="s">
        <v>165</v>
      </c>
      <c r="B10" s="56">
        <v>45170</v>
      </c>
      <c r="C10" t="s">
        <v>194</v>
      </c>
      <c r="D10" t="s">
        <v>195</v>
      </c>
      <c r="E10" t="s">
        <v>168</v>
      </c>
      <c r="J10" t="s">
        <v>80</v>
      </c>
      <c r="K10">
        <v>212</v>
      </c>
      <c r="L10">
        <v>6.75</v>
      </c>
      <c r="M10">
        <v>1431</v>
      </c>
      <c r="P10">
        <v>0</v>
      </c>
      <c r="T10">
        <v>0</v>
      </c>
      <c r="V10" t="s">
        <v>86</v>
      </c>
      <c r="W10">
        <v>116</v>
      </c>
      <c r="X10">
        <v>10</v>
      </c>
      <c r="Y10">
        <v>1160</v>
      </c>
      <c r="AB10">
        <v>0</v>
      </c>
      <c r="AF10">
        <v>0</v>
      </c>
      <c r="AJ10">
        <v>0</v>
      </c>
      <c r="AL10" t="s">
        <v>100</v>
      </c>
      <c r="AM10">
        <v>94</v>
      </c>
      <c r="AN10">
        <v>53</v>
      </c>
      <c r="AO10">
        <v>4982</v>
      </c>
      <c r="AR10">
        <v>0</v>
      </c>
      <c r="AV10">
        <v>0</v>
      </c>
      <c r="AZ10">
        <v>0</v>
      </c>
      <c r="BD10">
        <v>0</v>
      </c>
      <c r="BH10">
        <v>0</v>
      </c>
      <c r="BL10">
        <v>0</v>
      </c>
      <c r="BP10">
        <v>0</v>
      </c>
      <c r="BT10">
        <v>0</v>
      </c>
      <c r="BX10">
        <v>0</v>
      </c>
      <c r="BZ10">
        <v>1875.84</v>
      </c>
      <c r="CA10">
        <v>9448.84</v>
      </c>
      <c r="CH10">
        <v>9448.84</v>
      </c>
      <c r="CM10">
        <v>9448.84</v>
      </c>
      <c r="CO10">
        <v>9448.84</v>
      </c>
      <c r="CR10">
        <v>9448.84</v>
      </c>
      <c r="CS10">
        <v>46</v>
      </c>
      <c r="CT10" t="s">
        <v>169</v>
      </c>
      <c r="CU10" s="57">
        <v>434647</v>
      </c>
      <c r="CV10" t="s">
        <v>174</v>
      </c>
      <c r="CW10" t="s">
        <v>175</v>
      </c>
      <c r="CX10">
        <v>1000</v>
      </c>
    </row>
    <row r="11" spans="1:102" x14ac:dyDescent="0.25">
      <c r="A11" t="s">
        <v>165</v>
      </c>
      <c r="B11" s="56">
        <v>45170</v>
      </c>
      <c r="C11" t="s">
        <v>196</v>
      </c>
      <c r="D11" t="s">
        <v>197</v>
      </c>
      <c r="E11" t="s">
        <v>178</v>
      </c>
      <c r="J11" t="s">
        <v>80</v>
      </c>
      <c r="K11">
        <v>212</v>
      </c>
      <c r="L11">
        <v>3240</v>
      </c>
      <c r="M11">
        <v>686880</v>
      </c>
      <c r="P11">
        <v>0</v>
      </c>
      <c r="T11">
        <v>0</v>
      </c>
      <c r="V11" t="s">
        <v>86</v>
      </c>
      <c r="W11">
        <v>116</v>
      </c>
      <c r="X11">
        <v>488</v>
      </c>
      <c r="Y11">
        <v>56608</v>
      </c>
      <c r="AB11">
        <v>0</v>
      </c>
      <c r="AD11" t="s">
        <v>87</v>
      </c>
      <c r="AE11">
        <v>61.6</v>
      </c>
      <c r="AF11">
        <v>255</v>
      </c>
      <c r="AG11">
        <v>15708</v>
      </c>
      <c r="AH11" t="s">
        <v>120</v>
      </c>
      <c r="AI11">
        <v>86.13</v>
      </c>
      <c r="AJ11">
        <v>3436</v>
      </c>
      <c r="AK11">
        <v>295942.68</v>
      </c>
      <c r="AL11" t="s">
        <v>100</v>
      </c>
      <c r="AM11">
        <v>94</v>
      </c>
      <c r="AN11">
        <v>888</v>
      </c>
      <c r="AO11">
        <v>83472</v>
      </c>
      <c r="AR11">
        <v>0</v>
      </c>
      <c r="AV11">
        <v>0</v>
      </c>
      <c r="AX11" t="s">
        <v>36</v>
      </c>
      <c r="AY11">
        <v>455</v>
      </c>
      <c r="AZ11">
        <v>0</v>
      </c>
      <c r="BA11">
        <v>0</v>
      </c>
      <c r="BD11">
        <v>90</v>
      </c>
      <c r="BH11">
        <v>0</v>
      </c>
      <c r="BL11">
        <v>0</v>
      </c>
      <c r="BP11">
        <v>0</v>
      </c>
      <c r="BR11" t="s">
        <v>51</v>
      </c>
      <c r="BS11">
        <v>450</v>
      </c>
      <c r="BT11">
        <v>36</v>
      </c>
      <c r="BU11" s="58">
        <v>16200</v>
      </c>
      <c r="BX11">
        <v>0</v>
      </c>
      <c r="BZ11">
        <v>78780</v>
      </c>
      <c r="CA11">
        <v>1233590.68</v>
      </c>
      <c r="CH11">
        <v>1233590.68</v>
      </c>
      <c r="CM11">
        <v>1233590.68</v>
      </c>
      <c r="CO11">
        <v>1233590.68</v>
      </c>
      <c r="CR11">
        <v>1233590.68</v>
      </c>
      <c r="CS11">
        <v>72</v>
      </c>
      <c r="CT11" t="s">
        <v>169</v>
      </c>
      <c r="CU11" s="57">
        <v>88818529</v>
      </c>
      <c r="CV11" t="s">
        <v>198</v>
      </c>
      <c r="CW11" t="s">
        <v>199</v>
      </c>
      <c r="CX11">
        <v>500</v>
      </c>
    </row>
    <row r="12" spans="1:102" x14ac:dyDescent="0.25">
      <c r="A12" t="s">
        <v>165</v>
      </c>
      <c r="B12" s="56">
        <v>45170</v>
      </c>
      <c r="C12" t="s">
        <v>200</v>
      </c>
      <c r="D12" t="s">
        <v>201</v>
      </c>
      <c r="E12" t="s">
        <v>178</v>
      </c>
      <c r="J12" t="s">
        <v>80</v>
      </c>
      <c r="K12">
        <v>212</v>
      </c>
      <c r="L12">
        <v>1026</v>
      </c>
      <c r="M12">
        <v>217512</v>
      </c>
      <c r="P12">
        <v>0</v>
      </c>
      <c r="T12">
        <v>0</v>
      </c>
      <c r="V12" t="s">
        <v>86</v>
      </c>
      <c r="W12">
        <v>116</v>
      </c>
      <c r="X12">
        <v>187</v>
      </c>
      <c r="Y12">
        <v>21692</v>
      </c>
      <c r="AB12">
        <v>0</v>
      </c>
      <c r="AD12" t="s">
        <v>87</v>
      </c>
      <c r="AE12">
        <v>61.6</v>
      </c>
      <c r="AF12">
        <v>93</v>
      </c>
      <c r="AG12">
        <v>5728.8</v>
      </c>
      <c r="AH12" t="s">
        <v>88</v>
      </c>
      <c r="AI12">
        <v>77.87</v>
      </c>
      <c r="AJ12">
        <v>611</v>
      </c>
      <c r="AK12">
        <v>47578.57</v>
      </c>
      <c r="AL12" t="s">
        <v>100</v>
      </c>
      <c r="AM12">
        <v>94</v>
      </c>
      <c r="AN12">
        <v>348</v>
      </c>
      <c r="AO12">
        <v>32712</v>
      </c>
      <c r="AR12">
        <v>0</v>
      </c>
      <c r="AV12">
        <v>0</v>
      </c>
      <c r="AZ12">
        <v>0</v>
      </c>
      <c r="BD12">
        <v>0</v>
      </c>
      <c r="BH12">
        <v>0</v>
      </c>
      <c r="BL12">
        <v>0</v>
      </c>
      <c r="BP12">
        <v>0</v>
      </c>
      <c r="BR12" t="s">
        <v>51</v>
      </c>
      <c r="BS12">
        <v>450</v>
      </c>
      <c r="BT12">
        <v>0</v>
      </c>
      <c r="BU12">
        <v>0</v>
      </c>
      <c r="BX12">
        <v>0</v>
      </c>
      <c r="CA12">
        <v>325223.37</v>
      </c>
      <c r="CH12">
        <v>325223.37</v>
      </c>
      <c r="CM12">
        <v>325223.37</v>
      </c>
      <c r="CO12">
        <v>325223.37</v>
      </c>
      <c r="CR12">
        <v>325223.37</v>
      </c>
      <c r="CS12">
        <v>82</v>
      </c>
      <c r="CT12" t="s">
        <v>169</v>
      </c>
      <c r="CU12" s="57">
        <v>26668316</v>
      </c>
      <c r="CX12">
        <v>500</v>
      </c>
    </row>
    <row r="13" spans="1:102" x14ac:dyDescent="0.25">
      <c r="A13" t="s">
        <v>165</v>
      </c>
      <c r="B13" s="56">
        <v>45170</v>
      </c>
      <c r="C13" t="s">
        <v>202</v>
      </c>
      <c r="D13" t="s">
        <v>203</v>
      </c>
      <c r="E13" t="s">
        <v>178</v>
      </c>
      <c r="J13" t="s">
        <v>80</v>
      </c>
      <c r="K13">
        <v>212</v>
      </c>
      <c r="L13">
        <v>540</v>
      </c>
      <c r="M13">
        <v>114480</v>
      </c>
      <c r="P13">
        <v>0</v>
      </c>
      <c r="T13">
        <v>0</v>
      </c>
      <c r="V13" t="s">
        <v>86</v>
      </c>
      <c r="W13">
        <v>116</v>
      </c>
      <c r="X13">
        <v>124</v>
      </c>
      <c r="Y13">
        <v>14384</v>
      </c>
      <c r="AB13">
        <v>0</v>
      </c>
      <c r="AD13" t="s">
        <v>87</v>
      </c>
      <c r="AE13">
        <v>61.6</v>
      </c>
      <c r="AF13">
        <v>69</v>
      </c>
      <c r="AG13">
        <v>4250.3999999999996</v>
      </c>
      <c r="AH13" t="s">
        <v>88</v>
      </c>
      <c r="AI13">
        <v>77.87</v>
      </c>
      <c r="AJ13">
        <v>457</v>
      </c>
      <c r="AK13">
        <v>35586.589999999997</v>
      </c>
      <c r="AL13" t="s">
        <v>100</v>
      </c>
      <c r="AM13">
        <v>94</v>
      </c>
      <c r="AN13">
        <v>240</v>
      </c>
      <c r="AO13">
        <v>22560</v>
      </c>
      <c r="AR13">
        <v>0</v>
      </c>
      <c r="AV13">
        <v>0</v>
      </c>
      <c r="AZ13">
        <v>0</v>
      </c>
      <c r="BD13">
        <v>0</v>
      </c>
      <c r="BH13">
        <v>0</v>
      </c>
      <c r="BL13">
        <v>0</v>
      </c>
      <c r="BP13">
        <v>0</v>
      </c>
      <c r="BR13" t="s">
        <v>51</v>
      </c>
      <c r="BS13">
        <v>450</v>
      </c>
      <c r="BT13">
        <v>0</v>
      </c>
      <c r="BU13">
        <v>0</v>
      </c>
      <c r="BX13">
        <v>0</v>
      </c>
      <c r="CA13">
        <v>191260.99</v>
      </c>
      <c r="CH13">
        <v>191260.99</v>
      </c>
      <c r="CM13">
        <v>191260.99</v>
      </c>
      <c r="CO13">
        <v>191260.99</v>
      </c>
      <c r="CR13">
        <v>191260.99</v>
      </c>
      <c r="CS13">
        <v>97</v>
      </c>
      <c r="CT13" t="s">
        <v>169</v>
      </c>
      <c r="CU13" s="57">
        <v>18552316</v>
      </c>
      <c r="CX13">
        <v>1000</v>
      </c>
    </row>
    <row r="14" spans="1:102" x14ac:dyDescent="0.25">
      <c r="A14" t="s">
        <v>165</v>
      </c>
      <c r="B14" s="56">
        <v>45170</v>
      </c>
      <c r="C14" t="s">
        <v>204</v>
      </c>
      <c r="D14" t="s">
        <v>205</v>
      </c>
      <c r="E14" t="s">
        <v>168</v>
      </c>
      <c r="J14" t="s">
        <v>80</v>
      </c>
      <c r="K14">
        <v>212</v>
      </c>
      <c r="L14">
        <v>135</v>
      </c>
      <c r="M14">
        <v>28620</v>
      </c>
      <c r="P14">
        <v>0</v>
      </c>
      <c r="T14">
        <v>0</v>
      </c>
      <c r="V14" t="s">
        <v>86</v>
      </c>
      <c r="W14">
        <v>116</v>
      </c>
      <c r="X14">
        <v>38</v>
      </c>
      <c r="Y14">
        <v>4408</v>
      </c>
      <c r="AB14">
        <v>0</v>
      </c>
      <c r="AD14" t="s">
        <v>116</v>
      </c>
      <c r="AE14">
        <v>88</v>
      </c>
      <c r="AF14">
        <v>38</v>
      </c>
      <c r="AG14">
        <v>3344</v>
      </c>
      <c r="AH14" t="s">
        <v>88</v>
      </c>
      <c r="AI14">
        <v>77.87</v>
      </c>
      <c r="AJ14">
        <v>256</v>
      </c>
      <c r="AK14">
        <v>19934.72</v>
      </c>
      <c r="AL14" t="s">
        <v>100</v>
      </c>
      <c r="AM14">
        <v>94</v>
      </c>
      <c r="AN14">
        <v>129</v>
      </c>
      <c r="AO14">
        <v>12126</v>
      </c>
      <c r="AR14">
        <v>0</v>
      </c>
      <c r="AV14">
        <v>0</v>
      </c>
      <c r="AZ14">
        <v>0</v>
      </c>
      <c r="BD14">
        <v>0</v>
      </c>
      <c r="BH14">
        <v>0</v>
      </c>
      <c r="BL14">
        <v>0</v>
      </c>
      <c r="BP14">
        <v>0</v>
      </c>
      <c r="BR14" t="s">
        <v>51</v>
      </c>
      <c r="BS14">
        <v>450</v>
      </c>
      <c r="BT14">
        <v>0</v>
      </c>
      <c r="BU14">
        <v>0</v>
      </c>
      <c r="BX14">
        <v>0</v>
      </c>
      <c r="BZ14">
        <v>7976.12</v>
      </c>
      <c r="CA14">
        <v>76408.84</v>
      </c>
      <c r="CH14">
        <v>76408.84</v>
      </c>
      <c r="CM14">
        <v>76408.84</v>
      </c>
      <c r="CO14">
        <v>76408.84</v>
      </c>
      <c r="CR14">
        <v>76408.84</v>
      </c>
      <c r="CS14">
        <v>125</v>
      </c>
      <c r="CT14" t="s">
        <v>169</v>
      </c>
      <c r="CU14" s="57">
        <v>9551105</v>
      </c>
      <c r="CV14" t="s">
        <v>206</v>
      </c>
      <c r="CW14" t="s">
        <v>207</v>
      </c>
      <c r="CX14">
        <v>1000</v>
      </c>
    </row>
    <row r="15" spans="1:102" x14ac:dyDescent="0.25">
      <c r="A15" t="s">
        <v>165</v>
      </c>
      <c r="B15" s="56">
        <v>45170</v>
      </c>
      <c r="C15" t="s">
        <v>208</v>
      </c>
      <c r="D15" t="s">
        <v>209</v>
      </c>
      <c r="E15" t="s">
        <v>210</v>
      </c>
      <c r="J15" t="s">
        <v>80</v>
      </c>
      <c r="K15">
        <v>212</v>
      </c>
      <c r="L15">
        <v>1664</v>
      </c>
      <c r="M15">
        <v>352768</v>
      </c>
      <c r="N15" t="s">
        <v>191</v>
      </c>
      <c r="O15">
        <v>219</v>
      </c>
      <c r="P15">
        <v>416</v>
      </c>
      <c r="Q15">
        <v>91104</v>
      </c>
      <c r="T15">
        <v>0</v>
      </c>
      <c r="V15" t="s">
        <v>86</v>
      </c>
      <c r="W15">
        <v>116</v>
      </c>
      <c r="X15">
        <v>360</v>
      </c>
      <c r="Y15">
        <v>41760</v>
      </c>
      <c r="AB15">
        <v>0</v>
      </c>
      <c r="AF15">
        <v>0</v>
      </c>
      <c r="AJ15">
        <v>0</v>
      </c>
      <c r="AN15">
        <v>0</v>
      </c>
      <c r="AR15">
        <v>0</v>
      </c>
      <c r="AV15">
        <v>0</v>
      </c>
      <c r="AZ15">
        <v>0</v>
      </c>
      <c r="BD15">
        <v>0</v>
      </c>
      <c r="BH15">
        <v>0</v>
      </c>
      <c r="BL15">
        <v>0</v>
      </c>
      <c r="BP15">
        <v>0</v>
      </c>
      <c r="BT15">
        <v>0</v>
      </c>
      <c r="BX15">
        <v>0</v>
      </c>
      <c r="BZ15">
        <v>17878.84</v>
      </c>
      <c r="CA15">
        <v>503510.84</v>
      </c>
      <c r="CH15">
        <v>503510.84</v>
      </c>
      <c r="CM15">
        <v>503510.84</v>
      </c>
      <c r="CO15">
        <v>503510.84</v>
      </c>
      <c r="CR15">
        <v>503510.84</v>
      </c>
      <c r="CS15">
        <v>170</v>
      </c>
      <c r="CT15" t="s">
        <v>169</v>
      </c>
      <c r="CU15" s="57">
        <v>85596843</v>
      </c>
      <c r="CV15" t="s">
        <v>211</v>
      </c>
      <c r="CW15" t="s">
        <v>212</v>
      </c>
      <c r="CX15">
        <v>500</v>
      </c>
    </row>
    <row r="16" spans="1:102" x14ac:dyDescent="0.25">
      <c r="A16" t="s">
        <v>165</v>
      </c>
      <c r="B16" s="56">
        <v>45170</v>
      </c>
      <c r="C16" t="s">
        <v>213</v>
      </c>
      <c r="D16" t="s">
        <v>214</v>
      </c>
      <c r="E16" t="s">
        <v>168</v>
      </c>
      <c r="J16" t="s">
        <v>80</v>
      </c>
      <c r="K16">
        <v>212</v>
      </c>
      <c r="L16">
        <v>270</v>
      </c>
      <c r="M16">
        <v>57240</v>
      </c>
      <c r="P16">
        <v>0</v>
      </c>
      <c r="T16">
        <v>0</v>
      </c>
      <c r="V16" t="s">
        <v>86</v>
      </c>
      <c r="W16">
        <v>116</v>
      </c>
      <c r="X16">
        <v>95</v>
      </c>
      <c r="Y16">
        <v>11020</v>
      </c>
      <c r="AB16">
        <v>0</v>
      </c>
      <c r="AD16" t="s">
        <v>87</v>
      </c>
      <c r="AE16">
        <v>61.6</v>
      </c>
      <c r="AF16">
        <v>46</v>
      </c>
      <c r="AG16">
        <v>2833.6</v>
      </c>
      <c r="AH16" t="s">
        <v>88</v>
      </c>
      <c r="AI16">
        <v>77.87</v>
      </c>
      <c r="AJ16">
        <v>364</v>
      </c>
      <c r="AK16">
        <v>28344.68</v>
      </c>
      <c r="AL16" t="s">
        <v>100</v>
      </c>
      <c r="AM16">
        <v>94</v>
      </c>
      <c r="AN16">
        <v>173</v>
      </c>
      <c r="AO16">
        <v>16262</v>
      </c>
      <c r="AR16">
        <v>0</v>
      </c>
      <c r="AV16">
        <v>0</v>
      </c>
      <c r="AZ16">
        <v>0</v>
      </c>
      <c r="BD16">
        <v>0</v>
      </c>
      <c r="BH16">
        <v>0</v>
      </c>
      <c r="BL16">
        <v>0</v>
      </c>
      <c r="BP16">
        <v>0</v>
      </c>
      <c r="BR16" t="s">
        <v>51</v>
      </c>
      <c r="BS16">
        <v>450</v>
      </c>
      <c r="BT16">
        <v>0</v>
      </c>
      <c r="BU16">
        <v>0</v>
      </c>
      <c r="BX16">
        <v>0</v>
      </c>
      <c r="BZ16">
        <v>4493.28</v>
      </c>
      <c r="CA16">
        <v>120193.56</v>
      </c>
      <c r="CH16">
        <v>120193.56</v>
      </c>
      <c r="CM16">
        <v>120193.56</v>
      </c>
      <c r="CO16">
        <v>120193.56</v>
      </c>
      <c r="CR16">
        <v>120193.56</v>
      </c>
      <c r="CS16">
        <v>357</v>
      </c>
      <c r="CT16" t="s">
        <v>169</v>
      </c>
      <c r="CU16" s="57">
        <v>42909101</v>
      </c>
      <c r="CV16" t="s">
        <v>215</v>
      </c>
      <c r="CW16" t="s">
        <v>216</v>
      </c>
      <c r="CX16">
        <v>1000</v>
      </c>
    </row>
    <row r="17" spans="1:102" x14ac:dyDescent="0.25">
      <c r="A17" t="s">
        <v>165</v>
      </c>
      <c r="B17" s="56">
        <v>45170</v>
      </c>
      <c r="C17" t="s">
        <v>217</v>
      </c>
      <c r="D17" t="s">
        <v>218</v>
      </c>
      <c r="E17" t="s">
        <v>168</v>
      </c>
      <c r="J17" t="s">
        <v>80</v>
      </c>
      <c r="K17">
        <v>212</v>
      </c>
      <c r="L17">
        <v>86.4</v>
      </c>
      <c r="M17">
        <v>18316.8</v>
      </c>
      <c r="P17">
        <v>0</v>
      </c>
      <c r="T17">
        <v>0</v>
      </c>
      <c r="V17" t="s">
        <v>86</v>
      </c>
      <c r="W17">
        <v>116</v>
      </c>
      <c r="X17">
        <v>37</v>
      </c>
      <c r="Y17">
        <v>4292</v>
      </c>
      <c r="AB17">
        <v>0</v>
      </c>
      <c r="AD17" t="s">
        <v>116</v>
      </c>
      <c r="AE17">
        <v>88</v>
      </c>
      <c r="AF17">
        <v>33</v>
      </c>
      <c r="AG17">
        <v>2904</v>
      </c>
      <c r="AH17" t="s">
        <v>120</v>
      </c>
      <c r="AI17">
        <v>86.13</v>
      </c>
      <c r="AJ17">
        <v>416</v>
      </c>
      <c r="AK17">
        <v>35830.080000000002</v>
      </c>
      <c r="AL17" t="s">
        <v>100</v>
      </c>
      <c r="AM17">
        <v>94</v>
      </c>
      <c r="AN17">
        <v>144</v>
      </c>
      <c r="AO17">
        <v>13536</v>
      </c>
      <c r="AR17">
        <v>0</v>
      </c>
      <c r="AV17">
        <v>0</v>
      </c>
      <c r="AZ17">
        <v>0</v>
      </c>
      <c r="BD17">
        <v>0</v>
      </c>
      <c r="BH17">
        <v>0</v>
      </c>
      <c r="BL17">
        <v>0</v>
      </c>
      <c r="BP17">
        <v>0</v>
      </c>
      <c r="BR17" t="s">
        <v>51</v>
      </c>
      <c r="BS17">
        <v>450</v>
      </c>
      <c r="BT17">
        <v>0</v>
      </c>
      <c r="BU17">
        <v>0</v>
      </c>
      <c r="BX17">
        <v>0</v>
      </c>
      <c r="BZ17">
        <v>7244.19</v>
      </c>
      <c r="CA17">
        <v>82123.070000000007</v>
      </c>
      <c r="CH17">
        <v>82123.070000000007</v>
      </c>
      <c r="CM17">
        <v>82123.070000000007</v>
      </c>
      <c r="CO17">
        <v>82123.070000000007</v>
      </c>
      <c r="CR17">
        <v>82123.070000000007</v>
      </c>
      <c r="CS17">
        <v>1511</v>
      </c>
      <c r="CT17" t="s">
        <v>169</v>
      </c>
      <c r="CU17" s="57">
        <v>124087959</v>
      </c>
      <c r="CV17" t="s">
        <v>183</v>
      </c>
      <c r="CW17" t="s">
        <v>184</v>
      </c>
      <c r="CX17">
        <v>1000</v>
      </c>
    </row>
    <row r="18" spans="1:102"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4"/>
      <c r="CC18" s="1"/>
      <c r="CD18" s="14"/>
      <c r="CE18" s="1"/>
      <c r="CF18" s="14"/>
      <c r="CG18" s="1"/>
      <c r="CH18" s="1"/>
      <c r="CI18" s="14"/>
      <c r="CJ18" s="1"/>
      <c r="CK18" s="14"/>
      <c r="CL18" s="1"/>
      <c r="CM18" s="3"/>
      <c r="CN18" s="1"/>
      <c r="CO18" s="1"/>
      <c r="CP18" s="14"/>
      <c r="CQ18" s="1"/>
      <c r="CR18" s="1"/>
      <c r="CS18" s="1"/>
      <c r="CT18" s="1"/>
      <c r="CU18" s="15"/>
    </row>
    <row r="19" spans="1:102"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4"/>
      <c r="CE19" s="1"/>
      <c r="CF19" s="14"/>
      <c r="CG19" s="1"/>
      <c r="CH19" s="1"/>
      <c r="CI19" s="14"/>
      <c r="CJ19" s="1"/>
      <c r="CK19" s="14"/>
      <c r="CL19" s="1"/>
      <c r="CM19" s="3"/>
      <c r="CN19" s="1"/>
      <c r="CO19" s="1"/>
      <c r="CP19" s="14"/>
      <c r="CQ19" s="1"/>
      <c r="CR19" s="1"/>
      <c r="CS19" s="1"/>
      <c r="CT19" s="1"/>
      <c r="CU19" s="15"/>
    </row>
    <row r="20" spans="1:102"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4"/>
      <c r="CE20" s="1"/>
      <c r="CF20" s="14"/>
      <c r="CG20" s="1"/>
      <c r="CH20" s="1"/>
      <c r="CI20" s="14"/>
      <c r="CJ20" s="1"/>
      <c r="CK20" s="14"/>
      <c r="CL20" s="1"/>
      <c r="CM20" s="3"/>
      <c r="CN20" s="1"/>
      <c r="CO20" s="1"/>
      <c r="CP20" s="14"/>
      <c r="CQ20" s="1"/>
      <c r="CR20" s="1"/>
      <c r="CS20" s="1"/>
      <c r="CT20" s="1"/>
      <c r="CU20" s="15"/>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73"/>
  <sheetViews>
    <sheetView showZeros="0" tabSelected="1" topLeftCell="A49" workbookViewId="0">
      <selection activeCell="M74" sqref="M74"/>
    </sheetView>
  </sheetViews>
  <sheetFormatPr defaultRowHeight="15" x14ac:dyDescent="0.25"/>
  <cols>
    <col min="1" max="1" width="15.140625" bestFit="1" customWidth="1"/>
    <col min="2" max="2" width="15.285156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4" width="7.85546875" style="28" customWidth="1"/>
    <col min="15" max="19" width="7.85546875" style="28" hidden="1" customWidth="1"/>
    <col min="20" max="20" width="7.85546875" style="28" customWidth="1"/>
    <col min="21" max="31" width="7.85546875" style="28" hidden="1" customWidth="1"/>
    <col min="32" max="32" width="7.85546875" style="28" customWidth="1"/>
    <col min="33" max="42" width="7.85546875" style="28" hidden="1" customWidth="1"/>
    <col min="43" max="44" width="7.85546875" style="28" customWidth="1"/>
    <col min="45" max="49" width="7.85546875" style="28" hidden="1" customWidth="1"/>
    <col min="50" max="50" width="7.85546875" style="28" customWidth="1"/>
    <col min="51" max="51" width="7.85546875" style="28" hidden="1" customWidth="1"/>
    <col min="52" max="53" width="7.85546875" style="28" customWidth="1"/>
    <col min="54" max="57" width="7.85546875" style="28" hidden="1" customWidth="1"/>
    <col min="58" max="58" width="9" style="28" customWidth="1"/>
    <col min="59" max="66" width="7.85546875" style="28" hidden="1" customWidth="1"/>
    <col min="67" max="67" width="7.85546875" style="28" customWidth="1"/>
    <col min="68" max="71" width="7.85546875" style="28" hidden="1" customWidth="1"/>
    <col min="72" max="72" width="7.85546875" style="28" customWidth="1"/>
    <col min="73" max="73" width="7.85546875" style="28" hidden="1" customWidth="1"/>
    <col min="74" max="74" width="7.85546875" style="28" customWidth="1"/>
    <col min="75" max="75" width="10.7109375" style="28" bestFit="1" customWidth="1"/>
    <col min="76" max="76" width="25.5703125" style="28" customWidth="1"/>
    <col min="77" max="77" width="10.42578125" style="28" customWidth="1"/>
    <col min="78" max="78" width="9.85546875" style="4" bestFit="1" customWidth="1"/>
    <col min="79" max="79" width="13.85546875" style="4" bestFit="1" customWidth="1"/>
    <col min="80" max="80" width="9.140625" style="26" hidden="1" customWidth="1"/>
    <col min="81" max="81" width="9.140625" style="4" hidden="1" customWidth="1"/>
    <col min="82" max="82" width="9.140625" style="12"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4" customFormat="1" ht="15.75" thickBot="1" x14ac:dyDescent="0.3"/>
    <row r="2" spans="1:90" s="44" customFormat="1" ht="23.25" thickBot="1" x14ac:dyDescent="0.5">
      <c r="A2" s="172" t="s">
        <v>139</v>
      </c>
      <c r="B2" s="173"/>
      <c r="C2" s="173"/>
      <c r="D2" s="173"/>
      <c r="E2" s="173"/>
      <c r="F2" s="173"/>
      <c r="G2" s="173"/>
      <c r="H2" s="173"/>
      <c r="I2" s="173"/>
      <c r="J2" s="173"/>
      <c r="K2" s="173"/>
      <c r="L2" s="173"/>
      <c r="M2" s="173"/>
      <c r="N2" s="173"/>
      <c r="O2" s="173"/>
      <c r="P2" s="173"/>
      <c r="Q2" s="173"/>
      <c r="R2" s="174"/>
      <c r="S2" s="50"/>
      <c r="T2" s="47"/>
    </row>
    <row r="3" spans="1:90" s="44" customFormat="1" ht="15.75" thickBot="1" x14ac:dyDescent="0.3">
      <c r="A3"/>
      <c r="B3"/>
      <c r="C3"/>
      <c r="D3"/>
      <c r="E3"/>
      <c r="F3"/>
      <c r="G3"/>
      <c r="H3"/>
      <c r="I3"/>
      <c r="J3"/>
      <c r="K3"/>
      <c r="L3"/>
      <c r="M3"/>
      <c r="N3"/>
      <c r="O3"/>
      <c r="P3"/>
      <c r="Q3"/>
      <c r="R3"/>
      <c r="S3"/>
    </row>
    <row r="4" spans="1:90" s="44" customFormat="1" ht="51.75" customHeight="1" thickBot="1" x14ac:dyDescent="0.3">
      <c r="A4" s="45" t="s">
        <v>125</v>
      </c>
      <c r="B4" s="183" t="s">
        <v>138</v>
      </c>
      <c r="C4" s="183"/>
      <c r="D4" s="183"/>
      <c r="E4" s="183"/>
      <c r="F4" s="183"/>
      <c r="G4" s="183"/>
      <c r="H4" s="183"/>
      <c r="I4" s="183"/>
      <c r="J4" s="183"/>
      <c r="K4" s="183"/>
      <c r="L4" s="183"/>
      <c r="M4" s="183"/>
      <c r="N4" s="183"/>
      <c r="O4" s="183"/>
      <c r="P4" s="183"/>
      <c r="Q4" s="183"/>
      <c r="R4" s="183"/>
      <c r="S4"/>
    </row>
    <row r="5" spans="1:90" s="44" customFormat="1" ht="34.5" customHeight="1" x14ac:dyDescent="0.25">
      <c r="A5" s="45" t="s">
        <v>126</v>
      </c>
      <c r="B5" s="183" t="s">
        <v>137</v>
      </c>
      <c r="C5" s="183"/>
      <c r="D5" s="183"/>
      <c r="E5" s="183"/>
      <c r="F5" s="183"/>
      <c r="G5" s="183"/>
      <c r="H5" s="183"/>
      <c r="I5" s="183"/>
      <c r="J5" s="183"/>
      <c r="K5" s="183"/>
      <c r="L5" s="183"/>
      <c r="M5" s="183"/>
      <c r="N5" s="183"/>
      <c r="O5" s="183"/>
      <c r="P5" s="183"/>
      <c r="Q5" s="183"/>
      <c r="R5" s="183"/>
      <c r="S5"/>
    </row>
    <row r="6" spans="1:90" s="44" customFormat="1" ht="48" customHeight="1" x14ac:dyDescent="0.25">
      <c r="A6" s="46" t="s">
        <v>127</v>
      </c>
      <c r="B6" s="171" t="s">
        <v>140</v>
      </c>
      <c r="C6" s="183"/>
      <c r="D6" s="183"/>
      <c r="E6" s="183"/>
      <c r="F6" s="183"/>
      <c r="G6" s="183"/>
      <c r="H6" s="183"/>
      <c r="I6" s="183"/>
      <c r="J6" s="183"/>
      <c r="K6" s="183"/>
      <c r="L6" s="183"/>
      <c r="M6" s="183"/>
      <c r="N6" s="183"/>
      <c r="O6" s="183"/>
      <c r="P6" s="183"/>
      <c r="Q6" s="183"/>
      <c r="R6" s="183"/>
      <c r="S6"/>
    </row>
    <row r="7" spans="1:90" s="44" customFormat="1" ht="46.5" customHeight="1" x14ac:dyDescent="0.25">
      <c r="A7" s="46" t="s">
        <v>124</v>
      </c>
      <c r="B7" s="171" t="s">
        <v>141</v>
      </c>
      <c r="C7" s="183"/>
      <c r="D7" s="183"/>
      <c r="E7" s="183"/>
      <c r="F7" s="183"/>
      <c r="G7" s="183"/>
      <c r="H7" s="183"/>
      <c r="I7" s="183"/>
      <c r="J7" s="183"/>
      <c r="K7" s="183"/>
      <c r="L7" s="183"/>
      <c r="M7" s="183"/>
      <c r="N7" s="183"/>
      <c r="O7" s="183"/>
      <c r="P7" s="183"/>
      <c r="Q7" s="183"/>
      <c r="R7" s="183"/>
      <c r="S7"/>
    </row>
    <row r="8" spans="1:90" s="44" customFormat="1" ht="28.5" customHeight="1" x14ac:dyDescent="0.25">
      <c r="A8" s="46" t="s">
        <v>128</v>
      </c>
      <c r="B8" s="171" t="s">
        <v>142</v>
      </c>
      <c r="C8" s="171"/>
      <c r="D8" s="171"/>
      <c r="E8" s="171"/>
      <c r="F8" s="171"/>
      <c r="G8" s="171"/>
      <c r="H8" s="171"/>
      <c r="I8" s="171"/>
      <c r="J8" s="171"/>
      <c r="K8" s="171"/>
      <c r="L8" s="171"/>
      <c r="M8" s="171"/>
      <c r="N8" s="171"/>
      <c r="O8" s="171"/>
      <c r="P8" s="171"/>
      <c r="Q8" s="171"/>
      <c r="R8" s="171"/>
      <c r="S8"/>
    </row>
    <row r="9" spans="1:90" s="44" customFormat="1" ht="47.25" customHeight="1" x14ac:dyDescent="0.25">
      <c r="A9" s="46" t="s">
        <v>129</v>
      </c>
      <c r="B9" s="168" t="s">
        <v>143</v>
      </c>
      <c r="C9" s="169"/>
      <c r="D9" s="169"/>
      <c r="E9" s="169"/>
      <c r="F9" s="169"/>
      <c r="G9" s="169"/>
      <c r="H9" s="169"/>
      <c r="I9" s="169"/>
      <c r="J9" s="169"/>
      <c r="K9" s="169"/>
      <c r="L9" s="169"/>
      <c r="M9" s="169"/>
      <c r="N9" s="169"/>
      <c r="O9" s="169"/>
      <c r="P9" s="169"/>
      <c r="Q9" s="169"/>
      <c r="R9" s="170"/>
    </row>
    <row r="10" spans="1:90" s="44" customFormat="1" ht="33" customHeight="1" x14ac:dyDescent="0.25">
      <c r="A10" s="46" t="s">
        <v>130</v>
      </c>
      <c r="B10" s="171" t="s">
        <v>144</v>
      </c>
      <c r="C10" s="171"/>
      <c r="D10" s="171"/>
      <c r="E10" s="171"/>
      <c r="F10" s="171"/>
      <c r="G10" s="171"/>
      <c r="H10" s="171"/>
      <c r="I10" s="171"/>
      <c r="J10" s="171"/>
      <c r="K10" s="171"/>
      <c r="L10" s="171"/>
      <c r="M10" s="171"/>
      <c r="N10" s="171"/>
      <c r="O10" s="171"/>
      <c r="P10" s="171"/>
      <c r="Q10" s="171"/>
      <c r="R10" s="171"/>
      <c r="S10"/>
    </row>
    <row r="11" spans="1:90" s="44" customFormat="1" ht="45.75" customHeight="1" x14ac:dyDescent="0.25">
      <c r="A11" s="46" t="s">
        <v>131</v>
      </c>
      <c r="B11" s="179" t="s">
        <v>145</v>
      </c>
      <c r="C11" s="180"/>
      <c r="D11" s="180"/>
      <c r="E11" s="180"/>
      <c r="F11" s="180"/>
      <c r="G11" s="180"/>
      <c r="H11" s="180"/>
      <c r="I11" s="180"/>
      <c r="J11" s="180"/>
      <c r="K11" s="180"/>
      <c r="L11" s="180"/>
      <c r="M11" s="180"/>
      <c r="N11" s="180"/>
      <c r="O11" s="180"/>
      <c r="P11" s="180"/>
      <c r="Q11" s="180"/>
      <c r="R11" s="181"/>
      <c r="S11"/>
    </row>
    <row r="12" spans="1:90" s="44" customFormat="1" ht="30" x14ac:dyDescent="0.25">
      <c r="A12" s="51" t="s">
        <v>132</v>
      </c>
      <c r="B12" s="182"/>
      <c r="C12" s="182"/>
      <c r="D12" s="182"/>
      <c r="E12" s="182"/>
      <c r="F12" s="182"/>
      <c r="G12" s="182"/>
      <c r="H12" s="182"/>
      <c r="I12" s="182"/>
      <c r="J12" s="182"/>
      <c r="K12" s="182"/>
      <c r="L12" s="182"/>
      <c r="M12" s="182"/>
      <c r="N12" s="182"/>
      <c r="O12" s="182"/>
      <c r="P12" s="182"/>
      <c r="Q12" s="182"/>
      <c r="R12" s="182"/>
    </row>
    <row r="13" spans="1:90" ht="42.75" customHeight="1" x14ac:dyDescent="0.25">
      <c r="BF13" s="166" t="s">
        <v>278</v>
      </c>
    </row>
    <row r="14" spans="1:90" s="35" customFormat="1" ht="28.9" customHeight="1" x14ac:dyDescent="0.25">
      <c r="E14" s="41"/>
      <c r="H14" s="42"/>
      <c r="N14" s="177" t="str">
        <f>Sheet1!J1</f>
        <v>Conductor</v>
      </c>
      <c r="O14" s="177"/>
      <c r="P14" s="177"/>
      <c r="Q14" s="177"/>
      <c r="R14" s="177"/>
      <c r="S14" s="177" t="s">
        <v>9</v>
      </c>
      <c r="T14" s="177"/>
      <c r="U14" s="177" t="s">
        <v>3</v>
      </c>
      <c r="V14" s="177"/>
      <c r="W14" s="177"/>
      <c r="X14" s="177"/>
      <c r="Y14" s="177"/>
      <c r="Z14" s="177"/>
      <c r="AA14" s="177"/>
      <c r="AB14" s="177"/>
      <c r="AC14" s="177" t="s">
        <v>12</v>
      </c>
      <c r="AD14" s="177"/>
      <c r="AE14" s="177" t="s">
        <v>15</v>
      </c>
      <c r="AF14" s="177"/>
      <c r="AG14" s="177"/>
      <c r="AH14" s="177"/>
      <c r="AI14" s="177"/>
      <c r="AJ14" s="177"/>
      <c r="AK14" s="36" t="s">
        <v>18</v>
      </c>
      <c r="AL14" s="175" t="s">
        <v>21</v>
      </c>
      <c r="AM14" s="176"/>
      <c r="AN14" s="176"/>
      <c r="AO14" s="176"/>
      <c r="AP14" s="176"/>
      <c r="AQ14" s="176"/>
      <c r="AR14" s="176"/>
      <c r="AS14" s="177" t="s">
        <v>24</v>
      </c>
      <c r="AT14" s="177"/>
      <c r="AU14" s="177"/>
      <c r="AV14" s="177"/>
      <c r="AW14" s="177"/>
      <c r="AX14" s="177"/>
      <c r="AY14" s="177"/>
      <c r="AZ14" s="177"/>
      <c r="BA14" s="177"/>
      <c r="BB14" s="177"/>
      <c r="BC14" s="178" t="s">
        <v>277</v>
      </c>
      <c r="BD14" s="178"/>
      <c r="BE14" s="178"/>
      <c r="BF14" s="178"/>
      <c r="BG14" s="178"/>
      <c r="BH14" s="178"/>
      <c r="BI14" s="178"/>
      <c r="BJ14" s="178"/>
      <c r="BK14" s="178"/>
      <c r="BL14" s="178"/>
      <c r="BM14" s="37" t="s">
        <v>30</v>
      </c>
      <c r="BN14" s="36" t="s">
        <v>33</v>
      </c>
      <c r="BO14" s="36" t="s">
        <v>36</v>
      </c>
      <c r="BP14" s="36" t="s">
        <v>39</v>
      </c>
      <c r="BQ14" s="36" t="s">
        <v>42</v>
      </c>
      <c r="BR14" s="36" t="s">
        <v>45</v>
      </c>
      <c r="BS14" s="36" t="s">
        <v>48</v>
      </c>
      <c r="BT14" s="36" t="s">
        <v>51</v>
      </c>
      <c r="BU14" s="36" t="s">
        <v>54</v>
      </c>
      <c r="BV14" s="48"/>
      <c r="BW14" s="48"/>
      <c r="BX14" s="48"/>
      <c r="BY14" s="55"/>
      <c r="BZ14" s="38" t="s">
        <v>57</v>
      </c>
      <c r="CA14" s="38" t="s">
        <v>58</v>
      </c>
      <c r="CB14" s="39" t="s">
        <v>79</v>
      </c>
      <c r="CC14" s="38" t="s">
        <v>123</v>
      </c>
      <c r="CD14" s="40"/>
      <c r="CE14" s="41"/>
      <c r="CF14" s="42"/>
      <c r="CG14" s="41"/>
      <c r="CH14" s="41"/>
      <c r="CI14" s="42"/>
      <c r="CK14" s="42"/>
    </row>
    <row r="15" spans="1:90" s="17" customFormat="1" ht="89.25" x14ac:dyDescent="0.25">
      <c r="A15" s="20" t="s">
        <v>0</v>
      </c>
      <c r="B15" s="20" t="str">
        <f>Sheet1!B1</f>
        <v>Base Date</v>
      </c>
      <c r="C15" s="20" t="s">
        <v>1</v>
      </c>
      <c r="D15" s="20" t="s">
        <v>2</v>
      </c>
      <c r="E15" s="5" t="s">
        <v>70</v>
      </c>
      <c r="F15" s="13" t="s">
        <v>71</v>
      </c>
      <c r="G15" s="13" t="s">
        <v>72</v>
      </c>
      <c r="H15" s="6" t="s">
        <v>73</v>
      </c>
      <c r="I15" s="13" t="s">
        <v>74</v>
      </c>
      <c r="J15" s="13" t="s">
        <v>75</v>
      </c>
      <c r="K15" s="13" t="s">
        <v>76</v>
      </c>
      <c r="L15" s="13" t="s">
        <v>77</v>
      </c>
      <c r="M15" s="13" t="s">
        <v>78</v>
      </c>
      <c r="N15" s="21" t="s">
        <v>80</v>
      </c>
      <c r="O15" s="21" t="s">
        <v>85</v>
      </c>
      <c r="P15" s="21" t="s">
        <v>82</v>
      </c>
      <c r="Q15" s="21" t="s">
        <v>83</v>
      </c>
      <c r="R15" s="21" t="s">
        <v>84</v>
      </c>
      <c r="S15" s="21" t="s">
        <v>80</v>
      </c>
      <c r="T15" s="21" t="s">
        <v>85</v>
      </c>
      <c r="U15" s="22" t="s">
        <v>92</v>
      </c>
      <c r="V15" s="22" t="s">
        <v>96</v>
      </c>
      <c r="W15" s="22" t="s">
        <v>99</v>
      </c>
      <c r="X15" s="22" t="s">
        <v>104</v>
      </c>
      <c r="Y15" s="22" t="s">
        <v>108</v>
      </c>
      <c r="Z15" s="22" t="s">
        <v>112</v>
      </c>
      <c r="AA15" s="22" t="s">
        <v>115</v>
      </c>
      <c r="AB15" s="22" t="s">
        <v>117</v>
      </c>
      <c r="AC15" s="22" t="s">
        <v>91</v>
      </c>
      <c r="AD15" s="22" t="s">
        <v>95</v>
      </c>
      <c r="AE15" s="22" t="s">
        <v>90</v>
      </c>
      <c r="AF15" s="22" t="s">
        <v>86</v>
      </c>
      <c r="AG15" s="22" t="s">
        <v>98</v>
      </c>
      <c r="AH15" s="22" t="s">
        <v>103</v>
      </c>
      <c r="AI15" s="22" t="s">
        <v>107</v>
      </c>
      <c r="AJ15" s="22" t="s">
        <v>111</v>
      </c>
      <c r="AK15" s="18" t="s">
        <v>18</v>
      </c>
      <c r="AL15" s="22" t="s">
        <v>93</v>
      </c>
      <c r="AM15" s="22" t="s">
        <v>97</v>
      </c>
      <c r="AN15" s="22" t="s">
        <v>100</v>
      </c>
      <c r="AO15" s="22" t="s">
        <v>105</v>
      </c>
      <c r="AP15" s="22" t="s">
        <v>109</v>
      </c>
      <c r="AQ15" s="22" t="s">
        <v>87</v>
      </c>
      <c r="AR15" s="22" t="s">
        <v>116</v>
      </c>
      <c r="AS15" s="22" t="s">
        <v>94</v>
      </c>
      <c r="AT15" s="22" t="s">
        <v>81</v>
      </c>
      <c r="AU15" s="22" t="s">
        <v>101</v>
      </c>
      <c r="AV15" s="22" t="s">
        <v>106</v>
      </c>
      <c r="AW15" s="22" t="s">
        <v>113</v>
      </c>
      <c r="AX15" s="22" t="s">
        <v>88</v>
      </c>
      <c r="AY15" s="22" t="s">
        <v>118</v>
      </c>
      <c r="AZ15" s="22" t="s">
        <v>119</v>
      </c>
      <c r="BA15" s="22" t="s">
        <v>120</v>
      </c>
      <c r="BB15" s="22" t="s">
        <v>122</v>
      </c>
      <c r="BC15" s="22" t="s">
        <v>93</v>
      </c>
      <c r="BD15" s="22" t="s">
        <v>97</v>
      </c>
      <c r="BE15" s="22" t="s">
        <v>102</v>
      </c>
      <c r="BF15" s="22" t="s">
        <v>100</v>
      </c>
      <c r="BG15" s="22" t="s">
        <v>110</v>
      </c>
      <c r="BH15" s="22" t="s">
        <v>114</v>
      </c>
      <c r="BI15" s="22" t="s">
        <v>105</v>
      </c>
      <c r="BJ15" s="22" t="s">
        <v>87</v>
      </c>
      <c r="BK15" s="22" t="s">
        <v>116</v>
      </c>
      <c r="BL15" s="22" t="s">
        <v>121</v>
      </c>
      <c r="BM15" s="18" t="s">
        <v>30</v>
      </c>
      <c r="BN15" s="18" t="s">
        <v>89</v>
      </c>
      <c r="BO15" s="62" t="s">
        <v>225</v>
      </c>
      <c r="BP15" s="23" t="s">
        <v>39</v>
      </c>
      <c r="BQ15" s="19" t="s">
        <v>42</v>
      </c>
      <c r="BR15" s="19" t="s">
        <v>45</v>
      </c>
      <c r="BS15" s="19" t="s">
        <v>48</v>
      </c>
      <c r="BT15" s="23" t="s">
        <v>51</v>
      </c>
      <c r="BU15" s="19" t="s">
        <v>54</v>
      </c>
      <c r="BV15" s="19" t="str">
        <f>Sheet1!E1</f>
        <v>PROPOSE DRUM TYPE</v>
      </c>
      <c r="BW15" s="54" t="str">
        <f>Sheet1!CV1</f>
        <v>DRUM CODE</v>
      </c>
      <c r="BX15" s="54" t="str">
        <f>Sheet1!CW1</f>
        <v>DRUM SIZE (FxbXtx Ft)</v>
      </c>
      <c r="BY15" s="54" t="str">
        <f>Sheet1!CX1</f>
        <v xml:space="preserve">PARTY STANDARD LENGTH (MTR) </v>
      </c>
      <c r="BZ15" s="27"/>
      <c r="CA15" s="27"/>
      <c r="CB15" s="24"/>
      <c r="CC15" s="27"/>
      <c r="CD15" s="11" t="s">
        <v>61</v>
      </c>
      <c r="CE15" s="5" t="s">
        <v>62</v>
      </c>
      <c r="CF15" s="6" t="s">
        <v>63</v>
      </c>
      <c r="CG15" s="5" t="s">
        <v>64</v>
      </c>
      <c r="CH15" s="5" t="s">
        <v>65</v>
      </c>
      <c r="CI15" s="6" t="s">
        <v>66</v>
      </c>
      <c r="CJ15" s="13" t="s">
        <v>67</v>
      </c>
      <c r="CK15" s="6" t="s">
        <v>68</v>
      </c>
      <c r="CL15" s="13" t="s">
        <v>69</v>
      </c>
    </row>
    <row r="16" spans="1:90" s="27" customFormat="1" x14ac:dyDescent="0.25">
      <c r="A16" s="29"/>
      <c r="B16" s="29"/>
      <c r="C16" s="29"/>
      <c r="D16" s="29"/>
      <c r="E16" s="5"/>
      <c r="F16" s="5"/>
      <c r="G16" s="5"/>
      <c r="H16" s="5"/>
      <c r="I16" s="5"/>
      <c r="J16" s="5"/>
      <c r="K16" s="5"/>
      <c r="L16" s="5"/>
      <c r="M16" s="5"/>
      <c r="N16" s="30">
        <v>213</v>
      </c>
      <c r="O16" s="30">
        <f>+IFERROR(VLOOKUP($O$15,Sheet1!J:L,2,0),0)</f>
        <v>0</v>
      </c>
      <c r="P16" s="30">
        <f>+IFERROR(VLOOKUP($P$15,Sheet1!J:M,2,0),0)</f>
        <v>0</v>
      </c>
      <c r="Q16" s="30">
        <f>+IFERROR(VLOOKUP($Q$15,Sheet1!J:M,2,0),0)</f>
        <v>0</v>
      </c>
      <c r="R16" s="30">
        <f>+IFERROR(VLOOKUP($R$15,Sheet1!J:M,2,0),0)</f>
        <v>0</v>
      </c>
      <c r="S16" s="30">
        <f>+IFERROR(VLOOKUP($S$15,Sheet1!N:Q,2,0),0)</f>
        <v>0</v>
      </c>
      <c r="T16" s="30">
        <f>N16+7</f>
        <v>220</v>
      </c>
      <c r="U16" s="31">
        <f>+IFERROR(VLOOKUP($U$15,Sheet1!F:I,2,0),0)</f>
        <v>0</v>
      </c>
      <c r="V16" s="31">
        <f>+IFERROR(VLOOKUP($V$15,Sheet1!F:I,2,0),0)</f>
        <v>0</v>
      </c>
      <c r="W16" s="31">
        <f>+IFERROR(VLOOKUP($W$15,Sheet1!F:I,2,0),0)</f>
        <v>0</v>
      </c>
      <c r="X16" s="31">
        <f>+IFERROR(VLOOKUP($X$15,Sheet1!F:I,2,0),0)</f>
        <v>0</v>
      </c>
      <c r="Y16" s="31">
        <f>+IFERROR(VLOOKUP($Y$15,Sheet1!F:I,2,0),0)</f>
        <v>0</v>
      </c>
      <c r="Z16" s="31">
        <f>+IFERROR(VLOOKUP($Z$15,Sheet1!F:I,2,0),0)</f>
        <v>0</v>
      </c>
      <c r="AA16" s="31">
        <f>+IFERROR(VLOOKUP($AA$15,Sheet1!F:I,2,0),0)</f>
        <v>0</v>
      </c>
      <c r="AB16" s="31">
        <f>+IFERROR(VLOOKUP($AB$15,Sheet1!F:I,2,0),0)</f>
        <v>0</v>
      </c>
      <c r="AC16" s="31">
        <f>+IFERROR(VLOOKUP($AC$15,Sheet1!R:U,2,0),0)</f>
        <v>0</v>
      </c>
      <c r="AD16" s="31">
        <f>+IFERROR(VLOOKUP($AD$15,Sheet1!R:U,2,0),0)</f>
        <v>0</v>
      </c>
      <c r="AE16" s="31">
        <f>+IFERROR(VLOOKUP($AE$15,Sheet1!V:Y,2,0),0)</f>
        <v>0</v>
      </c>
      <c r="AF16" s="31">
        <f>+IFERROR(VLOOKUP($AF$15,Sheet1!V:Y,2,0),0)</f>
        <v>116</v>
      </c>
      <c r="AG16" s="31">
        <f>+IFERROR(VLOOKUP($AG$15,Sheet1!V:Y,2,0),0)</f>
        <v>0</v>
      </c>
      <c r="AH16" s="31">
        <f>+IFERROR(VLOOKUP($AH$15,Sheet1!V:Y,2,0),0)</f>
        <v>0</v>
      </c>
      <c r="AI16" s="31">
        <f>+IFERROR(VLOOKUP($AI$15,Sheet1!V:Y,2,0),0)</f>
        <v>0</v>
      </c>
      <c r="AJ16" s="31">
        <f>+IFERROR(VLOOKUP($AJ$15,Sheet1!V:Y,2,0),0)</f>
        <v>0</v>
      </c>
      <c r="AK16" s="32">
        <f>+IFERROR(VLOOKUP($AK$15,Sheet1!Z2:AA840,2,0),0)</f>
        <v>0</v>
      </c>
      <c r="AL16" s="31">
        <f>+IFERROR(VLOOKUP($AL$15,Sheet1!AD2:AG840,2,0),0)</f>
        <v>0</v>
      </c>
      <c r="AM16" s="31">
        <f>+IFERROR(VLOOKUP($AM$15,Sheet1!AD2:AG840,2,0),0)</f>
        <v>0</v>
      </c>
      <c r="AN16" s="31">
        <f>+IFERROR(VLOOKUP($AN$15,Sheet1!AD2:AG840,2,0),0)</f>
        <v>0</v>
      </c>
      <c r="AO16" s="31">
        <f>+IFERROR(VLOOKUP($AO$15,Sheet1!AD2:AG840,2,0),0)</f>
        <v>0</v>
      </c>
      <c r="AP16" s="31">
        <f>+IFERROR(VLOOKUP($AP$15,Sheet1!AD2:AG840,2,0),0)</f>
        <v>0</v>
      </c>
      <c r="AQ16" s="31">
        <v>62</v>
      </c>
      <c r="AR16" s="31">
        <v>88</v>
      </c>
      <c r="AS16" s="31"/>
      <c r="AT16" s="31"/>
      <c r="AU16" s="31"/>
      <c r="AV16" s="31"/>
      <c r="AW16" s="31"/>
      <c r="AX16" s="31">
        <v>76</v>
      </c>
      <c r="AY16" s="31"/>
      <c r="AZ16" s="31">
        <v>86</v>
      </c>
      <c r="BA16" s="31">
        <v>88</v>
      </c>
      <c r="BB16" s="31"/>
      <c r="BC16" s="31"/>
      <c r="BD16" s="31"/>
      <c r="BE16" s="31"/>
      <c r="BF16" s="31">
        <f>94+5+1</f>
        <v>100</v>
      </c>
      <c r="BG16" s="31"/>
      <c r="BH16" s="31"/>
      <c r="BI16" s="31"/>
      <c r="BJ16" s="31"/>
      <c r="BK16" s="31"/>
      <c r="BL16" s="31"/>
      <c r="BM16" s="32"/>
      <c r="BN16" s="32"/>
      <c r="BO16" s="31">
        <v>420</v>
      </c>
      <c r="BP16" s="34"/>
      <c r="BQ16" s="33"/>
      <c r="BR16" s="33"/>
      <c r="BS16" s="33"/>
      <c r="BT16" s="34">
        <v>450</v>
      </c>
      <c r="BU16" s="33">
        <f>+IFERROR(VLOOKUP($BU$15,Sheet1!BV2:BY840,2,0),0)</f>
        <v>0</v>
      </c>
      <c r="BV16" s="53"/>
      <c r="BW16" s="53"/>
      <c r="BX16" s="53"/>
      <c r="BY16" s="53"/>
      <c r="CD16" s="5"/>
      <c r="CE16" s="5"/>
      <c r="CF16" s="5"/>
      <c r="CG16" s="5"/>
      <c r="CH16" s="5"/>
      <c r="CI16" s="5"/>
      <c r="CJ16" s="5"/>
      <c r="CK16" s="5"/>
      <c r="CL16" s="5"/>
    </row>
    <row r="17" spans="1:90" ht="30" x14ac:dyDescent="0.25">
      <c r="A17" s="1" t="str">
        <f>Sheet1!A10</f>
        <v>ENQ-11285-22-23</v>
      </c>
      <c r="B17" s="52">
        <f>Sheet1!B10</f>
        <v>45170</v>
      </c>
      <c r="C17" s="167" t="str">
        <f>Sheet1!C10</f>
        <v>FA0500035</v>
      </c>
      <c r="D17" s="1" t="str">
        <f>Sheet1!D10</f>
        <v>1 CORE X 2.5 SQ. MM. ALU/UNARD (XLPE)</v>
      </c>
      <c r="E17" s="3">
        <f t="shared" ref="E17:E32" si="0">CH17+CJ17+CL17</f>
        <v>16844.625</v>
      </c>
      <c r="F17" s="165">
        <f>ROUNDUP(M36,0)</f>
        <v>1848</v>
      </c>
      <c r="G17" s="9">
        <f t="shared" ref="G17:G32" si="1">E17+F17</f>
        <v>18692.625</v>
      </c>
      <c r="H17" s="7">
        <v>0.18</v>
      </c>
      <c r="I17" s="9">
        <f t="shared" ref="I17:I32" si="2">G17*H17</f>
        <v>3364.6724999999997</v>
      </c>
      <c r="J17" s="9">
        <f t="shared" ref="J17:J32" si="3">G17+I17</f>
        <v>22057.297500000001</v>
      </c>
      <c r="K17" s="1">
        <f>Sheet1!CS10</f>
        <v>46</v>
      </c>
      <c r="L17" s="1" t="str">
        <f>Sheet1!CT10</f>
        <v>KMS</v>
      </c>
      <c r="M17" s="3">
        <f t="shared" ref="M17:M32" si="4">J17*K17</f>
        <v>1014635.6850000001</v>
      </c>
      <c r="N17" s="61">
        <v>7</v>
      </c>
      <c r="O17" s="2">
        <f>+IFERROR(VLOOKUP($O$15,Sheet1!J10:L10,3,0),0)</f>
        <v>0</v>
      </c>
      <c r="P17" s="2">
        <f>+IFERROR(VLOOKUP($P$15,Sheet1!J10:M10,3,0),0)</f>
        <v>0</v>
      </c>
      <c r="Q17" s="2">
        <f>+IFERROR(VLOOKUP($Q$15,Sheet1!J10:M10,3,0),0)</f>
        <v>0</v>
      </c>
      <c r="R17" s="2">
        <f>+IFERROR(VLOOKUP($R$15,Sheet1!J10:M10,3,0),0)</f>
        <v>0</v>
      </c>
      <c r="S17" s="2">
        <f>+IFERROR(VLOOKUP($S$15,Sheet1!N10:Q10,3,0),0)</f>
        <v>0</v>
      </c>
      <c r="T17" s="2">
        <f>+IFERROR(VLOOKUP($T$15,Sheet1!N10:Q10,3,0),0)</f>
        <v>0</v>
      </c>
      <c r="U17" s="2">
        <f>+IFERROR(VLOOKUP($U$15,Sheet1!F10:I10,3,0),0)</f>
        <v>0</v>
      </c>
      <c r="V17" s="2">
        <f>+IFERROR(VLOOKUP($V$15,Sheet1!F10:I10,3,0),0)</f>
        <v>0</v>
      </c>
      <c r="W17" s="2">
        <f>+IFERROR(VLOOKUP($W$15,Sheet1!F10:I10,3,0),0)</f>
        <v>0</v>
      </c>
      <c r="X17" s="2">
        <f>+IFERROR(VLOOKUP($X$15,Sheet1!F10:I10,3,0),0)</f>
        <v>0</v>
      </c>
      <c r="Y17" s="2">
        <f>+IFERROR(VLOOKUP($Y$15,Sheet1!F10:I10,3,0),0)</f>
        <v>0</v>
      </c>
      <c r="Z17" s="2">
        <f>+IFERROR(VLOOKUP($Z$15,Sheet1!F10:I10,3,0),0)</f>
        <v>0</v>
      </c>
      <c r="AA17" s="2">
        <f>+IFERROR(VLOOKUP($AA$15,Sheet1!F10:I10,3,0),0)</f>
        <v>0</v>
      </c>
      <c r="AB17" s="2">
        <f>+IFERROR(VLOOKUP($AB$15,Sheet1!F10:I10,3,0),0)</f>
        <v>0</v>
      </c>
      <c r="AC17" s="2">
        <f>+IFERROR(VLOOKUP($AC$15,Sheet1!R10:U10,3,0),0)</f>
        <v>0</v>
      </c>
      <c r="AD17" s="13">
        <f>+IFERROR(VLOOKUP($AD$15,Sheet1!R10:U10,2,0),0)</f>
        <v>0</v>
      </c>
      <c r="AE17" s="2">
        <f>+IFERROR(VLOOKUP($AE$15,Sheet1!V10:Y10,3,0),0)</f>
        <v>0</v>
      </c>
      <c r="AF17" s="60">
        <v>9</v>
      </c>
      <c r="AG17" s="13">
        <f>+IFERROR(VLOOKUP($AG$15,Sheet1!V10:Y10,3,0),0)</f>
        <v>0</v>
      </c>
      <c r="AH17" s="13">
        <f>+IFERROR(VLOOKUP($AH$15,Sheet1!V10:Y10,3,0),0)</f>
        <v>0</v>
      </c>
      <c r="AI17" s="13">
        <f>+IFERROR(VLOOKUP($AI$15,Sheet1!V10:Y10,3,0),0)</f>
        <v>0</v>
      </c>
      <c r="AJ17" s="13">
        <f>+IFERROR(VLOOKUP($AJ$15,Sheet1!V10:Y10,3,0),0)</f>
        <v>0</v>
      </c>
      <c r="AK17" s="13">
        <f>+IFERROR(VLOOKUP($AK$15,Sheet1!Z10:AB10,3,0),0)</f>
        <v>0</v>
      </c>
      <c r="AL17" s="13">
        <f>+IFERROR(VLOOKUP($AL$15,Sheet1!AD10:AG10,3,0),0)</f>
        <v>0</v>
      </c>
      <c r="AM17" s="13">
        <f>+IFERROR(VLOOKUP($AM$15,Sheet1!AD10:AG10,3,0),0)</f>
        <v>0</v>
      </c>
      <c r="AN17" s="13">
        <f>+IFERROR(VLOOKUP($AN$15,Sheet1!AD10:AG10,3,0),0)</f>
        <v>0</v>
      </c>
      <c r="AO17" s="13">
        <f>+IFERROR(VLOOKUP($AO$15,Sheet1!AD10:AG10,3,0),0)</f>
        <v>0</v>
      </c>
      <c r="AP17" s="13">
        <f>+IFERROR(VLOOKUP($AP$15,Sheet1!AD10:AG10,3,0),0)</f>
        <v>0</v>
      </c>
      <c r="AQ17" s="13">
        <f>+IFERROR(VLOOKUP($AQ$15,Sheet1!AD10:AG10,3,0),0)</f>
        <v>0</v>
      </c>
      <c r="AR17" s="13">
        <f>+IFERROR(VLOOKUP($AR$15,Sheet1!AD10:AG10,3,0),0)</f>
        <v>0</v>
      </c>
      <c r="AS17" s="13">
        <f>+IFERROR(VLOOKUP($AS$15,Sheet1!AH10:AK10,3,0),0)</f>
        <v>0</v>
      </c>
      <c r="AT17" s="13">
        <f>+IFERROR(VLOOKUP($AT$15,Sheet1!AH10:AK10,3,0),0)</f>
        <v>0</v>
      </c>
      <c r="AU17" s="13">
        <f>+IFERROR(VLOOKUP($AU$15,Sheet1!AH10:AK10,3,0),0)</f>
        <v>0</v>
      </c>
      <c r="AV17" s="13">
        <f>+IFERROR(VLOOKUP($AV$15,Sheet1!AH10:AK10,3,0),0)</f>
        <v>0</v>
      </c>
      <c r="AW17" s="13">
        <f>+IFERROR(VLOOKUP($AW$15,Sheet1!AH10:AK10,3,0),0)</f>
        <v>0</v>
      </c>
      <c r="AX17" s="13">
        <f>+IFERROR(VLOOKUP($AX$15,Sheet1!AH10:AK10,3,0),0)</f>
        <v>0</v>
      </c>
      <c r="AY17" s="13">
        <f>+IFERROR(VLOOKUP($AY$15,Sheet1!AH10:AK10,3,0),0)</f>
        <v>0</v>
      </c>
      <c r="AZ17" s="13">
        <f>+IFERROR(VLOOKUP($AZ$15,Sheet1!AH10:AK10,3,0),0)</f>
        <v>0</v>
      </c>
      <c r="BA17" s="13">
        <f>+IFERROR(VLOOKUP($BA$15,Sheet1!AH10:AK10,3,0),0)</f>
        <v>0</v>
      </c>
      <c r="BB17" s="13">
        <f>+IFERROR(VLOOKUP($BB$15,Sheet1!AH10:AK10,3,0),0)</f>
        <v>0</v>
      </c>
      <c r="BC17" s="13">
        <f>+IFERROR(VLOOKUP($BC$15,Sheet1!AL10:AO10,3,0),0)</f>
        <v>0</v>
      </c>
      <c r="BD17" s="13">
        <f>+IFERROR(VLOOKUP($BD$15,Sheet1!AL10:AO10,3,0),0)</f>
        <v>0</v>
      </c>
      <c r="BE17" s="13">
        <f>+IFERROR(VLOOKUP($BE$15,Sheet1!AL10:AO10,3,0),0)</f>
        <v>0</v>
      </c>
      <c r="BF17" s="60">
        <v>52</v>
      </c>
      <c r="BG17" s="13">
        <f>+IFERROR(VLOOKUP($BG$15,Sheet1!AL10:AO10,3,0),0)</f>
        <v>0</v>
      </c>
      <c r="BH17" s="13">
        <f>+IFERROR(VLOOKUP($BH$15,Sheet1!AL10:AO10,3,0),0)</f>
        <v>0</v>
      </c>
      <c r="BI17" s="13">
        <f>+IFERROR(VLOOKUP($BI$15,Sheet1!AL10:AO10,3,0),0)</f>
        <v>0</v>
      </c>
      <c r="BJ17" s="13">
        <f>+IFERROR(VLOOKUP($BJ$15,Sheet1!AL10:AO10,3,0),0)</f>
        <v>0</v>
      </c>
      <c r="BK17" s="13">
        <f>+IFERROR(VLOOKUP($BK$15,Sheet1!AL10:AO10,3,0),0)</f>
        <v>0</v>
      </c>
      <c r="BL17" s="13">
        <f>+IFERROR(VLOOKUP($BL$15,Sheet1!AL10:AO10,3,0),0)</f>
        <v>0</v>
      </c>
      <c r="BM17" s="13">
        <f>+IFERROR(VLOOKUP($BM$15,Sheet1!AP10:AS10,3,0),0)</f>
        <v>0</v>
      </c>
      <c r="BN17" s="13">
        <f>+IFERROR(VLOOKUP($BN$15,Sheet1!AT10:AW10,3,0),0)</f>
        <v>0</v>
      </c>
      <c r="BO17" s="13">
        <f>+IFERROR(VLOOKUP($BO$15,Sheet1!AX10:BA10,3,0),0)</f>
        <v>0</v>
      </c>
      <c r="BP17" s="13">
        <f>+IFERROR(VLOOKUP($BP$15,Sheet1!BB10:BE10,3,0),0)</f>
        <v>0</v>
      </c>
      <c r="BQ17" s="13">
        <f>+IFERROR(VLOOKUP($BQ$15,Sheet1!BF10:BI10,3,0),0)</f>
        <v>0</v>
      </c>
      <c r="BR17" s="13">
        <f>+IFERROR(VLOOKUP($BR$15,Sheet1!BJ10:BM10,3,0),0)</f>
        <v>0</v>
      </c>
      <c r="BS17" s="13">
        <f>+IFERROR(VLOOKUP($BS$15,Sheet1!BN10:BQ10,3,0),0)</f>
        <v>0</v>
      </c>
      <c r="BT17" s="13">
        <f>+IFERROR(VLOOKUP($BT$15,Sheet1!BR10:BU10,3,0),0)</f>
        <v>0</v>
      </c>
      <c r="BU17" s="13">
        <f>+IFERROR(VLOOKUP($BU$15,Sheet1!BV10:BY10,3,0),0)</f>
        <v>0</v>
      </c>
      <c r="BV17" s="13" t="str">
        <f>Sheet1!E10</f>
        <v>Hybrid</v>
      </c>
      <c r="BW17" s="13" t="str">
        <f>Sheet1!CV10</f>
        <v>MD0100004</v>
      </c>
      <c r="BX17" s="13" t="str">
        <f>Sheet1!CW10</f>
        <v>DRUM - 28 X 10 X 23 X 2</v>
      </c>
      <c r="BY17" s="13">
        <f>VLOOKUP(C17,Sheet1!$C$1:$CX$17,100,0)</f>
        <v>1000</v>
      </c>
      <c r="BZ17" s="59">
        <v>2960</v>
      </c>
      <c r="CA17" s="3">
        <f t="shared" ref="CA17:CA32" si="5">SUMPRODUCT($N$16:$BU$16,N17:BU17)+BZ17</f>
        <v>10695</v>
      </c>
      <c r="CB17" s="25">
        <f>Sheet1!CB10</f>
        <v>0</v>
      </c>
      <c r="CC17" s="3">
        <f t="shared" ref="CC17:CC32" si="6">CA17*CB17</f>
        <v>0</v>
      </c>
      <c r="CD17" s="49">
        <v>0.5</v>
      </c>
      <c r="CE17" s="3">
        <f t="shared" ref="CE17:CE32" si="7">CA17*CD17</f>
        <v>5347.5</v>
      </c>
      <c r="CF17" s="49">
        <v>0</v>
      </c>
      <c r="CG17" s="3">
        <f t="shared" ref="CG17:CG32" si="8">CA17*CF17</f>
        <v>0</v>
      </c>
      <c r="CH17" s="3">
        <f t="shared" ref="CH17:CH32" si="9">CA17+CC17+CE17+CG17</f>
        <v>16042.5</v>
      </c>
      <c r="CI17" s="49">
        <v>0.03</v>
      </c>
      <c r="CJ17" s="1">
        <f t="shared" ref="CJ17:CJ32" si="10">CH17*CI17</f>
        <v>481.27499999999998</v>
      </c>
      <c r="CK17" s="49">
        <v>0.02</v>
      </c>
      <c r="CL17" s="1">
        <f t="shared" ref="CL17:CL32" si="11">CH17*CK17</f>
        <v>320.85000000000002</v>
      </c>
    </row>
    <row r="18" spans="1:90" ht="30" x14ac:dyDescent="0.25">
      <c r="A18" s="1" t="str">
        <f>Sheet1!A3</f>
        <v>ENQ-11285-22-23</v>
      </c>
      <c r="B18" s="52">
        <f>Sheet1!B3</f>
        <v>45170</v>
      </c>
      <c r="C18" s="167" t="str">
        <f>Sheet1!C3</f>
        <v>FA1000114</v>
      </c>
      <c r="D18" s="1" t="str">
        <f>Sheet1!D3</f>
        <v>1 CORE X 4 SQ. MM. AL/UNARD (XLPE)</v>
      </c>
      <c r="E18" s="3">
        <f t="shared" si="0"/>
        <v>19181.924999999999</v>
      </c>
      <c r="F18" s="165">
        <f t="shared" ref="F18:F32" si="12">ROUNDUP(M37,0)</f>
        <v>6800</v>
      </c>
      <c r="G18" s="9">
        <f t="shared" si="1"/>
        <v>25981.924999999999</v>
      </c>
      <c r="H18" s="7">
        <v>0.18</v>
      </c>
      <c r="I18" s="9">
        <f t="shared" si="2"/>
        <v>4676.7464999999993</v>
      </c>
      <c r="J18" s="9">
        <f t="shared" si="3"/>
        <v>30658.671499999997</v>
      </c>
      <c r="K18" s="1">
        <f>Sheet1!CS3</f>
        <v>12.5</v>
      </c>
      <c r="L18" s="1" t="str">
        <f>Sheet1!CT3</f>
        <v>KMS</v>
      </c>
      <c r="M18" s="3">
        <f t="shared" si="4"/>
        <v>383233.39374999993</v>
      </c>
      <c r="N18" s="61">
        <f>+IFERROR(VLOOKUP($N$15,Sheet1!J3:L3,3,0),0)</f>
        <v>11</v>
      </c>
      <c r="O18" s="2">
        <f>+IFERROR(VLOOKUP($O$15,Sheet1!J3:L3,3,0),0)</f>
        <v>0</v>
      </c>
      <c r="P18" s="2">
        <f>+IFERROR(VLOOKUP($P$15,Sheet1!J3:M3,3,0),0)</f>
        <v>0</v>
      </c>
      <c r="Q18" s="2">
        <f>+IFERROR(VLOOKUP($Q$15,Sheet1!J3:M3,3,0),0)</f>
        <v>0</v>
      </c>
      <c r="R18" s="2">
        <f>+IFERROR(VLOOKUP($R$15,Sheet1!J3:M3,3,0),0)</f>
        <v>0</v>
      </c>
      <c r="S18" s="2">
        <f>+IFERROR(VLOOKUP($S$15,Sheet1!N3:Q3,3,0),0)</f>
        <v>0</v>
      </c>
      <c r="T18" s="2">
        <f>+IFERROR(VLOOKUP($T$15,Sheet1!N3:Q3,3,0),0)</f>
        <v>0</v>
      </c>
      <c r="U18" s="2">
        <f>+IFERROR(VLOOKUP($U$15,Sheet1!F3:I3,3,0),0)</f>
        <v>0</v>
      </c>
      <c r="V18" s="2">
        <f>+IFERROR(VLOOKUP($V$15,Sheet1!F3:I3,3,0),0)</f>
        <v>0</v>
      </c>
      <c r="W18" s="2">
        <f>+IFERROR(VLOOKUP($W$15,Sheet1!F3:I3,3,0),0)</f>
        <v>0</v>
      </c>
      <c r="X18" s="2">
        <f>+IFERROR(VLOOKUP($X$15,Sheet1!F3:I3,3,0),0)</f>
        <v>0</v>
      </c>
      <c r="Y18" s="2">
        <f>+IFERROR(VLOOKUP($Y$15,Sheet1!F3:I3,3,0),0)</f>
        <v>0</v>
      </c>
      <c r="Z18" s="2">
        <f>+IFERROR(VLOOKUP($Z$15,Sheet1!F3:I3,3,0),0)</f>
        <v>0</v>
      </c>
      <c r="AA18" s="2">
        <f>+IFERROR(VLOOKUP($AA$15,Sheet1!F3:I3,3,0),0)</f>
        <v>0</v>
      </c>
      <c r="AB18" s="2">
        <f>+IFERROR(VLOOKUP($AB$15,Sheet1!F3:I3,3,0),0)</f>
        <v>0</v>
      </c>
      <c r="AC18" s="2">
        <f>+IFERROR(VLOOKUP($AC$15,Sheet1!R3:U3,3,0),0)</f>
        <v>0</v>
      </c>
      <c r="AD18" s="13">
        <f>+IFERROR(VLOOKUP($AD$15,Sheet1!R3:U3,2,0),0)</f>
        <v>0</v>
      </c>
      <c r="AE18" s="2">
        <f>+IFERROR(VLOOKUP($AE$15,Sheet1!V3:Y3,3,0),0)</f>
        <v>0</v>
      </c>
      <c r="AF18" s="60">
        <f>+IFERROR(VLOOKUP($AF$15,Sheet1!V3:Y3,3,0),0)</f>
        <v>11</v>
      </c>
      <c r="AG18" s="13">
        <f>+IFERROR(VLOOKUP($AG$15,Sheet1!V3:Y3,3,0),0)</f>
        <v>0</v>
      </c>
      <c r="AH18" s="13">
        <f>+IFERROR(VLOOKUP($AH$15,Sheet1!V3:Y3,3,0),0)</f>
        <v>0</v>
      </c>
      <c r="AI18" s="13">
        <f>+IFERROR(VLOOKUP($AI$15,Sheet1!V3:Y3,3,0),0)</f>
        <v>0</v>
      </c>
      <c r="AJ18" s="13">
        <f>+IFERROR(VLOOKUP($AJ$15,Sheet1!V3:Y3,3,0),0)</f>
        <v>0</v>
      </c>
      <c r="AK18" s="13">
        <f>+IFERROR(VLOOKUP($AK$15,Sheet1!Z3:AB3,3,0),0)</f>
        <v>0</v>
      </c>
      <c r="AL18" s="13">
        <f>+IFERROR(VLOOKUP($AL$15,Sheet1!AD3:AG3,3,0),0)</f>
        <v>0</v>
      </c>
      <c r="AM18" s="13">
        <f>+IFERROR(VLOOKUP($AM$15,Sheet1!AD3:AG3,3,0),0)</f>
        <v>0</v>
      </c>
      <c r="AN18" s="13">
        <f>+IFERROR(VLOOKUP($AN$15,Sheet1!AD3:AG3,3,0),0)</f>
        <v>0</v>
      </c>
      <c r="AO18" s="13">
        <f>+IFERROR(VLOOKUP($AO$15,Sheet1!AD3:AG3,3,0),0)</f>
        <v>0</v>
      </c>
      <c r="AP18" s="13">
        <f>+IFERROR(VLOOKUP($AP$15,Sheet1!AD3:AG3,3,0),0)</f>
        <v>0</v>
      </c>
      <c r="AQ18" s="13">
        <f>+IFERROR(VLOOKUP($AQ$15,Sheet1!AD3:AG3,3,0),0)</f>
        <v>0</v>
      </c>
      <c r="AR18" s="13">
        <f>+IFERROR(VLOOKUP($AR$15,Sheet1!AD3:AG3,3,0),0)</f>
        <v>0</v>
      </c>
      <c r="AS18" s="13">
        <f>+IFERROR(VLOOKUP($AS$15,Sheet1!AH3:AK3,3,0),0)</f>
        <v>0</v>
      </c>
      <c r="AT18" s="13">
        <f>+IFERROR(VLOOKUP($AT$15,Sheet1!AH3:AK3,3,0),0)</f>
        <v>0</v>
      </c>
      <c r="AU18" s="13">
        <f>+IFERROR(VLOOKUP($AU$15,Sheet1!AH3:AK3,3,0),0)</f>
        <v>0</v>
      </c>
      <c r="AV18" s="13">
        <f>+IFERROR(VLOOKUP($AV$15,Sheet1!AH3:AK3,3,0),0)</f>
        <v>0</v>
      </c>
      <c r="AW18" s="13">
        <f>+IFERROR(VLOOKUP($AW$15,Sheet1!AH3:AK3,3,0),0)</f>
        <v>0</v>
      </c>
      <c r="AX18" s="13">
        <f>+IFERROR(VLOOKUP($AX$15,Sheet1!AH3:AK3,3,0),0)</f>
        <v>0</v>
      </c>
      <c r="AY18" s="13">
        <f>+IFERROR(VLOOKUP($AY$15,Sheet1!AH3:AK3,3,0),0)</f>
        <v>0</v>
      </c>
      <c r="AZ18" s="13">
        <f>+IFERROR(VLOOKUP($AZ$15,Sheet1!AH3:AK3,3,0),0)</f>
        <v>0</v>
      </c>
      <c r="BA18" s="13">
        <f>+IFERROR(VLOOKUP($BA$15,Sheet1!AH3:AK3,3,0),0)</f>
        <v>0</v>
      </c>
      <c r="BB18" s="13">
        <f>+IFERROR(VLOOKUP($BB$15,Sheet1!AH3:AK3,3,0),0)</f>
        <v>0</v>
      </c>
      <c r="BC18" s="13">
        <f>+IFERROR(VLOOKUP($BC$15,Sheet1!AL3:AO3,3,0),0)</f>
        <v>0</v>
      </c>
      <c r="BD18" s="13">
        <f>+IFERROR(VLOOKUP($BD$15,Sheet1!AL3:AO3,3,0),0)</f>
        <v>0</v>
      </c>
      <c r="BE18" s="13">
        <f>+IFERROR(VLOOKUP($BE$15,Sheet1!AL3:AO3,3,0),0)</f>
        <v>0</v>
      </c>
      <c r="BF18" s="60">
        <f>+IFERROR(VLOOKUP($BF$15,Sheet1!AL3:AO3,3,0),0)</f>
        <v>56</v>
      </c>
      <c r="BG18" s="13">
        <f>+IFERROR(VLOOKUP($BG$15,Sheet1!AL3:AO3,3,0),0)</f>
        <v>0</v>
      </c>
      <c r="BH18" s="13">
        <f>+IFERROR(VLOOKUP($BH$15,Sheet1!AL3:AO3,3,0),0)</f>
        <v>0</v>
      </c>
      <c r="BI18" s="13">
        <f>+IFERROR(VLOOKUP($BI$15,Sheet1!AL3:AO3,3,0),0)</f>
        <v>0</v>
      </c>
      <c r="BJ18" s="13">
        <f>+IFERROR(VLOOKUP($BJ$15,Sheet1!AL3:AO3,3,0),0)</f>
        <v>0</v>
      </c>
      <c r="BK18" s="13">
        <f>+IFERROR(VLOOKUP($BK$15,Sheet1!AL3:AO3,3,0),0)</f>
        <v>0</v>
      </c>
      <c r="BL18" s="13">
        <f>+IFERROR(VLOOKUP($BL$15,Sheet1!AL3:AO3,3,0),0)</f>
        <v>0</v>
      </c>
      <c r="BM18" s="13">
        <f>+IFERROR(VLOOKUP($BM$15,Sheet1!AP3:AS3,3,0),0)</f>
        <v>0</v>
      </c>
      <c r="BN18" s="13">
        <f>+IFERROR(VLOOKUP($BN$15,Sheet1!AT3:AW3,3,0),0)</f>
        <v>0</v>
      </c>
      <c r="BO18" s="13">
        <f>+IFERROR(VLOOKUP($BO$15,Sheet1!AX3:BA3,3,0),0)</f>
        <v>0</v>
      </c>
      <c r="BP18" s="13">
        <f>+IFERROR(VLOOKUP($BP$15,Sheet1!BB3:BE3,3,0),0)</f>
        <v>0</v>
      </c>
      <c r="BQ18" s="13">
        <f>+IFERROR(VLOOKUP($BQ$15,Sheet1!BF3:BI3,3,0),0)</f>
        <v>0</v>
      </c>
      <c r="BR18" s="13">
        <f>+IFERROR(VLOOKUP($BR$15,Sheet1!BJ3:BM3,3,0),0)</f>
        <v>0</v>
      </c>
      <c r="BS18" s="13">
        <f>+IFERROR(VLOOKUP($BS$15,Sheet1!BN3:BQ3,3,0),0)</f>
        <v>0</v>
      </c>
      <c r="BT18" s="13">
        <f>+IFERROR(VLOOKUP($BT$15,Sheet1!BR3:BU3,3,0),0)</f>
        <v>0</v>
      </c>
      <c r="BU18" s="13">
        <f>+IFERROR(VLOOKUP($BU$15,Sheet1!BV3:BY3,3,0),0)</f>
        <v>0</v>
      </c>
      <c r="BV18" s="13" t="str">
        <f>Sheet1!E3</f>
        <v>Hybrid</v>
      </c>
      <c r="BW18" s="13" t="str">
        <f>Sheet1!CV3</f>
        <v>MD0100004</v>
      </c>
      <c r="BX18" s="13" t="str">
        <f>Sheet1!CW3</f>
        <v>DRUM - 28 X 10 X 23 X 2</v>
      </c>
      <c r="BY18" s="13">
        <f>VLOOKUP(C18,Sheet1!$C$1:$CX$17,100,0)</f>
        <v>1000</v>
      </c>
      <c r="BZ18" s="59">
        <v>2960</v>
      </c>
      <c r="CA18" s="3">
        <f t="shared" si="5"/>
        <v>12179</v>
      </c>
      <c r="CB18" s="25">
        <f>Sheet1!CB3</f>
        <v>0</v>
      </c>
      <c r="CC18" s="3">
        <f t="shared" si="6"/>
        <v>0</v>
      </c>
      <c r="CD18" s="49">
        <v>0.5</v>
      </c>
      <c r="CE18" s="3">
        <f t="shared" si="7"/>
        <v>6089.5</v>
      </c>
      <c r="CF18" s="49">
        <f>Sheet1!CF3</f>
        <v>0</v>
      </c>
      <c r="CG18" s="3">
        <f t="shared" si="8"/>
        <v>0</v>
      </c>
      <c r="CH18" s="3">
        <f t="shared" si="9"/>
        <v>18268.5</v>
      </c>
      <c r="CI18" s="49">
        <v>0.03</v>
      </c>
      <c r="CJ18" s="1">
        <f t="shared" si="10"/>
        <v>548.05499999999995</v>
      </c>
      <c r="CK18" s="49">
        <v>0.02</v>
      </c>
      <c r="CL18" s="1">
        <f t="shared" si="11"/>
        <v>365.37</v>
      </c>
    </row>
    <row r="19" spans="1:90" ht="30" x14ac:dyDescent="0.25">
      <c r="A19" s="1" t="str">
        <f>Sheet1!A7</f>
        <v>ENQ-11285-22-23</v>
      </c>
      <c r="B19" s="52">
        <f>Sheet1!B7</f>
        <v>45170</v>
      </c>
      <c r="C19" s="167" t="str">
        <f>Sheet1!C7</f>
        <v>FA0500020</v>
      </c>
      <c r="D19" s="1" t="str">
        <f>Sheet1!D7</f>
        <v>1 CORE X 25 SQ. MM. ALU/UNARD (XLPE )</v>
      </c>
      <c r="E19" s="3">
        <f t="shared" si="0"/>
        <v>46242</v>
      </c>
      <c r="F19" s="165">
        <f t="shared" si="12"/>
        <v>2180</v>
      </c>
      <c r="G19" s="9">
        <f t="shared" si="1"/>
        <v>48422</v>
      </c>
      <c r="H19" s="7">
        <v>0.18</v>
      </c>
      <c r="I19" s="9">
        <f t="shared" si="2"/>
        <v>8715.9599999999991</v>
      </c>
      <c r="J19" s="9">
        <f t="shared" si="3"/>
        <v>57137.96</v>
      </c>
      <c r="K19" s="1">
        <f>Sheet1!CS7</f>
        <v>39</v>
      </c>
      <c r="L19" s="1" t="str">
        <f>Sheet1!CT7</f>
        <v>KMS</v>
      </c>
      <c r="M19" s="3">
        <f t="shared" si="4"/>
        <v>2228380.44</v>
      </c>
      <c r="N19" s="61">
        <v>68</v>
      </c>
      <c r="O19" s="2">
        <f>+IFERROR(VLOOKUP($O$15,Sheet1!J7:L7,3,0),0)</f>
        <v>0</v>
      </c>
      <c r="P19" s="2">
        <f>+IFERROR(VLOOKUP($P$15,Sheet1!J7:M7,3,0),0)</f>
        <v>0</v>
      </c>
      <c r="Q19" s="2">
        <f>+IFERROR(VLOOKUP($Q$15,Sheet1!J7:M7,3,0),0)</f>
        <v>0</v>
      </c>
      <c r="R19" s="2">
        <f>+IFERROR(VLOOKUP($R$15,Sheet1!J7:M7,3,0),0)</f>
        <v>0</v>
      </c>
      <c r="S19" s="2">
        <f>+IFERROR(VLOOKUP($S$15,Sheet1!N7:Q7,3,0),0)</f>
        <v>0</v>
      </c>
      <c r="T19" s="2">
        <f>+IFERROR(VLOOKUP($T$15,Sheet1!N7:Q7,3,0),0)</f>
        <v>0</v>
      </c>
      <c r="U19" s="2">
        <f>+IFERROR(VLOOKUP($U$15,Sheet1!F7:I7,3,0),0)</f>
        <v>0</v>
      </c>
      <c r="V19" s="2">
        <f>+IFERROR(VLOOKUP($V$15,Sheet1!F7:I7,3,0),0)</f>
        <v>0</v>
      </c>
      <c r="W19" s="2">
        <f>+IFERROR(VLOOKUP($W$15,Sheet1!F7:I7,3,0),0)</f>
        <v>0</v>
      </c>
      <c r="X19" s="2">
        <f>+IFERROR(VLOOKUP($X$15,Sheet1!F7:I7,3,0),0)</f>
        <v>0</v>
      </c>
      <c r="Y19" s="2">
        <f>+IFERROR(VLOOKUP($Y$15,Sheet1!F7:I7,3,0),0)</f>
        <v>0</v>
      </c>
      <c r="Z19" s="2">
        <f>+IFERROR(VLOOKUP($Z$15,Sheet1!F7:I7,3,0),0)</f>
        <v>0</v>
      </c>
      <c r="AA19" s="2">
        <f>+IFERROR(VLOOKUP($AA$15,Sheet1!F7:I7,3,0),0)</f>
        <v>0</v>
      </c>
      <c r="AB19" s="2">
        <f>+IFERROR(VLOOKUP($AB$15,Sheet1!F7:I7,3,0),0)</f>
        <v>0</v>
      </c>
      <c r="AC19" s="2">
        <f>+IFERROR(VLOOKUP($AC$15,Sheet1!R7:U7,3,0),0)</f>
        <v>0</v>
      </c>
      <c r="AD19" s="13">
        <f>+IFERROR(VLOOKUP($AD$15,Sheet1!R7:U7,2,0),0)</f>
        <v>0</v>
      </c>
      <c r="AE19" s="2">
        <f>+IFERROR(VLOOKUP($AE$15,Sheet1!V7:Y7,3,0),0)</f>
        <v>0</v>
      </c>
      <c r="AF19" s="60">
        <f>+IFERROR(VLOOKUP($AF$15,Sheet1!V7:Y7,3,0),0)</f>
        <v>26</v>
      </c>
      <c r="AG19" s="13">
        <f>+IFERROR(VLOOKUP($AG$15,Sheet1!V7:Y7,3,0),0)</f>
        <v>0</v>
      </c>
      <c r="AH19" s="13">
        <f>+IFERROR(VLOOKUP($AH$15,Sheet1!V7:Y7,3,0),0)</f>
        <v>0</v>
      </c>
      <c r="AI19" s="13">
        <f>+IFERROR(VLOOKUP($AI$15,Sheet1!V7:Y7,3,0),0)</f>
        <v>0</v>
      </c>
      <c r="AJ19" s="13">
        <f>+IFERROR(VLOOKUP($AJ$15,Sheet1!V7:Y7,3,0),0)</f>
        <v>0</v>
      </c>
      <c r="AK19" s="13">
        <f>+IFERROR(VLOOKUP($AK$15,Sheet1!Z7:AB7,3,0),0)</f>
        <v>0</v>
      </c>
      <c r="AL19" s="13">
        <f>+IFERROR(VLOOKUP($AL$15,Sheet1!AD7:AG7,3,0),0)</f>
        <v>0</v>
      </c>
      <c r="AM19" s="13">
        <f>+IFERROR(VLOOKUP($AM$15,Sheet1!AD7:AG7,3,0),0)</f>
        <v>0</v>
      </c>
      <c r="AN19" s="13">
        <f>+IFERROR(VLOOKUP($AN$15,Sheet1!AD7:AG7,3,0),0)</f>
        <v>0</v>
      </c>
      <c r="AO19" s="13">
        <f>+IFERROR(VLOOKUP($AO$15,Sheet1!AD7:AG7,3,0),0)</f>
        <v>0</v>
      </c>
      <c r="AP19" s="13">
        <f>+IFERROR(VLOOKUP($AP$15,Sheet1!AD7:AG7,3,0),0)</f>
        <v>0</v>
      </c>
      <c r="AQ19" s="13">
        <f>+IFERROR(VLOOKUP($AQ$15,Sheet1!AD7:AG7,3,0),0)</f>
        <v>0</v>
      </c>
      <c r="AR19" s="13">
        <f>+IFERROR(VLOOKUP($AR$15,Sheet1!AD7:AG7,3,0),0)</f>
        <v>0</v>
      </c>
      <c r="AS19" s="13">
        <f>+IFERROR(VLOOKUP($AS$15,Sheet1!AH7:AK7,3,0),0)</f>
        <v>0</v>
      </c>
      <c r="AT19" s="13">
        <f>+IFERROR(VLOOKUP($AT$15,Sheet1!AH7:AK7,3,0),0)</f>
        <v>0</v>
      </c>
      <c r="AU19" s="13">
        <f>+IFERROR(VLOOKUP($AU$15,Sheet1!AH7:AK7,3,0),0)</f>
        <v>0</v>
      </c>
      <c r="AV19" s="13">
        <f>+IFERROR(VLOOKUP($AV$15,Sheet1!AH7:AK7,3,0),0)</f>
        <v>0</v>
      </c>
      <c r="AW19" s="13">
        <f>+IFERROR(VLOOKUP($AW$15,Sheet1!AH7:AK7,3,0),0)</f>
        <v>0</v>
      </c>
      <c r="AX19" s="13">
        <f>+IFERROR(VLOOKUP($AX$15,Sheet1!AH7:AK7,3,0),0)</f>
        <v>0</v>
      </c>
      <c r="AY19" s="13">
        <f>+IFERROR(VLOOKUP($AY$15,Sheet1!AH7:AK7,3,0),0)</f>
        <v>0</v>
      </c>
      <c r="AZ19" s="13">
        <f>+IFERROR(VLOOKUP($AZ$15,Sheet1!AH7:AK7,3,0),0)</f>
        <v>0</v>
      </c>
      <c r="BA19" s="13">
        <f>+IFERROR(VLOOKUP($BA$15,Sheet1!AH7:AK7,3,0),0)</f>
        <v>0</v>
      </c>
      <c r="BB19" s="13">
        <f>+IFERROR(VLOOKUP($BB$15,Sheet1!AH7:AK7,3,0),0)</f>
        <v>0</v>
      </c>
      <c r="BC19" s="13">
        <f>+IFERROR(VLOOKUP($BC$15,Sheet1!AL7:AO7,3,0),0)</f>
        <v>0</v>
      </c>
      <c r="BD19" s="13">
        <f>+IFERROR(VLOOKUP($BD$15,Sheet1!AL7:AO7,3,0),0)</f>
        <v>0</v>
      </c>
      <c r="BE19" s="13">
        <f>+IFERROR(VLOOKUP($BE$15,Sheet1!AL7:AO7,3,0),0)</f>
        <v>0</v>
      </c>
      <c r="BF19" s="60">
        <f>+IFERROR(VLOOKUP($BF$15,Sheet1!AL7:AO7,3,0),0)</f>
        <v>89</v>
      </c>
      <c r="BG19" s="13">
        <f>+IFERROR(VLOOKUP($BG$15,Sheet1!AL7:AO7,3,0),0)</f>
        <v>0</v>
      </c>
      <c r="BH19" s="13">
        <f>+IFERROR(VLOOKUP($BH$15,Sheet1!AL7:AO7,3,0),0)</f>
        <v>0</v>
      </c>
      <c r="BI19" s="13">
        <f>+IFERROR(VLOOKUP($BI$15,Sheet1!AL7:AO7,3,0),0)</f>
        <v>0</v>
      </c>
      <c r="BJ19" s="13">
        <f>+IFERROR(VLOOKUP($BJ$15,Sheet1!AL7:AO7,3,0),0)</f>
        <v>0</v>
      </c>
      <c r="BK19" s="13">
        <f>+IFERROR(VLOOKUP($BK$15,Sheet1!AL7:AO7,3,0),0)</f>
        <v>0</v>
      </c>
      <c r="BL19" s="13">
        <f>+IFERROR(VLOOKUP($BL$15,Sheet1!AL7:AO7,3,0),0)</f>
        <v>0</v>
      </c>
      <c r="BM19" s="13">
        <f>+IFERROR(VLOOKUP($BM$15,Sheet1!AP7:AS7,3,0),0)</f>
        <v>0</v>
      </c>
      <c r="BN19" s="13">
        <f>+IFERROR(VLOOKUP($BN$15,Sheet1!AT7:AW7,3,0),0)</f>
        <v>0</v>
      </c>
      <c r="BO19" s="13">
        <f>+IFERROR(VLOOKUP($BO$15,Sheet1!AX7:BA7,3,0),0)</f>
        <v>0</v>
      </c>
      <c r="BP19" s="13">
        <f>+IFERROR(VLOOKUP($BP$15,Sheet1!BB7:BE7,3,0),0)</f>
        <v>0</v>
      </c>
      <c r="BQ19" s="13">
        <f>+IFERROR(VLOOKUP($BQ$15,Sheet1!BF7:BI7,3,0),0)</f>
        <v>0</v>
      </c>
      <c r="BR19" s="13">
        <f>+IFERROR(VLOOKUP($BR$15,Sheet1!BJ7:BM7,3,0),0)</f>
        <v>0</v>
      </c>
      <c r="BS19" s="13">
        <f>+IFERROR(VLOOKUP($BS$15,Sheet1!BN7:BQ7,3,0),0)</f>
        <v>0</v>
      </c>
      <c r="BT19" s="13">
        <f>+IFERROR(VLOOKUP($BT$15,Sheet1!BR7:BU7,3,0),0)</f>
        <v>0</v>
      </c>
      <c r="BU19" s="13">
        <f>+IFERROR(VLOOKUP($BU$15,Sheet1!BV7:BY7,3,0),0)</f>
        <v>0</v>
      </c>
      <c r="BV19" s="13" t="str">
        <f>Sheet1!E7</f>
        <v>Hybrid</v>
      </c>
      <c r="BW19" s="13" t="str">
        <f>Sheet1!CV7</f>
        <v>MD0100004</v>
      </c>
      <c r="BX19" s="13" t="str">
        <f>Sheet1!CW7</f>
        <v>DRUM - 28 X 10 X 23 X 2</v>
      </c>
      <c r="BY19" s="13">
        <f>VLOOKUP(C19,Sheet1!$C$1:$CX$17,100,0)</f>
        <v>1000</v>
      </c>
      <c r="BZ19" s="59">
        <v>2960</v>
      </c>
      <c r="CA19" s="3">
        <f t="shared" si="5"/>
        <v>29360</v>
      </c>
      <c r="CB19" s="25">
        <f>Sheet1!CB7</f>
        <v>0</v>
      </c>
      <c r="CC19" s="3">
        <f t="shared" si="6"/>
        <v>0</v>
      </c>
      <c r="CD19" s="49">
        <v>0.5</v>
      </c>
      <c r="CE19" s="3">
        <f t="shared" si="7"/>
        <v>14680</v>
      </c>
      <c r="CF19" s="49">
        <f>Sheet1!CF7</f>
        <v>0</v>
      </c>
      <c r="CG19" s="3">
        <f t="shared" si="8"/>
        <v>0</v>
      </c>
      <c r="CH19" s="3">
        <f t="shared" si="9"/>
        <v>44040</v>
      </c>
      <c r="CI19" s="49">
        <v>0.03</v>
      </c>
      <c r="CJ19" s="1">
        <f t="shared" si="10"/>
        <v>1321.2</v>
      </c>
      <c r="CK19" s="49">
        <v>0.02</v>
      </c>
      <c r="CL19" s="1">
        <f t="shared" si="11"/>
        <v>880.80000000000007</v>
      </c>
    </row>
    <row r="20" spans="1:90" ht="30" x14ac:dyDescent="0.25">
      <c r="A20" s="1" t="str">
        <f>Sheet1!A5</f>
        <v>ENQ-11285-22-23</v>
      </c>
      <c r="B20" s="52">
        <f>Sheet1!B5</f>
        <v>45170</v>
      </c>
      <c r="C20" s="167" t="str">
        <f>Sheet1!C5</f>
        <v>FA0600013</v>
      </c>
      <c r="D20" s="1" t="str">
        <f>Sheet1!D5</f>
        <v>1 CORE X 95 SQ. MM. AL/UNARD(XLPE )</v>
      </c>
      <c r="E20" s="3">
        <f t="shared" si="0"/>
        <v>128866.79925</v>
      </c>
      <c r="F20" s="165">
        <f t="shared" si="12"/>
        <v>4595</v>
      </c>
      <c r="G20" s="9">
        <f t="shared" si="1"/>
        <v>133461.79924999998</v>
      </c>
      <c r="H20" s="7">
        <v>0.18</v>
      </c>
      <c r="I20" s="9">
        <f t="shared" si="2"/>
        <v>24023.123864999994</v>
      </c>
      <c r="J20" s="9">
        <f t="shared" si="3"/>
        <v>157484.92311499998</v>
      </c>
      <c r="K20" s="1">
        <f>Sheet1!CS5</f>
        <v>18.5</v>
      </c>
      <c r="L20" s="1" t="str">
        <f>Sheet1!CT5</f>
        <v>KMS</v>
      </c>
      <c r="M20" s="3">
        <f t="shared" si="4"/>
        <v>2913471.0776274996</v>
      </c>
      <c r="N20" s="61">
        <v>256</v>
      </c>
      <c r="O20" s="2">
        <f>+IFERROR(VLOOKUP($O$15,Sheet1!J5:L5,3,0),0)</f>
        <v>0</v>
      </c>
      <c r="P20" s="2">
        <f>+IFERROR(VLOOKUP($P$15,Sheet1!J5:M5,3,0),0)</f>
        <v>0</v>
      </c>
      <c r="Q20" s="2">
        <f>+IFERROR(VLOOKUP($Q$15,Sheet1!J5:M5,3,0),0)</f>
        <v>0</v>
      </c>
      <c r="R20" s="2">
        <f>+IFERROR(VLOOKUP($R$15,Sheet1!J5:M5,3,0),0)</f>
        <v>0</v>
      </c>
      <c r="S20" s="2">
        <f>+IFERROR(VLOOKUP($S$15,Sheet1!N5:Q5,3,0),0)</f>
        <v>0</v>
      </c>
      <c r="T20" s="2">
        <f>+IFERROR(VLOOKUP($T$15,Sheet1!N5:Q5,3,0),0)</f>
        <v>0</v>
      </c>
      <c r="U20" s="2">
        <f>+IFERROR(VLOOKUP($U$15,Sheet1!F5:I5,3,0),0)</f>
        <v>0</v>
      </c>
      <c r="V20" s="2">
        <f>+IFERROR(VLOOKUP($V$15,Sheet1!F5:I5,3,0),0)</f>
        <v>0</v>
      </c>
      <c r="W20" s="2">
        <f>+IFERROR(VLOOKUP($W$15,Sheet1!F5:I5,3,0),0)</f>
        <v>0</v>
      </c>
      <c r="X20" s="2">
        <f>+IFERROR(VLOOKUP($X$15,Sheet1!F5:I5,3,0),0)</f>
        <v>0</v>
      </c>
      <c r="Y20" s="2">
        <f>+IFERROR(VLOOKUP($Y$15,Sheet1!F5:I5,3,0),0)</f>
        <v>0</v>
      </c>
      <c r="Z20" s="2">
        <f>+IFERROR(VLOOKUP($Z$15,Sheet1!F5:I5,3,0),0)</f>
        <v>0</v>
      </c>
      <c r="AA20" s="2">
        <f>+IFERROR(VLOOKUP($AA$15,Sheet1!F5:I5,3,0),0)</f>
        <v>0</v>
      </c>
      <c r="AB20" s="2">
        <f>+IFERROR(VLOOKUP($AB$15,Sheet1!F5:I5,3,0),0)</f>
        <v>0</v>
      </c>
      <c r="AC20" s="2">
        <f>+IFERROR(VLOOKUP($AC$15,Sheet1!R5:U5,3,0),0)</f>
        <v>0</v>
      </c>
      <c r="AD20" s="13">
        <f>+IFERROR(VLOOKUP($AD$15,Sheet1!R5:U5,2,0),0)</f>
        <v>0</v>
      </c>
      <c r="AE20" s="2">
        <f>+IFERROR(VLOOKUP($AE$15,Sheet1!V5:Y5,3,0),0)</f>
        <v>0</v>
      </c>
      <c r="AF20" s="60">
        <f>+IFERROR(VLOOKUP($AF$15,Sheet1!V5:Y5,3,0),0)</f>
        <v>53</v>
      </c>
      <c r="AG20" s="13">
        <f>+IFERROR(VLOOKUP($AG$15,Sheet1!V5:Y5,3,0),0)</f>
        <v>0</v>
      </c>
      <c r="AH20" s="13">
        <f>+IFERROR(VLOOKUP($AH$15,Sheet1!V5:Y5,3,0),0)</f>
        <v>0</v>
      </c>
      <c r="AI20" s="13">
        <f>+IFERROR(VLOOKUP($AI$15,Sheet1!V5:Y5,3,0),0)</f>
        <v>0</v>
      </c>
      <c r="AJ20" s="13">
        <f>+IFERROR(VLOOKUP($AJ$15,Sheet1!V5:Y5,3,0),0)</f>
        <v>0</v>
      </c>
      <c r="AK20" s="13">
        <f>+IFERROR(VLOOKUP($AK$15,Sheet1!Z5:AB5,3,0),0)</f>
        <v>0</v>
      </c>
      <c r="AL20" s="13">
        <f>+IFERROR(VLOOKUP($AL$15,Sheet1!AD5:AG5,3,0),0)</f>
        <v>0</v>
      </c>
      <c r="AM20" s="13">
        <f>+IFERROR(VLOOKUP($AM$15,Sheet1!AD5:AG5,3,0),0)</f>
        <v>0</v>
      </c>
      <c r="AN20" s="13">
        <f>+IFERROR(VLOOKUP($AN$15,Sheet1!AD5:AG5,3,0),0)</f>
        <v>0</v>
      </c>
      <c r="AO20" s="13">
        <f>+IFERROR(VLOOKUP($AO$15,Sheet1!AD5:AG5,3,0),0)</f>
        <v>0</v>
      </c>
      <c r="AP20" s="13">
        <f>+IFERROR(VLOOKUP($AP$15,Sheet1!AD5:AG5,3,0),0)</f>
        <v>0</v>
      </c>
      <c r="AQ20" s="13">
        <f>+IFERROR(VLOOKUP($AQ$15,Sheet1!AD5:AG5,3,0),0)</f>
        <v>0</v>
      </c>
      <c r="AR20" s="13">
        <f>+IFERROR(VLOOKUP($AR$15,Sheet1!AD5:AG5,3,0),0)</f>
        <v>0</v>
      </c>
      <c r="AS20" s="13">
        <f>+IFERROR(VLOOKUP($AS$15,Sheet1!AH5:AK5,3,0),0)</f>
        <v>0</v>
      </c>
      <c r="AT20" s="13">
        <f>+IFERROR(VLOOKUP($AT$15,Sheet1!AH5:AK5,3,0),0)</f>
        <v>0</v>
      </c>
      <c r="AU20" s="13">
        <f>+IFERROR(VLOOKUP($AU$15,Sheet1!AH5:AK5,3,0),0)</f>
        <v>0</v>
      </c>
      <c r="AV20" s="13">
        <f>+IFERROR(VLOOKUP($AV$15,Sheet1!AH5:AK5,3,0),0)</f>
        <v>0</v>
      </c>
      <c r="AW20" s="13">
        <f>+IFERROR(VLOOKUP($AW$15,Sheet1!AH5:AK5,3,0),0)</f>
        <v>0</v>
      </c>
      <c r="AX20" s="13">
        <f>+IFERROR(VLOOKUP($AX$15,Sheet1!AH5:AK5,3,0),0)</f>
        <v>0</v>
      </c>
      <c r="AY20" s="13">
        <f>+IFERROR(VLOOKUP($AY$15,Sheet1!AH5:AK5,3,0),0)</f>
        <v>0</v>
      </c>
      <c r="AZ20" s="13">
        <f>+IFERROR(VLOOKUP($AZ$15,Sheet1!AH5:AK5,3,0),0)</f>
        <v>0</v>
      </c>
      <c r="BA20" s="13">
        <f>+IFERROR(VLOOKUP($BA$15,Sheet1!AH5:AK5,3,0),0)</f>
        <v>0</v>
      </c>
      <c r="BB20" s="13">
        <f>+IFERROR(VLOOKUP($BB$15,Sheet1!AH5:AK5,3,0),0)</f>
        <v>0</v>
      </c>
      <c r="BC20" s="13">
        <f>+IFERROR(VLOOKUP($BC$15,Sheet1!AL5:AO5,3,0),0)</f>
        <v>0</v>
      </c>
      <c r="BD20" s="13">
        <f>+IFERROR(VLOOKUP($BD$15,Sheet1!AL5:AO5,3,0),0)</f>
        <v>0</v>
      </c>
      <c r="BE20" s="13">
        <f>+IFERROR(VLOOKUP($BE$15,Sheet1!AL5:AO5,3,0),0)</f>
        <v>0</v>
      </c>
      <c r="BF20" s="60">
        <f>+IFERROR(VLOOKUP($BF$15,Sheet1!AL5:AO5,3,0),0)</f>
        <v>139</v>
      </c>
      <c r="BG20" s="13">
        <f>+IFERROR(VLOOKUP($BG$15,Sheet1!AL5:AO5,3,0),0)</f>
        <v>0</v>
      </c>
      <c r="BH20" s="13">
        <f>+IFERROR(VLOOKUP($BH$15,Sheet1!AL5:AO5,3,0),0)</f>
        <v>0</v>
      </c>
      <c r="BI20" s="13">
        <f>+IFERROR(VLOOKUP($BI$15,Sheet1!AL5:AO5,3,0),0)</f>
        <v>0</v>
      </c>
      <c r="BJ20" s="13">
        <f>+IFERROR(VLOOKUP($BJ$15,Sheet1!AL5:AO5,3,0),0)</f>
        <v>0</v>
      </c>
      <c r="BK20" s="13">
        <f>+IFERROR(VLOOKUP($BK$15,Sheet1!AL5:AO5,3,0),0)</f>
        <v>0</v>
      </c>
      <c r="BL20" s="13">
        <f>+IFERROR(VLOOKUP($BL$15,Sheet1!AL5:AO5,3,0),0)</f>
        <v>0</v>
      </c>
      <c r="BM20" s="13">
        <f>+IFERROR(VLOOKUP($BM$15,Sheet1!AP5:AS5,3,0),0)</f>
        <v>0</v>
      </c>
      <c r="BN20" s="13">
        <f>+IFERROR(VLOOKUP($BN$15,Sheet1!AT5:AW5,3,0),0)</f>
        <v>0</v>
      </c>
      <c r="BO20" s="13">
        <f>+IFERROR(VLOOKUP($BO$15,Sheet1!AX5:BA5,3,0),0)</f>
        <v>0</v>
      </c>
      <c r="BP20" s="13">
        <f>+IFERROR(VLOOKUP($BP$15,Sheet1!BB5:BE5,3,0),0)</f>
        <v>0</v>
      </c>
      <c r="BQ20" s="13">
        <f>+IFERROR(VLOOKUP($BQ$15,Sheet1!BF5:BI5,3,0),0)</f>
        <v>0</v>
      </c>
      <c r="BR20" s="13">
        <f>+IFERROR(VLOOKUP($BR$15,Sheet1!BJ5:BM5,3,0),0)</f>
        <v>0</v>
      </c>
      <c r="BS20" s="13">
        <f>+IFERROR(VLOOKUP($BS$15,Sheet1!BN5:BQ5,3,0),0)</f>
        <v>0</v>
      </c>
      <c r="BT20" s="13">
        <f>+IFERROR(VLOOKUP($BT$15,Sheet1!BR5:BU5,3,0),0)</f>
        <v>0</v>
      </c>
      <c r="BU20" s="13">
        <f>+IFERROR(VLOOKUP($BU$15,Sheet1!BV5:BY5,3,0),0)</f>
        <v>0</v>
      </c>
      <c r="BV20" s="13" t="str">
        <f>Sheet1!E5</f>
        <v>Hybrid</v>
      </c>
      <c r="BW20" s="13" t="str">
        <f>Sheet1!CV5</f>
        <v>MD0100106</v>
      </c>
      <c r="BX20" s="13" t="str">
        <f>Sheet1!CW5</f>
        <v>DRUM - 42 X 15 X 23 X 2 (LOMBU-HYBRID)</v>
      </c>
      <c r="BY20" s="13">
        <f>VLOOKUP(C20,Sheet1!$C$1:$CX$17,100,0)</f>
        <v>1000</v>
      </c>
      <c r="BZ20" s="3">
        <f>Sheet1!BZ5</f>
        <v>7244.19</v>
      </c>
      <c r="CA20" s="3">
        <f t="shared" si="5"/>
        <v>81820.19</v>
      </c>
      <c r="CB20" s="25">
        <f>Sheet1!CB5</f>
        <v>0</v>
      </c>
      <c r="CC20" s="3">
        <f t="shared" si="6"/>
        <v>0</v>
      </c>
      <c r="CD20" s="49">
        <v>0.5</v>
      </c>
      <c r="CE20" s="3">
        <f t="shared" si="7"/>
        <v>40910.095000000001</v>
      </c>
      <c r="CF20" s="49">
        <f>Sheet1!CF5</f>
        <v>0</v>
      </c>
      <c r="CG20" s="3">
        <f t="shared" si="8"/>
        <v>0</v>
      </c>
      <c r="CH20" s="3">
        <f t="shared" si="9"/>
        <v>122730.285</v>
      </c>
      <c r="CI20" s="49">
        <v>0.03</v>
      </c>
      <c r="CJ20" s="1">
        <f t="shared" si="10"/>
        <v>3681.9085500000001</v>
      </c>
      <c r="CK20" s="49">
        <v>0.02</v>
      </c>
      <c r="CL20" s="1">
        <f t="shared" si="11"/>
        <v>2454.6057000000001</v>
      </c>
    </row>
    <row r="21" spans="1:90" ht="30" x14ac:dyDescent="0.25">
      <c r="A21" s="1" t="str">
        <f>Sheet1!A2</f>
        <v>ENQ-11285-22-23</v>
      </c>
      <c r="B21" s="52">
        <f>Sheet1!B2</f>
        <v>45170</v>
      </c>
      <c r="C21" s="167" t="str">
        <f>Sheet1!C2</f>
        <v>FA0600021</v>
      </c>
      <c r="D21" s="1" t="str">
        <f>Sheet1!D2</f>
        <v>1 CORE X 185 SQ. MM. AL/UNARD. (XLPE)</v>
      </c>
      <c r="E21" s="3">
        <f t="shared" si="0"/>
        <v>244370.889</v>
      </c>
      <c r="F21" s="165">
        <f t="shared" si="12"/>
        <v>12687</v>
      </c>
      <c r="G21" s="9">
        <f t="shared" si="1"/>
        <v>257057.889</v>
      </c>
      <c r="H21" s="7">
        <v>0.18</v>
      </c>
      <c r="I21" s="9">
        <f t="shared" si="2"/>
        <v>46270.420019999998</v>
      </c>
      <c r="J21" s="9">
        <f t="shared" si="3"/>
        <v>303328.30901999999</v>
      </c>
      <c r="K21" s="1">
        <f>Sheet1!CS2</f>
        <v>6.7</v>
      </c>
      <c r="L21" s="1" t="str">
        <f>Sheet1!CT2</f>
        <v>KMS</v>
      </c>
      <c r="M21" s="3">
        <f t="shared" si="4"/>
        <v>2032299.670434</v>
      </c>
      <c r="N21" s="61">
        <v>500</v>
      </c>
      <c r="O21" s="2">
        <f>+IFERROR(VLOOKUP($O$15,Sheet1!J2:L2,3,0),0)</f>
        <v>0</v>
      </c>
      <c r="P21" s="2">
        <f>+IFERROR(VLOOKUP($P$15,Sheet1!J2:M2,3,0),0)</f>
        <v>0</v>
      </c>
      <c r="Q21" s="2">
        <f>+IFERROR(VLOOKUP($Q$15,Sheet1!J2:M2,3,0),0)</f>
        <v>0</v>
      </c>
      <c r="R21" s="2">
        <f>+IFERROR(VLOOKUP($R$15,Sheet1!J2:M2,3,0),0)</f>
        <v>0</v>
      </c>
      <c r="S21" s="2">
        <f>+IFERROR(VLOOKUP($S$15,Sheet1!N2:Q2,3,0),0)</f>
        <v>0</v>
      </c>
      <c r="T21" s="2">
        <f>+IFERROR(VLOOKUP($T$15,Sheet1!N2:Q2,3,0),0)</f>
        <v>0</v>
      </c>
      <c r="U21" s="2">
        <f>+IFERROR(VLOOKUP($U$15,Sheet1!F2:I2,3,0),0)</f>
        <v>0</v>
      </c>
      <c r="V21" s="2">
        <f>+IFERROR(VLOOKUP($V$15,Sheet1!F2:I2,3,0),0)</f>
        <v>0</v>
      </c>
      <c r="W21" s="2">
        <f>+IFERROR(VLOOKUP($W$15,Sheet1!F2:I2,3,0),0)</f>
        <v>0</v>
      </c>
      <c r="X21" s="2">
        <f>+IFERROR(VLOOKUP($X$15,Sheet1!F2:I2,3,0),0)</f>
        <v>0</v>
      </c>
      <c r="Y21" s="2">
        <f>+IFERROR(VLOOKUP($Y$15,Sheet1!F2:I2,3,0),0)</f>
        <v>0</v>
      </c>
      <c r="Z21" s="2">
        <f>+IFERROR(VLOOKUP($Z$15,Sheet1!F2:I2,3,0),0)</f>
        <v>0</v>
      </c>
      <c r="AA21" s="2">
        <f>+IFERROR(VLOOKUP($AA$15,Sheet1!F2:I2,3,0),0)</f>
        <v>0</v>
      </c>
      <c r="AB21" s="2">
        <f>+IFERROR(VLOOKUP($AB$15,Sheet1!F2:I2,3,0),0)</f>
        <v>0</v>
      </c>
      <c r="AC21" s="2">
        <f>+IFERROR(VLOOKUP($AC$15,Sheet1!R2:U2,3,0),0)</f>
        <v>0</v>
      </c>
      <c r="AD21" s="13">
        <f>+IFERROR(VLOOKUP($AD$15,Sheet1!R2:U2,2,0),0)</f>
        <v>0</v>
      </c>
      <c r="AE21" s="2">
        <f>+IFERROR(VLOOKUP($AE$15,Sheet1!V2:Y2,3,0),0)</f>
        <v>0</v>
      </c>
      <c r="AF21" s="60">
        <f>+IFERROR(VLOOKUP($AF$15,Sheet1!V2:Y2,3,0),0)</f>
        <v>90</v>
      </c>
      <c r="AG21" s="13">
        <f>+IFERROR(VLOOKUP($AG$15,Sheet1!V2:Y2,3,0),0)</f>
        <v>0</v>
      </c>
      <c r="AH21" s="13">
        <f>+IFERROR(VLOOKUP($AH$15,Sheet1!V2:Y2,3,0),0)</f>
        <v>0</v>
      </c>
      <c r="AI21" s="13">
        <f>+IFERROR(VLOOKUP($AI$15,Sheet1!V2:Y2,3,0),0)</f>
        <v>0</v>
      </c>
      <c r="AJ21" s="13">
        <f>+IFERROR(VLOOKUP($AJ$15,Sheet1!V2:Y2,3,0),0)</f>
        <v>0</v>
      </c>
      <c r="AK21" s="13">
        <f>+IFERROR(VLOOKUP($AK$15,Sheet1!Z2:AB2,3,0),0)</f>
        <v>0</v>
      </c>
      <c r="AL21" s="13">
        <f>+IFERROR(VLOOKUP($AL$15,Sheet1!AD2:AG2,3,0),0)</f>
        <v>0</v>
      </c>
      <c r="AM21" s="13">
        <f>+IFERROR(VLOOKUP($AM$15,Sheet1!AD2:AG2,3,0),0)</f>
        <v>0</v>
      </c>
      <c r="AN21" s="13">
        <f>+IFERROR(VLOOKUP($AN$15,Sheet1!AD2:AG2,3,0),0)</f>
        <v>0</v>
      </c>
      <c r="AO21" s="13">
        <f>+IFERROR(VLOOKUP($AO$15,Sheet1!AD2:AG2,3,0),0)</f>
        <v>0</v>
      </c>
      <c r="AP21" s="13">
        <f>+IFERROR(VLOOKUP($AP$15,Sheet1!AD2:AG2,3,0),0)</f>
        <v>0</v>
      </c>
      <c r="AQ21" s="13">
        <f>+IFERROR(VLOOKUP($AQ$15,Sheet1!AD2:AG2,3,0),0)</f>
        <v>0</v>
      </c>
      <c r="AR21" s="13">
        <f>+IFERROR(VLOOKUP($AR$15,Sheet1!AD2:AG2,3,0),0)</f>
        <v>0</v>
      </c>
      <c r="AS21" s="13">
        <f>+IFERROR(VLOOKUP($AS$15,Sheet1!AH2:AK2,3,0),0)</f>
        <v>0</v>
      </c>
      <c r="AT21" s="13">
        <f>+IFERROR(VLOOKUP($AT$15,Sheet1!AH2:AK2,3,0),0)</f>
        <v>0</v>
      </c>
      <c r="AU21" s="13">
        <f>+IFERROR(VLOOKUP($AU$15,Sheet1!AH2:AK2,3,0),0)</f>
        <v>0</v>
      </c>
      <c r="AV21" s="13">
        <f>+IFERROR(VLOOKUP($AV$15,Sheet1!AH2:AK2,3,0),0)</f>
        <v>0</v>
      </c>
      <c r="AW21" s="13">
        <f>+IFERROR(VLOOKUP($AW$15,Sheet1!AH2:AK2,3,0),0)</f>
        <v>0</v>
      </c>
      <c r="AX21" s="13">
        <f>+IFERROR(VLOOKUP($AX$15,Sheet1!AH2:AK2,3,0),0)</f>
        <v>0</v>
      </c>
      <c r="AY21" s="13">
        <f>+IFERROR(VLOOKUP($AY$15,Sheet1!AH2:AK2,3,0),0)</f>
        <v>0</v>
      </c>
      <c r="AZ21" s="13">
        <f>+IFERROR(VLOOKUP($AZ$15,Sheet1!AH2:AK2,3,0),0)</f>
        <v>0</v>
      </c>
      <c r="BA21" s="13">
        <f>+IFERROR(VLOOKUP($BA$15,Sheet1!AH2:AK2,3,0),0)</f>
        <v>0</v>
      </c>
      <c r="BB21" s="13">
        <f>+IFERROR(VLOOKUP($BB$15,Sheet1!AH2:AK2,3,0),0)</f>
        <v>0</v>
      </c>
      <c r="BC21" s="13">
        <f>+IFERROR(VLOOKUP($BC$15,Sheet1!AL2:AO2,3,0),0)</f>
        <v>0</v>
      </c>
      <c r="BD21" s="13">
        <f>+IFERROR(VLOOKUP($BD$15,Sheet1!AL2:AO2,3,0),0)</f>
        <v>0</v>
      </c>
      <c r="BE21" s="13">
        <f>+IFERROR(VLOOKUP($BE$15,Sheet1!AL2:AO2,3,0),0)</f>
        <v>0</v>
      </c>
      <c r="BF21" s="60">
        <v>210</v>
      </c>
      <c r="BG21" s="13">
        <f>+IFERROR(VLOOKUP($BG$15,Sheet1!AL2:AO2,3,0),0)</f>
        <v>0</v>
      </c>
      <c r="BH21" s="13">
        <f>+IFERROR(VLOOKUP($BH$15,Sheet1!AL2:AO2,3,0),0)</f>
        <v>0</v>
      </c>
      <c r="BI21" s="13">
        <f>+IFERROR(VLOOKUP($BI$15,Sheet1!AL2:AO2,3,0),0)</f>
        <v>0</v>
      </c>
      <c r="BJ21" s="13">
        <f>+IFERROR(VLOOKUP($BJ$15,Sheet1!AL2:AO2,3,0),0)</f>
        <v>0</v>
      </c>
      <c r="BK21" s="13">
        <f>+IFERROR(VLOOKUP($BK$15,Sheet1!AL2:AO2,3,0),0)</f>
        <v>0</v>
      </c>
      <c r="BL21" s="13">
        <f>+IFERROR(VLOOKUP($BL$15,Sheet1!AL2:AO2,3,0),0)</f>
        <v>0</v>
      </c>
      <c r="BM21" s="13">
        <f>+IFERROR(VLOOKUP($BM$15,Sheet1!AP2:AS2,3,0),0)</f>
        <v>0</v>
      </c>
      <c r="BN21" s="13">
        <f>+IFERROR(VLOOKUP($BN$15,Sheet1!AT2:AW2,3,0),0)</f>
        <v>0</v>
      </c>
      <c r="BO21" s="60">
        <v>22</v>
      </c>
      <c r="BP21" s="13">
        <f>+IFERROR(VLOOKUP($BP$15,Sheet1!BB2:BE2,3,0),0)</f>
        <v>0</v>
      </c>
      <c r="BQ21" s="13">
        <f>+IFERROR(VLOOKUP($BQ$15,Sheet1!BF2:BI2,3,0),0)</f>
        <v>0</v>
      </c>
      <c r="BR21" s="13">
        <f>+IFERROR(VLOOKUP($BR$15,Sheet1!BJ2:BM2,3,0),0)</f>
        <v>0</v>
      </c>
      <c r="BS21" s="13">
        <f>+IFERROR(VLOOKUP($BS$15,Sheet1!BN2:BQ2,3,0),0)</f>
        <v>0</v>
      </c>
      <c r="BT21" s="13"/>
      <c r="BU21" s="13">
        <f>+IFERROR(VLOOKUP($BU$15,Sheet1!BV2:BY2,3,0),0)</f>
        <v>0</v>
      </c>
      <c r="BV21" s="13" t="str">
        <f>Sheet1!E2</f>
        <v>Hybrid</v>
      </c>
      <c r="BW21" s="13" t="str">
        <f>Sheet1!CV2</f>
        <v>MD0100107</v>
      </c>
      <c r="BX21" s="13" t="str">
        <f>Sheet1!CW2</f>
        <v>DRUM - 42 X 15 X 38 X 2 (LOMBU-HYBRID)</v>
      </c>
      <c r="BY21" s="13">
        <f>VLOOKUP(C21,Sheet1!$C$1:$CX$17,100,0)</f>
        <v>1000</v>
      </c>
      <c r="BZ21" s="3">
        <f>Sheet1!BZ2</f>
        <v>7976.12</v>
      </c>
      <c r="CA21" s="3">
        <f t="shared" si="5"/>
        <v>155156.12</v>
      </c>
      <c r="CB21" s="25">
        <f>Sheet1!CB2</f>
        <v>0</v>
      </c>
      <c r="CC21" s="3">
        <f t="shared" si="6"/>
        <v>0</v>
      </c>
      <c r="CD21" s="49">
        <v>0.5</v>
      </c>
      <c r="CE21" s="3">
        <f t="shared" si="7"/>
        <v>77578.06</v>
      </c>
      <c r="CF21" s="49">
        <f>Sheet1!CF2</f>
        <v>0</v>
      </c>
      <c r="CG21" s="3">
        <f t="shared" si="8"/>
        <v>0</v>
      </c>
      <c r="CH21" s="3">
        <f t="shared" si="9"/>
        <v>232734.18</v>
      </c>
      <c r="CI21" s="49">
        <v>0.03</v>
      </c>
      <c r="CJ21" s="1">
        <f t="shared" si="10"/>
        <v>6982.0253999999995</v>
      </c>
      <c r="CK21" s="49">
        <v>0.02</v>
      </c>
      <c r="CL21" s="1">
        <f t="shared" si="11"/>
        <v>4654.6836000000003</v>
      </c>
    </row>
    <row r="22" spans="1:90" ht="30" x14ac:dyDescent="0.25">
      <c r="A22" s="1" t="str">
        <f>Sheet1!A6</f>
        <v>ENQ-11285-22-23</v>
      </c>
      <c r="B22" s="52">
        <f>Sheet1!B6</f>
        <v>45170</v>
      </c>
      <c r="C22" s="167" t="str">
        <f>Sheet1!C6</f>
        <v>FA0600020</v>
      </c>
      <c r="D22" s="1" t="str">
        <f>Sheet1!D6</f>
        <v>1 CORE X 300 SQ. MM. AL/UNARD. (XLPE)</v>
      </c>
      <c r="E22" s="3">
        <f t="shared" si="0"/>
        <v>387453.15</v>
      </c>
      <c r="F22" s="165">
        <f t="shared" si="12"/>
        <v>12319</v>
      </c>
      <c r="G22" s="9">
        <f t="shared" si="1"/>
        <v>399772.15</v>
      </c>
      <c r="H22" s="7">
        <v>0.18</v>
      </c>
      <c r="I22" s="9">
        <f t="shared" si="2"/>
        <v>71958.987000000008</v>
      </c>
      <c r="J22" s="9">
        <f t="shared" si="3"/>
        <v>471731.13700000005</v>
      </c>
      <c r="K22" s="1">
        <f>Sheet1!CS6</f>
        <v>20.7</v>
      </c>
      <c r="L22" s="1" t="str">
        <f>Sheet1!CT6</f>
        <v>KMS</v>
      </c>
      <c r="M22" s="3">
        <f t="shared" si="4"/>
        <v>9764834.5359000005</v>
      </c>
      <c r="N22" s="61">
        <f>+IFERROR(VLOOKUP($N$15,Sheet1!J6:L6,3,0),0)</f>
        <v>810</v>
      </c>
      <c r="O22" s="2">
        <f>+IFERROR(VLOOKUP($O$15,Sheet1!J6:L6,3,0),0)</f>
        <v>0</v>
      </c>
      <c r="P22" s="2">
        <f>+IFERROR(VLOOKUP($P$15,Sheet1!J6:M6,3,0),0)</f>
        <v>0</v>
      </c>
      <c r="Q22" s="2">
        <f>+IFERROR(VLOOKUP($Q$15,Sheet1!J6:M6,3,0),0)</f>
        <v>0</v>
      </c>
      <c r="R22" s="2">
        <f>+IFERROR(VLOOKUP($R$15,Sheet1!J6:M6,3,0),0)</f>
        <v>0</v>
      </c>
      <c r="S22" s="2">
        <f>+IFERROR(VLOOKUP($S$15,Sheet1!N6:Q6,3,0),0)</f>
        <v>0</v>
      </c>
      <c r="T22" s="2">
        <f>+IFERROR(VLOOKUP($T$15,Sheet1!N6:Q6,3,0),0)</f>
        <v>0</v>
      </c>
      <c r="U22" s="2">
        <f>+IFERROR(VLOOKUP($U$15,Sheet1!F6:I6,3,0),0)</f>
        <v>0</v>
      </c>
      <c r="V22" s="2">
        <f>+IFERROR(VLOOKUP($V$15,Sheet1!F6:I6,3,0),0)</f>
        <v>0</v>
      </c>
      <c r="W22" s="2">
        <f>+IFERROR(VLOOKUP($W$15,Sheet1!F6:I6,3,0),0)</f>
        <v>0</v>
      </c>
      <c r="X22" s="2">
        <f>+IFERROR(VLOOKUP($X$15,Sheet1!F6:I6,3,0),0)</f>
        <v>0</v>
      </c>
      <c r="Y22" s="2">
        <f>+IFERROR(VLOOKUP($Y$15,Sheet1!F6:I6,3,0),0)</f>
        <v>0</v>
      </c>
      <c r="Z22" s="2">
        <f>+IFERROR(VLOOKUP($Z$15,Sheet1!F6:I6,3,0),0)</f>
        <v>0</v>
      </c>
      <c r="AA22" s="2">
        <f>+IFERROR(VLOOKUP($AA$15,Sheet1!F6:I6,3,0),0)</f>
        <v>0</v>
      </c>
      <c r="AB22" s="2">
        <f>+IFERROR(VLOOKUP($AB$15,Sheet1!F6:I6,3,0),0)</f>
        <v>0</v>
      </c>
      <c r="AC22" s="2">
        <f>+IFERROR(VLOOKUP($AC$15,Sheet1!R6:U6,3,0),0)</f>
        <v>0</v>
      </c>
      <c r="AD22" s="13">
        <f>+IFERROR(VLOOKUP($AD$15,Sheet1!R6:U6,2,0),0)</f>
        <v>0</v>
      </c>
      <c r="AE22" s="2">
        <f>+IFERROR(VLOOKUP($AE$15,Sheet1!V6:Y6,3,0),0)</f>
        <v>0</v>
      </c>
      <c r="AF22" s="60">
        <f>+IFERROR(VLOOKUP($AF$15,Sheet1!V6:Y6,3,0),0)</f>
        <v>132</v>
      </c>
      <c r="AG22" s="13">
        <f>+IFERROR(VLOOKUP($AG$15,Sheet1!V6:Y6,3,0),0)</f>
        <v>0</v>
      </c>
      <c r="AH22" s="13">
        <f>+IFERROR(VLOOKUP($AH$15,Sheet1!V6:Y6,3,0),0)</f>
        <v>0</v>
      </c>
      <c r="AI22" s="13">
        <f>+IFERROR(VLOOKUP($AI$15,Sheet1!V6:Y6,3,0),0)</f>
        <v>0</v>
      </c>
      <c r="AJ22" s="13">
        <f>+IFERROR(VLOOKUP($AJ$15,Sheet1!V6:Y6,3,0),0)</f>
        <v>0</v>
      </c>
      <c r="AK22" s="13">
        <f>+IFERROR(VLOOKUP($AK$15,Sheet1!Z6:AB6,3,0),0)</f>
        <v>0</v>
      </c>
      <c r="AL22" s="13">
        <f>+IFERROR(VLOOKUP($AL$15,Sheet1!AD6:AG6,3,0),0)</f>
        <v>0</v>
      </c>
      <c r="AM22" s="13">
        <f>+IFERROR(VLOOKUP($AM$15,Sheet1!AD6:AG6,3,0),0)</f>
        <v>0</v>
      </c>
      <c r="AN22" s="13">
        <f>+IFERROR(VLOOKUP($AN$15,Sheet1!AD6:AG6,3,0),0)</f>
        <v>0</v>
      </c>
      <c r="AO22" s="13">
        <f>+IFERROR(VLOOKUP($AO$15,Sheet1!AD6:AG6,3,0),0)</f>
        <v>0</v>
      </c>
      <c r="AP22" s="13">
        <f>+IFERROR(VLOOKUP($AP$15,Sheet1!AD6:AG6,3,0),0)</f>
        <v>0</v>
      </c>
      <c r="AQ22" s="13">
        <f>+IFERROR(VLOOKUP($AQ$15,Sheet1!AD6:AG6,3,0),0)</f>
        <v>0</v>
      </c>
      <c r="AR22" s="13">
        <f>+IFERROR(VLOOKUP($AR$15,Sheet1!AD6:AG6,3,0),0)</f>
        <v>0</v>
      </c>
      <c r="AS22" s="13">
        <f>+IFERROR(VLOOKUP($AS$15,Sheet1!AH6:AK6,3,0),0)</f>
        <v>0</v>
      </c>
      <c r="AT22" s="13">
        <f>+IFERROR(VLOOKUP($AT$15,Sheet1!AH6:AK6,3,0),0)</f>
        <v>0</v>
      </c>
      <c r="AU22" s="13">
        <f>+IFERROR(VLOOKUP($AU$15,Sheet1!AH6:AK6,3,0),0)</f>
        <v>0</v>
      </c>
      <c r="AV22" s="13">
        <f>+IFERROR(VLOOKUP($AV$15,Sheet1!AH6:AK6,3,0),0)</f>
        <v>0</v>
      </c>
      <c r="AW22" s="13">
        <f>+IFERROR(VLOOKUP($AW$15,Sheet1!AH6:AK6,3,0),0)</f>
        <v>0</v>
      </c>
      <c r="AX22" s="13">
        <f>+IFERROR(VLOOKUP($AX$15,Sheet1!AH6:AK6,3,0),0)</f>
        <v>0</v>
      </c>
      <c r="AY22" s="13">
        <f>+IFERROR(VLOOKUP($AY$15,Sheet1!AH6:AK6,3,0),0)</f>
        <v>0</v>
      </c>
      <c r="AZ22" s="13">
        <f>+IFERROR(VLOOKUP($AZ$15,Sheet1!AH6:AK6,3,0),0)</f>
        <v>0</v>
      </c>
      <c r="BA22" s="13">
        <f>+IFERROR(VLOOKUP($BA$15,Sheet1!AH6:AK6,3,0),0)</f>
        <v>0</v>
      </c>
      <c r="BB22" s="13">
        <f>+IFERROR(VLOOKUP($BB$15,Sheet1!AH6:AK6,3,0),0)</f>
        <v>0</v>
      </c>
      <c r="BC22" s="13">
        <f>+IFERROR(VLOOKUP($BC$15,Sheet1!AL6:AO6,3,0),0)</f>
        <v>0</v>
      </c>
      <c r="BD22" s="13">
        <f>+IFERROR(VLOOKUP($BD$15,Sheet1!AL6:AO6,3,0),0)</f>
        <v>0</v>
      </c>
      <c r="BE22" s="13">
        <f>+IFERROR(VLOOKUP($BE$15,Sheet1!AL6:AO6,3,0),0)</f>
        <v>0</v>
      </c>
      <c r="BF22" s="60">
        <v>255</v>
      </c>
      <c r="BG22" s="60">
        <f>+IFERROR(VLOOKUP($BG$15,Sheet1!AL6:AO6,3,0),0)</f>
        <v>0</v>
      </c>
      <c r="BH22" s="60">
        <f>+IFERROR(VLOOKUP($BH$15,Sheet1!AL6:AO6,3,0),0)</f>
        <v>0</v>
      </c>
      <c r="BI22" s="60">
        <f>+IFERROR(VLOOKUP($BI$15,Sheet1!AL6:AO6,3,0),0)</f>
        <v>0</v>
      </c>
      <c r="BJ22" s="60">
        <f>+IFERROR(VLOOKUP($BJ$15,Sheet1!AL6:AO6,3,0),0)</f>
        <v>0</v>
      </c>
      <c r="BK22" s="60">
        <f>+IFERROR(VLOOKUP($BK$15,Sheet1!AL6:AO6,3,0),0)</f>
        <v>0</v>
      </c>
      <c r="BL22" s="60">
        <f>+IFERROR(VLOOKUP($BL$15,Sheet1!AL6:AO6,3,0),0)</f>
        <v>0</v>
      </c>
      <c r="BM22" s="60">
        <f>+IFERROR(VLOOKUP($BM$15,Sheet1!AP6:AS6,3,0),0)</f>
        <v>0</v>
      </c>
      <c r="BN22" s="60">
        <f>+IFERROR(VLOOKUP($BN$15,Sheet1!AT6:AW6,3,0),0)</f>
        <v>0</v>
      </c>
      <c r="BO22" s="60">
        <v>28</v>
      </c>
      <c r="BP22" s="13">
        <f>+IFERROR(VLOOKUP($BP$15,Sheet1!BB6:BE6,3,0),0)</f>
        <v>0</v>
      </c>
      <c r="BQ22" s="13">
        <f>+IFERROR(VLOOKUP($BQ$15,Sheet1!BF6:BI6,3,0),0)</f>
        <v>0</v>
      </c>
      <c r="BR22" s="13">
        <f>+IFERROR(VLOOKUP($BR$15,Sheet1!BJ6:BM6,3,0),0)</f>
        <v>0</v>
      </c>
      <c r="BS22" s="13">
        <f>+IFERROR(VLOOKUP($BS$15,Sheet1!BN6:BQ6,3,0),0)</f>
        <v>0</v>
      </c>
      <c r="BT22" s="13">
        <f>+IFERROR(VLOOKUP($BT$15,Sheet1!BR6:BU6,3,0),0)</f>
        <v>0</v>
      </c>
      <c r="BU22" s="13">
        <f>+IFERROR(VLOOKUP($BU$15,Sheet1!BV6:BY6,3,0),0)</f>
        <v>0</v>
      </c>
      <c r="BV22" s="13" t="str">
        <f>Sheet1!E6</f>
        <v>STEEL</v>
      </c>
      <c r="BW22" s="13" t="s">
        <v>221</v>
      </c>
      <c r="BX22" s="13" t="s">
        <v>222</v>
      </c>
      <c r="BY22" s="13">
        <f>VLOOKUP(C22,Sheet1!$C$1:$CX$17,100,0)</f>
        <v>1000</v>
      </c>
      <c r="BZ22" s="164">
        <v>20900</v>
      </c>
      <c r="CA22" s="3">
        <f t="shared" si="5"/>
        <v>246002</v>
      </c>
      <c r="CB22" s="25">
        <f>Sheet1!CB6</f>
        <v>0</v>
      </c>
      <c r="CC22" s="3">
        <f t="shared" si="6"/>
        <v>0</v>
      </c>
      <c r="CD22" s="49">
        <v>0.5</v>
      </c>
      <c r="CE22" s="3">
        <f t="shared" si="7"/>
        <v>123001</v>
      </c>
      <c r="CF22" s="49">
        <f>Sheet1!CF6</f>
        <v>0</v>
      </c>
      <c r="CG22" s="3">
        <f t="shared" si="8"/>
        <v>0</v>
      </c>
      <c r="CH22" s="3">
        <f t="shared" si="9"/>
        <v>369003</v>
      </c>
      <c r="CI22" s="49">
        <v>0.03</v>
      </c>
      <c r="CJ22" s="1">
        <f t="shared" si="10"/>
        <v>11070.09</v>
      </c>
      <c r="CK22" s="49">
        <v>0.02</v>
      </c>
      <c r="CL22" s="1">
        <f t="shared" si="11"/>
        <v>7380.06</v>
      </c>
    </row>
    <row r="23" spans="1:90" ht="30" x14ac:dyDescent="0.25">
      <c r="A23" s="1" t="str">
        <f>Sheet1!A4</f>
        <v>ENQ-11285-22-23</v>
      </c>
      <c r="B23" s="52">
        <f>Sheet1!B4</f>
        <v>45170</v>
      </c>
      <c r="C23" s="167" t="str">
        <f>Sheet1!C4</f>
        <v>FA0600032</v>
      </c>
      <c r="D23" s="1" t="str">
        <f>Sheet1!D4</f>
        <v>1 CORE X 630 SQ. MM. ALU/UNARD (XLPE)</v>
      </c>
      <c r="E23" s="3">
        <f t="shared" si="0"/>
        <v>747471.375</v>
      </c>
      <c r="F23" s="165">
        <f t="shared" si="12"/>
        <v>28334</v>
      </c>
      <c r="G23" s="9">
        <f t="shared" si="1"/>
        <v>775805.375</v>
      </c>
      <c r="H23" s="7">
        <v>0.18</v>
      </c>
      <c r="I23" s="9">
        <f t="shared" si="2"/>
        <v>139644.9675</v>
      </c>
      <c r="J23" s="9">
        <f t="shared" si="3"/>
        <v>915450.34250000003</v>
      </c>
      <c r="K23" s="1">
        <f>Sheet1!CS4</f>
        <v>18</v>
      </c>
      <c r="L23" s="1" t="str">
        <f>Sheet1!CT4</f>
        <v>KMS</v>
      </c>
      <c r="M23" s="3">
        <f t="shared" si="4"/>
        <v>16478106.165000001</v>
      </c>
      <c r="N23" s="61">
        <f>+IFERROR(VLOOKUP($N$15,Sheet1!J4:L4,3,0),0)</f>
        <v>1701</v>
      </c>
      <c r="O23" s="2">
        <f>+IFERROR(VLOOKUP($O$15,Sheet1!J4:L4,3,0),0)</f>
        <v>0</v>
      </c>
      <c r="P23" s="2">
        <f>+IFERROR(VLOOKUP($P$15,Sheet1!J4:M4,3,0),0)</f>
        <v>0</v>
      </c>
      <c r="Q23" s="2">
        <f>+IFERROR(VLOOKUP($Q$15,Sheet1!J4:M4,3,0),0)</f>
        <v>0</v>
      </c>
      <c r="R23" s="2">
        <f>+IFERROR(VLOOKUP($R$15,Sheet1!J4:M4,3,0),0)</f>
        <v>0</v>
      </c>
      <c r="S23" s="2">
        <f>+IFERROR(VLOOKUP($S$15,Sheet1!N4:Q4,3,0),0)</f>
        <v>0</v>
      </c>
      <c r="T23" s="2">
        <f>+IFERROR(VLOOKUP($T$15,Sheet1!N4:Q4,3,0),0)</f>
        <v>0</v>
      </c>
      <c r="U23" s="2">
        <f>+IFERROR(VLOOKUP($U$15,Sheet1!F4:I4,3,0),0)</f>
        <v>0</v>
      </c>
      <c r="V23" s="2">
        <f>+IFERROR(VLOOKUP($V$15,Sheet1!F4:I4,3,0),0)</f>
        <v>0</v>
      </c>
      <c r="W23" s="2">
        <f>+IFERROR(VLOOKUP($W$15,Sheet1!F4:I4,3,0),0)</f>
        <v>0</v>
      </c>
      <c r="X23" s="2">
        <f>+IFERROR(VLOOKUP($X$15,Sheet1!F4:I4,3,0),0)</f>
        <v>0</v>
      </c>
      <c r="Y23" s="2">
        <f>+IFERROR(VLOOKUP($Y$15,Sheet1!F4:I4,3,0),0)</f>
        <v>0</v>
      </c>
      <c r="Z23" s="2">
        <f>+IFERROR(VLOOKUP($Z$15,Sheet1!F4:I4,3,0),0)</f>
        <v>0</v>
      </c>
      <c r="AA23" s="2">
        <f>+IFERROR(VLOOKUP($AA$15,Sheet1!F4:I4,3,0),0)</f>
        <v>0</v>
      </c>
      <c r="AB23" s="2">
        <f>+IFERROR(VLOOKUP($AB$15,Sheet1!F4:I4,3,0),0)</f>
        <v>0</v>
      </c>
      <c r="AC23" s="2">
        <f>+IFERROR(VLOOKUP($AC$15,Sheet1!R4:U4,3,0),0)</f>
        <v>0</v>
      </c>
      <c r="AD23" s="13">
        <f>+IFERROR(VLOOKUP($AD$15,Sheet1!R4:U4,2,0),0)</f>
        <v>0</v>
      </c>
      <c r="AE23" s="2">
        <f>+IFERROR(VLOOKUP($AE$15,Sheet1!V4:Y4,3,0),0)</f>
        <v>0</v>
      </c>
      <c r="AF23" s="60">
        <v>242</v>
      </c>
      <c r="AG23" s="13">
        <f>+IFERROR(VLOOKUP($AG$15,Sheet1!V4:Y4,3,0),0)</f>
        <v>0</v>
      </c>
      <c r="AH23" s="13">
        <f>+IFERROR(VLOOKUP($AH$15,Sheet1!V4:Y4,3,0),0)</f>
        <v>0</v>
      </c>
      <c r="AI23" s="13">
        <f>+IFERROR(VLOOKUP($AI$15,Sheet1!V4:Y4,3,0),0)</f>
        <v>0</v>
      </c>
      <c r="AJ23" s="13">
        <f>+IFERROR(VLOOKUP($AJ$15,Sheet1!V4:Y4,3,0),0)</f>
        <v>0</v>
      </c>
      <c r="AK23" s="13">
        <f>+IFERROR(VLOOKUP($AK$15,Sheet1!Z4:AB4,3,0),0)</f>
        <v>0</v>
      </c>
      <c r="AL23" s="13">
        <f>+IFERROR(VLOOKUP($AL$15,Sheet1!AD4:AG4,3,0),0)</f>
        <v>0</v>
      </c>
      <c r="AM23" s="13">
        <f>+IFERROR(VLOOKUP($AM$15,Sheet1!AD4:AG4,3,0),0)</f>
        <v>0</v>
      </c>
      <c r="AN23" s="13">
        <f>+IFERROR(VLOOKUP($AN$15,Sheet1!AD4:AG4,3,0),0)</f>
        <v>0</v>
      </c>
      <c r="AO23" s="13">
        <f>+IFERROR(VLOOKUP($AO$15,Sheet1!AD4:AG4,3,0),0)</f>
        <v>0</v>
      </c>
      <c r="AP23" s="13">
        <f>+IFERROR(VLOOKUP($AP$15,Sheet1!AD4:AG4,3,0),0)</f>
        <v>0</v>
      </c>
      <c r="AQ23" s="13">
        <f>+IFERROR(VLOOKUP($AQ$15,Sheet1!AD4:AG4,3,0),0)</f>
        <v>0</v>
      </c>
      <c r="AR23" s="13">
        <f>+IFERROR(VLOOKUP($AR$15,Sheet1!AD4:AG4,3,0),0)</f>
        <v>0</v>
      </c>
      <c r="AS23" s="13">
        <f>+IFERROR(VLOOKUP($AS$15,Sheet1!AH4:AK4,3,0),0)</f>
        <v>0</v>
      </c>
      <c r="AT23" s="13">
        <f>+IFERROR(VLOOKUP($AT$15,Sheet1!AH4:AK4,3,0),0)</f>
        <v>0</v>
      </c>
      <c r="AU23" s="13">
        <f>+IFERROR(VLOOKUP($AU$15,Sheet1!AH4:AK4,3,0),0)</f>
        <v>0</v>
      </c>
      <c r="AV23" s="13">
        <f>+IFERROR(VLOOKUP($AV$15,Sheet1!AH4:AK4,3,0),0)</f>
        <v>0</v>
      </c>
      <c r="AW23" s="13">
        <f>+IFERROR(VLOOKUP($AW$15,Sheet1!AH4:AK4,3,0),0)</f>
        <v>0</v>
      </c>
      <c r="AX23" s="13">
        <f>+IFERROR(VLOOKUP($AX$15,Sheet1!AH4:AK4,3,0),0)</f>
        <v>0</v>
      </c>
      <c r="AY23" s="13">
        <f>+IFERROR(VLOOKUP($AY$15,Sheet1!AH4:AK4,3,0),0)</f>
        <v>0</v>
      </c>
      <c r="AZ23" s="13">
        <f>+IFERROR(VLOOKUP($AZ$15,Sheet1!AH4:AK4,3,0),0)</f>
        <v>0</v>
      </c>
      <c r="BA23" s="13">
        <f>+IFERROR(VLOOKUP($BA$15,Sheet1!AH4:AK4,3,0),0)</f>
        <v>0</v>
      </c>
      <c r="BB23" s="13">
        <f>+IFERROR(VLOOKUP($BB$15,Sheet1!AH4:AK4,3,0),0)</f>
        <v>0</v>
      </c>
      <c r="BC23" s="13">
        <f>+IFERROR(VLOOKUP($BC$15,Sheet1!AL4:AO4,3,0),0)</f>
        <v>0</v>
      </c>
      <c r="BD23" s="13">
        <f>+IFERROR(VLOOKUP($BD$15,Sheet1!AL4:AO4,3,0),0)</f>
        <v>0</v>
      </c>
      <c r="BE23" s="13">
        <f>+IFERROR(VLOOKUP($BE$15,Sheet1!AL4:AO4,3,0),0)</f>
        <v>0</v>
      </c>
      <c r="BF23" s="60">
        <v>408</v>
      </c>
      <c r="BG23" s="13">
        <f>+IFERROR(VLOOKUP($BG$15,Sheet1!AL4:AO4,3,0),0)</f>
        <v>0</v>
      </c>
      <c r="BH23" s="13">
        <f>+IFERROR(VLOOKUP($BH$15,Sheet1!AL4:AO4,3,0),0)</f>
        <v>0</v>
      </c>
      <c r="BI23" s="13">
        <f>+IFERROR(VLOOKUP($BI$15,Sheet1!AL4:AO4,3,0),0)</f>
        <v>0</v>
      </c>
      <c r="BJ23" s="13">
        <f>+IFERROR(VLOOKUP($BJ$15,Sheet1!AL4:AO4,3,0),0)</f>
        <v>0</v>
      </c>
      <c r="BK23" s="13">
        <f>+IFERROR(VLOOKUP($BK$15,Sheet1!AL4:AO4,3,0),0)</f>
        <v>0</v>
      </c>
      <c r="BL23" s="13">
        <f>+IFERROR(VLOOKUP($BL$15,Sheet1!AL4:AO4,3,0),0)</f>
        <v>0</v>
      </c>
      <c r="BM23" s="13">
        <f>+IFERROR(VLOOKUP($BM$15,Sheet1!AP4:AS4,3,0),0)</f>
        <v>0</v>
      </c>
      <c r="BN23" s="13">
        <f>+IFERROR(VLOOKUP($BN$15,Sheet1!AT4:AW4,3,0),0)</f>
        <v>0</v>
      </c>
      <c r="BO23" s="60">
        <v>40</v>
      </c>
      <c r="BP23" s="13">
        <f>+IFERROR(VLOOKUP($BP$15,Sheet1!BB4:BE4,3,0),0)</f>
        <v>0</v>
      </c>
      <c r="BQ23" s="13">
        <f>+IFERROR(VLOOKUP($BQ$15,Sheet1!BF4:BI4,3,0),0)</f>
        <v>0</v>
      </c>
      <c r="BR23" s="13">
        <f>+IFERROR(VLOOKUP($BR$15,Sheet1!BJ4:BM4,3,0),0)</f>
        <v>0</v>
      </c>
      <c r="BS23" s="13">
        <f>+IFERROR(VLOOKUP($BS$15,Sheet1!BN4:BQ4,3,0),0)</f>
        <v>0</v>
      </c>
      <c r="BT23" s="13">
        <f>+IFERROR(VLOOKUP($BT$15,Sheet1!BR4:BU4,3,0),0)</f>
        <v>0</v>
      </c>
      <c r="BU23" s="13">
        <f>+IFERROR(VLOOKUP($BU$15,Sheet1!BV4:BY4,3,0),0)</f>
        <v>0</v>
      </c>
      <c r="BV23" s="13" t="str">
        <f>Sheet1!E4</f>
        <v>STEEL</v>
      </c>
      <c r="BW23" s="13" t="str">
        <f>Sheet1!CV4</f>
        <v>SP0400126</v>
      </c>
      <c r="BX23" s="13" t="str">
        <f>Sheet1!CW4</f>
        <v>CORRUGATED DISPATCH STEEL DRUM 1900 X 830 X 915 MM</v>
      </c>
      <c r="BY23" s="13">
        <f>VLOOKUP(C23,Sheet1!$C$1:$CX$17,100,0)</f>
        <v>1000</v>
      </c>
      <c r="BZ23" s="3">
        <f>Sheet1!BZ4</f>
        <v>26600</v>
      </c>
      <c r="CA23" s="3">
        <f t="shared" si="5"/>
        <v>474585</v>
      </c>
      <c r="CB23" s="25">
        <f>Sheet1!CB4</f>
        <v>0</v>
      </c>
      <c r="CC23" s="3">
        <f t="shared" si="6"/>
        <v>0</v>
      </c>
      <c r="CD23" s="49">
        <v>0.5</v>
      </c>
      <c r="CE23" s="3">
        <f t="shared" si="7"/>
        <v>237292.5</v>
      </c>
      <c r="CF23" s="49">
        <f>Sheet1!CF4</f>
        <v>0</v>
      </c>
      <c r="CG23" s="3">
        <f t="shared" si="8"/>
        <v>0</v>
      </c>
      <c r="CH23" s="3">
        <f t="shared" si="9"/>
        <v>711877.5</v>
      </c>
      <c r="CI23" s="49">
        <v>0.03</v>
      </c>
      <c r="CJ23" s="1">
        <f t="shared" si="10"/>
        <v>21356.325000000001</v>
      </c>
      <c r="CK23" s="49">
        <v>0.02</v>
      </c>
      <c r="CL23" s="1">
        <f t="shared" si="11"/>
        <v>14237.550000000001</v>
      </c>
    </row>
    <row r="24" spans="1:90" ht="30" x14ac:dyDescent="0.25">
      <c r="A24" s="1" t="str">
        <f>Sheet1!A17</f>
        <v>ENQ-11285-22-23</v>
      </c>
      <c r="B24" s="52">
        <f>Sheet1!B17</f>
        <v>45170</v>
      </c>
      <c r="C24" s="167" t="str">
        <f>Sheet1!C17</f>
        <v>FA0900133</v>
      </c>
      <c r="D24" s="1" t="str">
        <f>Sheet1!D17</f>
        <v>2 CORE X 16 SQ. MM. AL/ARD - WIRE (XLPE)</v>
      </c>
      <c r="E24" s="3">
        <f t="shared" si="0"/>
        <v>114603.59925000001</v>
      </c>
      <c r="F24" s="165">
        <f t="shared" si="12"/>
        <v>4276</v>
      </c>
      <c r="G24" s="9">
        <f t="shared" si="1"/>
        <v>118879.59925000001</v>
      </c>
      <c r="H24" s="7">
        <v>0.18</v>
      </c>
      <c r="I24" s="9">
        <f t="shared" si="2"/>
        <v>21398.327865000003</v>
      </c>
      <c r="J24" s="9">
        <f t="shared" si="3"/>
        <v>140277.92711500003</v>
      </c>
      <c r="K24" s="1">
        <f>Sheet1!CS17</f>
        <v>1511</v>
      </c>
      <c r="L24" s="1" t="str">
        <f>Sheet1!CT17</f>
        <v>KMS</v>
      </c>
      <c r="M24" s="3">
        <f t="shared" si="4"/>
        <v>211959947.87076503</v>
      </c>
      <c r="N24" s="61">
        <v>86</v>
      </c>
      <c r="O24" s="2">
        <f>+IFERROR(VLOOKUP($O$15,Sheet1!J17:L17,3,0),0)</f>
        <v>0</v>
      </c>
      <c r="P24" s="2">
        <f>+IFERROR(VLOOKUP($P$15,Sheet1!J17:M17,3,0),0)</f>
        <v>0</v>
      </c>
      <c r="Q24" s="2">
        <f>+IFERROR(VLOOKUP($Q$15,Sheet1!J17:M17,3,0),0)</f>
        <v>0</v>
      </c>
      <c r="R24" s="2">
        <f>+IFERROR(VLOOKUP($R$15,Sheet1!J17:M17,3,0),0)</f>
        <v>0</v>
      </c>
      <c r="S24" s="2">
        <f>+IFERROR(VLOOKUP($S$15,Sheet1!N17:Q17,3,0),0)</f>
        <v>0</v>
      </c>
      <c r="T24" s="2">
        <f>+IFERROR(VLOOKUP($T$15,Sheet1!N17:Q17,3,0),0)</f>
        <v>0</v>
      </c>
      <c r="U24" s="2">
        <f>+IFERROR(VLOOKUP($U$15,Sheet1!F17:I17,3,0),0)</f>
        <v>0</v>
      </c>
      <c r="V24" s="2">
        <f>+IFERROR(VLOOKUP($V$15,Sheet1!F17:I17,3,0),0)</f>
        <v>0</v>
      </c>
      <c r="W24" s="2">
        <f>+IFERROR(VLOOKUP($W$15,Sheet1!F17:I17,3,0),0)</f>
        <v>0</v>
      </c>
      <c r="X24" s="2">
        <f>+IFERROR(VLOOKUP($X$15,Sheet1!F17:I17,3,0),0)</f>
        <v>0</v>
      </c>
      <c r="Y24" s="2">
        <f>+IFERROR(VLOOKUP($Y$15,Sheet1!F17:I17,3,0),0)</f>
        <v>0</v>
      </c>
      <c r="Z24" s="2">
        <f>+IFERROR(VLOOKUP($Z$15,Sheet1!F17:I17,3,0),0)</f>
        <v>0</v>
      </c>
      <c r="AA24" s="2">
        <f>+IFERROR(VLOOKUP($AA$15,Sheet1!F17:I17,3,0),0)</f>
        <v>0</v>
      </c>
      <c r="AB24" s="2">
        <f>+IFERROR(VLOOKUP($AB$15,Sheet1!F17:I17,3,0),0)</f>
        <v>0</v>
      </c>
      <c r="AC24" s="2">
        <f>+IFERROR(VLOOKUP($AC$15,Sheet1!R17:U17,3,0),0)</f>
        <v>0</v>
      </c>
      <c r="AD24" s="13">
        <f>+IFERROR(VLOOKUP($AD$15,Sheet1!R17:U17,2,0),0)</f>
        <v>0</v>
      </c>
      <c r="AE24" s="2">
        <f>+IFERROR(VLOOKUP($AE$15,Sheet1!V17:Y17,3,0),0)</f>
        <v>0</v>
      </c>
      <c r="AF24" s="60">
        <f>+IFERROR(VLOOKUP($AF$15,Sheet1!V17:Y17,3,0),0)</f>
        <v>37</v>
      </c>
      <c r="AG24" s="13">
        <f>+IFERROR(VLOOKUP($AG$15,Sheet1!V17:Y17,3,0),0)</f>
        <v>0</v>
      </c>
      <c r="AH24" s="13">
        <f>+IFERROR(VLOOKUP($AH$15,Sheet1!V17:Y17,3,0),0)</f>
        <v>0</v>
      </c>
      <c r="AI24" s="13">
        <f>+IFERROR(VLOOKUP($AI$15,Sheet1!V17:Y17,3,0),0)</f>
        <v>0</v>
      </c>
      <c r="AJ24" s="13">
        <f>+IFERROR(VLOOKUP($AJ$15,Sheet1!V17:Y17,3,0),0)</f>
        <v>0</v>
      </c>
      <c r="AK24" s="13">
        <f>+IFERROR(VLOOKUP($AK$15,Sheet1!Z17:AB17,3,0),0)</f>
        <v>0</v>
      </c>
      <c r="AL24" s="13">
        <f>+IFERROR(VLOOKUP($AL$15,Sheet1!AD17:AG17,3,0),0)</f>
        <v>0</v>
      </c>
      <c r="AM24" s="13">
        <f>+IFERROR(VLOOKUP($AM$15,Sheet1!AD17:AG17,3,0),0)</f>
        <v>0</v>
      </c>
      <c r="AN24" s="13">
        <f>+IFERROR(VLOOKUP($AN$15,Sheet1!AD17:AG17,3,0),0)</f>
        <v>0</v>
      </c>
      <c r="AO24" s="13">
        <f>+IFERROR(VLOOKUP($AO$15,Sheet1!AD17:AG17,3,0),0)</f>
        <v>0</v>
      </c>
      <c r="AP24" s="13">
        <f>+IFERROR(VLOOKUP($AP$15,Sheet1!AD17:AG17,3,0),0)</f>
        <v>0</v>
      </c>
      <c r="AQ24" s="13">
        <f>+IFERROR(VLOOKUP($AQ$15,Sheet1!AD17:AG17,3,0),0)</f>
        <v>0</v>
      </c>
      <c r="AR24" s="60">
        <v>45</v>
      </c>
      <c r="AS24" s="13">
        <f>+IFERROR(VLOOKUP($AS$15,Sheet1!AH17:AK17,3,0),0)</f>
        <v>0</v>
      </c>
      <c r="AT24" s="13">
        <f>+IFERROR(VLOOKUP($AT$15,Sheet1!AH17:AK17,3,0),0)</f>
        <v>0</v>
      </c>
      <c r="AU24" s="13">
        <f>+IFERROR(VLOOKUP($AU$15,Sheet1!AH17:AK17,3,0),0)</f>
        <v>0</v>
      </c>
      <c r="AV24" s="13">
        <f>+IFERROR(VLOOKUP($AV$15,Sheet1!AH17:AK17,3,0),0)</f>
        <v>0</v>
      </c>
      <c r="AW24" s="13">
        <f>+IFERROR(VLOOKUP($AW$15,Sheet1!AH17:AK17,3,0),0)</f>
        <v>0</v>
      </c>
      <c r="AX24" s="13">
        <f>+IFERROR(VLOOKUP($AX$15,Sheet1!AH17:AK17,3,0),0)</f>
        <v>0</v>
      </c>
      <c r="AY24" s="13">
        <f>+IFERROR(VLOOKUP($AY$15,Sheet1!AH17:AK17,3,0),0)</f>
        <v>0</v>
      </c>
      <c r="AZ24" s="13">
        <f>+IFERROR(VLOOKUP($AZ$15,Sheet1!AH17:AK17,3,0),0)</f>
        <v>0</v>
      </c>
      <c r="BA24" s="60">
        <v>250</v>
      </c>
      <c r="BB24" s="13">
        <f>+IFERROR(VLOOKUP($BB$15,Sheet1!AH17:AK17,3,0),0)</f>
        <v>0</v>
      </c>
      <c r="BC24" s="13">
        <f>+IFERROR(VLOOKUP($BC$15,Sheet1!AL17:AO17,3,0),0)</f>
        <v>0</v>
      </c>
      <c r="BD24" s="13">
        <f>+IFERROR(VLOOKUP($BD$15,Sheet1!AL17:AO17,3,0),0)</f>
        <v>0</v>
      </c>
      <c r="BE24" s="13">
        <f>+IFERROR(VLOOKUP($BE$15,Sheet1!AL17:AO17,3,0),0)</f>
        <v>0</v>
      </c>
      <c r="BF24" s="60">
        <v>120</v>
      </c>
      <c r="BG24" s="13">
        <f>+IFERROR(VLOOKUP($BG$15,Sheet1!AL17:AO17,3,0),0)</f>
        <v>0</v>
      </c>
      <c r="BH24" s="13">
        <f>+IFERROR(VLOOKUP($BH$15,Sheet1!AL17:AO17,3,0),0)</f>
        <v>0</v>
      </c>
      <c r="BI24" s="13">
        <f>+IFERROR(VLOOKUP($BI$15,Sheet1!AL17:AO17,3,0),0)</f>
        <v>0</v>
      </c>
      <c r="BJ24" s="13">
        <f>+IFERROR(VLOOKUP($BJ$15,Sheet1!AL17:AO17,3,0),0)</f>
        <v>0</v>
      </c>
      <c r="BK24" s="13">
        <f>+IFERROR(VLOOKUP($BK$15,Sheet1!AL17:AO17,3,0),0)</f>
        <v>0</v>
      </c>
      <c r="BL24" s="13">
        <f>+IFERROR(VLOOKUP($BL$15,Sheet1!AL17:AO17,3,0),0)</f>
        <v>0</v>
      </c>
      <c r="BM24" s="13">
        <f>+IFERROR(VLOOKUP($BM$15,Sheet1!AP17:AS17,3,0),0)</f>
        <v>0</v>
      </c>
      <c r="BN24" s="13">
        <f>+IFERROR(VLOOKUP($BN$15,Sheet1!AT17:AW17,3,0),0)</f>
        <v>0</v>
      </c>
      <c r="BO24" s="13">
        <f>+IFERROR(VLOOKUP($BO$15,Sheet1!AX17:BA17,3,0),0)</f>
        <v>0</v>
      </c>
      <c r="BP24" s="13">
        <f>+IFERROR(VLOOKUP($BP$15,Sheet1!BB17:BE17,3,0),0)</f>
        <v>0</v>
      </c>
      <c r="BQ24" s="13">
        <f>+IFERROR(VLOOKUP($BQ$15,Sheet1!BF17:BI17,3,0),0)</f>
        <v>0</v>
      </c>
      <c r="BR24" s="13">
        <f>+IFERROR(VLOOKUP($BR$15,Sheet1!BJ17:BM17,3,0),0)</f>
        <v>0</v>
      </c>
      <c r="BS24" s="13">
        <f>+IFERROR(VLOOKUP($BS$15,Sheet1!BN17:BQ17,3,0),0)</f>
        <v>0</v>
      </c>
      <c r="BT24" s="60">
        <v>11</v>
      </c>
      <c r="BU24" s="13">
        <f>+IFERROR(VLOOKUP($BU$15,Sheet1!BV17:BY17,3,0),0)</f>
        <v>0</v>
      </c>
      <c r="BV24" s="13" t="str">
        <f>Sheet1!E17</f>
        <v>Hybrid</v>
      </c>
      <c r="BW24" s="13" t="str">
        <f>Sheet1!CV17</f>
        <v>MD0100106</v>
      </c>
      <c r="BX24" s="13" t="str">
        <f>Sheet1!CW17</f>
        <v>DRUM - 42 X 15 X 23 X 2 (LOMBU-HYBRID)</v>
      </c>
      <c r="BY24" s="13">
        <f>VLOOKUP(C24,Sheet1!$C$1:$CX$17,100,0)</f>
        <v>1000</v>
      </c>
      <c r="BZ24" s="3">
        <f>Sheet1!BZ17</f>
        <v>7244.19</v>
      </c>
      <c r="CA24" s="3">
        <f t="shared" si="5"/>
        <v>72764.19</v>
      </c>
      <c r="CB24" s="25">
        <f>Sheet1!CB17</f>
        <v>0</v>
      </c>
      <c r="CC24" s="3">
        <f t="shared" si="6"/>
        <v>0</v>
      </c>
      <c r="CD24" s="49">
        <v>0.5</v>
      </c>
      <c r="CE24" s="3">
        <f t="shared" si="7"/>
        <v>36382.095000000001</v>
      </c>
      <c r="CF24" s="49">
        <f>Sheet1!CF17</f>
        <v>0</v>
      </c>
      <c r="CG24" s="3">
        <f t="shared" si="8"/>
        <v>0</v>
      </c>
      <c r="CH24" s="3">
        <f t="shared" si="9"/>
        <v>109146.285</v>
      </c>
      <c r="CI24" s="49">
        <v>0.03</v>
      </c>
      <c r="CJ24" s="1">
        <f t="shared" si="10"/>
        <v>3274.3885500000001</v>
      </c>
      <c r="CK24" s="49">
        <v>0.02</v>
      </c>
      <c r="CL24" s="1">
        <f t="shared" si="11"/>
        <v>2182.9257000000002</v>
      </c>
    </row>
    <row r="25" spans="1:90" ht="30" x14ac:dyDescent="0.25">
      <c r="A25" s="1" t="str">
        <f>Sheet1!A14</f>
        <v>ENQ-11285-22-23</v>
      </c>
      <c r="B25" s="52">
        <f>Sheet1!B14</f>
        <v>45170</v>
      </c>
      <c r="C25" s="167" t="str">
        <f>Sheet1!C14</f>
        <v>FA0900038</v>
      </c>
      <c r="D25" s="1" t="str">
        <f>Sheet1!D14</f>
        <v>2 CORE X 25 SQ. MM. AL/ARD - STRIP (XLPE)</v>
      </c>
      <c r="E25" s="3">
        <f t="shared" si="0"/>
        <v>137789.06400000001</v>
      </c>
      <c r="F25" s="165">
        <f t="shared" si="12"/>
        <v>4080</v>
      </c>
      <c r="G25" s="9">
        <f t="shared" si="1"/>
        <v>141869.06400000001</v>
      </c>
      <c r="H25" s="7">
        <v>0.18</v>
      </c>
      <c r="I25" s="9">
        <f t="shared" si="2"/>
        <v>25536.431520000002</v>
      </c>
      <c r="J25" s="9">
        <f t="shared" si="3"/>
        <v>167405.49552000003</v>
      </c>
      <c r="K25" s="1">
        <f>Sheet1!CS14</f>
        <v>125</v>
      </c>
      <c r="L25" s="1" t="str">
        <f>Sheet1!CT14</f>
        <v>KMS</v>
      </c>
      <c r="M25" s="3">
        <f t="shared" si="4"/>
        <v>20925686.940000005</v>
      </c>
      <c r="N25" s="61">
        <f>+IFERROR(VLOOKUP($N$15,Sheet1!J14:L14,3,0),0)</f>
        <v>135</v>
      </c>
      <c r="O25" s="2">
        <f>+IFERROR(VLOOKUP($O$15,Sheet1!J14:L14,3,0),0)</f>
        <v>0</v>
      </c>
      <c r="P25" s="2">
        <f>+IFERROR(VLOOKUP($P$15,Sheet1!J14:M14,3,0),0)</f>
        <v>0</v>
      </c>
      <c r="Q25" s="2">
        <f>+IFERROR(VLOOKUP($Q$15,Sheet1!J14:M14,3,0),0)</f>
        <v>0</v>
      </c>
      <c r="R25" s="2">
        <f>+IFERROR(VLOOKUP($R$15,Sheet1!J14:M14,3,0),0)</f>
        <v>0</v>
      </c>
      <c r="S25" s="2">
        <f>+IFERROR(VLOOKUP($S$15,Sheet1!N14:Q14,3,0),0)</f>
        <v>0</v>
      </c>
      <c r="T25" s="2">
        <f>+IFERROR(VLOOKUP($T$15,Sheet1!N14:Q14,3,0),0)</f>
        <v>0</v>
      </c>
      <c r="U25" s="2">
        <f>+IFERROR(VLOOKUP($U$15,Sheet1!F14:I14,3,0),0)</f>
        <v>0</v>
      </c>
      <c r="V25" s="2">
        <f>+IFERROR(VLOOKUP($V$15,Sheet1!F14:I14,3,0),0)</f>
        <v>0</v>
      </c>
      <c r="W25" s="2">
        <f>+IFERROR(VLOOKUP($W$15,Sheet1!F14:I14,3,0),0)</f>
        <v>0</v>
      </c>
      <c r="X25" s="2">
        <f>+IFERROR(VLOOKUP($X$15,Sheet1!F14:I14,3,0),0)</f>
        <v>0</v>
      </c>
      <c r="Y25" s="2">
        <f>+IFERROR(VLOOKUP($Y$15,Sheet1!F14:I14,3,0),0)</f>
        <v>0</v>
      </c>
      <c r="Z25" s="2">
        <f>+IFERROR(VLOOKUP($Z$15,Sheet1!F14:I14,3,0),0)</f>
        <v>0</v>
      </c>
      <c r="AA25" s="2">
        <f>+IFERROR(VLOOKUP($AA$15,Sheet1!F14:I14,3,0),0)</f>
        <v>0</v>
      </c>
      <c r="AB25" s="2">
        <f>+IFERROR(VLOOKUP($AB$15,Sheet1!F14:I14,3,0),0)</f>
        <v>0</v>
      </c>
      <c r="AC25" s="2">
        <f>+IFERROR(VLOOKUP($AC$15,Sheet1!R14:U14,3,0),0)</f>
        <v>0</v>
      </c>
      <c r="AD25" s="13">
        <f>+IFERROR(VLOOKUP($AD$15,Sheet1!R14:U14,2,0),0)</f>
        <v>0</v>
      </c>
      <c r="AE25" s="2">
        <f>+IFERROR(VLOOKUP($AE$15,Sheet1!V14:Y14,3,0),0)</f>
        <v>0</v>
      </c>
      <c r="AF25" s="60">
        <v>44</v>
      </c>
      <c r="AG25" s="13">
        <f>+IFERROR(VLOOKUP($AG$15,Sheet1!V14:Y14,3,0),0)</f>
        <v>0</v>
      </c>
      <c r="AH25" s="13">
        <f>+IFERROR(VLOOKUP($AH$15,Sheet1!V14:Y14,3,0),0)</f>
        <v>0</v>
      </c>
      <c r="AI25" s="13">
        <f>+IFERROR(VLOOKUP($AI$15,Sheet1!V14:Y14,3,0),0)</f>
        <v>0</v>
      </c>
      <c r="AJ25" s="13">
        <f>+IFERROR(VLOOKUP($AJ$15,Sheet1!V14:Y14,3,0),0)</f>
        <v>0</v>
      </c>
      <c r="AK25" s="13">
        <f>+IFERROR(VLOOKUP($AK$15,Sheet1!Z14:AB14,3,0),0)</f>
        <v>0</v>
      </c>
      <c r="AL25" s="13">
        <f>+IFERROR(VLOOKUP($AL$15,Sheet1!AD14:AG14,3,0),0)</f>
        <v>0</v>
      </c>
      <c r="AM25" s="13">
        <f>+IFERROR(VLOOKUP($AM$15,Sheet1!AD14:AG14,3,0),0)</f>
        <v>0</v>
      </c>
      <c r="AN25" s="13">
        <f>+IFERROR(VLOOKUP($AN$15,Sheet1!AD14:AG14,3,0),0)</f>
        <v>0</v>
      </c>
      <c r="AO25" s="13">
        <f>+IFERROR(VLOOKUP($AO$15,Sheet1!AD14:AG14,3,0),0)</f>
        <v>0</v>
      </c>
      <c r="AP25" s="13">
        <f>+IFERROR(VLOOKUP($AP$15,Sheet1!AD14:AG14,3,0),0)</f>
        <v>0</v>
      </c>
      <c r="AQ25" s="13">
        <f>+IFERROR(VLOOKUP($AQ$15,Sheet1!AD14:AG14,3,0),0)</f>
        <v>0</v>
      </c>
      <c r="AR25" s="60">
        <v>50</v>
      </c>
      <c r="AS25" s="60">
        <f>+IFERROR(VLOOKUP($AS$15,Sheet1!AH14:AK14,3,0),0)</f>
        <v>0</v>
      </c>
      <c r="AT25" s="60">
        <f>+IFERROR(VLOOKUP($AT$15,Sheet1!AH14:AK14,3,0),0)</f>
        <v>0</v>
      </c>
      <c r="AU25" s="60">
        <f>+IFERROR(VLOOKUP($AU$15,Sheet1!AH14:AK14,3,0),0)</f>
        <v>0</v>
      </c>
      <c r="AV25" s="60">
        <f>+IFERROR(VLOOKUP($AV$15,Sheet1!AH14:AK14,3,0),0)</f>
        <v>0</v>
      </c>
      <c r="AW25" s="60">
        <f>+IFERROR(VLOOKUP($AW$15,Sheet1!AH14:AK14,3,0),0)</f>
        <v>0</v>
      </c>
      <c r="AX25" s="60">
        <v>275</v>
      </c>
      <c r="AY25" s="13">
        <f>+IFERROR(VLOOKUP($AY$15,Sheet1!AH14:AK14,3,0),0)</f>
        <v>0</v>
      </c>
      <c r="AZ25" s="13">
        <f>+IFERROR(VLOOKUP($AZ$15,Sheet1!AH14:AK14,3,0),0)</f>
        <v>0</v>
      </c>
      <c r="BA25" s="13">
        <f>+IFERROR(VLOOKUP($BA$15,Sheet1!AH14:AK14,3,0),0)</f>
        <v>0</v>
      </c>
      <c r="BB25" s="13">
        <f>+IFERROR(VLOOKUP($BB$15,Sheet1!AH14:AK14,3,0),0)</f>
        <v>0</v>
      </c>
      <c r="BC25" s="13">
        <f>+IFERROR(VLOOKUP($BC$15,Sheet1!AL14:AO14,3,0),0)</f>
        <v>0</v>
      </c>
      <c r="BD25" s="13">
        <f>+IFERROR(VLOOKUP($BD$15,Sheet1!AL14:AO14,3,0),0)</f>
        <v>0</v>
      </c>
      <c r="BE25" s="13">
        <f>+IFERROR(VLOOKUP($BE$15,Sheet1!AL14:AO14,3,0),0)</f>
        <v>0</v>
      </c>
      <c r="BF25" s="60">
        <v>145</v>
      </c>
      <c r="BG25" s="13">
        <f>+IFERROR(VLOOKUP($BG$15,Sheet1!AL14:AO14,3,0),0)</f>
        <v>0</v>
      </c>
      <c r="BH25" s="13">
        <f>+IFERROR(VLOOKUP($BH$15,Sheet1!AL14:AO14,3,0),0)</f>
        <v>0</v>
      </c>
      <c r="BI25" s="13">
        <f>+IFERROR(VLOOKUP($BI$15,Sheet1!AL14:AO14,3,0),0)</f>
        <v>0</v>
      </c>
      <c r="BJ25" s="13">
        <f>+IFERROR(VLOOKUP($BJ$15,Sheet1!AL14:AO14,3,0),0)</f>
        <v>0</v>
      </c>
      <c r="BK25" s="13">
        <f>+IFERROR(VLOOKUP($BK$15,Sheet1!AL14:AO14,3,0),0)</f>
        <v>0</v>
      </c>
      <c r="BL25" s="13">
        <f>+IFERROR(VLOOKUP($BL$15,Sheet1!AL14:AO14,3,0),0)</f>
        <v>0</v>
      </c>
      <c r="BM25" s="13">
        <f>+IFERROR(VLOOKUP($BM$15,Sheet1!AP14:AS14,3,0),0)</f>
        <v>0</v>
      </c>
      <c r="BN25" s="13">
        <f>+IFERROR(VLOOKUP($BN$15,Sheet1!AT14:AW14,3,0),0)</f>
        <v>0</v>
      </c>
      <c r="BO25" s="13">
        <f>+IFERROR(VLOOKUP($BO$15,Sheet1!AX14:BA14,3,0),0)</f>
        <v>0</v>
      </c>
      <c r="BP25" s="13">
        <f>+IFERROR(VLOOKUP($BP$15,Sheet1!BB14:BE14,3,0),0)</f>
        <v>0</v>
      </c>
      <c r="BQ25" s="13">
        <f>+IFERROR(VLOOKUP($BQ$15,Sheet1!BF14:BI14,3,0),0)</f>
        <v>0</v>
      </c>
      <c r="BR25" s="13">
        <f>+IFERROR(VLOOKUP($BR$15,Sheet1!BJ14:BM14,3,0),0)</f>
        <v>0</v>
      </c>
      <c r="BS25" s="13">
        <f>+IFERROR(VLOOKUP($BS$15,Sheet1!BN14:BQ14,3,0),0)</f>
        <v>0</v>
      </c>
      <c r="BT25" s="60">
        <v>13</v>
      </c>
      <c r="BU25" s="13">
        <f>+IFERROR(VLOOKUP($BU$15,Sheet1!BV14:BY14,3,0),0)</f>
        <v>0</v>
      </c>
      <c r="BV25" s="13" t="str">
        <f>Sheet1!E14</f>
        <v>Hybrid</v>
      </c>
      <c r="BW25" s="13" t="str">
        <f>Sheet1!CV14</f>
        <v>MD0100105</v>
      </c>
      <c r="BX25" s="13" t="str">
        <f>Sheet1!CW14</f>
        <v>DRUM - 42 X 24 X 38 X 2 (LOMBU-HYBRID)</v>
      </c>
      <c r="BY25" s="13">
        <f>VLOOKUP(C25,Sheet1!$C$1:$CX$17,100,0)</f>
        <v>1000</v>
      </c>
      <c r="BZ25" s="3">
        <f>Sheet1!BZ14</f>
        <v>7976.12</v>
      </c>
      <c r="CA25" s="3">
        <f t="shared" si="5"/>
        <v>87485.119999999995</v>
      </c>
      <c r="CB25" s="25">
        <f>Sheet1!CB14</f>
        <v>0</v>
      </c>
      <c r="CC25" s="3">
        <f t="shared" si="6"/>
        <v>0</v>
      </c>
      <c r="CD25" s="49">
        <v>0.5</v>
      </c>
      <c r="CE25" s="3">
        <f t="shared" si="7"/>
        <v>43742.559999999998</v>
      </c>
      <c r="CF25" s="49">
        <f>Sheet1!CF14</f>
        <v>0</v>
      </c>
      <c r="CG25" s="3">
        <f t="shared" si="8"/>
        <v>0</v>
      </c>
      <c r="CH25" s="3">
        <f t="shared" si="9"/>
        <v>131227.68</v>
      </c>
      <c r="CI25" s="49">
        <v>0.03</v>
      </c>
      <c r="CJ25" s="1">
        <f t="shared" si="10"/>
        <v>3936.8303999999998</v>
      </c>
      <c r="CK25" s="49">
        <v>0.02</v>
      </c>
      <c r="CL25" s="1">
        <f t="shared" si="11"/>
        <v>2624.5535999999997</v>
      </c>
    </row>
    <row r="26" spans="1:90" ht="30" x14ac:dyDescent="0.25">
      <c r="A26" s="1" t="str">
        <f>Sheet1!A16</f>
        <v>ENQ-11285-22-23</v>
      </c>
      <c r="B26" s="52">
        <f>Sheet1!B16</f>
        <v>45170</v>
      </c>
      <c r="C26" s="167" t="str">
        <f>Sheet1!C16</f>
        <v>FA0900015</v>
      </c>
      <c r="D26" s="1" t="str">
        <f>Sheet1!D16</f>
        <v>4 CORE X 25 SQ. MM. ALU/ARD - STRIP (XLPE)</v>
      </c>
      <c r="E26" s="3">
        <f t="shared" si="0"/>
        <v>204072.75</v>
      </c>
      <c r="F26" s="165">
        <f t="shared" si="12"/>
        <v>5715</v>
      </c>
      <c r="G26" s="9">
        <f t="shared" si="1"/>
        <v>209787.75</v>
      </c>
      <c r="H26" s="7">
        <v>0.18</v>
      </c>
      <c r="I26" s="9">
        <f t="shared" si="2"/>
        <v>37761.794999999998</v>
      </c>
      <c r="J26" s="9">
        <f t="shared" si="3"/>
        <v>247549.54499999998</v>
      </c>
      <c r="K26" s="1">
        <f>Sheet1!CS16</f>
        <v>357</v>
      </c>
      <c r="L26" s="1" t="str">
        <f>Sheet1!CT16</f>
        <v>KMS</v>
      </c>
      <c r="M26" s="3">
        <f t="shared" si="4"/>
        <v>88375187.564999998</v>
      </c>
      <c r="N26" s="61">
        <f>+IFERROR(VLOOKUP($N$15,Sheet1!J16:L16,3,0),0)</f>
        <v>270</v>
      </c>
      <c r="O26" s="2">
        <f>+IFERROR(VLOOKUP($O$15,Sheet1!J16:L16,3,0),0)</f>
        <v>0</v>
      </c>
      <c r="P26" s="2">
        <f>+IFERROR(VLOOKUP($P$15,Sheet1!J16:M16,3,0),0)</f>
        <v>0</v>
      </c>
      <c r="Q26" s="2">
        <f>+IFERROR(VLOOKUP($Q$15,Sheet1!J16:M16,3,0),0)</f>
        <v>0</v>
      </c>
      <c r="R26" s="2">
        <f>+IFERROR(VLOOKUP($R$15,Sheet1!J16:M16,3,0),0)</f>
        <v>0</v>
      </c>
      <c r="S26" s="2">
        <f>+IFERROR(VLOOKUP($S$15,Sheet1!N16:Q16,3,0),0)</f>
        <v>0</v>
      </c>
      <c r="T26" s="2">
        <f>+IFERROR(VLOOKUP($T$15,Sheet1!N16:Q16,3,0),0)</f>
        <v>0</v>
      </c>
      <c r="U26" s="2">
        <f>+IFERROR(VLOOKUP($U$15,Sheet1!F16:I16,3,0),0)</f>
        <v>0</v>
      </c>
      <c r="V26" s="2">
        <f>+IFERROR(VLOOKUP($V$15,Sheet1!F16:I16,3,0),0)</f>
        <v>0</v>
      </c>
      <c r="W26" s="2">
        <f>+IFERROR(VLOOKUP($W$15,Sheet1!F16:I16,3,0),0)</f>
        <v>0</v>
      </c>
      <c r="X26" s="2">
        <f>+IFERROR(VLOOKUP($X$15,Sheet1!F16:I16,3,0),0)</f>
        <v>0</v>
      </c>
      <c r="Y26" s="2">
        <f>+IFERROR(VLOOKUP($Y$15,Sheet1!F16:I16,3,0),0)</f>
        <v>0</v>
      </c>
      <c r="Z26" s="2">
        <f>+IFERROR(VLOOKUP($Z$15,Sheet1!F16:I16,3,0),0)</f>
        <v>0</v>
      </c>
      <c r="AA26" s="2">
        <f>+IFERROR(VLOOKUP($AA$15,Sheet1!F16:I16,3,0),0)</f>
        <v>0</v>
      </c>
      <c r="AB26" s="2">
        <f>+IFERROR(VLOOKUP($AB$15,Sheet1!F16:I16,3,0),0)</f>
        <v>0</v>
      </c>
      <c r="AC26" s="2">
        <f>+IFERROR(VLOOKUP($AC$15,Sheet1!R16:U16,3,0),0)</f>
        <v>0</v>
      </c>
      <c r="AD26" s="13">
        <f>+IFERROR(VLOOKUP($AD$15,Sheet1!R16:U16,2,0),0)</f>
        <v>0</v>
      </c>
      <c r="AE26" s="2">
        <f>+IFERROR(VLOOKUP($AE$15,Sheet1!V16:Y16,3,0),0)</f>
        <v>0</v>
      </c>
      <c r="AF26" s="60">
        <f>+IFERROR(VLOOKUP($AF$15,Sheet1!V16:Y16,3,0),0)</f>
        <v>95</v>
      </c>
      <c r="AG26" s="13">
        <f>+IFERROR(VLOOKUP($AG$15,Sheet1!V16:Y16,3,0),0)</f>
        <v>0</v>
      </c>
      <c r="AH26" s="13">
        <f>+IFERROR(VLOOKUP($AH$15,Sheet1!V16:Y16,3,0),0)</f>
        <v>0</v>
      </c>
      <c r="AI26" s="13">
        <f>+IFERROR(VLOOKUP($AI$15,Sheet1!V16:Y16,3,0),0)</f>
        <v>0</v>
      </c>
      <c r="AJ26" s="13">
        <f>+IFERROR(VLOOKUP($AJ$15,Sheet1!V16:Y16,3,0),0)</f>
        <v>0</v>
      </c>
      <c r="AK26" s="13">
        <f>+IFERROR(VLOOKUP($AK$15,Sheet1!Z16:AB16,3,0),0)</f>
        <v>0</v>
      </c>
      <c r="AL26" s="13">
        <f>+IFERROR(VLOOKUP($AL$15,Sheet1!AD16:AG16,3,0),0)</f>
        <v>0</v>
      </c>
      <c r="AM26" s="13">
        <f>+IFERROR(VLOOKUP($AM$15,Sheet1!AD16:AG16,3,0),0)</f>
        <v>0</v>
      </c>
      <c r="AN26" s="13">
        <f>+IFERROR(VLOOKUP($AN$15,Sheet1!AD16:AG16,3,0),0)</f>
        <v>0</v>
      </c>
      <c r="AO26" s="13">
        <f>+IFERROR(VLOOKUP($AO$15,Sheet1!AD16:AG16,3,0),0)</f>
        <v>0</v>
      </c>
      <c r="AP26" s="13">
        <f>+IFERROR(VLOOKUP($AP$15,Sheet1!AD16:AG16,3,0),0)</f>
        <v>0</v>
      </c>
      <c r="AQ26" s="60">
        <f>+IFERROR(VLOOKUP($AQ$15,Sheet1!AD16:AG16,3,0),0)</f>
        <v>46</v>
      </c>
      <c r="AR26" s="13">
        <f>+IFERROR(VLOOKUP($AR$15,Sheet1!AD16:AG16,3,0),0)</f>
        <v>0</v>
      </c>
      <c r="AS26" s="13">
        <f>+IFERROR(VLOOKUP($AS$15,Sheet1!AH16:AK16,3,0),0)</f>
        <v>0</v>
      </c>
      <c r="AT26" s="13">
        <f>+IFERROR(VLOOKUP($AT$15,Sheet1!AH16:AK16,3,0),0)</f>
        <v>0</v>
      </c>
      <c r="AU26" s="13">
        <f>+IFERROR(VLOOKUP($AU$15,Sheet1!AH16:AK16,3,0),0)</f>
        <v>0</v>
      </c>
      <c r="AV26" s="13">
        <f>+IFERROR(VLOOKUP($AV$15,Sheet1!AH16:AK16,3,0),0)</f>
        <v>0</v>
      </c>
      <c r="AW26" s="13">
        <f>+IFERROR(VLOOKUP($AW$15,Sheet1!AH16:AK16,3,0),0)</f>
        <v>0</v>
      </c>
      <c r="AX26" s="60">
        <f>+IFERROR(VLOOKUP($AX$15,Sheet1!AH16:AK16,3,0),0)</f>
        <v>364</v>
      </c>
      <c r="AY26" s="13">
        <f>+IFERROR(VLOOKUP($AY$15,Sheet1!AH16:AK16,3,0),0)</f>
        <v>0</v>
      </c>
      <c r="AZ26" s="13">
        <f>+IFERROR(VLOOKUP($AZ$15,Sheet1!AH16:AK16,3,0),0)</f>
        <v>0</v>
      </c>
      <c r="BA26" s="13">
        <f>+IFERROR(VLOOKUP($BA$15,Sheet1!AH16:AK16,3,0),0)</f>
        <v>0</v>
      </c>
      <c r="BB26" s="13">
        <f>+IFERROR(VLOOKUP($BB$15,Sheet1!AH16:AK16,3,0),0)</f>
        <v>0</v>
      </c>
      <c r="BC26" s="13">
        <f>+IFERROR(VLOOKUP($BC$15,Sheet1!AL16:AO16,3,0),0)</f>
        <v>0</v>
      </c>
      <c r="BD26" s="13">
        <f>+IFERROR(VLOOKUP($BD$15,Sheet1!AL16:AO16,3,0),0)</f>
        <v>0</v>
      </c>
      <c r="BE26" s="13">
        <f>+IFERROR(VLOOKUP($BE$15,Sheet1!AL16:AO16,3,0),0)</f>
        <v>0</v>
      </c>
      <c r="BF26" s="60">
        <f>+IFERROR(VLOOKUP($BF$15,Sheet1!AL16:AO16,3,0),0)</f>
        <v>173</v>
      </c>
      <c r="BG26" s="13">
        <f>+IFERROR(VLOOKUP($BG$15,Sheet1!AL16:AO16,3,0),0)</f>
        <v>0</v>
      </c>
      <c r="BH26" s="13">
        <f>+IFERROR(VLOOKUP($BH$15,Sheet1!AL16:AO16,3,0),0)</f>
        <v>0</v>
      </c>
      <c r="BI26" s="13">
        <f>+IFERROR(VLOOKUP($BI$15,Sheet1!AL16:AO16,3,0),0)</f>
        <v>0</v>
      </c>
      <c r="BJ26" s="13">
        <f>+IFERROR(VLOOKUP($BJ$15,Sheet1!AL16:AO16,3,0),0)</f>
        <v>0</v>
      </c>
      <c r="BK26" s="13">
        <f>+IFERROR(VLOOKUP($BK$15,Sheet1!AL16:AO16,3,0),0)</f>
        <v>0</v>
      </c>
      <c r="BL26" s="13">
        <f>+IFERROR(VLOOKUP($BL$15,Sheet1!AL16:AO16,3,0),0)</f>
        <v>0</v>
      </c>
      <c r="BM26" s="13">
        <f>+IFERROR(VLOOKUP($BM$15,Sheet1!AP16:AS16,3,0),0)</f>
        <v>0</v>
      </c>
      <c r="BN26" s="13">
        <f>+IFERROR(VLOOKUP($BN$15,Sheet1!AT16:AW16,3,0),0)</f>
        <v>0</v>
      </c>
      <c r="BO26" s="13">
        <f>+IFERROR(VLOOKUP($BO$15,Sheet1!AX16:BA16,3,0),0)</f>
        <v>0</v>
      </c>
      <c r="BP26" s="13">
        <f>+IFERROR(VLOOKUP($BP$15,Sheet1!BB16:BE16,3,0),0)</f>
        <v>0</v>
      </c>
      <c r="BQ26" s="13">
        <f>+IFERROR(VLOOKUP($BQ$15,Sheet1!BF16:BI16,3,0),0)</f>
        <v>0</v>
      </c>
      <c r="BR26" s="13">
        <f>+IFERROR(VLOOKUP($BR$15,Sheet1!BJ16:BM16,3,0),0)</f>
        <v>0</v>
      </c>
      <c r="BS26" s="13">
        <f>+IFERROR(VLOOKUP($BS$15,Sheet1!BN16:BQ16,3,0),0)</f>
        <v>0</v>
      </c>
      <c r="BT26" s="60">
        <v>13</v>
      </c>
      <c r="BU26" s="13">
        <f>+IFERROR(VLOOKUP($BU$15,Sheet1!BV16:BY16,3,0),0)</f>
        <v>0</v>
      </c>
      <c r="BV26" s="13" t="str">
        <f>Sheet1!E16</f>
        <v>Hybrid</v>
      </c>
      <c r="BW26" s="13" t="str">
        <f>Sheet1!CV16</f>
        <v>MD0100092</v>
      </c>
      <c r="BX26" s="13" t="str">
        <f>Sheet1!CW16</f>
        <v>DRUM - 42 X 18 X 36 X 2 (LOMBU)</v>
      </c>
      <c r="BY26" s="13">
        <f>VLOOKUP(C26,Sheet1!$C$1:$CX$17,100,0)</f>
        <v>1000</v>
      </c>
      <c r="BZ26" s="59">
        <v>7374</v>
      </c>
      <c r="CA26" s="3">
        <f t="shared" si="5"/>
        <v>129570</v>
      </c>
      <c r="CB26" s="25">
        <f>Sheet1!CB16</f>
        <v>0</v>
      </c>
      <c r="CC26" s="3">
        <f t="shared" si="6"/>
        <v>0</v>
      </c>
      <c r="CD26" s="49">
        <v>0.5</v>
      </c>
      <c r="CE26" s="3">
        <f t="shared" si="7"/>
        <v>64785</v>
      </c>
      <c r="CF26" s="49">
        <f>Sheet1!CF16</f>
        <v>0</v>
      </c>
      <c r="CG26" s="3">
        <f t="shared" si="8"/>
        <v>0</v>
      </c>
      <c r="CH26" s="3">
        <f t="shared" si="9"/>
        <v>194355</v>
      </c>
      <c r="CI26" s="49">
        <v>0.03</v>
      </c>
      <c r="CJ26" s="1">
        <f t="shared" si="10"/>
        <v>5830.65</v>
      </c>
      <c r="CK26" s="49">
        <v>0.02</v>
      </c>
      <c r="CL26" s="1">
        <f t="shared" si="11"/>
        <v>3887.1</v>
      </c>
    </row>
    <row r="27" spans="1:90" ht="30" x14ac:dyDescent="0.25">
      <c r="A27" s="1" t="str">
        <f>Sheet1!A13</f>
        <v>ENQ-11285-22-23</v>
      </c>
      <c r="B27" s="52">
        <f>Sheet1!B13</f>
        <v>45170</v>
      </c>
      <c r="C27" s="167" t="str">
        <f>Sheet1!C13</f>
        <v>FA0900036</v>
      </c>
      <c r="D27" s="1" t="str">
        <f>Sheet1!D13</f>
        <v>4 CORE X 50 SQ. MM. ALU/ARD - STRIP (XLPE)</v>
      </c>
      <c r="E27" s="3">
        <f t="shared" si="0"/>
        <v>348018.3</v>
      </c>
      <c r="F27" s="165">
        <f t="shared" si="12"/>
        <v>7887</v>
      </c>
      <c r="G27" s="9">
        <f t="shared" si="1"/>
        <v>355905.3</v>
      </c>
      <c r="H27" s="7">
        <v>0.18</v>
      </c>
      <c r="I27" s="9">
        <f t="shared" si="2"/>
        <v>64062.953999999998</v>
      </c>
      <c r="J27" s="9">
        <f t="shared" si="3"/>
        <v>419968.25399999996</v>
      </c>
      <c r="K27" s="1">
        <f>Sheet1!CS13</f>
        <v>97</v>
      </c>
      <c r="L27" s="1" t="str">
        <f>Sheet1!CT13</f>
        <v>KMS</v>
      </c>
      <c r="M27" s="3">
        <f t="shared" si="4"/>
        <v>40736920.637999997</v>
      </c>
      <c r="N27" s="61">
        <f>+IFERROR(VLOOKUP($N$15,Sheet1!J13:L13,3,0),0)</f>
        <v>540</v>
      </c>
      <c r="O27" s="2">
        <f>+IFERROR(VLOOKUP($O$15,Sheet1!J13:L13,3,0),0)</f>
        <v>0</v>
      </c>
      <c r="P27" s="2">
        <f>+IFERROR(VLOOKUP($P$15,Sheet1!J13:M13,3,0),0)</f>
        <v>0</v>
      </c>
      <c r="Q27" s="2">
        <f>+IFERROR(VLOOKUP($Q$15,Sheet1!J13:M13,3,0),0)</f>
        <v>0</v>
      </c>
      <c r="R27" s="2">
        <f>+IFERROR(VLOOKUP($R$15,Sheet1!J13:M13,3,0),0)</f>
        <v>0</v>
      </c>
      <c r="S27" s="2">
        <f>+IFERROR(VLOOKUP($S$15,Sheet1!N13:Q13,3,0),0)</f>
        <v>0</v>
      </c>
      <c r="T27" s="2">
        <f>+IFERROR(VLOOKUP($T$15,Sheet1!N13:Q13,3,0),0)</f>
        <v>0</v>
      </c>
      <c r="U27" s="2">
        <f>+IFERROR(VLOOKUP($U$15,Sheet1!F13:I13,3,0),0)</f>
        <v>0</v>
      </c>
      <c r="V27" s="2">
        <f>+IFERROR(VLOOKUP($V$15,Sheet1!F13:I13,3,0),0)</f>
        <v>0</v>
      </c>
      <c r="W27" s="2">
        <f>+IFERROR(VLOOKUP($W$15,Sheet1!F13:I13,3,0),0)</f>
        <v>0</v>
      </c>
      <c r="X27" s="2">
        <f>+IFERROR(VLOOKUP($X$15,Sheet1!F13:I13,3,0),0)</f>
        <v>0</v>
      </c>
      <c r="Y27" s="2">
        <f>+IFERROR(VLOOKUP($Y$15,Sheet1!F13:I13,3,0),0)</f>
        <v>0</v>
      </c>
      <c r="Z27" s="2">
        <f>+IFERROR(VLOOKUP($Z$15,Sheet1!F13:I13,3,0),0)</f>
        <v>0</v>
      </c>
      <c r="AA27" s="2">
        <f>+IFERROR(VLOOKUP($AA$15,Sheet1!F13:I13,3,0),0)</f>
        <v>0</v>
      </c>
      <c r="AB27" s="2">
        <f>+IFERROR(VLOOKUP($AB$15,Sheet1!F13:I13,3,0),0)</f>
        <v>0</v>
      </c>
      <c r="AC27" s="2">
        <f>+IFERROR(VLOOKUP($AC$15,Sheet1!R13:U13,3,0),0)</f>
        <v>0</v>
      </c>
      <c r="AD27" s="13">
        <f>+IFERROR(VLOOKUP($AD$15,Sheet1!R13:U13,2,0),0)</f>
        <v>0</v>
      </c>
      <c r="AE27" s="2">
        <f>+IFERROR(VLOOKUP($AE$15,Sheet1!V13:Y13,3,0),0)</f>
        <v>0</v>
      </c>
      <c r="AF27" s="60">
        <f>+IFERROR(VLOOKUP($AF$15,Sheet1!V13:Y13,3,0),0)</f>
        <v>124</v>
      </c>
      <c r="AG27" s="13">
        <f>+IFERROR(VLOOKUP($AG$15,Sheet1!V13:Y13,3,0),0)</f>
        <v>0</v>
      </c>
      <c r="AH27" s="13">
        <f>+IFERROR(VLOOKUP($AH$15,Sheet1!V13:Y13,3,0),0)</f>
        <v>0</v>
      </c>
      <c r="AI27" s="13">
        <f>+IFERROR(VLOOKUP($AI$15,Sheet1!V13:Y13,3,0),0)</f>
        <v>0</v>
      </c>
      <c r="AJ27" s="13">
        <f>+IFERROR(VLOOKUP($AJ$15,Sheet1!V13:Y13,3,0),0)</f>
        <v>0</v>
      </c>
      <c r="AK27" s="13">
        <f>+IFERROR(VLOOKUP($AK$15,Sheet1!Z13:AB13,3,0),0)</f>
        <v>0</v>
      </c>
      <c r="AL27" s="13">
        <f>+IFERROR(VLOOKUP($AL$15,Sheet1!AD13:AG13,3,0),0)</f>
        <v>0</v>
      </c>
      <c r="AM27" s="13">
        <f>+IFERROR(VLOOKUP($AM$15,Sheet1!AD13:AG13,3,0),0)</f>
        <v>0</v>
      </c>
      <c r="AN27" s="13">
        <f>+IFERROR(VLOOKUP($AN$15,Sheet1!AD13:AG13,3,0),0)</f>
        <v>0</v>
      </c>
      <c r="AO27" s="13">
        <f>+IFERROR(VLOOKUP($AO$15,Sheet1!AD13:AG13,3,0),0)</f>
        <v>0</v>
      </c>
      <c r="AP27" s="13">
        <f>+IFERROR(VLOOKUP($AP$15,Sheet1!AD13:AG13,3,0),0)</f>
        <v>0</v>
      </c>
      <c r="AQ27" s="60">
        <f>+IFERROR(VLOOKUP($AQ$15,Sheet1!AD13:AG13,3,0),0)</f>
        <v>69</v>
      </c>
      <c r="AR27" s="13">
        <f>+IFERROR(VLOOKUP($AR$15,Sheet1!AD13:AG13,3,0),0)</f>
        <v>0</v>
      </c>
      <c r="AS27" s="13">
        <f>+IFERROR(VLOOKUP($AS$15,Sheet1!AH13:AK13,3,0),0)</f>
        <v>0</v>
      </c>
      <c r="AT27" s="13">
        <f>+IFERROR(VLOOKUP($AT$15,Sheet1!AH13:AK13,3,0),0)</f>
        <v>0</v>
      </c>
      <c r="AU27" s="13">
        <f>+IFERROR(VLOOKUP($AU$15,Sheet1!AH13:AK13,3,0),0)</f>
        <v>0</v>
      </c>
      <c r="AV27" s="13">
        <f>+IFERROR(VLOOKUP($AV$15,Sheet1!AH13:AK13,3,0),0)</f>
        <v>0</v>
      </c>
      <c r="AW27" s="13">
        <f>+IFERROR(VLOOKUP($AW$15,Sheet1!AH13:AK13,3,0),0)</f>
        <v>0</v>
      </c>
      <c r="AX27" s="60">
        <f>+IFERROR(VLOOKUP($AX$15,Sheet1!AH13:AK13,3,0),0)</f>
        <v>457</v>
      </c>
      <c r="AY27" s="13">
        <f>+IFERROR(VLOOKUP($AY$15,Sheet1!AH13:AK13,3,0),0)</f>
        <v>0</v>
      </c>
      <c r="AZ27" s="13">
        <f>+IFERROR(VLOOKUP($AZ$15,Sheet1!AH13:AK13,3,0),0)</f>
        <v>0</v>
      </c>
      <c r="BA27" s="13">
        <f>+IFERROR(VLOOKUP($BA$15,Sheet1!AH13:AK13,3,0),0)</f>
        <v>0</v>
      </c>
      <c r="BB27" s="13">
        <f>+IFERROR(VLOOKUP($BB$15,Sheet1!AH13:AK13,3,0),0)</f>
        <v>0</v>
      </c>
      <c r="BC27" s="13">
        <f>+IFERROR(VLOOKUP($BC$15,Sheet1!AL13:AO13,3,0),0)</f>
        <v>0</v>
      </c>
      <c r="BD27" s="13">
        <f>+IFERROR(VLOOKUP($BD$15,Sheet1!AL13:AO13,3,0),0)</f>
        <v>0</v>
      </c>
      <c r="BE27" s="13">
        <f>+IFERROR(VLOOKUP($BE$15,Sheet1!AL13:AO13,3,0),0)</f>
        <v>0</v>
      </c>
      <c r="BF27" s="60">
        <f>+IFERROR(VLOOKUP($BF$15,Sheet1!AL13:AO13,3,0),0)</f>
        <v>240</v>
      </c>
      <c r="BG27" s="13">
        <f>+IFERROR(VLOOKUP($BG$15,Sheet1!AL13:AO13,3,0),0)</f>
        <v>0</v>
      </c>
      <c r="BH27" s="13">
        <f>+IFERROR(VLOOKUP($BH$15,Sheet1!AL13:AO13,3,0),0)</f>
        <v>0</v>
      </c>
      <c r="BI27" s="13">
        <f>+IFERROR(VLOOKUP($BI$15,Sheet1!AL13:AO13,3,0),0)</f>
        <v>0</v>
      </c>
      <c r="BJ27" s="13">
        <f>+IFERROR(VLOOKUP($BJ$15,Sheet1!AL13:AO13,3,0),0)</f>
        <v>0</v>
      </c>
      <c r="BK27" s="13">
        <f>+IFERROR(VLOOKUP($BK$15,Sheet1!AL13:AO13,3,0),0)</f>
        <v>0</v>
      </c>
      <c r="BL27" s="13">
        <f>+IFERROR(VLOOKUP($BL$15,Sheet1!AL13:AO13,3,0),0)</f>
        <v>0</v>
      </c>
      <c r="BM27" s="13">
        <f>+IFERROR(VLOOKUP($BM$15,Sheet1!AP13:AS13,3,0),0)</f>
        <v>0</v>
      </c>
      <c r="BN27" s="13">
        <f>+IFERROR(VLOOKUP($BN$15,Sheet1!AT13:AW13,3,0),0)</f>
        <v>0</v>
      </c>
      <c r="BO27" s="13">
        <f>+IFERROR(VLOOKUP($BO$15,Sheet1!AX13:BA13,3,0),0)</f>
        <v>0</v>
      </c>
      <c r="BP27" s="13">
        <f>+IFERROR(VLOOKUP($BP$15,Sheet1!BB13:BE13,3,0),0)</f>
        <v>0</v>
      </c>
      <c r="BQ27" s="13">
        <f>+IFERROR(VLOOKUP($BQ$15,Sheet1!BF13:BI13,3,0),0)</f>
        <v>0</v>
      </c>
      <c r="BR27" s="13">
        <f>+IFERROR(VLOOKUP($BR$15,Sheet1!BJ13:BM13,3,0),0)</f>
        <v>0</v>
      </c>
      <c r="BS27" s="13">
        <f>+IFERROR(VLOOKUP($BS$15,Sheet1!BN13:BQ13,3,0),0)</f>
        <v>0</v>
      </c>
      <c r="BT27" s="60">
        <v>17</v>
      </c>
      <c r="BU27" s="13">
        <f>+IFERROR(VLOOKUP($BU$15,Sheet1!BV13:BY13,3,0),0)</f>
        <v>0</v>
      </c>
      <c r="BV27" s="13" t="str">
        <f>Sheet1!E13</f>
        <v>STEEL</v>
      </c>
      <c r="BW27" s="13" t="s">
        <v>221</v>
      </c>
      <c r="BX27" s="13" t="s">
        <v>222</v>
      </c>
      <c r="BY27" s="13">
        <f>VLOOKUP(C27,Sheet1!$C$1:$CX$17,100,0)</f>
        <v>1000</v>
      </c>
      <c r="BZ27" s="164">
        <v>20900</v>
      </c>
      <c r="CA27" s="3">
        <f t="shared" si="5"/>
        <v>220964</v>
      </c>
      <c r="CB27" s="25">
        <f>Sheet1!CB13</f>
        <v>0</v>
      </c>
      <c r="CC27" s="3">
        <f t="shared" si="6"/>
        <v>0</v>
      </c>
      <c r="CD27" s="49">
        <v>0.5</v>
      </c>
      <c r="CE27" s="3">
        <f t="shared" si="7"/>
        <v>110482</v>
      </c>
      <c r="CF27" s="49">
        <f>Sheet1!CF13</f>
        <v>0</v>
      </c>
      <c r="CG27" s="3">
        <f t="shared" si="8"/>
        <v>0</v>
      </c>
      <c r="CH27" s="3">
        <f t="shared" si="9"/>
        <v>331446</v>
      </c>
      <c r="CI27" s="49">
        <v>0.03</v>
      </c>
      <c r="CJ27" s="1">
        <f t="shared" si="10"/>
        <v>9943.3799999999992</v>
      </c>
      <c r="CK27" s="49">
        <v>0.02</v>
      </c>
      <c r="CL27" s="1">
        <f t="shared" si="11"/>
        <v>6628.92</v>
      </c>
    </row>
    <row r="28" spans="1:90" ht="30" x14ac:dyDescent="0.25">
      <c r="A28" s="1" t="str">
        <f>Sheet1!A12</f>
        <v>ENQ-11285-22-23</v>
      </c>
      <c r="B28" s="52">
        <f>Sheet1!B12</f>
        <v>45170</v>
      </c>
      <c r="C28" s="167" t="str">
        <f>Sheet1!C12</f>
        <v>FA1100012</v>
      </c>
      <c r="D28" s="1" t="str">
        <f>Sheet1!D12</f>
        <v>4 CORE X 95 SQ. MM. AL/ARD - STRIP (XLPE)</v>
      </c>
      <c r="E28" s="3">
        <f t="shared" si="0"/>
        <v>564254.77499999991</v>
      </c>
      <c r="F28" s="165">
        <f t="shared" si="12"/>
        <v>15549</v>
      </c>
      <c r="G28" s="9">
        <f t="shared" si="1"/>
        <v>579803.77499999991</v>
      </c>
      <c r="H28" s="7">
        <v>0.18</v>
      </c>
      <c r="I28" s="9">
        <f t="shared" si="2"/>
        <v>104364.67949999998</v>
      </c>
      <c r="J28" s="9">
        <f t="shared" si="3"/>
        <v>684168.45449999988</v>
      </c>
      <c r="K28" s="1">
        <f>Sheet1!CS12</f>
        <v>82</v>
      </c>
      <c r="L28" s="1" t="str">
        <f>Sheet1!CT12</f>
        <v>KMS</v>
      </c>
      <c r="M28" s="3">
        <f t="shared" si="4"/>
        <v>56101813.268999986</v>
      </c>
      <c r="N28" s="61">
        <f>+IFERROR(VLOOKUP($N$15,Sheet1!J12:L12,3,0),0)</f>
        <v>1026</v>
      </c>
      <c r="O28" s="2">
        <f>+IFERROR(VLOOKUP($O$15,Sheet1!J12:L12,3,0),0)</f>
        <v>0</v>
      </c>
      <c r="P28" s="2">
        <f>+IFERROR(VLOOKUP($P$15,Sheet1!J12:M12,3,0),0)</f>
        <v>0</v>
      </c>
      <c r="Q28" s="2">
        <f>+IFERROR(VLOOKUP($Q$15,Sheet1!J12:M12,3,0),0)</f>
        <v>0</v>
      </c>
      <c r="R28" s="2">
        <f>+IFERROR(VLOOKUP($R$15,Sheet1!J12:M12,3,0),0)</f>
        <v>0</v>
      </c>
      <c r="S28" s="2">
        <f>+IFERROR(VLOOKUP($S$15,Sheet1!N12:Q12,3,0),0)</f>
        <v>0</v>
      </c>
      <c r="T28" s="2">
        <f>+IFERROR(VLOOKUP($T$15,Sheet1!N12:Q12,3,0),0)</f>
        <v>0</v>
      </c>
      <c r="U28" s="2">
        <f>+IFERROR(VLOOKUP($U$15,Sheet1!F12:I12,3,0),0)</f>
        <v>0</v>
      </c>
      <c r="V28" s="2">
        <f>+IFERROR(VLOOKUP($V$15,Sheet1!F12:I12,3,0),0)</f>
        <v>0</v>
      </c>
      <c r="W28" s="2">
        <f>+IFERROR(VLOOKUP($W$15,Sheet1!F12:I12,3,0),0)</f>
        <v>0</v>
      </c>
      <c r="X28" s="2">
        <f>+IFERROR(VLOOKUP($X$15,Sheet1!F12:I12,3,0),0)</f>
        <v>0</v>
      </c>
      <c r="Y28" s="2">
        <f>+IFERROR(VLOOKUP($Y$15,Sheet1!F12:I12,3,0),0)</f>
        <v>0</v>
      </c>
      <c r="Z28" s="2">
        <f>+IFERROR(VLOOKUP($Z$15,Sheet1!F12:I12,3,0),0)</f>
        <v>0</v>
      </c>
      <c r="AA28" s="2">
        <f>+IFERROR(VLOOKUP($AA$15,Sheet1!F12:I12,3,0),0)</f>
        <v>0</v>
      </c>
      <c r="AB28" s="2">
        <f>+IFERROR(VLOOKUP($AB$15,Sheet1!F12:I12,3,0),0)</f>
        <v>0</v>
      </c>
      <c r="AC28" s="2">
        <f>+IFERROR(VLOOKUP($AC$15,Sheet1!R12:U12,3,0),0)</f>
        <v>0</v>
      </c>
      <c r="AD28" s="13">
        <f>+IFERROR(VLOOKUP($AD$15,Sheet1!R12:U12,2,0),0)</f>
        <v>0</v>
      </c>
      <c r="AE28" s="2">
        <f>+IFERROR(VLOOKUP($AE$15,Sheet1!V12:Y12,3,0),0)</f>
        <v>0</v>
      </c>
      <c r="AF28" s="60">
        <f>+IFERROR(VLOOKUP($AF$15,Sheet1!V12:Y12,3,0),0)</f>
        <v>187</v>
      </c>
      <c r="AG28" s="13">
        <f>+IFERROR(VLOOKUP($AG$15,Sheet1!V12:Y12,3,0),0)</f>
        <v>0</v>
      </c>
      <c r="AH28" s="13">
        <f>+IFERROR(VLOOKUP($AH$15,Sheet1!V12:Y12,3,0),0)</f>
        <v>0</v>
      </c>
      <c r="AI28" s="13">
        <f>+IFERROR(VLOOKUP($AI$15,Sheet1!V12:Y12,3,0),0)</f>
        <v>0</v>
      </c>
      <c r="AJ28" s="13">
        <f>+IFERROR(VLOOKUP($AJ$15,Sheet1!V12:Y12,3,0),0)</f>
        <v>0</v>
      </c>
      <c r="AK28" s="13">
        <f>+IFERROR(VLOOKUP($AK$15,Sheet1!Z12:AB12,3,0),0)</f>
        <v>0</v>
      </c>
      <c r="AL28" s="13">
        <f>+IFERROR(VLOOKUP($AL$15,Sheet1!AD12:AG12,3,0),0)</f>
        <v>0</v>
      </c>
      <c r="AM28" s="13">
        <f>+IFERROR(VLOOKUP($AM$15,Sheet1!AD12:AG12,3,0),0)</f>
        <v>0</v>
      </c>
      <c r="AN28" s="13">
        <f>+IFERROR(VLOOKUP($AN$15,Sheet1!AD12:AG12,3,0),0)</f>
        <v>0</v>
      </c>
      <c r="AO28" s="13">
        <f>+IFERROR(VLOOKUP($AO$15,Sheet1!AD12:AG12,3,0),0)</f>
        <v>0</v>
      </c>
      <c r="AP28" s="13">
        <f>+IFERROR(VLOOKUP($AP$15,Sheet1!AD12:AG12,3,0),0)</f>
        <v>0</v>
      </c>
      <c r="AQ28" s="60">
        <f>+IFERROR(VLOOKUP($AQ$15,Sheet1!AD12:AG12,3,0),0)</f>
        <v>93</v>
      </c>
      <c r="AR28" s="13">
        <f>+IFERROR(VLOOKUP($AR$15,Sheet1!AD12:AG12,3,0),0)</f>
        <v>0</v>
      </c>
      <c r="AS28" s="13">
        <f>+IFERROR(VLOOKUP($AS$15,Sheet1!AH12:AK12,3,0),0)</f>
        <v>0</v>
      </c>
      <c r="AT28" s="13">
        <f>+IFERROR(VLOOKUP($AT$15,Sheet1!AH12:AK12,3,0),0)</f>
        <v>0</v>
      </c>
      <c r="AU28" s="13">
        <f>+IFERROR(VLOOKUP($AU$15,Sheet1!AH12:AK12,3,0),0)</f>
        <v>0</v>
      </c>
      <c r="AV28" s="13">
        <f>+IFERROR(VLOOKUP($AV$15,Sheet1!AH12:AK12,3,0),0)</f>
        <v>0</v>
      </c>
      <c r="AW28" s="13">
        <f>+IFERROR(VLOOKUP($AW$15,Sheet1!AH12:AK12,3,0),0)</f>
        <v>0</v>
      </c>
      <c r="AX28" s="60">
        <f>+IFERROR(VLOOKUP($AX$15,Sheet1!AH12:AK12,3,0),0)</f>
        <v>611</v>
      </c>
      <c r="AY28" s="13">
        <f>+IFERROR(VLOOKUP($AY$15,Sheet1!AH12:AK12,3,0),0)</f>
        <v>0</v>
      </c>
      <c r="AZ28" s="13">
        <f>+IFERROR(VLOOKUP($AZ$15,Sheet1!AH12:AK12,3,0),0)</f>
        <v>0</v>
      </c>
      <c r="BA28" s="13">
        <f>+IFERROR(VLOOKUP($BA$15,Sheet1!AH12:AK12,3,0),0)</f>
        <v>0</v>
      </c>
      <c r="BB28" s="13">
        <f>+IFERROR(VLOOKUP($BB$15,Sheet1!AH12:AK12,3,0),0)</f>
        <v>0</v>
      </c>
      <c r="BC28" s="13">
        <f>+IFERROR(VLOOKUP($BC$15,Sheet1!AL12:AO12,3,0),0)</f>
        <v>0</v>
      </c>
      <c r="BD28" s="13">
        <f>+IFERROR(VLOOKUP($BD$15,Sheet1!AL12:AO12,3,0),0)</f>
        <v>0</v>
      </c>
      <c r="BE28" s="13">
        <f>+IFERROR(VLOOKUP($BE$15,Sheet1!AL12:AO12,3,0),0)</f>
        <v>0</v>
      </c>
      <c r="BF28" s="60">
        <f>+IFERROR(VLOOKUP($BF$15,Sheet1!AL12:AO12,3,0),0)</f>
        <v>348</v>
      </c>
      <c r="BG28" s="13">
        <f>+IFERROR(VLOOKUP($BG$15,Sheet1!AL12:AO12,3,0),0)</f>
        <v>0</v>
      </c>
      <c r="BH28" s="13">
        <f>+IFERROR(VLOOKUP($BH$15,Sheet1!AL12:AO12,3,0),0)</f>
        <v>0</v>
      </c>
      <c r="BI28" s="13">
        <f>+IFERROR(VLOOKUP($BI$15,Sheet1!AL12:AO12,3,0),0)</f>
        <v>0</v>
      </c>
      <c r="BJ28" s="13">
        <f>+IFERROR(VLOOKUP($BJ$15,Sheet1!AL12:AO12,3,0),0)</f>
        <v>0</v>
      </c>
      <c r="BK28" s="13">
        <f>+IFERROR(VLOOKUP($BK$15,Sheet1!AL12:AO12,3,0),0)</f>
        <v>0</v>
      </c>
      <c r="BL28" s="13">
        <f>+IFERROR(VLOOKUP($BL$15,Sheet1!AL12:AO12,3,0),0)</f>
        <v>0</v>
      </c>
      <c r="BM28" s="13">
        <f>+IFERROR(VLOOKUP($BM$15,Sheet1!AP12:AS12,3,0),0)</f>
        <v>0</v>
      </c>
      <c r="BN28" s="13">
        <f>+IFERROR(VLOOKUP($BN$15,Sheet1!AT12:AW12,3,0),0)</f>
        <v>0</v>
      </c>
      <c r="BO28" s="13">
        <f>+IFERROR(VLOOKUP($BO$15,Sheet1!AX12:BA12,3,0),0)</f>
        <v>0</v>
      </c>
      <c r="BP28" s="13">
        <f>+IFERROR(VLOOKUP($BP$15,Sheet1!BB12:BE12,3,0),0)</f>
        <v>0</v>
      </c>
      <c r="BQ28" s="13">
        <f>+IFERROR(VLOOKUP($BQ$15,Sheet1!BF12:BI12,3,0),0)</f>
        <v>0</v>
      </c>
      <c r="BR28" s="13">
        <f>+IFERROR(VLOOKUP($BR$15,Sheet1!BJ12:BM12,3,0),0)</f>
        <v>0</v>
      </c>
      <c r="BS28" s="13">
        <f>+IFERROR(VLOOKUP($BS$15,Sheet1!BN12:BQ12,3,0),0)</f>
        <v>0</v>
      </c>
      <c r="BT28" s="60">
        <v>22.5</v>
      </c>
      <c r="BU28" s="13">
        <f>+IFERROR(VLOOKUP($BU$15,Sheet1!BV12:BY12,3,0),0)</f>
        <v>0</v>
      </c>
      <c r="BV28" s="13" t="str">
        <f>Sheet1!E12</f>
        <v>STEEL</v>
      </c>
      <c r="BW28" s="13" t="s">
        <v>223</v>
      </c>
      <c r="BX28" s="13" t="s">
        <v>224</v>
      </c>
      <c r="BY28" s="13">
        <f>VLOOKUP(C28,Sheet1!$C$1:$CX$17,100,0)</f>
        <v>500</v>
      </c>
      <c r="BZ28" s="164">
        <f>10450*2</f>
        <v>20900</v>
      </c>
      <c r="CA28" s="3">
        <f t="shared" si="5"/>
        <v>358257</v>
      </c>
      <c r="CB28" s="25">
        <f>Sheet1!CB12</f>
        <v>0</v>
      </c>
      <c r="CC28" s="3">
        <f t="shared" si="6"/>
        <v>0</v>
      </c>
      <c r="CD28" s="49">
        <v>0.5</v>
      </c>
      <c r="CE28" s="3">
        <f t="shared" si="7"/>
        <v>179128.5</v>
      </c>
      <c r="CF28" s="49">
        <f>Sheet1!CF12</f>
        <v>0</v>
      </c>
      <c r="CG28" s="3">
        <f t="shared" si="8"/>
        <v>0</v>
      </c>
      <c r="CH28" s="3">
        <f t="shared" si="9"/>
        <v>537385.5</v>
      </c>
      <c r="CI28" s="49">
        <v>0.03</v>
      </c>
      <c r="CJ28" s="1">
        <f t="shared" si="10"/>
        <v>16121.564999999999</v>
      </c>
      <c r="CK28" s="49">
        <v>0.02</v>
      </c>
      <c r="CL28" s="1">
        <f t="shared" si="11"/>
        <v>10747.710000000001</v>
      </c>
    </row>
    <row r="29" spans="1:90" ht="30" x14ac:dyDescent="0.25">
      <c r="A29" s="1" t="str">
        <f>Sheet1!A9</f>
        <v>ENQ-11285-22-23</v>
      </c>
      <c r="B29" s="52">
        <f>Sheet1!B9</f>
        <v>45170</v>
      </c>
      <c r="C29" s="167" t="str">
        <f>Sheet1!C9</f>
        <v>FA1100262</v>
      </c>
      <c r="D29" s="1" t="str">
        <f>Sheet1!D9</f>
        <v>4 CORE X 150 SQ. MM. AL/ARD - STRIP/TYPE - B (XLPE)</v>
      </c>
      <c r="E29" s="3">
        <f t="shared" si="0"/>
        <v>977476.5</v>
      </c>
      <c r="F29" s="165">
        <f t="shared" si="12"/>
        <v>22667</v>
      </c>
      <c r="G29" s="9">
        <f t="shared" si="1"/>
        <v>1000143.5</v>
      </c>
      <c r="H29" s="7">
        <v>0.18</v>
      </c>
      <c r="I29" s="9">
        <f t="shared" si="2"/>
        <v>180025.83</v>
      </c>
      <c r="J29" s="9">
        <f t="shared" si="3"/>
        <v>1180169.33</v>
      </c>
      <c r="K29" s="1">
        <f>Sheet1!CS9</f>
        <v>45</v>
      </c>
      <c r="L29" s="1" t="str">
        <f>Sheet1!CT9</f>
        <v>KMS</v>
      </c>
      <c r="M29" s="3">
        <f t="shared" si="4"/>
        <v>53107619.850000001</v>
      </c>
      <c r="N29" s="61">
        <f>+IFERROR(VLOOKUP($N$15,Sheet1!J9:L9,3,0),0)</f>
        <v>1620</v>
      </c>
      <c r="O29" s="2">
        <f>+IFERROR(VLOOKUP($O$15,Sheet1!J9:L9,3,0),0)</f>
        <v>0</v>
      </c>
      <c r="P29" s="2">
        <f>+IFERROR(VLOOKUP($P$15,Sheet1!J9:M9,3,0),0)</f>
        <v>0</v>
      </c>
      <c r="Q29" s="2">
        <f>+IFERROR(VLOOKUP($Q$15,Sheet1!J9:M9,3,0),0)</f>
        <v>0</v>
      </c>
      <c r="R29" s="2">
        <f>+IFERROR(VLOOKUP($R$15,Sheet1!J9:M9,3,0),0)</f>
        <v>0</v>
      </c>
      <c r="S29" s="2">
        <f>+IFERROR(VLOOKUP($S$15,Sheet1!N9:Q9,3,0),0)</f>
        <v>0</v>
      </c>
      <c r="T29" s="2">
        <f>+IFERROR(VLOOKUP($T$15,Sheet1!N9:Q9,3,0),0)</f>
        <v>0</v>
      </c>
      <c r="U29" s="2">
        <f>+IFERROR(VLOOKUP($U$15,Sheet1!F9:I9,3,0),0)</f>
        <v>0</v>
      </c>
      <c r="V29" s="2">
        <f>+IFERROR(VLOOKUP($V$15,Sheet1!F9:I9,3,0),0)</f>
        <v>0</v>
      </c>
      <c r="W29" s="2">
        <f>+IFERROR(VLOOKUP($W$15,Sheet1!F9:I9,3,0),0)</f>
        <v>0</v>
      </c>
      <c r="X29" s="2">
        <f>+IFERROR(VLOOKUP($X$15,Sheet1!F9:I9,3,0),0)</f>
        <v>0</v>
      </c>
      <c r="Y29" s="2">
        <f>+IFERROR(VLOOKUP($Y$15,Sheet1!F9:I9,3,0),0)</f>
        <v>0</v>
      </c>
      <c r="Z29" s="2">
        <f>+IFERROR(VLOOKUP($Z$15,Sheet1!F9:I9,3,0),0)</f>
        <v>0</v>
      </c>
      <c r="AA29" s="2">
        <f>+IFERROR(VLOOKUP($AA$15,Sheet1!F9:I9,3,0),0)</f>
        <v>0</v>
      </c>
      <c r="AB29" s="2">
        <f>+IFERROR(VLOOKUP($AB$15,Sheet1!F9:I9,3,0),0)</f>
        <v>0</v>
      </c>
      <c r="AC29" s="2">
        <f>+IFERROR(VLOOKUP($AC$15,Sheet1!R9:U9,3,0),0)</f>
        <v>0</v>
      </c>
      <c r="AD29" s="13">
        <f>+IFERROR(VLOOKUP($AD$15,Sheet1!R9:U9,2,0),0)</f>
        <v>0</v>
      </c>
      <c r="AE29" s="2">
        <f>+IFERROR(VLOOKUP($AE$15,Sheet1!V9:Y9,3,0),0)</f>
        <v>0</v>
      </c>
      <c r="AF29" s="60">
        <v>285</v>
      </c>
      <c r="AG29" s="13">
        <f>+IFERROR(VLOOKUP($AG$15,Sheet1!V9:Y9,3,0),0)</f>
        <v>0</v>
      </c>
      <c r="AH29" s="13">
        <f>+IFERROR(VLOOKUP($AH$15,Sheet1!V9:Y9,3,0),0)</f>
        <v>0</v>
      </c>
      <c r="AI29" s="13">
        <f>+IFERROR(VLOOKUP($AI$15,Sheet1!V9:Y9,3,0),0)</f>
        <v>0</v>
      </c>
      <c r="AJ29" s="13">
        <f>+IFERROR(VLOOKUP($AJ$15,Sheet1!V9:Y9,3,0),0)</f>
        <v>0</v>
      </c>
      <c r="AK29" s="13">
        <f>+IFERROR(VLOOKUP($AK$15,Sheet1!Z9:AB9,3,0),0)</f>
        <v>0</v>
      </c>
      <c r="AL29" s="13">
        <f>+IFERROR(VLOOKUP($AL$15,Sheet1!AD9:AG9,3,0),0)</f>
        <v>0</v>
      </c>
      <c r="AM29" s="13">
        <f>+IFERROR(VLOOKUP($AM$15,Sheet1!AD9:AG9,3,0),0)</f>
        <v>0</v>
      </c>
      <c r="AN29" s="13">
        <f>+IFERROR(VLOOKUP($AN$15,Sheet1!AD9:AG9,3,0),0)</f>
        <v>0</v>
      </c>
      <c r="AO29" s="13">
        <f>+IFERROR(VLOOKUP($AO$15,Sheet1!AD9:AG9,3,0),0)</f>
        <v>0</v>
      </c>
      <c r="AP29" s="13">
        <f>+IFERROR(VLOOKUP($AP$15,Sheet1!AD9:AG9,3,0),0)</f>
        <v>0</v>
      </c>
      <c r="AQ29" s="60">
        <v>138</v>
      </c>
      <c r="AR29" s="13">
        <f>+IFERROR(VLOOKUP($AR$15,Sheet1!AD9:AG9,3,0),0)</f>
        <v>0</v>
      </c>
      <c r="AS29" s="13">
        <f>+IFERROR(VLOOKUP($AS$15,Sheet1!AH9:AK9,3,0),0)</f>
        <v>0</v>
      </c>
      <c r="AT29" s="13">
        <f>+IFERROR(VLOOKUP($AT$15,Sheet1!AH9:AK9,3,0),0)</f>
        <v>0</v>
      </c>
      <c r="AU29" s="13">
        <f>+IFERROR(VLOOKUP($AU$15,Sheet1!AH9:AK9,3,0),0)</f>
        <v>0</v>
      </c>
      <c r="AV29" s="13">
        <f>+IFERROR(VLOOKUP($AV$15,Sheet1!AH9:AK9,3,0),0)</f>
        <v>0</v>
      </c>
      <c r="AW29" s="13">
        <f>+IFERROR(VLOOKUP($AW$15,Sheet1!AH9:AK9,3,0),0)</f>
        <v>0</v>
      </c>
      <c r="AX29" s="13">
        <f>+IFERROR(VLOOKUP($AX$15,Sheet1!AH9:AK9,3,0),0)</f>
        <v>0</v>
      </c>
      <c r="AY29" s="13">
        <f>+IFERROR(VLOOKUP($AY$15,Sheet1!AH9:AK9,3,0),0)</f>
        <v>0</v>
      </c>
      <c r="AZ29" s="60">
        <v>1279</v>
      </c>
      <c r="BA29" s="13">
        <f>+IFERROR(VLOOKUP($BA$15,Sheet1!AH9:AK9,3,0),0)</f>
        <v>0</v>
      </c>
      <c r="BB29" s="13">
        <f>+IFERROR(VLOOKUP($BB$15,Sheet1!AH9:AK9,3,0),0)</f>
        <v>0</v>
      </c>
      <c r="BC29" s="13">
        <f>+IFERROR(VLOOKUP($BC$15,Sheet1!AL9:AO9,3,0),0)</f>
        <v>0</v>
      </c>
      <c r="BD29" s="13">
        <f>+IFERROR(VLOOKUP($BD$15,Sheet1!AL9:AO9,3,0),0)</f>
        <v>0</v>
      </c>
      <c r="BE29" s="13">
        <f>+IFERROR(VLOOKUP($BE$15,Sheet1!AL9:AO9,3,0),0)</f>
        <v>0</v>
      </c>
      <c r="BF29" s="60">
        <v>460</v>
      </c>
      <c r="BG29" s="13">
        <f>+IFERROR(VLOOKUP($BG$15,Sheet1!AL9:AO9,3,0),0)</f>
        <v>0</v>
      </c>
      <c r="BH29" s="13">
        <f>+IFERROR(VLOOKUP($BH$15,Sheet1!AL9:AO9,3,0),0)</f>
        <v>0</v>
      </c>
      <c r="BI29" s="13">
        <f>+IFERROR(VLOOKUP($BI$15,Sheet1!AL9:AO9,3,0),0)</f>
        <v>0</v>
      </c>
      <c r="BJ29" s="13">
        <f>+IFERROR(VLOOKUP($BJ$15,Sheet1!AL9:AO9,3,0),0)</f>
        <v>0</v>
      </c>
      <c r="BK29" s="13">
        <f>+IFERROR(VLOOKUP($BK$15,Sheet1!AL9:AO9,3,0),0)</f>
        <v>0</v>
      </c>
      <c r="BL29" s="13">
        <f>+IFERROR(VLOOKUP($BL$15,Sheet1!AL9:AO9,3,0),0)</f>
        <v>0</v>
      </c>
      <c r="BM29" s="13">
        <f>+IFERROR(VLOOKUP($BM$15,Sheet1!AP9:AS9,3,0),0)</f>
        <v>0</v>
      </c>
      <c r="BN29" s="13">
        <f>+IFERROR(VLOOKUP($BN$15,Sheet1!AT9:AW9,3,0),0)</f>
        <v>0</v>
      </c>
      <c r="BO29" s="60">
        <v>55</v>
      </c>
      <c r="BP29" s="13">
        <f>+IFERROR(VLOOKUP($BP$15,Sheet1!BB9:BE9,3,0),0)</f>
        <v>0</v>
      </c>
      <c r="BQ29" s="13">
        <f>+IFERROR(VLOOKUP($BQ$15,Sheet1!BF9:BI9,3,0),0)</f>
        <v>0</v>
      </c>
      <c r="BR29" s="13">
        <f>+IFERROR(VLOOKUP($BR$15,Sheet1!BJ9:BM9,3,0),0)</f>
        <v>0</v>
      </c>
      <c r="BS29" s="13">
        <f>+IFERROR(VLOOKUP($BS$15,Sheet1!BN9:BQ9,3,0),0)</f>
        <v>0</v>
      </c>
      <c r="BT29" s="60">
        <v>29</v>
      </c>
      <c r="BU29" s="13">
        <f>+IFERROR(VLOOKUP($BU$15,Sheet1!BV9:BY9,3,0),0)</f>
        <v>0</v>
      </c>
      <c r="BV29" s="13" t="str">
        <f>Sheet1!E9</f>
        <v>STEEL</v>
      </c>
      <c r="BW29" s="13" t="s">
        <v>221</v>
      </c>
      <c r="BX29" s="13" t="s">
        <v>222</v>
      </c>
      <c r="BY29" s="13">
        <f>VLOOKUP(C29,Sheet1!$C$1:$CX$17,100,0)</f>
        <v>500</v>
      </c>
      <c r="BZ29" s="164">
        <f>20900*2</f>
        <v>41800</v>
      </c>
      <c r="CA29" s="3">
        <f t="shared" si="5"/>
        <v>620620</v>
      </c>
      <c r="CB29" s="25">
        <f>Sheet1!CB9</f>
        <v>0</v>
      </c>
      <c r="CC29" s="3">
        <f t="shared" si="6"/>
        <v>0</v>
      </c>
      <c r="CD29" s="49">
        <v>0.5</v>
      </c>
      <c r="CE29" s="3">
        <f t="shared" si="7"/>
        <v>310310</v>
      </c>
      <c r="CF29" s="49">
        <f>Sheet1!CF9</f>
        <v>0</v>
      </c>
      <c r="CG29" s="3">
        <f t="shared" si="8"/>
        <v>0</v>
      </c>
      <c r="CH29" s="3">
        <f t="shared" si="9"/>
        <v>930930</v>
      </c>
      <c r="CI29" s="49">
        <v>0.03</v>
      </c>
      <c r="CJ29" s="1">
        <f t="shared" si="10"/>
        <v>27927.899999999998</v>
      </c>
      <c r="CK29" s="49">
        <v>0.02</v>
      </c>
      <c r="CL29" s="1">
        <f t="shared" si="11"/>
        <v>18618.600000000002</v>
      </c>
    </row>
    <row r="30" spans="1:90" ht="30" x14ac:dyDescent="0.25">
      <c r="A30" s="1" t="str">
        <f>Sheet1!A11</f>
        <v>ENQ-11285-22-23</v>
      </c>
      <c r="B30" s="52">
        <f>Sheet1!B11</f>
        <v>45170</v>
      </c>
      <c r="C30" s="167" t="str">
        <f>Sheet1!C11</f>
        <v>FA1100176</v>
      </c>
      <c r="D30" s="1" t="str">
        <f>Sheet1!D11</f>
        <v>4 CORE X 300 SQ. MM. AL/ARD - WIRE (XLPE)</v>
      </c>
      <c r="E30" s="3">
        <f t="shared" si="0"/>
        <v>1901327.4</v>
      </c>
      <c r="F30" s="165">
        <f t="shared" si="12"/>
        <v>56667</v>
      </c>
      <c r="G30" s="9">
        <f t="shared" si="1"/>
        <v>1957994.4</v>
      </c>
      <c r="H30" s="7">
        <v>0.18</v>
      </c>
      <c r="I30" s="9">
        <f t="shared" si="2"/>
        <v>352438.99199999997</v>
      </c>
      <c r="J30" s="9">
        <f t="shared" si="3"/>
        <v>2310433.392</v>
      </c>
      <c r="K30" s="1">
        <f>Sheet1!CS11</f>
        <v>72</v>
      </c>
      <c r="L30" s="1" t="str">
        <f>Sheet1!CT11</f>
        <v>KMS</v>
      </c>
      <c r="M30" s="3">
        <f t="shared" si="4"/>
        <v>166351204.22400001</v>
      </c>
      <c r="N30" s="61">
        <f>+IFERROR(VLOOKUP($N$15,Sheet1!J11:L11,3,0),0)</f>
        <v>3240</v>
      </c>
      <c r="O30" s="2">
        <f>+IFERROR(VLOOKUP($O$15,Sheet1!J11:L11,3,0),0)</f>
        <v>0</v>
      </c>
      <c r="P30" s="2">
        <f>+IFERROR(VLOOKUP($P$15,Sheet1!J11:M11,3,0),0)</f>
        <v>0</v>
      </c>
      <c r="Q30" s="2">
        <f>+IFERROR(VLOOKUP($Q$15,Sheet1!J11:M11,3,0),0)</f>
        <v>0</v>
      </c>
      <c r="R30" s="2">
        <f>+IFERROR(VLOOKUP($R$15,Sheet1!J11:M11,3,0),0)</f>
        <v>0</v>
      </c>
      <c r="S30" s="2">
        <f>+IFERROR(VLOOKUP($S$15,Sheet1!N11:Q11,3,0),0)</f>
        <v>0</v>
      </c>
      <c r="T30" s="2">
        <f>+IFERROR(VLOOKUP($T$15,Sheet1!N11:Q11,3,0),0)</f>
        <v>0</v>
      </c>
      <c r="U30" s="2">
        <f>+IFERROR(VLOOKUP($U$15,Sheet1!F11:I11,3,0),0)</f>
        <v>0</v>
      </c>
      <c r="V30" s="2">
        <f>+IFERROR(VLOOKUP($V$15,Sheet1!F11:I11,3,0),0)</f>
        <v>0</v>
      </c>
      <c r="W30" s="2">
        <f>+IFERROR(VLOOKUP($W$15,Sheet1!F11:I11,3,0),0)</f>
        <v>0</v>
      </c>
      <c r="X30" s="2">
        <f>+IFERROR(VLOOKUP($X$15,Sheet1!F11:I11,3,0),0)</f>
        <v>0</v>
      </c>
      <c r="Y30" s="2">
        <f>+IFERROR(VLOOKUP($Y$15,Sheet1!F11:I11,3,0),0)</f>
        <v>0</v>
      </c>
      <c r="Z30" s="2">
        <f>+IFERROR(VLOOKUP($Z$15,Sheet1!F11:I11,3,0),0)</f>
        <v>0</v>
      </c>
      <c r="AA30" s="2">
        <f>+IFERROR(VLOOKUP($AA$15,Sheet1!F11:I11,3,0),0)</f>
        <v>0</v>
      </c>
      <c r="AB30" s="2">
        <f>+IFERROR(VLOOKUP($AB$15,Sheet1!F11:I11,3,0),0)</f>
        <v>0</v>
      </c>
      <c r="AC30" s="2">
        <f>+IFERROR(VLOOKUP($AC$15,Sheet1!R11:U11,3,0),0)</f>
        <v>0</v>
      </c>
      <c r="AD30" s="13">
        <f>+IFERROR(VLOOKUP($AD$15,Sheet1!R11:U11,2,0),0)</f>
        <v>0</v>
      </c>
      <c r="AE30" s="2">
        <f>+IFERROR(VLOOKUP($AE$15,Sheet1!V11:Y11,3,0),0)</f>
        <v>0</v>
      </c>
      <c r="AF30" s="60">
        <v>500</v>
      </c>
      <c r="AG30" s="13">
        <f>+IFERROR(VLOOKUP($AG$15,Sheet1!V11:Y11,3,0),0)</f>
        <v>0</v>
      </c>
      <c r="AH30" s="13">
        <f>+IFERROR(VLOOKUP($AH$15,Sheet1!V11:Y11,3,0),0)</f>
        <v>0</v>
      </c>
      <c r="AI30" s="13">
        <f>+IFERROR(VLOOKUP($AI$15,Sheet1!V11:Y11,3,0),0)</f>
        <v>0</v>
      </c>
      <c r="AJ30" s="13">
        <f>+IFERROR(VLOOKUP($AJ$15,Sheet1!V11:Y11,3,0),0)</f>
        <v>0</v>
      </c>
      <c r="AK30" s="13">
        <f>+IFERROR(VLOOKUP($AK$15,Sheet1!Z11:AB11,3,0),0)</f>
        <v>0</v>
      </c>
      <c r="AL30" s="13">
        <f>+IFERROR(VLOOKUP($AL$15,Sheet1!AD11:AG11,3,0),0)</f>
        <v>0</v>
      </c>
      <c r="AM30" s="13">
        <f>+IFERROR(VLOOKUP($AM$15,Sheet1!AD11:AG11,3,0),0)</f>
        <v>0</v>
      </c>
      <c r="AN30" s="13">
        <f>+IFERROR(VLOOKUP($AN$15,Sheet1!AD11:AG11,3,0),0)</f>
        <v>0</v>
      </c>
      <c r="AO30" s="13">
        <f>+IFERROR(VLOOKUP($AO$15,Sheet1!AD11:AG11,3,0),0)</f>
        <v>0</v>
      </c>
      <c r="AP30" s="13">
        <f>+IFERROR(VLOOKUP($AP$15,Sheet1!AD11:AG11,3,0),0)</f>
        <v>0</v>
      </c>
      <c r="AQ30" s="60">
        <v>240</v>
      </c>
      <c r="AR30" s="13">
        <f>+IFERROR(VLOOKUP($AR$15,Sheet1!AD11:AG11,3,0),0)</f>
        <v>0</v>
      </c>
      <c r="AS30" s="13">
        <f>+IFERROR(VLOOKUP($AS$15,Sheet1!AH11:AK11,3,0),0)</f>
        <v>0</v>
      </c>
      <c r="AT30" s="13">
        <f>+IFERROR(VLOOKUP($AT$15,Sheet1!AH11:AK11,3,0),0)</f>
        <v>0</v>
      </c>
      <c r="AU30" s="13">
        <f>+IFERROR(VLOOKUP($AU$15,Sheet1!AH11:AK11,3,0),0)</f>
        <v>0</v>
      </c>
      <c r="AV30" s="13">
        <f>+IFERROR(VLOOKUP($AV$15,Sheet1!AH11:AK11,3,0),0)</f>
        <v>0</v>
      </c>
      <c r="AW30" s="13">
        <f>+IFERROR(VLOOKUP($AW$15,Sheet1!AH11:AK11,3,0),0)</f>
        <v>0</v>
      </c>
      <c r="AX30" s="13">
        <f>+IFERROR(VLOOKUP($AX$15,Sheet1!AH11:AK11,3,0),0)</f>
        <v>0</v>
      </c>
      <c r="AY30" s="13">
        <f>+IFERROR(VLOOKUP($AY$15,Sheet1!AH11:AK11,3,0),0)</f>
        <v>0</v>
      </c>
      <c r="AZ30" s="13">
        <f>+IFERROR(VLOOKUP($AZ$15,Sheet1!AH11:AK11,3,0),0)</f>
        <v>0</v>
      </c>
      <c r="BA30" s="60">
        <v>2444</v>
      </c>
      <c r="BB30" s="13">
        <f>+IFERROR(VLOOKUP($BB$15,Sheet1!AH11:AK11,3,0),0)</f>
        <v>0</v>
      </c>
      <c r="BC30" s="13">
        <f>+IFERROR(VLOOKUP($BC$15,Sheet1!AL11:AO11,3,0),0)</f>
        <v>0</v>
      </c>
      <c r="BD30" s="13">
        <f>+IFERROR(VLOOKUP($BD$15,Sheet1!AL11:AO11,3,0),0)</f>
        <v>0</v>
      </c>
      <c r="BE30" s="13">
        <f>+IFERROR(VLOOKUP($BE$15,Sheet1!AL11:AO11,3,0),0)</f>
        <v>0</v>
      </c>
      <c r="BF30" s="60">
        <v>835</v>
      </c>
      <c r="BG30" s="13">
        <f>+IFERROR(VLOOKUP($BG$15,Sheet1!AL11:AO11,3,0),0)</f>
        <v>0</v>
      </c>
      <c r="BH30" s="13">
        <f>+IFERROR(VLOOKUP($BH$15,Sheet1!AL11:AO11,3,0),0)</f>
        <v>0</v>
      </c>
      <c r="BI30" s="13">
        <f>+IFERROR(VLOOKUP($BI$15,Sheet1!AL11:AO11,3,0),0)</f>
        <v>0</v>
      </c>
      <c r="BJ30" s="13">
        <f>+IFERROR(VLOOKUP($BJ$15,Sheet1!AL11:AO11,3,0),0)</f>
        <v>0</v>
      </c>
      <c r="BK30" s="13">
        <f>+IFERROR(VLOOKUP($BK$15,Sheet1!AL11:AO11,3,0),0)</f>
        <v>0</v>
      </c>
      <c r="BL30" s="13">
        <f>+IFERROR(VLOOKUP($BL$15,Sheet1!AL11:AO11,3,0),0)</f>
        <v>0</v>
      </c>
      <c r="BM30" s="13">
        <f>+IFERROR(VLOOKUP($BM$15,Sheet1!AP11:AS11,3,0),0)</f>
        <v>0</v>
      </c>
      <c r="BN30" s="13">
        <f>+IFERROR(VLOOKUP($BN$15,Sheet1!AT11:AW11,3,0),0)</f>
        <v>0</v>
      </c>
      <c r="BO30" s="60">
        <v>112</v>
      </c>
      <c r="BP30" s="13">
        <f>+IFERROR(VLOOKUP($BP$15,Sheet1!BB11:BE11,3,0),0)</f>
        <v>0</v>
      </c>
      <c r="BQ30" s="13">
        <f>+IFERROR(VLOOKUP($BQ$15,Sheet1!BF11:BI11,3,0),0)</f>
        <v>0</v>
      </c>
      <c r="BR30" s="13">
        <f>+IFERROR(VLOOKUP($BR$15,Sheet1!BJ11:BM11,3,0),0)</f>
        <v>0</v>
      </c>
      <c r="BS30" s="13">
        <f>+IFERROR(VLOOKUP($BS$15,Sheet1!BN11:BQ11,3,0),0)</f>
        <v>0</v>
      </c>
      <c r="BT30" s="60">
        <v>44</v>
      </c>
      <c r="BU30" s="13">
        <f>+IFERROR(VLOOKUP($BU$15,Sheet1!BV11:BY11,3,0),0)</f>
        <v>0</v>
      </c>
      <c r="BV30" s="13" t="str">
        <f>Sheet1!E11</f>
        <v>STEEL</v>
      </c>
      <c r="BW30" s="13" t="str">
        <f>Sheet1!CV11</f>
        <v>SP0400139</v>
      </c>
      <c r="BX30" s="13" t="str">
        <f>Sheet1!CW11</f>
        <v>CORRUGATED DISPATCH STEEL DRUM 2130 X 890 X 965</v>
      </c>
      <c r="BY30" s="13">
        <f>VLOOKUP(C30,Sheet1!$C$1:$CX$17,100,0)</f>
        <v>500</v>
      </c>
      <c r="BZ30" s="3">
        <f>Sheet1!BZ11</f>
        <v>78780</v>
      </c>
      <c r="CA30" s="3">
        <f t="shared" si="5"/>
        <v>1207192</v>
      </c>
      <c r="CB30" s="25">
        <f>Sheet1!CB11</f>
        <v>0</v>
      </c>
      <c r="CC30" s="3">
        <f t="shared" si="6"/>
        <v>0</v>
      </c>
      <c r="CD30" s="49">
        <v>0.5</v>
      </c>
      <c r="CE30" s="3">
        <f t="shared" si="7"/>
        <v>603596</v>
      </c>
      <c r="CF30" s="49">
        <f>Sheet1!CF11</f>
        <v>0</v>
      </c>
      <c r="CG30" s="3">
        <f t="shared" si="8"/>
        <v>0</v>
      </c>
      <c r="CH30" s="3">
        <f t="shared" si="9"/>
        <v>1810788</v>
      </c>
      <c r="CI30" s="49">
        <v>0.03</v>
      </c>
      <c r="CJ30" s="1">
        <f t="shared" si="10"/>
        <v>54323.64</v>
      </c>
      <c r="CK30" s="49">
        <v>0.02</v>
      </c>
      <c r="CL30" s="1">
        <f t="shared" si="11"/>
        <v>36215.760000000002</v>
      </c>
    </row>
    <row r="31" spans="1:90" ht="30" x14ac:dyDescent="0.25">
      <c r="A31" s="1" t="str">
        <f>Sheet1!A8</f>
        <v>ENQ-11285-22-23</v>
      </c>
      <c r="B31" s="52">
        <f>Sheet1!B8</f>
        <v>45170</v>
      </c>
      <c r="C31" s="1" t="str">
        <f>Sheet1!C8</f>
        <v>FA1500045</v>
      </c>
      <c r="D31" s="1" t="str">
        <f>Sheet1!D8</f>
        <v>2 CORE X 25 SQ MM + 1 CORE X 25 SQ MM (AB CABLES) (BARE)</v>
      </c>
      <c r="E31" s="3">
        <f t="shared" si="0"/>
        <v>84853.170055794661</v>
      </c>
      <c r="F31" s="165">
        <f t="shared" si="12"/>
        <v>4250</v>
      </c>
      <c r="G31" s="9">
        <f t="shared" si="1"/>
        <v>89103.170055794661</v>
      </c>
      <c r="H31" s="7">
        <v>0.18</v>
      </c>
      <c r="I31" s="9">
        <f t="shared" si="2"/>
        <v>16038.570610043038</v>
      </c>
      <c r="J31" s="9">
        <f t="shared" si="3"/>
        <v>105141.7406658377</v>
      </c>
      <c r="K31" s="1">
        <f>Sheet1!CS8</f>
        <v>40</v>
      </c>
      <c r="L31" s="1" t="str">
        <f>Sheet1!CT8</f>
        <v>KMS</v>
      </c>
      <c r="M31" s="3">
        <f t="shared" si="4"/>
        <v>4205669.6266335081</v>
      </c>
      <c r="N31" s="2">
        <f>+IFERROR(VLOOKUP($N$15,Sheet1!J8:L8,3,0),0)</f>
        <v>135</v>
      </c>
      <c r="O31" s="2">
        <f>+IFERROR(VLOOKUP($O$15,Sheet1!J8:L8,3,0),0)</f>
        <v>0</v>
      </c>
      <c r="P31" s="2">
        <f>+IFERROR(VLOOKUP($P$15,Sheet1!J8:M8,3,0),0)</f>
        <v>0</v>
      </c>
      <c r="Q31" s="2">
        <f>+IFERROR(VLOOKUP($Q$15,Sheet1!J8:M8,3,0),0)</f>
        <v>0</v>
      </c>
      <c r="R31" s="2">
        <f>+IFERROR(VLOOKUP($R$15,Sheet1!J8:M8,3,0),0)</f>
        <v>0</v>
      </c>
      <c r="S31" s="2">
        <f>+IFERROR(VLOOKUP($S$15,Sheet1!N8:Q8,3,0),0)</f>
        <v>0</v>
      </c>
      <c r="T31" s="2">
        <f>+IFERROR(VLOOKUP($T$15,Sheet1!N8:Q8,3,0),0)</f>
        <v>67.5</v>
      </c>
      <c r="U31" s="2">
        <f>+IFERROR(VLOOKUP($U$15,Sheet1!F8:I8,3,0),0)</f>
        <v>0</v>
      </c>
      <c r="V31" s="2">
        <f>+IFERROR(VLOOKUP($V$15,Sheet1!F8:I8,3,0),0)</f>
        <v>0</v>
      </c>
      <c r="W31" s="2">
        <f>+IFERROR(VLOOKUP($W$15,Sheet1!F8:I8,3,0),0)</f>
        <v>0</v>
      </c>
      <c r="X31" s="2">
        <f>+IFERROR(VLOOKUP($X$15,Sheet1!F8:I8,3,0),0)</f>
        <v>0</v>
      </c>
      <c r="Y31" s="2">
        <f>+IFERROR(VLOOKUP($Y$15,Sheet1!F8:I8,3,0),0)</f>
        <v>0</v>
      </c>
      <c r="Z31" s="2">
        <f>+IFERROR(VLOOKUP($Z$15,Sheet1!F8:I8,3,0),0)</f>
        <v>0</v>
      </c>
      <c r="AA31" s="2">
        <f>+IFERROR(VLOOKUP($AA$15,Sheet1!F8:I8,3,0),0)</f>
        <v>0</v>
      </c>
      <c r="AB31" s="2">
        <f>+IFERROR(VLOOKUP($AB$15,Sheet1!F8:I8,3,0),0)</f>
        <v>0</v>
      </c>
      <c r="AC31" s="2">
        <f>+IFERROR(VLOOKUP($AC$15,Sheet1!R8:U8,3,0),0)</f>
        <v>0</v>
      </c>
      <c r="AD31" s="13">
        <f>+IFERROR(VLOOKUP($AD$15,Sheet1!R8:U8,2,0),0)</f>
        <v>0</v>
      </c>
      <c r="AE31" s="2">
        <f>+IFERROR(VLOOKUP($AE$15,Sheet1!V8:Y8,3,0),0)</f>
        <v>0</v>
      </c>
      <c r="AF31" s="60">
        <v>58</v>
      </c>
      <c r="AG31" s="13">
        <f>+IFERROR(VLOOKUP($AG$15,Sheet1!V8:Y8,3,0),0)</f>
        <v>0</v>
      </c>
      <c r="AH31" s="13">
        <f>+IFERROR(VLOOKUP($AH$15,Sheet1!V8:Y8,3,0),0)</f>
        <v>0</v>
      </c>
      <c r="AI31" s="13">
        <f>+IFERROR(VLOOKUP($AI$15,Sheet1!V8:Y8,3,0),0)</f>
        <v>0</v>
      </c>
      <c r="AJ31" s="13">
        <f>+IFERROR(VLOOKUP($AJ$15,Sheet1!V8:Y8,3,0),0)</f>
        <v>0</v>
      </c>
      <c r="AK31" s="13">
        <f>+IFERROR(VLOOKUP($AK$15,Sheet1!Z8:AB8,3,0),0)</f>
        <v>0</v>
      </c>
      <c r="AL31" s="13">
        <f>+IFERROR(VLOOKUP($AL$15,Sheet1!AD8:AG8,3,0),0)</f>
        <v>0</v>
      </c>
      <c r="AM31" s="13">
        <f>+IFERROR(VLOOKUP($AM$15,Sheet1!AD8:AG8,3,0),0)</f>
        <v>0</v>
      </c>
      <c r="AN31" s="13">
        <f>+IFERROR(VLOOKUP($AN$15,Sheet1!AD8:AG8,3,0),0)</f>
        <v>0</v>
      </c>
      <c r="AO31" s="13">
        <f>+IFERROR(VLOOKUP($AO$15,Sheet1!AD8:AG8,3,0),0)</f>
        <v>0</v>
      </c>
      <c r="AP31" s="13">
        <f>+IFERROR(VLOOKUP($AP$15,Sheet1!AD8:AG8,3,0),0)</f>
        <v>0</v>
      </c>
      <c r="AQ31" s="13">
        <f>+IFERROR(VLOOKUP($AQ$15,Sheet1!AD8:AG8,3,0),0)</f>
        <v>0</v>
      </c>
      <c r="AR31" s="13">
        <f>+IFERROR(VLOOKUP($AR$15,Sheet1!AD8:AG8,3,0),0)</f>
        <v>0</v>
      </c>
      <c r="AS31" s="13">
        <f>+IFERROR(VLOOKUP($AS$15,Sheet1!AH8:AK8,3,0),0)</f>
        <v>0</v>
      </c>
      <c r="AT31" s="13">
        <f>+IFERROR(VLOOKUP($AT$15,Sheet1!AH8:AK8,3,0),0)</f>
        <v>0</v>
      </c>
      <c r="AU31" s="13">
        <f>+IFERROR(VLOOKUP($AU$15,Sheet1!AH8:AK8,3,0),0)</f>
        <v>0</v>
      </c>
      <c r="AV31" s="13">
        <f>+IFERROR(VLOOKUP($AV$15,Sheet1!AH8:AK8,3,0),0)</f>
        <v>0</v>
      </c>
      <c r="AW31" s="13">
        <f>+IFERROR(VLOOKUP($AW$15,Sheet1!AH8:AK8,3,0),0)</f>
        <v>0</v>
      </c>
      <c r="AX31" s="13">
        <f>+IFERROR(VLOOKUP($AX$15,Sheet1!AH8:AK8,3,0),0)</f>
        <v>0</v>
      </c>
      <c r="AY31" s="13">
        <f>+IFERROR(VLOOKUP($AY$15,Sheet1!AH8:AK8,3,0),0)</f>
        <v>0</v>
      </c>
      <c r="AZ31" s="13">
        <f>+IFERROR(VLOOKUP($AZ$15,Sheet1!AH8:AK8,3,0),0)</f>
        <v>0</v>
      </c>
      <c r="BA31" s="13">
        <f>+IFERROR(VLOOKUP($BA$15,Sheet1!AH8:AK8,3,0),0)</f>
        <v>0</v>
      </c>
      <c r="BB31" s="13">
        <f>+IFERROR(VLOOKUP($BB$15,Sheet1!AH8:AK8,3,0),0)</f>
        <v>0</v>
      </c>
      <c r="BC31" s="13">
        <f>+IFERROR(VLOOKUP($BC$15,Sheet1!AL8:AO8,3,0),0)</f>
        <v>0</v>
      </c>
      <c r="BD31" s="13">
        <f>+IFERROR(VLOOKUP($BD$15,Sheet1!AL8:AO8,3,0),0)</f>
        <v>0</v>
      </c>
      <c r="BE31" s="13">
        <f>+IFERROR(VLOOKUP($BE$15,Sheet1!AL8:AO8,3,0),0)</f>
        <v>0</v>
      </c>
      <c r="BF31" s="13">
        <f>+IFERROR(VLOOKUP($BF$15,Sheet1!AL8:AO8,3,0),0)</f>
        <v>0</v>
      </c>
      <c r="BG31" s="13">
        <f>+IFERROR(VLOOKUP($BG$15,Sheet1!AL8:AO8,3,0),0)</f>
        <v>0</v>
      </c>
      <c r="BH31" s="13">
        <f>+IFERROR(VLOOKUP($BH$15,Sheet1!AL8:AO8,3,0),0)</f>
        <v>0</v>
      </c>
      <c r="BI31" s="13">
        <f>+IFERROR(VLOOKUP($BI$15,Sheet1!AL8:AO8,3,0),0)</f>
        <v>0</v>
      </c>
      <c r="BJ31" s="13">
        <f>+IFERROR(VLOOKUP($BJ$15,Sheet1!AL8:AO8,3,0),0)</f>
        <v>0</v>
      </c>
      <c r="BK31" s="13">
        <f>+IFERROR(VLOOKUP($BK$15,Sheet1!AL8:AO8,3,0),0)</f>
        <v>0</v>
      </c>
      <c r="BL31" s="13">
        <f>+IFERROR(VLOOKUP($BL$15,Sheet1!AL8:AO8,3,0),0)</f>
        <v>0</v>
      </c>
      <c r="BM31" s="13">
        <f>+IFERROR(VLOOKUP($BM$15,Sheet1!AP8:AS8,3,0),0)</f>
        <v>0</v>
      </c>
      <c r="BN31" s="13">
        <f>+IFERROR(VLOOKUP($BN$15,Sheet1!AT8:AW8,3,0),0)</f>
        <v>0</v>
      </c>
      <c r="BO31" s="13">
        <f>+IFERROR(VLOOKUP($BO$15,Sheet1!AX8:BA8,3,0),0)</f>
        <v>0</v>
      </c>
      <c r="BP31" s="13">
        <f>+IFERROR(VLOOKUP($BP$15,Sheet1!BB8:BE8,3,0),0)</f>
        <v>0</v>
      </c>
      <c r="BQ31" s="13">
        <f>+IFERROR(VLOOKUP($BQ$15,Sheet1!BF8:BI8,3,0),0)</f>
        <v>0</v>
      </c>
      <c r="BR31" s="13">
        <f>+IFERROR(VLOOKUP($BR$15,Sheet1!BJ8:BM8,3,0),0)</f>
        <v>0</v>
      </c>
      <c r="BS31" s="13">
        <f>+IFERROR(VLOOKUP($BS$15,Sheet1!BN8:BQ8,3,0),0)</f>
        <v>0</v>
      </c>
      <c r="BT31" s="13">
        <f>+IFERROR(VLOOKUP($BT$15,Sheet1!BR8:BU8,3,0),0)</f>
        <v>0</v>
      </c>
      <c r="BU31" s="13">
        <f>+IFERROR(VLOOKUP($BU$15,Sheet1!BV8:BY8,3,0),0)</f>
        <v>0</v>
      </c>
      <c r="BV31" s="13" t="s">
        <v>210</v>
      </c>
      <c r="BW31" s="13" t="s">
        <v>219</v>
      </c>
      <c r="BX31" s="13" t="s">
        <v>220</v>
      </c>
      <c r="BY31" s="13">
        <f>VLOOKUP(C31,Sheet1!$C$1:$CX$17,100,0)</f>
        <v>1000</v>
      </c>
      <c r="BZ31" s="3">
        <v>3542.0286068537494</v>
      </c>
      <c r="CA31" s="3">
        <f t="shared" si="5"/>
        <v>53875.028606853746</v>
      </c>
      <c r="CB31" s="25">
        <f>Sheet1!CB8</f>
        <v>0</v>
      </c>
      <c r="CC31" s="3">
        <f t="shared" si="6"/>
        <v>0</v>
      </c>
      <c r="CD31" s="49">
        <v>0.5</v>
      </c>
      <c r="CE31" s="3">
        <f t="shared" si="7"/>
        <v>26937.514303426873</v>
      </c>
      <c r="CF31" s="49">
        <f>Sheet1!CF8</f>
        <v>0</v>
      </c>
      <c r="CG31" s="3">
        <f t="shared" si="8"/>
        <v>0</v>
      </c>
      <c r="CH31" s="3">
        <f t="shared" si="9"/>
        <v>80812.542910280623</v>
      </c>
      <c r="CI31" s="49">
        <v>0.03</v>
      </c>
      <c r="CJ31" s="1">
        <f t="shared" si="10"/>
        <v>2424.3762873084188</v>
      </c>
      <c r="CK31" s="49">
        <v>0.02</v>
      </c>
      <c r="CL31" s="1">
        <f t="shared" si="11"/>
        <v>1616.2508582056125</v>
      </c>
    </row>
    <row r="32" spans="1:90" ht="45" x14ac:dyDescent="0.25">
      <c r="A32" s="1" t="str">
        <f>Sheet1!A15</f>
        <v>ENQ-11285-22-23</v>
      </c>
      <c r="B32" s="52">
        <f>Sheet1!B15</f>
        <v>45170</v>
      </c>
      <c r="C32" s="1" t="str">
        <f>Sheet1!C15</f>
        <v>FA0100086</v>
      </c>
      <c r="D32" s="1" t="str">
        <f>Sheet1!D15</f>
        <v>4 CORE X 150 SQ MM + 1 CORE X 16 SQ MM + 1 CORE X 150 SQ MM (AB CABLES) (BARE)</v>
      </c>
      <c r="E32" s="3">
        <f t="shared" si="0"/>
        <v>797786.07300000009</v>
      </c>
      <c r="F32" s="165">
        <f t="shared" si="12"/>
        <v>19000</v>
      </c>
      <c r="G32" s="9">
        <f t="shared" si="1"/>
        <v>816786.07300000009</v>
      </c>
      <c r="H32" s="7">
        <v>0.18</v>
      </c>
      <c r="I32" s="9">
        <f t="shared" si="2"/>
        <v>147021.49314000001</v>
      </c>
      <c r="J32" s="9">
        <f t="shared" si="3"/>
        <v>963807.56614000013</v>
      </c>
      <c r="K32" s="1">
        <f>Sheet1!CS15</f>
        <v>170</v>
      </c>
      <c r="L32" s="1" t="str">
        <f>Sheet1!CT15</f>
        <v>KMS</v>
      </c>
      <c r="M32" s="3">
        <f t="shared" si="4"/>
        <v>163847286.24380001</v>
      </c>
      <c r="N32" s="2">
        <f>+IFERROR(VLOOKUP($N$15,Sheet1!J15:L15,3,0),0)</f>
        <v>1664</v>
      </c>
      <c r="O32" s="2">
        <f>+IFERROR(VLOOKUP($O$15,Sheet1!J15:L15,3,0),0)</f>
        <v>0</v>
      </c>
      <c r="P32" s="2">
        <f>+IFERROR(VLOOKUP($P$15,Sheet1!J15:M15,3,0),0)</f>
        <v>0</v>
      </c>
      <c r="Q32" s="2">
        <f>+IFERROR(VLOOKUP($Q$15,Sheet1!J15:M15,3,0),0)</f>
        <v>0</v>
      </c>
      <c r="R32" s="2">
        <f>+IFERROR(VLOOKUP($R$15,Sheet1!J15:M15,3,0),0)</f>
        <v>0</v>
      </c>
      <c r="S32" s="2">
        <f>+IFERROR(VLOOKUP($S$15,Sheet1!N15:Q15,3,0),0)</f>
        <v>0</v>
      </c>
      <c r="T32" s="61">
        <v>415</v>
      </c>
      <c r="U32" s="2">
        <f>+IFERROR(VLOOKUP($U$15,Sheet1!F15:I15,3,0),0)</f>
        <v>0</v>
      </c>
      <c r="V32" s="2">
        <f>+IFERROR(VLOOKUP($V$15,Sheet1!F15:I15,3,0),0)</f>
        <v>0</v>
      </c>
      <c r="W32" s="2">
        <f>+IFERROR(VLOOKUP($W$15,Sheet1!F15:I15,3,0),0)</f>
        <v>0</v>
      </c>
      <c r="X32" s="2">
        <f>+IFERROR(VLOOKUP($X$15,Sheet1!F15:I15,3,0),0)</f>
        <v>0</v>
      </c>
      <c r="Y32" s="2">
        <f>+IFERROR(VLOOKUP($Y$15,Sheet1!F15:I15,3,0),0)</f>
        <v>0</v>
      </c>
      <c r="Z32" s="2">
        <f>+IFERROR(VLOOKUP($Z$15,Sheet1!F15:I15,3,0),0)</f>
        <v>0</v>
      </c>
      <c r="AA32" s="2">
        <f>+IFERROR(VLOOKUP($AA$15,Sheet1!F15:I15,3,0),0)</f>
        <v>0</v>
      </c>
      <c r="AB32" s="2">
        <f>+IFERROR(VLOOKUP($AB$15,Sheet1!F15:I15,3,0),0)</f>
        <v>0</v>
      </c>
      <c r="AC32" s="2">
        <f>+IFERROR(VLOOKUP($AC$15,Sheet1!R15:U15,3,0),0)</f>
        <v>0</v>
      </c>
      <c r="AD32" s="13">
        <f>+IFERROR(VLOOKUP($AD$15,Sheet1!R15:U15,2,0),0)</f>
        <v>0</v>
      </c>
      <c r="AE32" s="2">
        <f>+IFERROR(VLOOKUP($AE$15,Sheet1!V15:Y15,3,0),0)</f>
        <v>0</v>
      </c>
      <c r="AF32" s="60">
        <v>370</v>
      </c>
      <c r="AG32" s="13">
        <f>+IFERROR(VLOOKUP($AG$15,Sheet1!V15:Y15,3,0),0)</f>
        <v>0</v>
      </c>
      <c r="AH32" s="13">
        <f>+IFERROR(VLOOKUP($AH$15,Sheet1!V15:Y15,3,0),0)</f>
        <v>0</v>
      </c>
      <c r="AI32" s="13">
        <f>+IFERROR(VLOOKUP($AI$15,Sheet1!V15:Y15,3,0),0)</f>
        <v>0</v>
      </c>
      <c r="AJ32" s="13">
        <f>+IFERROR(VLOOKUP($AJ$15,Sheet1!V15:Y15,3,0),0)</f>
        <v>0</v>
      </c>
      <c r="AK32" s="13">
        <f>+IFERROR(VLOOKUP($AK$15,Sheet1!Z15:AB15,3,0),0)</f>
        <v>0</v>
      </c>
      <c r="AL32" s="13">
        <f>+IFERROR(VLOOKUP($AL$15,Sheet1!AD15:AG15,3,0),0)</f>
        <v>0</v>
      </c>
      <c r="AM32" s="13">
        <f>+IFERROR(VLOOKUP($AM$15,Sheet1!AD15:AG15,3,0),0)</f>
        <v>0</v>
      </c>
      <c r="AN32" s="13">
        <f>+IFERROR(VLOOKUP($AN$15,Sheet1!AD15:AG15,3,0),0)</f>
        <v>0</v>
      </c>
      <c r="AO32" s="13">
        <f>+IFERROR(VLOOKUP($AO$15,Sheet1!AD15:AG15,3,0),0)</f>
        <v>0</v>
      </c>
      <c r="AP32" s="13">
        <f>+IFERROR(VLOOKUP($AP$15,Sheet1!AD15:AG15,3,0),0)</f>
        <v>0</v>
      </c>
      <c r="AQ32" s="13">
        <f>+IFERROR(VLOOKUP($AQ$15,Sheet1!AD15:AG15,3,0),0)</f>
        <v>0</v>
      </c>
      <c r="AR32" s="13">
        <f>+IFERROR(VLOOKUP($AR$15,Sheet1!AD15:AG15,3,0),0)</f>
        <v>0</v>
      </c>
      <c r="AS32" s="13">
        <f>+IFERROR(VLOOKUP($AS$15,Sheet1!AH15:AK15,3,0),0)</f>
        <v>0</v>
      </c>
      <c r="AT32" s="13">
        <f>+IFERROR(VLOOKUP($AT$15,Sheet1!AH15:AK15,3,0),0)</f>
        <v>0</v>
      </c>
      <c r="AU32" s="13">
        <f>+IFERROR(VLOOKUP($AU$15,Sheet1!AH15:AK15,3,0),0)</f>
        <v>0</v>
      </c>
      <c r="AV32" s="13">
        <f>+IFERROR(VLOOKUP($AV$15,Sheet1!AH15:AK15,3,0),0)</f>
        <v>0</v>
      </c>
      <c r="AW32" s="13">
        <f>+IFERROR(VLOOKUP($AW$15,Sheet1!AH15:AK15,3,0),0)</f>
        <v>0</v>
      </c>
      <c r="AX32" s="13">
        <f>+IFERROR(VLOOKUP($AX$15,Sheet1!AH15:AK15,3,0),0)</f>
        <v>0</v>
      </c>
      <c r="AY32" s="13">
        <f>+IFERROR(VLOOKUP($AY$15,Sheet1!AH15:AK15,3,0),0)</f>
        <v>0</v>
      </c>
      <c r="AZ32" s="13">
        <f>+IFERROR(VLOOKUP($AZ$15,Sheet1!AH15:AK15,3,0),0)</f>
        <v>0</v>
      </c>
      <c r="BA32" s="13">
        <f>+IFERROR(VLOOKUP($BA$15,Sheet1!AH15:AK15,3,0),0)</f>
        <v>0</v>
      </c>
      <c r="BB32" s="13">
        <f>+IFERROR(VLOOKUP($BB$15,Sheet1!AH15:AK15,3,0),0)</f>
        <v>0</v>
      </c>
      <c r="BC32" s="13">
        <f>+IFERROR(VLOOKUP($BC$15,Sheet1!AL15:AO15,3,0),0)</f>
        <v>0</v>
      </c>
      <c r="BD32" s="13">
        <f>+IFERROR(VLOOKUP($BD$15,Sheet1!AL15:AO15,3,0),0)</f>
        <v>0</v>
      </c>
      <c r="BE32" s="13">
        <f>+IFERROR(VLOOKUP($BE$15,Sheet1!AL15:AO15,3,0),0)</f>
        <v>0</v>
      </c>
      <c r="BF32" s="13">
        <f>+IFERROR(VLOOKUP($BF$15,Sheet1!AL15:AO15,3,0),0)</f>
        <v>0</v>
      </c>
      <c r="BG32" s="13">
        <f>+IFERROR(VLOOKUP($BG$15,Sheet1!AL15:AO15,3,0),0)</f>
        <v>0</v>
      </c>
      <c r="BH32" s="13">
        <f>+IFERROR(VLOOKUP($BH$15,Sheet1!AL15:AO15,3,0),0)</f>
        <v>0</v>
      </c>
      <c r="BI32" s="13">
        <f>+IFERROR(VLOOKUP($BI$15,Sheet1!AL15:AO15,3,0),0)</f>
        <v>0</v>
      </c>
      <c r="BJ32" s="13">
        <f>+IFERROR(VLOOKUP($BJ$15,Sheet1!AL15:AO15,3,0),0)</f>
        <v>0</v>
      </c>
      <c r="BK32" s="13">
        <f>+IFERROR(VLOOKUP($BK$15,Sheet1!AL15:AO15,3,0),0)</f>
        <v>0</v>
      </c>
      <c r="BL32" s="13">
        <f>+IFERROR(VLOOKUP($BL$15,Sheet1!AL15:AO15,3,0),0)</f>
        <v>0</v>
      </c>
      <c r="BM32" s="13">
        <f>+IFERROR(VLOOKUP($BM$15,Sheet1!AP15:AS15,3,0),0)</f>
        <v>0</v>
      </c>
      <c r="BN32" s="13">
        <f>+IFERROR(VLOOKUP($BN$15,Sheet1!AT15:AW15,3,0),0)</f>
        <v>0</v>
      </c>
      <c r="BO32" s="13">
        <f>+IFERROR(VLOOKUP($BO$15,Sheet1!AX15:BA15,3,0),0)</f>
        <v>0</v>
      </c>
      <c r="BP32" s="13">
        <f>+IFERROR(VLOOKUP($BP$15,Sheet1!BB15:BE15,3,0),0)</f>
        <v>0</v>
      </c>
      <c r="BQ32" s="13">
        <f>+IFERROR(VLOOKUP($BQ$15,Sheet1!BF15:BI15,3,0),0)</f>
        <v>0</v>
      </c>
      <c r="BR32" s="13">
        <f>+IFERROR(VLOOKUP($BR$15,Sheet1!BJ15:BM15,3,0),0)</f>
        <v>0</v>
      </c>
      <c r="BS32" s="13">
        <f>+IFERROR(VLOOKUP($BS$15,Sheet1!BN15:BQ15,3,0),0)</f>
        <v>0</v>
      </c>
      <c r="BT32" s="13">
        <f>+IFERROR(VLOOKUP($BT$15,Sheet1!BR15:BU15,3,0),0)</f>
        <v>0</v>
      </c>
      <c r="BU32" s="13">
        <f>+IFERROR(VLOOKUP($BU$15,Sheet1!BV15:BY15,3,0),0)</f>
        <v>0</v>
      </c>
      <c r="BV32" s="13" t="str">
        <f>Sheet1!E15</f>
        <v>WOOD</v>
      </c>
      <c r="BW32" s="13" t="str">
        <f>Sheet1!CV15</f>
        <v>MD0100070</v>
      </c>
      <c r="BX32" s="13" t="str">
        <f>Sheet1!CW15</f>
        <v>DRUM - 68 X 24 X 32 X 3</v>
      </c>
      <c r="BY32" s="13">
        <f>VLOOKUP(C32,Sheet1!$C$1:$CX$17,100,0)</f>
        <v>500</v>
      </c>
      <c r="BZ32" s="3">
        <f>Sheet1!BZ15</f>
        <v>17878.84</v>
      </c>
      <c r="CA32" s="3">
        <f t="shared" si="5"/>
        <v>506530.84</v>
      </c>
      <c r="CB32" s="25">
        <f>Sheet1!CB15</f>
        <v>0</v>
      </c>
      <c r="CC32" s="3">
        <f t="shared" si="6"/>
        <v>0</v>
      </c>
      <c r="CD32" s="49">
        <v>0.5</v>
      </c>
      <c r="CE32" s="3">
        <f t="shared" si="7"/>
        <v>253265.42</v>
      </c>
      <c r="CF32" s="49">
        <f>Sheet1!CF15</f>
        <v>0</v>
      </c>
      <c r="CG32" s="3">
        <f t="shared" si="8"/>
        <v>0</v>
      </c>
      <c r="CH32" s="3">
        <f t="shared" si="9"/>
        <v>759796.26</v>
      </c>
      <c r="CI32" s="49">
        <v>0.03</v>
      </c>
      <c r="CJ32" s="1">
        <f t="shared" si="10"/>
        <v>22793.8878</v>
      </c>
      <c r="CK32" s="49">
        <v>0.02</v>
      </c>
      <c r="CL32" s="1">
        <f t="shared" si="11"/>
        <v>15195.9252</v>
      </c>
    </row>
    <row r="33" spans="2:13" x14ac:dyDescent="0.25">
      <c r="M33" s="232">
        <f>SUM(M17:M32)</f>
        <v>840426297.19491017</v>
      </c>
    </row>
    <row r="35" spans="2:13" ht="30" x14ac:dyDescent="0.25">
      <c r="B35" s="28" t="s">
        <v>279</v>
      </c>
      <c r="E35" s="2" t="s">
        <v>267</v>
      </c>
      <c r="F35" s="2" t="s">
        <v>268</v>
      </c>
      <c r="G35" s="159" t="s">
        <v>269</v>
      </c>
      <c r="H35" s="43" t="s">
        <v>270</v>
      </c>
      <c r="I35" s="2" t="s">
        <v>271</v>
      </c>
      <c r="J35" s="2" t="s">
        <v>272</v>
      </c>
      <c r="K35" s="2" t="s">
        <v>273</v>
      </c>
      <c r="L35" s="2" t="s">
        <v>274</v>
      </c>
      <c r="M35" s="160" t="s">
        <v>275</v>
      </c>
    </row>
    <row r="36" spans="2:13" ht="30" x14ac:dyDescent="0.25">
      <c r="B36" s="231">
        <f>SUM(N17:BT17)</f>
        <v>68</v>
      </c>
      <c r="C36" t="str">
        <f>BV17</f>
        <v>Hybrid</v>
      </c>
      <c r="D36" s="28" t="str">
        <f>D17</f>
        <v>1 CORE X 2.5 SQ. MM. ALU/UNARD (XLPE)</v>
      </c>
      <c r="E36" s="159">
        <f>K17</f>
        <v>46</v>
      </c>
      <c r="F36" s="161">
        <f>(BY17/1000)</f>
        <v>1</v>
      </c>
      <c r="G36" s="159" t="s">
        <v>276</v>
      </c>
      <c r="H36" s="162">
        <v>85000</v>
      </c>
      <c r="I36" s="161">
        <v>88</v>
      </c>
      <c r="J36" s="159">
        <f>F36*I36</f>
        <v>88</v>
      </c>
      <c r="K36" s="159">
        <f>ROUNDUP((E36/J36),0)</f>
        <v>1</v>
      </c>
      <c r="L36" s="159">
        <f>M36*E36</f>
        <v>85000</v>
      </c>
      <c r="M36" s="163">
        <f>(H36*K36)/E36</f>
        <v>1847.8260869565217</v>
      </c>
    </row>
    <row r="37" spans="2:13" ht="30" x14ac:dyDescent="0.25">
      <c r="B37" s="231">
        <f>SUM(N18:BT18)</f>
        <v>78</v>
      </c>
      <c r="C37" t="str">
        <f t="shared" ref="C37:C51" si="13">BV18</f>
        <v>Hybrid</v>
      </c>
      <c r="D37" s="28" t="str">
        <f>D18</f>
        <v>1 CORE X 4 SQ. MM. AL/UNARD (XLPE)</v>
      </c>
      <c r="E37" s="159">
        <f>K18</f>
        <v>12.5</v>
      </c>
      <c r="F37" s="161">
        <f>(BY18/1000)</f>
        <v>1</v>
      </c>
      <c r="G37" s="159" t="s">
        <v>276</v>
      </c>
      <c r="H37" s="162">
        <v>85000</v>
      </c>
      <c r="I37" s="161">
        <v>88</v>
      </c>
      <c r="J37" s="159">
        <f t="shared" ref="J37:J51" si="14">F37*I37</f>
        <v>88</v>
      </c>
      <c r="K37" s="159">
        <f t="shared" ref="K37:K51" si="15">ROUNDUP((E37/J37),0)</f>
        <v>1</v>
      </c>
      <c r="L37" s="159">
        <f t="shared" ref="L37:L51" si="16">M37*E37</f>
        <v>85000</v>
      </c>
      <c r="M37" s="163">
        <f t="shared" ref="M37:M51" si="17">(H37*K37)/E37</f>
        <v>6800</v>
      </c>
    </row>
    <row r="38" spans="2:13" ht="30" x14ac:dyDescent="0.25">
      <c r="B38" s="231">
        <f t="shared" ref="B38:B51" si="18">SUM(N19:BT19)</f>
        <v>183</v>
      </c>
      <c r="C38" t="str">
        <f t="shared" si="13"/>
        <v>Hybrid</v>
      </c>
      <c r="D38" s="28" t="str">
        <f>D19</f>
        <v>1 CORE X 25 SQ. MM. ALU/UNARD (XLPE )</v>
      </c>
      <c r="E38" s="159">
        <f>K19</f>
        <v>39</v>
      </c>
      <c r="F38" s="161">
        <f>(BY19/1000)</f>
        <v>1</v>
      </c>
      <c r="G38" s="159" t="s">
        <v>276</v>
      </c>
      <c r="H38" s="162">
        <v>85000</v>
      </c>
      <c r="I38" s="161">
        <v>66</v>
      </c>
      <c r="J38" s="159">
        <f t="shared" si="14"/>
        <v>66</v>
      </c>
      <c r="K38" s="159">
        <f t="shared" si="15"/>
        <v>1</v>
      </c>
      <c r="L38" s="159">
        <f t="shared" si="16"/>
        <v>85000</v>
      </c>
      <c r="M38" s="163">
        <f t="shared" si="17"/>
        <v>2179.4871794871797</v>
      </c>
    </row>
    <row r="39" spans="2:13" ht="30" x14ac:dyDescent="0.25">
      <c r="B39" s="231">
        <f t="shared" si="18"/>
        <v>448</v>
      </c>
      <c r="C39" t="str">
        <f t="shared" si="13"/>
        <v>Hybrid</v>
      </c>
      <c r="D39" s="28" t="str">
        <f>D20</f>
        <v>1 CORE X 95 SQ. MM. AL/UNARD(XLPE )</v>
      </c>
      <c r="E39" s="159">
        <f>K20</f>
        <v>18.5</v>
      </c>
      <c r="F39" s="161">
        <f>(BY20/1000)</f>
        <v>1</v>
      </c>
      <c r="G39" s="159" t="s">
        <v>276</v>
      </c>
      <c r="H39" s="162">
        <v>85000</v>
      </c>
      <c r="I39" s="161">
        <v>31</v>
      </c>
      <c r="J39" s="159">
        <f t="shared" si="14"/>
        <v>31</v>
      </c>
      <c r="K39" s="159">
        <f t="shared" si="15"/>
        <v>1</v>
      </c>
      <c r="L39" s="159">
        <f t="shared" si="16"/>
        <v>85000.000000000015</v>
      </c>
      <c r="M39" s="163">
        <f t="shared" si="17"/>
        <v>4594.594594594595</v>
      </c>
    </row>
    <row r="40" spans="2:13" ht="30" x14ac:dyDescent="0.25">
      <c r="B40" s="231">
        <f t="shared" si="18"/>
        <v>822</v>
      </c>
      <c r="C40" t="str">
        <f t="shared" si="13"/>
        <v>Hybrid</v>
      </c>
      <c r="D40" s="28" t="str">
        <f>D21</f>
        <v>1 CORE X 185 SQ. MM. AL/UNARD. (XLPE)</v>
      </c>
      <c r="E40" s="159">
        <f>K21</f>
        <v>6.7</v>
      </c>
      <c r="F40" s="161">
        <f>(BY21/1000)</f>
        <v>1</v>
      </c>
      <c r="G40" s="159" t="s">
        <v>276</v>
      </c>
      <c r="H40" s="162">
        <v>85000</v>
      </c>
      <c r="I40" s="161">
        <v>18</v>
      </c>
      <c r="J40" s="159">
        <f t="shared" si="14"/>
        <v>18</v>
      </c>
      <c r="K40" s="159">
        <f t="shared" si="15"/>
        <v>1</v>
      </c>
      <c r="L40" s="159">
        <f t="shared" si="16"/>
        <v>85000</v>
      </c>
      <c r="M40" s="163">
        <f t="shared" si="17"/>
        <v>12686.567164179105</v>
      </c>
    </row>
    <row r="41" spans="2:13" ht="30" x14ac:dyDescent="0.25">
      <c r="B41" s="231">
        <f t="shared" si="18"/>
        <v>1225</v>
      </c>
      <c r="C41" t="str">
        <f t="shared" si="13"/>
        <v>STEEL</v>
      </c>
      <c r="D41" s="28" t="str">
        <f>D22</f>
        <v>1 CORE X 300 SQ. MM. AL/UNARD. (XLPE)</v>
      </c>
      <c r="E41" s="159">
        <f>K22</f>
        <v>20.7</v>
      </c>
      <c r="F41" s="161">
        <f>(BY22/1000)</f>
        <v>1</v>
      </c>
      <c r="G41" s="159" t="s">
        <v>276</v>
      </c>
      <c r="H41" s="162">
        <v>85000</v>
      </c>
      <c r="I41" s="230">
        <v>10</v>
      </c>
      <c r="J41" s="159">
        <f t="shared" si="14"/>
        <v>10</v>
      </c>
      <c r="K41" s="159">
        <f t="shared" si="15"/>
        <v>3</v>
      </c>
      <c r="L41" s="159">
        <f t="shared" si="16"/>
        <v>255000</v>
      </c>
      <c r="M41" s="163">
        <f t="shared" si="17"/>
        <v>12318.840579710146</v>
      </c>
    </row>
    <row r="42" spans="2:13" ht="30" x14ac:dyDescent="0.25">
      <c r="B42" s="231">
        <f t="shared" si="18"/>
        <v>2391</v>
      </c>
      <c r="C42" t="str">
        <f t="shared" si="13"/>
        <v>STEEL</v>
      </c>
      <c r="D42" s="28" t="str">
        <f>D23</f>
        <v>1 CORE X 630 SQ. MM. ALU/UNARD (XLPE)</v>
      </c>
      <c r="E42" s="159">
        <f>K23</f>
        <v>18</v>
      </c>
      <c r="F42" s="161">
        <f>(BY23/1000)</f>
        <v>1</v>
      </c>
      <c r="G42" s="159" t="s">
        <v>276</v>
      </c>
      <c r="H42" s="162">
        <v>85000</v>
      </c>
      <c r="I42" s="161">
        <v>3</v>
      </c>
      <c r="J42" s="159">
        <f t="shared" si="14"/>
        <v>3</v>
      </c>
      <c r="K42" s="159">
        <f t="shared" si="15"/>
        <v>6</v>
      </c>
      <c r="L42" s="159">
        <f t="shared" si="16"/>
        <v>510000</v>
      </c>
      <c r="M42" s="163">
        <f t="shared" si="17"/>
        <v>28333.333333333332</v>
      </c>
    </row>
    <row r="43" spans="2:13" ht="30" x14ac:dyDescent="0.25">
      <c r="B43" s="231">
        <f t="shared" si="18"/>
        <v>549</v>
      </c>
      <c r="C43" t="str">
        <f t="shared" si="13"/>
        <v>Hybrid</v>
      </c>
      <c r="D43" s="28" t="str">
        <f>D24</f>
        <v>2 CORE X 16 SQ. MM. AL/ARD - WIRE (XLPE)</v>
      </c>
      <c r="E43" s="159">
        <f>K24</f>
        <v>1511</v>
      </c>
      <c r="F43" s="161">
        <f>(BY24/1000)</f>
        <v>1</v>
      </c>
      <c r="G43" s="159" t="s">
        <v>276</v>
      </c>
      <c r="H43" s="162">
        <v>85000</v>
      </c>
      <c r="I43" s="161">
        <v>20</v>
      </c>
      <c r="J43" s="159">
        <f t="shared" si="14"/>
        <v>20</v>
      </c>
      <c r="K43" s="159">
        <f t="shared" si="15"/>
        <v>76</v>
      </c>
      <c r="L43" s="159">
        <f t="shared" si="16"/>
        <v>6460000.0000000009</v>
      </c>
      <c r="M43" s="163">
        <f t="shared" si="17"/>
        <v>4275.3143613500997</v>
      </c>
    </row>
    <row r="44" spans="2:13" ht="30" x14ac:dyDescent="0.25">
      <c r="B44" s="231">
        <f t="shared" si="18"/>
        <v>662</v>
      </c>
      <c r="C44" t="str">
        <f t="shared" si="13"/>
        <v>Hybrid</v>
      </c>
      <c r="D44" s="28" t="str">
        <f>D25</f>
        <v>2 CORE X 25 SQ. MM. AL/ARD - STRIP (XLPE)</v>
      </c>
      <c r="E44" s="159">
        <f>K25</f>
        <v>125</v>
      </c>
      <c r="F44" s="161">
        <f>(BY25/1000)</f>
        <v>1</v>
      </c>
      <c r="G44" s="159" t="s">
        <v>276</v>
      </c>
      <c r="H44" s="162">
        <v>85000</v>
      </c>
      <c r="I44" s="161">
        <v>23</v>
      </c>
      <c r="J44" s="159">
        <f t="shared" si="14"/>
        <v>23</v>
      </c>
      <c r="K44" s="159">
        <f t="shared" si="15"/>
        <v>6</v>
      </c>
      <c r="L44" s="159">
        <f t="shared" si="16"/>
        <v>510000</v>
      </c>
      <c r="M44" s="163">
        <f t="shared" si="17"/>
        <v>4080</v>
      </c>
    </row>
    <row r="45" spans="2:13" ht="30" x14ac:dyDescent="0.25">
      <c r="B45" s="231">
        <f t="shared" si="18"/>
        <v>961</v>
      </c>
      <c r="C45" t="str">
        <f t="shared" si="13"/>
        <v>Hybrid</v>
      </c>
      <c r="D45" s="28" t="str">
        <f>D26</f>
        <v>4 CORE X 25 SQ. MM. ALU/ARD - STRIP (XLPE)</v>
      </c>
      <c r="E45" s="159">
        <f>K26</f>
        <v>357</v>
      </c>
      <c r="F45" s="161">
        <f>(BY26/1000)</f>
        <v>1</v>
      </c>
      <c r="G45" s="159" t="s">
        <v>276</v>
      </c>
      <c r="H45" s="162">
        <v>85000</v>
      </c>
      <c r="I45" s="161">
        <v>15</v>
      </c>
      <c r="J45" s="159">
        <f t="shared" si="14"/>
        <v>15</v>
      </c>
      <c r="K45" s="159">
        <f t="shared" si="15"/>
        <v>24</v>
      </c>
      <c r="L45" s="159">
        <f t="shared" si="16"/>
        <v>2040000.0000000002</v>
      </c>
      <c r="M45" s="163">
        <f t="shared" si="17"/>
        <v>5714.2857142857147</v>
      </c>
    </row>
    <row r="46" spans="2:13" ht="30" x14ac:dyDescent="0.25">
      <c r="B46" s="231">
        <f t="shared" si="18"/>
        <v>1447</v>
      </c>
      <c r="C46" t="str">
        <f t="shared" si="13"/>
        <v>STEEL</v>
      </c>
      <c r="D46" s="28" t="str">
        <f>D27</f>
        <v>4 CORE X 50 SQ. MM. ALU/ARD - STRIP (XLPE)</v>
      </c>
      <c r="E46" s="159">
        <f>K27</f>
        <v>97</v>
      </c>
      <c r="F46" s="161">
        <f>(BY27/1000)</f>
        <v>1</v>
      </c>
      <c r="G46" s="159" t="s">
        <v>276</v>
      </c>
      <c r="H46" s="162">
        <v>85000</v>
      </c>
      <c r="I46" s="230">
        <v>11</v>
      </c>
      <c r="J46" s="159">
        <f t="shared" si="14"/>
        <v>11</v>
      </c>
      <c r="K46" s="159">
        <f t="shared" si="15"/>
        <v>9</v>
      </c>
      <c r="L46" s="159">
        <f t="shared" si="16"/>
        <v>765000</v>
      </c>
      <c r="M46" s="163">
        <f t="shared" si="17"/>
        <v>7886.5979381443303</v>
      </c>
    </row>
    <row r="47" spans="2:13" ht="30" x14ac:dyDescent="0.25">
      <c r="B47" s="231">
        <f t="shared" si="18"/>
        <v>2287.5</v>
      </c>
      <c r="C47" t="str">
        <f t="shared" si="13"/>
        <v>STEEL</v>
      </c>
      <c r="D47" s="28" t="str">
        <f>D28</f>
        <v>4 CORE X 95 SQ. MM. AL/ARD - STRIP (XLPE)</v>
      </c>
      <c r="E47" s="159">
        <f>K28</f>
        <v>82</v>
      </c>
      <c r="F47" s="161">
        <f>(BY28/1000)</f>
        <v>0.5</v>
      </c>
      <c r="G47" s="159" t="s">
        <v>276</v>
      </c>
      <c r="H47" s="162">
        <v>85000</v>
      </c>
      <c r="I47" s="230">
        <v>11</v>
      </c>
      <c r="J47" s="159">
        <f t="shared" si="14"/>
        <v>5.5</v>
      </c>
      <c r="K47" s="159">
        <f t="shared" si="15"/>
        <v>15</v>
      </c>
      <c r="L47" s="159">
        <f t="shared" si="16"/>
        <v>1275000</v>
      </c>
      <c r="M47" s="163">
        <f t="shared" si="17"/>
        <v>15548.780487804877</v>
      </c>
    </row>
    <row r="48" spans="2:13" ht="30" x14ac:dyDescent="0.25">
      <c r="B48" s="231">
        <f t="shared" si="18"/>
        <v>3866</v>
      </c>
      <c r="C48" t="str">
        <f t="shared" si="13"/>
        <v>STEEL</v>
      </c>
      <c r="D48" s="28" t="str">
        <f>D29</f>
        <v>4 CORE X 150 SQ. MM. AL/ARD - STRIP/TYPE - B (XLPE)</v>
      </c>
      <c r="E48" s="159">
        <f>K29</f>
        <v>45</v>
      </c>
      <c r="F48" s="161">
        <f>(BY29/1000)</f>
        <v>0.5</v>
      </c>
      <c r="G48" s="159" t="s">
        <v>276</v>
      </c>
      <c r="H48" s="162">
        <v>85000</v>
      </c>
      <c r="I48" s="230">
        <v>8</v>
      </c>
      <c r="J48" s="159">
        <f t="shared" si="14"/>
        <v>4</v>
      </c>
      <c r="K48" s="159">
        <f t="shared" si="15"/>
        <v>12</v>
      </c>
      <c r="L48" s="159">
        <f t="shared" si="16"/>
        <v>1020000</v>
      </c>
      <c r="M48" s="163">
        <f t="shared" si="17"/>
        <v>22666.666666666668</v>
      </c>
    </row>
    <row r="49" spans="1:13" ht="30" x14ac:dyDescent="0.25">
      <c r="B49" s="231">
        <f t="shared" si="18"/>
        <v>7415</v>
      </c>
      <c r="C49" t="str">
        <f t="shared" si="13"/>
        <v>STEEL</v>
      </c>
      <c r="D49" s="28" t="str">
        <f>D30</f>
        <v>4 CORE X 300 SQ. MM. AL/ARD - WIRE (XLPE)</v>
      </c>
      <c r="E49" s="159">
        <f>K30</f>
        <v>72</v>
      </c>
      <c r="F49" s="161">
        <f>(BY30/1000)</f>
        <v>0.5</v>
      </c>
      <c r="G49" s="159" t="s">
        <v>276</v>
      </c>
      <c r="H49" s="162">
        <v>85000</v>
      </c>
      <c r="I49" s="161">
        <v>3</v>
      </c>
      <c r="J49" s="159">
        <f t="shared" si="14"/>
        <v>1.5</v>
      </c>
      <c r="K49" s="159">
        <f t="shared" si="15"/>
        <v>48</v>
      </c>
      <c r="L49" s="159">
        <f t="shared" si="16"/>
        <v>4080000</v>
      </c>
      <c r="M49" s="163">
        <f t="shared" si="17"/>
        <v>56666.666666666664</v>
      </c>
    </row>
    <row r="50" spans="1:13" ht="30" x14ac:dyDescent="0.25">
      <c r="B50" s="231">
        <f t="shared" si="18"/>
        <v>260.5</v>
      </c>
      <c r="C50" t="str">
        <f t="shared" si="13"/>
        <v>WOOD</v>
      </c>
      <c r="D50" s="28" t="str">
        <f>D31</f>
        <v>2 CORE X 25 SQ MM + 1 CORE X 25 SQ MM (AB CABLES) (BARE)</v>
      </c>
      <c r="E50" s="159">
        <f>K31</f>
        <v>40</v>
      </c>
      <c r="F50" s="161">
        <f>(BY31/1000)</f>
        <v>1</v>
      </c>
      <c r="G50" s="159" t="s">
        <v>276</v>
      </c>
      <c r="H50" s="162">
        <v>85000</v>
      </c>
      <c r="I50" s="230">
        <v>36</v>
      </c>
      <c r="J50" s="159">
        <f t="shared" si="14"/>
        <v>36</v>
      </c>
      <c r="K50" s="159">
        <f t="shared" si="15"/>
        <v>2</v>
      </c>
      <c r="L50" s="159">
        <f t="shared" si="16"/>
        <v>170000</v>
      </c>
      <c r="M50" s="163">
        <f t="shared" si="17"/>
        <v>4250</v>
      </c>
    </row>
    <row r="51" spans="1:13" ht="45" x14ac:dyDescent="0.25">
      <c r="B51" s="231">
        <f t="shared" si="18"/>
        <v>2449</v>
      </c>
      <c r="C51" t="str">
        <f t="shared" si="13"/>
        <v>WOOD</v>
      </c>
      <c r="D51" s="28" t="str">
        <f>D32</f>
        <v>4 CORE X 150 SQ MM + 1 CORE X 16 SQ MM + 1 CORE X 150 SQ MM (AB CABLES) (BARE)</v>
      </c>
      <c r="E51" s="159">
        <f>K32</f>
        <v>170</v>
      </c>
      <c r="F51" s="161">
        <f>(BY32/1000)</f>
        <v>0.5</v>
      </c>
      <c r="G51" s="159" t="s">
        <v>276</v>
      </c>
      <c r="H51" s="162">
        <v>85000</v>
      </c>
      <c r="I51" s="161">
        <v>9</v>
      </c>
      <c r="J51" s="159">
        <f t="shared" si="14"/>
        <v>4.5</v>
      </c>
      <c r="K51" s="159">
        <f t="shared" si="15"/>
        <v>38</v>
      </c>
      <c r="L51" s="159">
        <f t="shared" si="16"/>
        <v>3230000</v>
      </c>
      <c r="M51" s="163">
        <f t="shared" si="17"/>
        <v>19000</v>
      </c>
    </row>
    <row r="55" spans="1:13" ht="51" x14ac:dyDescent="0.25">
      <c r="A55" s="20" t="s">
        <v>0</v>
      </c>
      <c r="B55" s="20" t="s">
        <v>133</v>
      </c>
      <c r="C55" s="20" t="s">
        <v>1</v>
      </c>
      <c r="D55" s="20" t="s">
        <v>2</v>
      </c>
      <c r="E55" s="5" t="s">
        <v>280</v>
      </c>
      <c r="F55" s="13" t="s">
        <v>281</v>
      </c>
      <c r="G55" s="13" t="s">
        <v>282</v>
      </c>
      <c r="H55" s="6" t="s">
        <v>73</v>
      </c>
      <c r="I55" s="13" t="s">
        <v>74</v>
      </c>
      <c r="J55" s="13" t="s">
        <v>283</v>
      </c>
      <c r="K55" s="13" t="s">
        <v>76</v>
      </c>
      <c r="L55" s="13" t="s">
        <v>77</v>
      </c>
      <c r="M55" s="13" t="s">
        <v>78</v>
      </c>
    </row>
    <row r="56" spans="1:13" x14ac:dyDescent="0.25">
      <c r="A56" s="29"/>
      <c r="B56" s="29"/>
      <c r="C56" s="29"/>
      <c r="D56" s="29"/>
      <c r="E56" s="5"/>
      <c r="F56" s="5"/>
      <c r="G56" s="5"/>
      <c r="H56" s="5"/>
      <c r="I56" s="5"/>
      <c r="J56" s="5"/>
      <c r="K56" s="5"/>
      <c r="L56" s="5"/>
      <c r="M56" s="5"/>
    </row>
    <row r="57" spans="1:13" ht="30" x14ac:dyDescent="0.25">
      <c r="A57" s="1" t="str">
        <f>A17</f>
        <v>ENQ-11285-22-23</v>
      </c>
      <c r="B57" s="52">
        <f>B17</f>
        <v>45170</v>
      </c>
      <c r="C57" s="167" t="str">
        <f>C17</f>
        <v>FA0500035</v>
      </c>
      <c r="D57" s="1" t="str">
        <f>D17</f>
        <v>1 CORE X 2.5 SQ. MM. ALU/UNARD (XLPE)</v>
      </c>
      <c r="E57" s="3">
        <f>ROUNDUP(E17/1000,2)</f>
        <v>16.850000000000001</v>
      </c>
      <c r="F57" s="165">
        <f>ROUNDUP(F17/1000,2)</f>
        <v>1.85</v>
      </c>
      <c r="G57" s="9">
        <f>ROUND(E57+F57,2)</f>
        <v>18.7</v>
      </c>
      <c r="H57" s="7">
        <f>H17</f>
        <v>0.18</v>
      </c>
      <c r="I57" s="9">
        <f>ROUND(G57*H57,2)</f>
        <v>3.37</v>
      </c>
      <c r="J57" s="9">
        <f>ROUND(G57+I57,2)</f>
        <v>22.07</v>
      </c>
      <c r="K57" s="1">
        <f>K17*1000</f>
        <v>46000</v>
      </c>
      <c r="L57" s="1" t="s">
        <v>284</v>
      </c>
      <c r="M57" s="3">
        <f t="shared" ref="M57:M72" si="19">J57*K57</f>
        <v>1015220</v>
      </c>
    </row>
    <row r="58" spans="1:13" ht="30" x14ac:dyDescent="0.25">
      <c r="A58" s="1" t="str">
        <f t="shared" ref="A58:D58" si="20">A18</f>
        <v>ENQ-11285-22-23</v>
      </c>
      <c r="B58" s="52">
        <f t="shared" si="20"/>
        <v>45170</v>
      </c>
      <c r="C58" s="167" t="str">
        <f t="shared" si="20"/>
        <v>FA1000114</v>
      </c>
      <c r="D58" s="1" t="str">
        <f t="shared" si="20"/>
        <v>1 CORE X 4 SQ. MM. AL/UNARD (XLPE)</v>
      </c>
      <c r="E58" s="3">
        <f t="shared" ref="E58:F58" si="21">ROUNDUP(E18/1000,2)</f>
        <v>19.190000000000001</v>
      </c>
      <c r="F58" s="165">
        <f t="shared" si="21"/>
        <v>6.8</v>
      </c>
      <c r="G58" s="9">
        <f t="shared" ref="G58:G72" si="22">ROUND(E58+F58,2)</f>
        <v>25.99</v>
      </c>
      <c r="H58" s="7">
        <f t="shared" ref="H58:H72" si="23">H18</f>
        <v>0.18</v>
      </c>
      <c r="I58" s="9">
        <f t="shared" ref="I58:I72" si="24">ROUND(G58*H58,2)</f>
        <v>4.68</v>
      </c>
      <c r="J58" s="9">
        <f t="shared" ref="J58:J72" si="25">ROUND(G58+I58,2)</f>
        <v>30.67</v>
      </c>
      <c r="K58" s="1">
        <f t="shared" ref="K58:K72" si="26">K18*1000</f>
        <v>12500</v>
      </c>
      <c r="L58" s="1" t="s">
        <v>284</v>
      </c>
      <c r="M58" s="3">
        <f t="shared" si="19"/>
        <v>383375</v>
      </c>
    </row>
    <row r="59" spans="1:13" ht="30" x14ac:dyDescent="0.25">
      <c r="A59" s="1" t="str">
        <f t="shared" ref="A59:D59" si="27">A19</f>
        <v>ENQ-11285-22-23</v>
      </c>
      <c r="B59" s="52">
        <f t="shared" si="27"/>
        <v>45170</v>
      </c>
      <c r="C59" s="167" t="str">
        <f t="shared" si="27"/>
        <v>FA0500020</v>
      </c>
      <c r="D59" s="1" t="str">
        <f t="shared" si="27"/>
        <v>1 CORE X 25 SQ. MM. ALU/UNARD (XLPE )</v>
      </c>
      <c r="E59" s="3">
        <f t="shared" ref="E59:F59" si="28">ROUNDUP(E19/1000,2)</f>
        <v>46.25</v>
      </c>
      <c r="F59" s="165">
        <f t="shared" si="28"/>
        <v>2.1800000000000002</v>
      </c>
      <c r="G59" s="9">
        <f t="shared" si="22"/>
        <v>48.43</v>
      </c>
      <c r="H59" s="7">
        <f t="shared" si="23"/>
        <v>0.18</v>
      </c>
      <c r="I59" s="9">
        <f t="shared" si="24"/>
        <v>8.7200000000000006</v>
      </c>
      <c r="J59" s="9">
        <f t="shared" si="25"/>
        <v>57.15</v>
      </c>
      <c r="K59" s="1">
        <f t="shared" si="26"/>
        <v>39000</v>
      </c>
      <c r="L59" s="1" t="s">
        <v>284</v>
      </c>
      <c r="M59" s="3">
        <f t="shared" si="19"/>
        <v>2228850</v>
      </c>
    </row>
    <row r="60" spans="1:13" ht="30" x14ac:dyDescent="0.25">
      <c r="A60" s="1" t="str">
        <f t="shared" ref="A60:D60" si="29">A20</f>
        <v>ENQ-11285-22-23</v>
      </c>
      <c r="B60" s="52">
        <f t="shared" si="29"/>
        <v>45170</v>
      </c>
      <c r="C60" s="167" t="str">
        <f t="shared" si="29"/>
        <v>FA0600013</v>
      </c>
      <c r="D60" s="1" t="str">
        <f t="shared" si="29"/>
        <v>1 CORE X 95 SQ. MM. AL/UNARD(XLPE )</v>
      </c>
      <c r="E60" s="3">
        <f t="shared" ref="E60:F60" si="30">ROUNDUP(E20/1000,2)</f>
        <v>128.87</v>
      </c>
      <c r="F60" s="165">
        <f t="shared" si="30"/>
        <v>4.5999999999999996</v>
      </c>
      <c r="G60" s="9">
        <f t="shared" si="22"/>
        <v>133.47</v>
      </c>
      <c r="H60" s="7">
        <f t="shared" si="23"/>
        <v>0.18</v>
      </c>
      <c r="I60" s="9">
        <f t="shared" si="24"/>
        <v>24.02</v>
      </c>
      <c r="J60" s="9">
        <f t="shared" si="25"/>
        <v>157.49</v>
      </c>
      <c r="K60" s="1">
        <f t="shared" si="26"/>
        <v>18500</v>
      </c>
      <c r="L60" s="1" t="s">
        <v>284</v>
      </c>
      <c r="M60" s="3">
        <f t="shared" si="19"/>
        <v>2913565</v>
      </c>
    </row>
    <row r="61" spans="1:13" ht="30" x14ac:dyDescent="0.25">
      <c r="A61" s="1" t="str">
        <f t="shared" ref="A61:D61" si="31">A21</f>
        <v>ENQ-11285-22-23</v>
      </c>
      <c r="B61" s="52">
        <f t="shared" si="31"/>
        <v>45170</v>
      </c>
      <c r="C61" s="167" t="str">
        <f t="shared" si="31"/>
        <v>FA0600021</v>
      </c>
      <c r="D61" s="1" t="str">
        <f t="shared" si="31"/>
        <v>1 CORE X 185 SQ. MM. AL/UNARD. (XLPE)</v>
      </c>
      <c r="E61" s="3">
        <f t="shared" ref="E61:F61" si="32">ROUNDUP(E21/1000,2)</f>
        <v>244.38</v>
      </c>
      <c r="F61" s="165">
        <f t="shared" si="32"/>
        <v>12.69</v>
      </c>
      <c r="G61" s="9">
        <f t="shared" si="22"/>
        <v>257.07</v>
      </c>
      <c r="H61" s="7">
        <f t="shared" si="23"/>
        <v>0.18</v>
      </c>
      <c r="I61" s="9">
        <f t="shared" si="24"/>
        <v>46.27</v>
      </c>
      <c r="J61" s="9">
        <f t="shared" si="25"/>
        <v>303.33999999999997</v>
      </c>
      <c r="K61" s="1">
        <f t="shared" si="26"/>
        <v>6700</v>
      </c>
      <c r="L61" s="1" t="s">
        <v>284</v>
      </c>
      <c r="M61" s="3">
        <f t="shared" si="19"/>
        <v>2032377.9999999998</v>
      </c>
    </row>
    <row r="62" spans="1:13" ht="30" x14ac:dyDescent="0.25">
      <c r="A62" s="1" t="str">
        <f t="shared" ref="A62:D62" si="33">A22</f>
        <v>ENQ-11285-22-23</v>
      </c>
      <c r="B62" s="52">
        <f t="shared" si="33"/>
        <v>45170</v>
      </c>
      <c r="C62" s="167" t="str">
        <f t="shared" si="33"/>
        <v>FA0600020</v>
      </c>
      <c r="D62" s="1" t="str">
        <f t="shared" si="33"/>
        <v>1 CORE X 300 SQ. MM. AL/UNARD. (XLPE)</v>
      </c>
      <c r="E62" s="3">
        <f t="shared" ref="E62:F62" si="34">ROUNDUP(E22/1000,2)</f>
        <v>387.46</v>
      </c>
      <c r="F62" s="165">
        <f t="shared" si="34"/>
        <v>12.32</v>
      </c>
      <c r="G62" s="9">
        <f t="shared" si="22"/>
        <v>399.78</v>
      </c>
      <c r="H62" s="7">
        <f t="shared" si="23"/>
        <v>0.18</v>
      </c>
      <c r="I62" s="9">
        <f t="shared" si="24"/>
        <v>71.959999999999994</v>
      </c>
      <c r="J62" s="9">
        <f t="shared" si="25"/>
        <v>471.74</v>
      </c>
      <c r="K62" s="1">
        <f t="shared" si="26"/>
        <v>20700</v>
      </c>
      <c r="L62" s="1" t="s">
        <v>284</v>
      </c>
      <c r="M62" s="3">
        <f t="shared" si="19"/>
        <v>9765018</v>
      </c>
    </row>
    <row r="63" spans="1:13" ht="30" x14ac:dyDescent="0.25">
      <c r="A63" s="1" t="str">
        <f t="shared" ref="A63:D63" si="35">A23</f>
        <v>ENQ-11285-22-23</v>
      </c>
      <c r="B63" s="52">
        <f t="shared" si="35"/>
        <v>45170</v>
      </c>
      <c r="C63" s="167" t="str">
        <f t="shared" si="35"/>
        <v>FA0600032</v>
      </c>
      <c r="D63" s="1" t="str">
        <f t="shared" si="35"/>
        <v>1 CORE X 630 SQ. MM. ALU/UNARD (XLPE)</v>
      </c>
      <c r="E63" s="3">
        <f t="shared" ref="E63:F63" si="36">ROUNDUP(E23/1000,2)</f>
        <v>747.48</v>
      </c>
      <c r="F63" s="165">
        <f t="shared" si="36"/>
        <v>28.34</v>
      </c>
      <c r="G63" s="9">
        <f t="shared" si="22"/>
        <v>775.82</v>
      </c>
      <c r="H63" s="7">
        <f t="shared" si="23"/>
        <v>0.18</v>
      </c>
      <c r="I63" s="9">
        <f t="shared" si="24"/>
        <v>139.65</v>
      </c>
      <c r="J63" s="9">
        <f t="shared" si="25"/>
        <v>915.47</v>
      </c>
      <c r="K63" s="1">
        <f t="shared" si="26"/>
        <v>18000</v>
      </c>
      <c r="L63" s="1" t="s">
        <v>284</v>
      </c>
      <c r="M63" s="3">
        <f t="shared" si="19"/>
        <v>16478460</v>
      </c>
    </row>
    <row r="64" spans="1:13" ht="30" x14ac:dyDescent="0.25">
      <c r="A64" s="1" t="str">
        <f t="shared" ref="A64:D64" si="37">A24</f>
        <v>ENQ-11285-22-23</v>
      </c>
      <c r="B64" s="52">
        <f t="shared" si="37"/>
        <v>45170</v>
      </c>
      <c r="C64" s="167" t="str">
        <f t="shared" si="37"/>
        <v>FA0900133</v>
      </c>
      <c r="D64" s="1" t="str">
        <f t="shared" si="37"/>
        <v>2 CORE X 16 SQ. MM. AL/ARD - WIRE (XLPE)</v>
      </c>
      <c r="E64" s="3">
        <f t="shared" ref="E64:F64" si="38">ROUNDUP(E24/1000,2)</f>
        <v>114.61</v>
      </c>
      <c r="F64" s="165">
        <f t="shared" si="38"/>
        <v>4.2799999999999994</v>
      </c>
      <c r="G64" s="9">
        <f t="shared" si="22"/>
        <v>118.89</v>
      </c>
      <c r="H64" s="7">
        <f t="shared" si="23"/>
        <v>0.18</v>
      </c>
      <c r="I64" s="9">
        <f t="shared" si="24"/>
        <v>21.4</v>
      </c>
      <c r="J64" s="9">
        <f t="shared" si="25"/>
        <v>140.29</v>
      </c>
      <c r="K64" s="1">
        <f t="shared" si="26"/>
        <v>1511000</v>
      </c>
      <c r="L64" s="1" t="s">
        <v>284</v>
      </c>
      <c r="M64" s="3">
        <f t="shared" si="19"/>
        <v>211978190</v>
      </c>
    </row>
    <row r="65" spans="1:13" ht="30" x14ac:dyDescent="0.25">
      <c r="A65" s="1" t="str">
        <f t="shared" ref="A65:D65" si="39">A25</f>
        <v>ENQ-11285-22-23</v>
      </c>
      <c r="B65" s="52">
        <f t="shared" si="39"/>
        <v>45170</v>
      </c>
      <c r="C65" s="167" t="str">
        <f t="shared" si="39"/>
        <v>FA0900038</v>
      </c>
      <c r="D65" s="1" t="str">
        <f t="shared" si="39"/>
        <v>2 CORE X 25 SQ. MM. AL/ARD - STRIP (XLPE)</v>
      </c>
      <c r="E65" s="3">
        <f t="shared" ref="E65:F65" si="40">ROUNDUP(E25/1000,2)</f>
        <v>137.79</v>
      </c>
      <c r="F65" s="165">
        <f t="shared" si="40"/>
        <v>4.08</v>
      </c>
      <c r="G65" s="9">
        <f t="shared" si="22"/>
        <v>141.87</v>
      </c>
      <c r="H65" s="7">
        <f t="shared" si="23"/>
        <v>0.18</v>
      </c>
      <c r="I65" s="9">
        <f t="shared" si="24"/>
        <v>25.54</v>
      </c>
      <c r="J65" s="9">
        <f t="shared" si="25"/>
        <v>167.41</v>
      </c>
      <c r="K65" s="1">
        <f t="shared" si="26"/>
        <v>125000</v>
      </c>
      <c r="L65" s="1" t="s">
        <v>284</v>
      </c>
      <c r="M65" s="3">
        <f t="shared" si="19"/>
        <v>20926250</v>
      </c>
    </row>
    <row r="66" spans="1:13" ht="30" x14ac:dyDescent="0.25">
      <c r="A66" s="1" t="str">
        <f t="shared" ref="A66:D66" si="41">A26</f>
        <v>ENQ-11285-22-23</v>
      </c>
      <c r="B66" s="52">
        <f t="shared" si="41"/>
        <v>45170</v>
      </c>
      <c r="C66" s="167" t="str">
        <f t="shared" si="41"/>
        <v>FA0900015</v>
      </c>
      <c r="D66" s="1" t="str">
        <f t="shared" si="41"/>
        <v>4 CORE X 25 SQ. MM. ALU/ARD - STRIP (XLPE)</v>
      </c>
      <c r="E66" s="3">
        <f t="shared" ref="E66:F66" si="42">ROUNDUP(E26/1000,2)</f>
        <v>204.07999999999998</v>
      </c>
      <c r="F66" s="165">
        <f t="shared" si="42"/>
        <v>5.72</v>
      </c>
      <c r="G66" s="9">
        <f t="shared" si="22"/>
        <v>209.8</v>
      </c>
      <c r="H66" s="7">
        <f t="shared" si="23"/>
        <v>0.18</v>
      </c>
      <c r="I66" s="9">
        <f t="shared" si="24"/>
        <v>37.76</v>
      </c>
      <c r="J66" s="9">
        <f t="shared" si="25"/>
        <v>247.56</v>
      </c>
      <c r="K66" s="1">
        <f t="shared" si="26"/>
        <v>357000</v>
      </c>
      <c r="L66" s="1" t="s">
        <v>284</v>
      </c>
      <c r="M66" s="3">
        <f t="shared" si="19"/>
        <v>88378920</v>
      </c>
    </row>
    <row r="67" spans="1:13" ht="30" x14ac:dyDescent="0.25">
      <c r="A67" s="1" t="str">
        <f t="shared" ref="A67:D67" si="43">A27</f>
        <v>ENQ-11285-22-23</v>
      </c>
      <c r="B67" s="52">
        <f t="shared" si="43"/>
        <v>45170</v>
      </c>
      <c r="C67" s="167" t="str">
        <f t="shared" si="43"/>
        <v>FA0900036</v>
      </c>
      <c r="D67" s="1" t="str">
        <f t="shared" si="43"/>
        <v>4 CORE X 50 SQ. MM. ALU/ARD - STRIP (XLPE)</v>
      </c>
      <c r="E67" s="3">
        <f t="shared" ref="E67:F67" si="44">ROUNDUP(E27/1000,2)</f>
        <v>348.02</v>
      </c>
      <c r="F67" s="165">
        <f t="shared" si="44"/>
        <v>7.89</v>
      </c>
      <c r="G67" s="9">
        <f t="shared" si="22"/>
        <v>355.91</v>
      </c>
      <c r="H67" s="7">
        <f t="shared" si="23"/>
        <v>0.18</v>
      </c>
      <c r="I67" s="9">
        <f t="shared" si="24"/>
        <v>64.06</v>
      </c>
      <c r="J67" s="9">
        <f t="shared" si="25"/>
        <v>419.97</v>
      </c>
      <c r="K67" s="1">
        <f t="shared" si="26"/>
        <v>97000</v>
      </c>
      <c r="L67" s="1" t="s">
        <v>284</v>
      </c>
      <c r="M67" s="3">
        <f t="shared" si="19"/>
        <v>40737090</v>
      </c>
    </row>
    <row r="68" spans="1:13" ht="30" x14ac:dyDescent="0.25">
      <c r="A68" s="1" t="str">
        <f t="shared" ref="A68:D68" si="45">A28</f>
        <v>ENQ-11285-22-23</v>
      </c>
      <c r="B68" s="52">
        <f t="shared" si="45"/>
        <v>45170</v>
      </c>
      <c r="C68" s="167" t="str">
        <f t="shared" si="45"/>
        <v>FA1100012</v>
      </c>
      <c r="D68" s="1" t="str">
        <f t="shared" si="45"/>
        <v>4 CORE X 95 SQ. MM. AL/ARD - STRIP (XLPE)</v>
      </c>
      <c r="E68" s="3">
        <f t="shared" ref="E68:F68" si="46">ROUNDUP(E28/1000,2)</f>
        <v>564.26</v>
      </c>
      <c r="F68" s="165">
        <f t="shared" si="46"/>
        <v>15.549999999999999</v>
      </c>
      <c r="G68" s="9">
        <f t="shared" si="22"/>
        <v>579.80999999999995</v>
      </c>
      <c r="H68" s="7">
        <f t="shared" si="23"/>
        <v>0.18</v>
      </c>
      <c r="I68" s="9">
        <f t="shared" si="24"/>
        <v>104.37</v>
      </c>
      <c r="J68" s="9">
        <f t="shared" si="25"/>
        <v>684.18</v>
      </c>
      <c r="K68" s="1">
        <f t="shared" si="26"/>
        <v>82000</v>
      </c>
      <c r="L68" s="1" t="s">
        <v>284</v>
      </c>
      <c r="M68" s="3">
        <f t="shared" si="19"/>
        <v>56102759.999999993</v>
      </c>
    </row>
    <row r="69" spans="1:13" ht="30" x14ac:dyDescent="0.25">
      <c r="A69" s="1" t="str">
        <f t="shared" ref="A69:D69" si="47">A29</f>
        <v>ENQ-11285-22-23</v>
      </c>
      <c r="B69" s="52">
        <f t="shared" si="47"/>
        <v>45170</v>
      </c>
      <c r="C69" s="167" t="str">
        <f t="shared" si="47"/>
        <v>FA1100262</v>
      </c>
      <c r="D69" s="1" t="str">
        <f t="shared" si="47"/>
        <v>4 CORE X 150 SQ. MM. AL/ARD - STRIP/TYPE - B (XLPE)</v>
      </c>
      <c r="E69" s="3">
        <f t="shared" ref="E69:F69" si="48">ROUNDUP(E29/1000,2)</f>
        <v>977.48</v>
      </c>
      <c r="F69" s="165">
        <f t="shared" si="48"/>
        <v>22.67</v>
      </c>
      <c r="G69" s="9">
        <f t="shared" si="22"/>
        <v>1000.15</v>
      </c>
      <c r="H69" s="7">
        <f t="shared" si="23"/>
        <v>0.18</v>
      </c>
      <c r="I69" s="9">
        <f t="shared" si="24"/>
        <v>180.03</v>
      </c>
      <c r="J69" s="9">
        <f t="shared" si="25"/>
        <v>1180.18</v>
      </c>
      <c r="K69" s="1">
        <f t="shared" si="26"/>
        <v>45000</v>
      </c>
      <c r="L69" s="1" t="s">
        <v>284</v>
      </c>
      <c r="M69" s="3">
        <f t="shared" si="19"/>
        <v>53108100</v>
      </c>
    </row>
    <row r="70" spans="1:13" ht="30" x14ac:dyDescent="0.25">
      <c r="A70" s="1" t="str">
        <f t="shared" ref="A70:D70" si="49">A30</f>
        <v>ENQ-11285-22-23</v>
      </c>
      <c r="B70" s="52">
        <f t="shared" si="49"/>
        <v>45170</v>
      </c>
      <c r="C70" s="167" t="str">
        <f t="shared" si="49"/>
        <v>FA1100176</v>
      </c>
      <c r="D70" s="1" t="str">
        <f t="shared" si="49"/>
        <v>4 CORE X 300 SQ. MM. AL/ARD - WIRE (XLPE)</v>
      </c>
      <c r="E70" s="3">
        <f t="shared" ref="E70:F70" si="50">ROUNDUP(E30/1000,2)</f>
        <v>1901.33</v>
      </c>
      <c r="F70" s="165">
        <f t="shared" si="50"/>
        <v>56.669999999999995</v>
      </c>
      <c r="G70" s="9">
        <f t="shared" si="22"/>
        <v>1958</v>
      </c>
      <c r="H70" s="7">
        <f t="shared" si="23"/>
        <v>0.18</v>
      </c>
      <c r="I70" s="9">
        <f t="shared" si="24"/>
        <v>352.44</v>
      </c>
      <c r="J70" s="9">
        <f t="shared" si="25"/>
        <v>2310.44</v>
      </c>
      <c r="K70" s="1">
        <f t="shared" si="26"/>
        <v>72000</v>
      </c>
      <c r="L70" s="1" t="s">
        <v>284</v>
      </c>
      <c r="M70" s="3">
        <f t="shared" si="19"/>
        <v>166351680</v>
      </c>
    </row>
    <row r="71" spans="1:13" ht="30" x14ac:dyDescent="0.25">
      <c r="A71" s="1" t="str">
        <f t="shared" ref="A71:D71" si="51">A31</f>
        <v>ENQ-11285-22-23</v>
      </c>
      <c r="B71" s="52">
        <f t="shared" si="51"/>
        <v>45170</v>
      </c>
      <c r="C71" s="167" t="str">
        <f t="shared" si="51"/>
        <v>FA1500045</v>
      </c>
      <c r="D71" s="1" t="str">
        <f t="shared" si="51"/>
        <v>2 CORE X 25 SQ MM + 1 CORE X 25 SQ MM (AB CABLES) (BARE)</v>
      </c>
      <c r="E71" s="3">
        <f t="shared" ref="E71:F71" si="52">ROUNDUP(E31/1000,2)</f>
        <v>84.86</v>
      </c>
      <c r="F71" s="165">
        <f t="shared" si="52"/>
        <v>4.25</v>
      </c>
      <c r="G71" s="9">
        <f t="shared" si="22"/>
        <v>89.11</v>
      </c>
      <c r="H71" s="7">
        <f t="shared" si="23"/>
        <v>0.18</v>
      </c>
      <c r="I71" s="9">
        <f t="shared" si="24"/>
        <v>16.04</v>
      </c>
      <c r="J71" s="9">
        <f t="shared" si="25"/>
        <v>105.15</v>
      </c>
      <c r="K71" s="1">
        <f t="shared" si="26"/>
        <v>40000</v>
      </c>
      <c r="L71" s="1" t="s">
        <v>284</v>
      </c>
      <c r="M71" s="3">
        <f t="shared" si="19"/>
        <v>4206000</v>
      </c>
    </row>
    <row r="72" spans="1:13" ht="45" x14ac:dyDescent="0.25">
      <c r="A72" s="1" t="str">
        <f t="shared" ref="A72:D72" si="53">A32</f>
        <v>ENQ-11285-22-23</v>
      </c>
      <c r="B72" s="52">
        <f t="shared" si="53"/>
        <v>45170</v>
      </c>
      <c r="C72" s="167" t="str">
        <f t="shared" si="53"/>
        <v>FA0100086</v>
      </c>
      <c r="D72" s="1" t="str">
        <f t="shared" si="53"/>
        <v>4 CORE X 150 SQ MM + 1 CORE X 16 SQ MM + 1 CORE X 150 SQ MM (AB CABLES) (BARE)</v>
      </c>
      <c r="E72" s="3">
        <f t="shared" ref="E72:F72" si="54">ROUNDUP(E32/1000,2)</f>
        <v>797.79</v>
      </c>
      <c r="F72" s="165">
        <f t="shared" si="54"/>
        <v>19</v>
      </c>
      <c r="G72" s="9">
        <f t="shared" si="22"/>
        <v>816.79</v>
      </c>
      <c r="H72" s="7">
        <f t="shared" si="23"/>
        <v>0.18</v>
      </c>
      <c r="I72" s="9">
        <f t="shared" si="24"/>
        <v>147.02000000000001</v>
      </c>
      <c r="J72" s="9">
        <f t="shared" si="25"/>
        <v>963.81</v>
      </c>
      <c r="K72" s="1">
        <f t="shared" si="26"/>
        <v>170000</v>
      </c>
      <c r="L72" s="1" t="s">
        <v>284</v>
      </c>
      <c r="M72" s="3">
        <f t="shared" si="19"/>
        <v>163847700</v>
      </c>
    </row>
    <row r="73" spans="1:13" x14ac:dyDescent="0.25">
      <c r="M73" s="232">
        <f>SUM(M57:M72)</f>
        <v>840453556</v>
      </c>
    </row>
  </sheetData>
  <mergeCells count="18">
    <mergeCell ref="BC14:BL14"/>
    <mergeCell ref="N14:R14"/>
    <mergeCell ref="S14:T14"/>
    <mergeCell ref="U14:AB14"/>
    <mergeCell ref="AC14:AD14"/>
    <mergeCell ref="AE14:AJ14"/>
    <mergeCell ref="B9:R9"/>
    <mergeCell ref="B10:R10"/>
    <mergeCell ref="A2:R2"/>
    <mergeCell ref="AL14:AR14"/>
    <mergeCell ref="AS14:BB14"/>
    <mergeCell ref="B11:R11"/>
    <mergeCell ref="B12:R12"/>
    <mergeCell ref="B4:R4"/>
    <mergeCell ref="B5:R5"/>
    <mergeCell ref="B6:R6"/>
    <mergeCell ref="B7:R7"/>
    <mergeCell ref="B8:R8"/>
  </mergeCells>
  <dataValidations count="1">
    <dataValidation type="list" allowBlank="1" showInputMessage="1" showErrorMessage="1" sqref="G36:G51">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M41"/>
  <sheetViews>
    <sheetView showZeros="0" topLeftCell="A10" workbookViewId="0">
      <pane xSplit="1" ySplit="6" topLeftCell="B19" activePane="bottomRight" state="frozen"/>
      <selection activeCell="A10" sqref="A10"/>
      <selection pane="topRight" activeCell="B10" sqref="B10"/>
      <selection pane="bottomLeft" activeCell="A16" sqref="A16"/>
      <selection pane="bottomRight" activeCell="AC29" sqref="AC29"/>
    </sheetView>
  </sheetViews>
  <sheetFormatPr defaultRowHeight="12.75" x14ac:dyDescent="0.2"/>
  <cols>
    <col min="1" max="1" width="54.140625" style="74" bestFit="1" customWidth="1"/>
    <col min="2" max="2" width="14.7109375" style="74" customWidth="1"/>
    <col min="3" max="3" width="13.140625" style="74" customWidth="1"/>
    <col min="4" max="4" width="10.42578125" style="74" bestFit="1" customWidth="1"/>
    <col min="5" max="5" width="9.42578125" style="74" bestFit="1" customWidth="1"/>
    <col min="6" max="6" width="9.42578125" style="74" customWidth="1"/>
    <col min="7" max="7" width="10.42578125" style="74" bestFit="1" customWidth="1"/>
    <col min="8" max="9" width="9.140625" style="74"/>
    <col min="10" max="10" width="7.28515625" style="74" customWidth="1"/>
    <col min="11" max="12" width="7.42578125" style="74" hidden="1" customWidth="1"/>
    <col min="13" max="13" width="7.42578125" style="74" customWidth="1"/>
    <col min="14" max="14" width="7.42578125" style="74" hidden="1" customWidth="1"/>
    <col min="15" max="15" width="10.42578125" style="74" bestFit="1" customWidth="1"/>
    <col min="16" max="16" width="12" style="74" bestFit="1" customWidth="1"/>
    <col min="17" max="17" width="11" style="74" customWidth="1"/>
    <col min="18" max="18" width="11" style="74" bestFit="1" customWidth="1"/>
    <col min="19" max="19" width="14.42578125" style="74" bestFit="1" customWidth="1"/>
    <col min="20" max="20" width="8.5703125" style="74" bestFit="1" customWidth="1"/>
    <col min="21" max="21" width="7.5703125" style="74" bestFit="1" customWidth="1"/>
    <col min="22" max="22" width="10.140625" style="74" bestFit="1" customWidth="1"/>
    <col min="23" max="23" width="8.85546875" style="74" bestFit="1" customWidth="1"/>
    <col min="24" max="24" width="11" style="74" bestFit="1" customWidth="1"/>
    <col min="25" max="25" width="10.85546875" style="74" customWidth="1"/>
    <col min="26" max="26" width="11.28515625" style="74" customWidth="1"/>
    <col min="27" max="27" width="11.140625" style="74" customWidth="1"/>
    <col min="28" max="28" width="9.28515625" style="74" customWidth="1"/>
    <col min="29" max="29" width="7.7109375" style="74" bestFit="1" customWidth="1"/>
    <col min="30" max="30" width="9.140625" style="74" customWidth="1"/>
    <col min="31" max="31" width="10.5703125" style="74" bestFit="1" customWidth="1"/>
    <col min="32" max="32" width="9.5703125" style="74" bestFit="1" customWidth="1"/>
    <col min="33" max="33" width="10.5703125" style="74" customWidth="1"/>
    <col min="34" max="34" width="10.7109375" style="74" customWidth="1"/>
    <col min="35" max="253" width="9.140625" style="74"/>
    <col min="254" max="254" width="54.140625" style="74" bestFit="1" customWidth="1"/>
    <col min="255" max="255" width="14.7109375" style="74" customWidth="1"/>
    <col min="256" max="256" width="10.140625" style="74" customWidth="1"/>
    <col min="257" max="257" width="10.42578125" style="74" bestFit="1" customWidth="1"/>
    <col min="258" max="259" width="9.42578125" style="74" bestFit="1" customWidth="1"/>
    <col min="260" max="261" width="9.42578125" style="74" customWidth="1"/>
    <col min="262" max="262" width="10.140625" style="74" bestFit="1" customWidth="1"/>
    <col min="263" max="266" width="9.140625" style="74"/>
    <col min="267" max="267" width="7.28515625" style="74" customWidth="1"/>
    <col min="268" max="270" width="7.42578125" style="74" customWidth="1"/>
    <col min="271" max="271" width="10.42578125" style="74" bestFit="1" customWidth="1"/>
    <col min="272" max="272" width="12" style="74" bestFit="1" customWidth="1"/>
    <col min="273" max="273" width="11" style="74" bestFit="1" customWidth="1"/>
    <col min="274" max="275" width="11" style="74" customWidth="1"/>
    <col min="276" max="276" width="10" style="74" bestFit="1" customWidth="1"/>
    <col min="277" max="277" width="14.42578125" style="74" bestFit="1" customWidth="1"/>
    <col min="278" max="288" width="0" style="74" hidden="1" customWidth="1"/>
    <col min="289" max="509" width="9.140625" style="74"/>
    <col min="510" max="510" width="54.140625" style="74" bestFit="1" customWidth="1"/>
    <col min="511" max="511" width="14.7109375" style="74" customWidth="1"/>
    <col min="512" max="512" width="10.140625" style="74" customWidth="1"/>
    <col min="513" max="513" width="10.42578125" style="74" bestFit="1" customWidth="1"/>
    <col min="514" max="515" width="9.42578125" style="74" bestFit="1" customWidth="1"/>
    <col min="516" max="517" width="9.42578125" style="74" customWidth="1"/>
    <col min="518" max="518" width="10.140625" style="74" bestFit="1" customWidth="1"/>
    <col min="519" max="522" width="9.140625" style="74"/>
    <col min="523" max="523" width="7.28515625" style="74" customWidth="1"/>
    <col min="524" max="526" width="7.42578125" style="74" customWidth="1"/>
    <col min="527" max="527" width="10.42578125" style="74" bestFit="1" customWidth="1"/>
    <col min="528" max="528" width="12" style="74" bestFit="1" customWidth="1"/>
    <col min="529" max="529" width="11" style="74" bestFit="1" customWidth="1"/>
    <col min="530" max="531" width="11" style="74" customWidth="1"/>
    <col min="532" max="532" width="10" style="74" bestFit="1" customWidth="1"/>
    <col min="533" max="533" width="14.42578125" style="74" bestFit="1" customWidth="1"/>
    <col min="534" max="544" width="0" style="74" hidden="1" customWidth="1"/>
    <col min="545" max="765" width="9.140625" style="74"/>
    <col min="766" max="766" width="54.140625" style="74" bestFit="1" customWidth="1"/>
    <col min="767" max="767" width="14.7109375" style="74" customWidth="1"/>
    <col min="768" max="768" width="10.140625" style="74" customWidth="1"/>
    <col min="769" max="769" width="10.42578125" style="74" bestFit="1" customWidth="1"/>
    <col min="770" max="771" width="9.42578125" style="74" bestFit="1" customWidth="1"/>
    <col min="772" max="773" width="9.42578125" style="74" customWidth="1"/>
    <col min="774" max="774" width="10.140625" style="74" bestFit="1" customWidth="1"/>
    <col min="775" max="778" width="9.140625" style="74"/>
    <col min="779" max="779" width="7.28515625" style="74" customWidth="1"/>
    <col min="780" max="782" width="7.42578125" style="74" customWidth="1"/>
    <col min="783" max="783" width="10.42578125" style="74" bestFit="1" customWidth="1"/>
    <col min="784" max="784" width="12" style="74" bestFit="1" customWidth="1"/>
    <col min="785" max="785" width="11" style="74" bestFit="1" customWidth="1"/>
    <col min="786" max="787" width="11" style="74" customWidth="1"/>
    <col min="788" max="788" width="10" style="74" bestFit="1" customWidth="1"/>
    <col min="789" max="789" width="14.42578125" style="74" bestFit="1" customWidth="1"/>
    <col min="790" max="800" width="0" style="74" hidden="1" customWidth="1"/>
    <col min="801" max="1021" width="9.140625" style="74"/>
    <col min="1022" max="1022" width="54.140625" style="74" bestFit="1" customWidth="1"/>
    <col min="1023" max="1023" width="14.7109375" style="74" customWidth="1"/>
    <col min="1024" max="1024" width="10.140625" style="74" customWidth="1"/>
    <col min="1025" max="1025" width="10.42578125" style="74" bestFit="1" customWidth="1"/>
    <col min="1026" max="1027" width="9.42578125" style="74" bestFit="1" customWidth="1"/>
    <col min="1028" max="1029" width="9.42578125" style="74" customWidth="1"/>
    <col min="1030" max="1030" width="10.140625" style="74" bestFit="1" customWidth="1"/>
    <col min="1031" max="1034" width="9.140625" style="74"/>
    <col min="1035" max="1035" width="7.28515625" style="74" customWidth="1"/>
    <col min="1036" max="1038" width="7.42578125" style="74" customWidth="1"/>
    <col min="1039" max="1039" width="10.42578125" style="74" bestFit="1" customWidth="1"/>
    <col min="1040" max="1040" width="12" style="74" bestFit="1" customWidth="1"/>
    <col min="1041" max="1041" width="11" style="74" bestFit="1" customWidth="1"/>
    <col min="1042" max="1043" width="11" style="74" customWidth="1"/>
    <col min="1044" max="1044" width="10" style="74" bestFit="1" customWidth="1"/>
    <col min="1045" max="1045" width="14.42578125" style="74" bestFit="1" customWidth="1"/>
    <col min="1046" max="1056" width="0" style="74" hidden="1" customWidth="1"/>
    <col min="1057" max="1277" width="9.140625" style="74"/>
    <col min="1278" max="1278" width="54.140625" style="74" bestFit="1" customWidth="1"/>
    <col min="1279" max="1279" width="14.7109375" style="74" customWidth="1"/>
    <col min="1280" max="1280" width="10.140625" style="74" customWidth="1"/>
    <col min="1281" max="1281" width="10.42578125" style="74" bestFit="1" customWidth="1"/>
    <col min="1282" max="1283" width="9.42578125" style="74" bestFit="1" customWidth="1"/>
    <col min="1284" max="1285" width="9.42578125" style="74" customWidth="1"/>
    <col min="1286" max="1286" width="10.140625" style="74" bestFit="1" customWidth="1"/>
    <col min="1287" max="1290" width="9.140625" style="74"/>
    <col min="1291" max="1291" width="7.28515625" style="74" customWidth="1"/>
    <col min="1292" max="1294" width="7.42578125" style="74" customWidth="1"/>
    <col min="1295" max="1295" width="10.42578125" style="74" bestFit="1" customWidth="1"/>
    <col min="1296" max="1296" width="12" style="74" bestFit="1" customWidth="1"/>
    <col min="1297" max="1297" width="11" style="74" bestFit="1" customWidth="1"/>
    <col min="1298" max="1299" width="11" style="74" customWidth="1"/>
    <col min="1300" max="1300" width="10" style="74" bestFit="1" customWidth="1"/>
    <col min="1301" max="1301" width="14.42578125" style="74" bestFit="1" customWidth="1"/>
    <col min="1302" max="1312" width="0" style="74" hidden="1" customWidth="1"/>
    <col min="1313" max="1533" width="9.140625" style="74"/>
    <col min="1534" max="1534" width="54.140625" style="74" bestFit="1" customWidth="1"/>
    <col min="1535" max="1535" width="14.7109375" style="74" customWidth="1"/>
    <col min="1536" max="1536" width="10.140625" style="74" customWidth="1"/>
    <col min="1537" max="1537" width="10.42578125" style="74" bestFit="1" customWidth="1"/>
    <col min="1538" max="1539" width="9.42578125" style="74" bestFit="1" customWidth="1"/>
    <col min="1540" max="1541" width="9.42578125" style="74" customWidth="1"/>
    <col min="1542" max="1542" width="10.140625" style="74" bestFit="1" customWidth="1"/>
    <col min="1543" max="1546" width="9.140625" style="74"/>
    <col min="1547" max="1547" width="7.28515625" style="74" customWidth="1"/>
    <col min="1548" max="1550" width="7.42578125" style="74" customWidth="1"/>
    <col min="1551" max="1551" width="10.42578125" style="74" bestFit="1" customWidth="1"/>
    <col min="1552" max="1552" width="12" style="74" bestFit="1" customWidth="1"/>
    <col min="1553" max="1553" width="11" style="74" bestFit="1" customWidth="1"/>
    <col min="1554" max="1555" width="11" style="74" customWidth="1"/>
    <col min="1556" max="1556" width="10" style="74" bestFit="1" customWidth="1"/>
    <col min="1557" max="1557" width="14.42578125" style="74" bestFit="1" customWidth="1"/>
    <col min="1558" max="1568" width="0" style="74" hidden="1" customWidth="1"/>
    <col min="1569" max="1789" width="9.140625" style="74"/>
    <col min="1790" max="1790" width="54.140625" style="74" bestFit="1" customWidth="1"/>
    <col min="1791" max="1791" width="14.7109375" style="74" customWidth="1"/>
    <col min="1792" max="1792" width="10.140625" style="74" customWidth="1"/>
    <col min="1793" max="1793" width="10.42578125" style="74" bestFit="1" customWidth="1"/>
    <col min="1794" max="1795" width="9.42578125" style="74" bestFit="1" customWidth="1"/>
    <col min="1796" max="1797" width="9.42578125" style="74" customWidth="1"/>
    <col min="1798" max="1798" width="10.140625" style="74" bestFit="1" customWidth="1"/>
    <col min="1799" max="1802" width="9.140625" style="74"/>
    <col min="1803" max="1803" width="7.28515625" style="74" customWidth="1"/>
    <col min="1804" max="1806" width="7.42578125" style="74" customWidth="1"/>
    <col min="1807" max="1807" width="10.42578125" style="74" bestFit="1" customWidth="1"/>
    <col min="1808" max="1808" width="12" style="74" bestFit="1" customWidth="1"/>
    <col min="1809" max="1809" width="11" style="74" bestFit="1" customWidth="1"/>
    <col min="1810" max="1811" width="11" style="74" customWidth="1"/>
    <col min="1812" max="1812" width="10" style="74" bestFit="1" customWidth="1"/>
    <col min="1813" max="1813" width="14.42578125" style="74" bestFit="1" customWidth="1"/>
    <col min="1814" max="1824" width="0" style="74" hidden="1" customWidth="1"/>
    <col min="1825" max="2045" width="9.140625" style="74"/>
    <col min="2046" max="2046" width="54.140625" style="74" bestFit="1" customWidth="1"/>
    <col min="2047" max="2047" width="14.7109375" style="74" customWidth="1"/>
    <col min="2048" max="2048" width="10.140625" style="74" customWidth="1"/>
    <col min="2049" max="2049" width="10.42578125" style="74" bestFit="1" customWidth="1"/>
    <col min="2050" max="2051" width="9.42578125" style="74" bestFit="1" customWidth="1"/>
    <col min="2052" max="2053" width="9.42578125" style="74" customWidth="1"/>
    <col min="2054" max="2054" width="10.140625" style="74" bestFit="1" customWidth="1"/>
    <col min="2055" max="2058" width="9.140625" style="74"/>
    <col min="2059" max="2059" width="7.28515625" style="74" customWidth="1"/>
    <col min="2060" max="2062" width="7.42578125" style="74" customWidth="1"/>
    <col min="2063" max="2063" width="10.42578125" style="74" bestFit="1" customWidth="1"/>
    <col min="2064" max="2064" width="12" style="74" bestFit="1" customWidth="1"/>
    <col min="2065" max="2065" width="11" style="74" bestFit="1" customWidth="1"/>
    <col min="2066" max="2067" width="11" style="74" customWidth="1"/>
    <col min="2068" max="2068" width="10" style="74" bestFit="1" customWidth="1"/>
    <col min="2069" max="2069" width="14.42578125" style="74" bestFit="1" customWidth="1"/>
    <col min="2070" max="2080" width="0" style="74" hidden="1" customWidth="1"/>
    <col min="2081" max="2301" width="9.140625" style="74"/>
    <col min="2302" max="2302" width="54.140625" style="74" bestFit="1" customWidth="1"/>
    <col min="2303" max="2303" width="14.7109375" style="74" customWidth="1"/>
    <col min="2304" max="2304" width="10.140625" style="74" customWidth="1"/>
    <col min="2305" max="2305" width="10.42578125" style="74" bestFit="1" customWidth="1"/>
    <col min="2306" max="2307" width="9.42578125" style="74" bestFit="1" customWidth="1"/>
    <col min="2308" max="2309" width="9.42578125" style="74" customWidth="1"/>
    <col min="2310" max="2310" width="10.140625" style="74" bestFit="1" customWidth="1"/>
    <col min="2311" max="2314" width="9.140625" style="74"/>
    <col min="2315" max="2315" width="7.28515625" style="74" customWidth="1"/>
    <col min="2316" max="2318" width="7.42578125" style="74" customWidth="1"/>
    <col min="2319" max="2319" width="10.42578125" style="74" bestFit="1" customWidth="1"/>
    <col min="2320" max="2320" width="12" style="74" bestFit="1" customWidth="1"/>
    <col min="2321" max="2321" width="11" style="74" bestFit="1" customWidth="1"/>
    <col min="2322" max="2323" width="11" style="74" customWidth="1"/>
    <col min="2324" max="2324" width="10" style="74" bestFit="1" customWidth="1"/>
    <col min="2325" max="2325" width="14.42578125" style="74" bestFit="1" customWidth="1"/>
    <col min="2326" max="2336" width="0" style="74" hidden="1" customWidth="1"/>
    <col min="2337" max="2557" width="9.140625" style="74"/>
    <col min="2558" max="2558" width="54.140625" style="74" bestFit="1" customWidth="1"/>
    <col min="2559" max="2559" width="14.7109375" style="74" customWidth="1"/>
    <col min="2560" max="2560" width="10.140625" style="74" customWidth="1"/>
    <col min="2561" max="2561" width="10.42578125" style="74" bestFit="1" customWidth="1"/>
    <col min="2562" max="2563" width="9.42578125" style="74" bestFit="1" customWidth="1"/>
    <col min="2564" max="2565" width="9.42578125" style="74" customWidth="1"/>
    <col min="2566" max="2566" width="10.140625" style="74" bestFit="1" customWidth="1"/>
    <col min="2567" max="2570" width="9.140625" style="74"/>
    <col min="2571" max="2571" width="7.28515625" style="74" customWidth="1"/>
    <col min="2572" max="2574" width="7.42578125" style="74" customWidth="1"/>
    <col min="2575" max="2575" width="10.42578125" style="74" bestFit="1" customWidth="1"/>
    <col min="2576" max="2576" width="12" style="74" bestFit="1" customWidth="1"/>
    <col min="2577" max="2577" width="11" style="74" bestFit="1" customWidth="1"/>
    <col min="2578" max="2579" width="11" style="74" customWidth="1"/>
    <col min="2580" max="2580" width="10" style="74" bestFit="1" customWidth="1"/>
    <col min="2581" max="2581" width="14.42578125" style="74" bestFit="1" customWidth="1"/>
    <col min="2582" max="2592" width="0" style="74" hidden="1" customWidth="1"/>
    <col min="2593" max="2813" width="9.140625" style="74"/>
    <col min="2814" max="2814" width="54.140625" style="74" bestFit="1" customWidth="1"/>
    <col min="2815" max="2815" width="14.7109375" style="74" customWidth="1"/>
    <col min="2816" max="2816" width="10.140625" style="74" customWidth="1"/>
    <col min="2817" max="2817" width="10.42578125" style="74" bestFit="1" customWidth="1"/>
    <col min="2818" max="2819" width="9.42578125" style="74" bestFit="1" customWidth="1"/>
    <col min="2820" max="2821" width="9.42578125" style="74" customWidth="1"/>
    <col min="2822" max="2822" width="10.140625" style="74" bestFit="1" customWidth="1"/>
    <col min="2823" max="2826" width="9.140625" style="74"/>
    <col min="2827" max="2827" width="7.28515625" style="74" customWidth="1"/>
    <col min="2828" max="2830" width="7.42578125" style="74" customWidth="1"/>
    <col min="2831" max="2831" width="10.42578125" style="74" bestFit="1" customWidth="1"/>
    <col min="2832" max="2832" width="12" style="74" bestFit="1" customWidth="1"/>
    <col min="2833" max="2833" width="11" style="74" bestFit="1" customWidth="1"/>
    <col min="2834" max="2835" width="11" style="74" customWidth="1"/>
    <col min="2836" max="2836" width="10" style="74" bestFit="1" customWidth="1"/>
    <col min="2837" max="2837" width="14.42578125" style="74" bestFit="1" customWidth="1"/>
    <col min="2838" max="2848" width="0" style="74" hidden="1" customWidth="1"/>
    <col min="2849" max="3069" width="9.140625" style="74"/>
    <col min="3070" max="3070" width="54.140625" style="74" bestFit="1" customWidth="1"/>
    <col min="3071" max="3071" width="14.7109375" style="74" customWidth="1"/>
    <col min="3072" max="3072" width="10.140625" style="74" customWidth="1"/>
    <col min="3073" max="3073" width="10.42578125" style="74" bestFit="1" customWidth="1"/>
    <col min="3074" max="3075" width="9.42578125" style="74" bestFit="1" customWidth="1"/>
    <col min="3076" max="3077" width="9.42578125" style="74" customWidth="1"/>
    <col min="3078" max="3078" width="10.140625" style="74" bestFit="1" customWidth="1"/>
    <col min="3079" max="3082" width="9.140625" style="74"/>
    <col min="3083" max="3083" width="7.28515625" style="74" customWidth="1"/>
    <col min="3084" max="3086" width="7.42578125" style="74" customWidth="1"/>
    <col min="3087" max="3087" width="10.42578125" style="74" bestFit="1" customWidth="1"/>
    <col min="3088" max="3088" width="12" style="74" bestFit="1" customWidth="1"/>
    <col min="3089" max="3089" width="11" style="74" bestFit="1" customWidth="1"/>
    <col min="3090" max="3091" width="11" style="74" customWidth="1"/>
    <col min="3092" max="3092" width="10" style="74" bestFit="1" customWidth="1"/>
    <col min="3093" max="3093" width="14.42578125" style="74" bestFit="1" customWidth="1"/>
    <col min="3094" max="3104" width="0" style="74" hidden="1" customWidth="1"/>
    <col min="3105" max="3325" width="9.140625" style="74"/>
    <col min="3326" max="3326" width="54.140625" style="74" bestFit="1" customWidth="1"/>
    <col min="3327" max="3327" width="14.7109375" style="74" customWidth="1"/>
    <col min="3328" max="3328" width="10.140625" style="74" customWidth="1"/>
    <col min="3329" max="3329" width="10.42578125" style="74" bestFit="1" customWidth="1"/>
    <col min="3330" max="3331" width="9.42578125" style="74" bestFit="1" customWidth="1"/>
    <col min="3332" max="3333" width="9.42578125" style="74" customWidth="1"/>
    <col min="3334" max="3334" width="10.140625" style="74" bestFit="1" customWidth="1"/>
    <col min="3335" max="3338" width="9.140625" style="74"/>
    <col min="3339" max="3339" width="7.28515625" style="74" customWidth="1"/>
    <col min="3340" max="3342" width="7.42578125" style="74" customWidth="1"/>
    <col min="3343" max="3343" width="10.42578125" style="74" bestFit="1" customWidth="1"/>
    <col min="3344" max="3344" width="12" style="74" bestFit="1" customWidth="1"/>
    <col min="3345" max="3345" width="11" style="74" bestFit="1" customWidth="1"/>
    <col min="3346" max="3347" width="11" style="74" customWidth="1"/>
    <col min="3348" max="3348" width="10" style="74" bestFit="1" customWidth="1"/>
    <col min="3349" max="3349" width="14.42578125" style="74" bestFit="1" customWidth="1"/>
    <col min="3350" max="3360" width="0" style="74" hidden="1" customWidth="1"/>
    <col min="3361" max="3581" width="9.140625" style="74"/>
    <col min="3582" max="3582" width="54.140625" style="74" bestFit="1" customWidth="1"/>
    <col min="3583" max="3583" width="14.7109375" style="74" customWidth="1"/>
    <col min="3584" max="3584" width="10.140625" style="74" customWidth="1"/>
    <col min="3585" max="3585" width="10.42578125" style="74" bestFit="1" customWidth="1"/>
    <col min="3586" max="3587" width="9.42578125" style="74" bestFit="1" customWidth="1"/>
    <col min="3588" max="3589" width="9.42578125" style="74" customWidth="1"/>
    <col min="3590" max="3590" width="10.140625" style="74" bestFit="1" customWidth="1"/>
    <col min="3591" max="3594" width="9.140625" style="74"/>
    <col min="3595" max="3595" width="7.28515625" style="74" customWidth="1"/>
    <col min="3596" max="3598" width="7.42578125" style="74" customWidth="1"/>
    <col min="3599" max="3599" width="10.42578125" style="74" bestFit="1" customWidth="1"/>
    <col min="3600" max="3600" width="12" style="74" bestFit="1" customWidth="1"/>
    <col min="3601" max="3601" width="11" style="74" bestFit="1" customWidth="1"/>
    <col min="3602" max="3603" width="11" style="74" customWidth="1"/>
    <col min="3604" max="3604" width="10" style="74" bestFit="1" customWidth="1"/>
    <col min="3605" max="3605" width="14.42578125" style="74" bestFit="1" customWidth="1"/>
    <col min="3606" max="3616" width="0" style="74" hidden="1" customWidth="1"/>
    <col min="3617" max="3837" width="9.140625" style="74"/>
    <col min="3838" max="3838" width="54.140625" style="74" bestFit="1" customWidth="1"/>
    <col min="3839" max="3839" width="14.7109375" style="74" customWidth="1"/>
    <col min="3840" max="3840" width="10.140625" style="74" customWidth="1"/>
    <col min="3841" max="3841" width="10.42578125" style="74" bestFit="1" customWidth="1"/>
    <col min="3842" max="3843" width="9.42578125" style="74" bestFit="1" customWidth="1"/>
    <col min="3844" max="3845" width="9.42578125" style="74" customWidth="1"/>
    <col min="3846" max="3846" width="10.140625" style="74" bestFit="1" customWidth="1"/>
    <col min="3847" max="3850" width="9.140625" style="74"/>
    <col min="3851" max="3851" width="7.28515625" style="74" customWidth="1"/>
    <col min="3852" max="3854" width="7.42578125" style="74" customWidth="1"/>
    <col min="3855" max="3855" width="10.42578125" style="74" bestFit="1" customWidth="1"/>
    <col min="3856" max="3856" width="12" style="74" bestFit="1" customWidth="1"/>
    <col min="3857" max="3857" width="11" style="74" bestFit="1" customWidth="1"/>
    <col min="3858" max="3859" width="11" style="74" customWidth="1"/>
    <col min="3860" max="3860" width="10" style="74" bestFit="1" customWidth="1"/>
    <col min="3861" max="3861" width="14.42578125" style="74" bestFit="1" customWidth="1"/>
    <col min="3862" max="3872" width="0" style="74" hidden="1" customWidth="1"/>
    <col min="3873" max="4093" width="9.140625" style="74"/>
    <col min="4094" max="4094" width="54.140625" style="74" bestFit="1" customWidth="1"/>
    <col min="4095" max="4095" width="14.7109375" style="74" customWidth="1"/>
    <col min="4096" max="4096" width="10.140625" style="74" customWidth="1"/>
    <col min="4097" max="4097" width="10.42578125" style="74" bestFit="1" customWidth="1"/>
    <col min="4098" max="4099" width="9.42578125" style="74" bestFit="1" customWidth="1"/>
    <col min="4100" max="4101" width="9.42578125" style="74" customWidth="1"/>
    <col min="4102" max="4102" width="10.140625" style="74" bestFit="1" customWidth="1"/>
    <col min="4103" max="4106" width="9.140625" style="74"/>
    <col min="4107" max="4107" width="7.28515625" style="74" customWidth="1"/>
    <col min="4108" max="4110" width="7.42578125" style="74" customWidth="1"/>
    <col min="4111" max="4111" width="10.42578125" style="74" bestFit="1" customWidth="1"/>
    <col min="4112" max="4112" width="12" style="74" bestFit="1" customWidth="1"/>
    <col min="4113" max="4113" width="11" style="74" bestFit="1" customWidth="1"/>
    <col min="4114" max="4115" width="11" style="74" customWidth="1"/>
    <col min="4116" max="4116" width="10" style="74" bestFit="1" customWidth="1"/>
    <col min="4117" max="4117" width="14.42578125" style="74" bestFit="1" customWidth="1"/>
    <col min="4118" max="4128" width="0" style="74" hidden="1" customWidth="1"/>
    <col min="4129" max="4349" width="9.140625" style="74"/>
    <col min="4350" max="4350" width="54.140625" style="74" bestFit="1" customWidth="1"/>
    <col min="4351" max="4351" width="14.7109375" style="74" customWidth="1"/>
    <col min="4352" max="4352" width="10.140625" style="74" customWidth="1"/>
    <col min="4353" max="4353" width="10.42578125" style="74" bestFit="1" customWidth="1"/>
    <col min="4354" max="4355" width="9.42578125" style="74" bestFit="1" customWidth="1"/>
    <col min="4356" max="4357" width="9.42578125" style="74" customWidth="1"/>
    <col min="4358" max="4358" width="10.140625" style="74" bestFit="1" customWidth="1"/>
    <col min="4359" max="4362" width="9.140625" style="74"/>
    <col min="4363" max="4363" width="7.28515625" style="74" customWidth="1"/>
    <col min="4364" max="4366" width="7.42578125" style="74" customWidth="1"/>
    <col min="4367" max="4367" width="10.42578125" style="74" bestFit="1" customWidth="1"/>
    <col min="4368" max="4368" width="12" style="74" bestFit="1" customWidth="1"/>
    <col min="4369" max="4369" width="11" style="74" bestFit="1" customWidth="1"/>
    <col min="4370" max="4371" width="11" style="74" customWidth="1"/>
    <col min="4372" max="4372" width="10" style="74" bestFit="1" customWidth="1"/>
    <col min="4373" max="4373" width="14.42578125" style="74" bestFit="1" customWidth="1"/>
    <col min="4374" max="4384" width="0" style="74" hidden="1" customWidth="1"/>
    <col min="4385" max="4605" width="9.140625" style="74"/>
    <col min="4606" max="4606" width="54.140625" style="74" bestFit="1" customWidth="1"/>
    <col min="4607" max="4607" width="14.7109375" style="74" customWidth="1"/>
    <col min="4608" max="4608" width="10.140625" style="74" customWidth="1"/>
    <col min="4609" max="4609" width="10.42578125" style="74" bestFit="1" customWidth="1"/>
    <col min="4610" max="4611" width="9.42578125" style="74" bestFit="1" customWidth="1"/>
    <col min="4612" max="4613" width="9.42578125" style="74" customWidth="1"/>
    <col min="4614" max="4614" width="10.140625" style="74" bestFit="1" customWidth="1"/>
    <col min="4615" max="4618" width="9.140625" style="74"/>
    <col min="4619" max="4619" width="7.28515625" style="74" customWidth="1"/>
    <col min="4620" max="4622" width="7.42578125" style="74" customWidth="1"/>
    <col min="4623" max="4623" width="10.42578125" style="74" bestFit="1" customWidth="1"/>
    <col min="4624" max="4624" width="12" style="74" bestFit="1" customWidth="1"/>
    <col min="4625" max="4625" width="11" style="74" bestFit="1" customWidth="1"/>
    <col min="4626" max="4627" width="11" style="74" customWidth="1"/>
    <col min="4628" max="4628" width="10" style="74" bestFit="1" customWidth="1"/>
    <col min="4629" max="4629" width="14.42578125" style="74" bestFit="1" customWidth="1"/>
    <col min="4630" max="4640" width="0" style="74" hidden="1" customWidth="1"/>
    <col min="4641" max="4861" width="9.140625" style="74"/>
    <col min="4862" max="4862" width="54.140625" style="74" bestFit="1" customWidth="1"/>
    <col min="4863" max="4863" width="14.7109375" style="74" customWidth="1"/>
    <col min="4864" max="4864" width="10.140625" style="74" customWidth="1"/>
    <col min="4865" max="4865" width="10.42578125" style="74" bestFit="1" customWidth="1"/>
    <col min="4866" max="4867" width="9.42578125" style="74" bestFit="1" customWidth="1"/>
    <col min="4868" max="4869" width="9.42578125" style="74" customWidth="1"/>
    <col min="4870" max="4870" width="10.140625" style="74" bestFit="1" customWidth="1"/>
    <col min="4871" max="4874" width="9.140625" style="74"/>
    <col min="4875" max="4875" width="7.28515625" style="74" customWidth="1"/>
    <col min="4876" max="4878" width="7.42578125" style="74" customWidth="1"/>
    <col min="4879" max="4879" width="10.42578125" style="74" bestFit="1" customWidth="1"/>
    <col min="4880" max="4880" width="12" style="74" bestFit="1" customWidth="1"/>
    <col min="4881" max="4881" width="11" style="74" bestFit="1" customWidth="1"/>
    <col min="4882" max="4883" width="11" style="74" customWidth="1"/>
    <col min="4884" max="4884" width="10" style="74" bestFit="1" customWidth="1"/>
    <col min="4885" max="4885" width="14.42578125" style="74" bestFit="1" customWidth="1"/>
    <col min="4886" max="4896" width="0" style="74" hidden="1" customWidth="1"/>
    <col min="4897" max="5117" width="9.140625" style="74"/>
    <col min="5118" max="5118" width="54.140625" style="74" bestFit="1" customWidth="1"/>
    <col min="5119" max="5119" width="14.7109375" style="74" customWidth="1"/>
    <col min="5120" max="5120" width="10.140625" style="74" customWidth="1"/>
    <col min="5121" max="5121" width="10.42578125" style="74" bestFit="1" customWidth="1"/>
    <col min="5122" max="5123" width="9.42578125" style="74" bestFit="1" customWidth="1"/>
    <col min="5124" max="5125" width="9.42578125" style="74" customWidth="1"/>
    <col min="5126" max="5126" width="10.140625" style="74" bestFit="1" customWidth="1"/>
    <col min="5127" max="5130" width="9.140625" style="74"/>
    <col min="5131" max="5131" width="7.28515625" style="74" customWidth="1"/>
    <col min="5132" max="5134" width="7.42578125" style="74" customWidth="1"/>
    <col min="5135" max="5135" width="10.42578125" style="74" bestFit="1" customWidth="1"/>
    <col min="5136" max="5136" width="12" style="74" bestFit="1" customWidth="1"/>
    <col min="5137" max="5137" width="11" style="74" bestFit="1" customWidth="1"/>
    <col min="5138" max="5139" width="11" style="74" customWidth="1"/>
    <col min="5140" max="5140" width="10" style="74" bestFit="1" customWidth="1"/>
    <col min="5141" max="5141" width="14.42578125" style="74" bestFit="1" customWidth="1"/>
    <col min="5142" max="5152" width="0" style="74" hidden="1" customWidth="1"/>
    <col min="5153" max="5373" width="9.140625" style="74"/>
    <col min="5374" max="5374" width="54.140625" style="74" bestFit="1" customWidth="1"/>
    <col min="5375" max="5375" width="14.7109375" style="74" customWidth="1"/>
    <col min="5376" max="5376" width="10.140625" style="74" customWidth="1"/>
    <col min="5377" max="5377" width="10.42578125" style="74" bestFit="1" customWidth="1"/>
    <col min="5378" max="5379" width="9.42578125" style="74" bestFit="1" customWidth="1"/>
    <col min="5380" max="5381" width="9.42578125" style="74" customWidth="1"/>
    <col min="5382" max="5382" width="10.140625" style="74" bestFit="1" customWidth="1"/>
    <col min="5383" max="5386" width="9.140625" style="74"/>
    <col min="5387" max="5387" width="7.28515625" style="74" customWidth="1"/>
    <col min="5388" max="5390" width="7.42578125" style="74" customWidth="1"/>
    <col min="5391" max="5391" width="10.42578125" style="74" bestFit="1" customWidth="1"/>
    <col min="5392" max="5392" width="12" style="74" bestFit="1" customWidth="1"/>
    <col min="5393" max="5393" width="11" style="74" bestFit="1" customWidth="1"/>
    <col min="5394" max="5395" width="11" style="74" customWidth="1"/>
    <col min="5396" max="5396" width="10" style="74" bestFit="1" customWidth="1"/>
    <col min="5397" max="5397" width="14.42578125" style="74" bestFit="1" customWidth="1"/>
    <col min="5398" max="5408" width="0" style="74" hidden="1" customWidth="1"/>
    <col min="5409" max="5629" width="9.140625" style="74"/>
    <col min="5630" max="5630" width="54.140625" style="74" bestFit="1" customWidth="1"/>
    <col min="5631" max="5631" width="14.7109375" style="74" customWidth="1"/>
    <col min="5632" max="5632" width="10.140625" style="74" customWidth="1"/>
    <col min="5633" max="5633" width="10.42578125" style="74" bestFit="1" customWidth="1"/>
    <col min="5634" max="5635" width="9.42578125" style="74" bestFit="1" customWidth="1"/>
    <col min="5636" max="5637" width="9.42578125" style="74" customWidth="1"/>
    <col min="5638" max="5638" width="10.140625" style="74" bestFit="1" customWidth="1"/>
    <col min="5639" max="5642" width="9.140625" style="74"/>
    <col min="5643" max="5643" width="7.28515625" style="74" customWidth="1"/>
    <col min="5644" max="5646" width="7.42578125" style="74" customWidth="1"/>
    <col min="5647" max="5647" width="10.42578125" style="74" bestFit="1" customWidth="1"/>
    <col min="5648" max="5648" width="12" style="74" bestFit="1" customWidth="1"/>
    <col min="5649" max="5649" width="11" style="74" bestFit="1" customWidth="1"/>
    <col min="5650" max="5651" width="11" style="74" customWidth="1"/>
    <col min="5652" max="5652" width="10" style="74" bestFit="1" customWidth="1"/>
    <col min="5653" max="5653" width="14.42578125" style="74" bestFit="1" customWidth="1"/>
    <col min="5654" max="5664" width="0" style="74" hidden="1" customWidth="1"/>
    <col min="5665" max="5885" width="9.140625" style="74"/>
    <col min="5886" max="5886" width="54.140625" style="74" bestFit="1" customWidth="1"/>
    <col min="5887" max="5887" width="14.7109375" style="74" customWidth="1"/>
    <col min="5888" max="5888" width="10.140625" style="74" customWidth="1"/>
    <col min="5889" max="5889" width="10.42578125" style="74" bestFit="1" customWidth="1"/>
    <col min="5890" max="5891" width="9.42578125" style="74" bestFit="1" customWidth="1"/>
    <col min="5892" max="5893" width="9.42578125" style="74" customWidth="1"/>
    <col min="5894" max="5894" width="10.140625" style="74" bestFit="1" customWidth="1"/>
    <col min="5895" max="5898" width="9.140625" style="74"/>
    <col min="5899" max="5899" width="7.28515625" style="74" customWidth="1"/>
    <col min="5900" max="5902" width="7.42578125" style="74" customWidth="1"/>
    <col min="5903" max="5903" width="10.42578125" style="74" bestFit="1" customWidth="1"/>
    <col min="5904" max="5904" width="12" style="74" bestFit="1" customWidth="1"/>
    <col min="5905" max="5905" width="11" style="74" bestFit="1" customWidth="1"/>
    <col min="5906" max="5907" width="11" style="74" customWidth="1"/>
    <col min="5908" max="5908" width="10" style="74" bestFit="1" customWidth="1"/>
    <col min="5909" max="5909" width="14.42578125" style="74" bestFit="1" customWidth="1"/>
    <col min="5910" max="5920" width="0" style="74" hidden="1" customWidth="1"/>
    <col min="5921" max="6141" width="9.140625" style="74"/>
    <col min="6142" max="6142" width="54.140625" style="74" bestFit="1" customWidth="1"/>
    <col min="6143" max="6143" width="14.7109375" style="74" customWidth="1"/>
    <col min="6144" max="6144" width="10.140625" style="74" customWidth="1"/>
    <col min="6145" max="6145" width="10.42578125" style="74" bestFit="1" customWidth="1"/>
    <col min="6146" max="6147" width="9.42578125" style="74" bestFit="1" customWidth="1"/>
    <col min="6148" max="6149" width="9.42578125" style="74" customWidth="1"/>
    <col min="6150" max="6150" width="10.140625" style="74" bestFit="1" customWidth="1"/>
    <col min="6151" max="6154" width="9.140625" style="74"/>
    <col min="6155" max="6155" width="7.28515625" style="74" customWidth="1"/>
    <col min="6156" max="6158" width="7.42578125" style="74" customWidth="1"/>
    <col min="6159" max="6159" width="10.42578125" style="74" bestFit="1" customWidth="1"/>
    <col min="6160" max="6160" width="12" style="74" bestFit="1" customWidth="1"/>
    <col min="6161" max="6161" width="11" style="74" bestFit="1" customWidth="1"/>
    <col min="6162" max="6163" width="11" style="74" customWidth="1"/>
    <col min="6164" max="6164" width="10" style="74" bestFit="1" customWidth="1"/>
    <col min="6165" max="6165" width="14.42578125" style="74" bestFit="1" customWidth="1"/>
    <col min="6166" max="6176" width="0" style="74" hidden="1" customWidth="1"/>
    <col min="6177" max="6397" width="9.140625" style="74"/>
    <col min="6398" max="6398" width="54.140625" style="74" bestFit="1" customWidth="1"/>
    <col min="6399" max="6399" width="14.7109375" style="74" customWidth="1"/>
    <col min="6400" max="6400" width="10.140625" style="74" customWidth="1"/>
    <col min="6401" max="6401" width="10.42578125" style="74" bestFit="1" customWidth="1"/>
    <col min="6402" max="6403" width="9.42578125" style="74" bestFit="1" customWidth="1"/>
    <col min="6404" max="6405" width="9.42578125" style="74" customWidth="1"/>
    <col min="6406" max="6406" width="10.140625" style="74" bestFit="1" customWidth="1"/>
    <col min="6407" max="6410" width="9.140625" style="74"/>
    <col min="6411" max="6411" width="7.28515625" style="74" customWidth="1"/>
    <col min="6412" max="6414" width="7.42578125" style="74" customWidth="1"/>
    <col min="6415" max="6415" width="10.42578125" style="74" bestFit="1" customWidth="1"/>
    <col min="6416" max="6416" width="12" style="74" bestFit="1" customWidth="1"/>
    <col min="6417" max="6417" width="11" style="74" bestFit="1" customWidth="1"/>
    <col min="6418" max="6419" width="11" style="74" customWidth="1"/>
    <col min="6420" max="6420" width="10" style="74" bestFit="1" customWidth="1"/>
    <col min="6421" max="6421" width="14.42578125" style="74" bestFit="1" customWidth="1"/>
    <col min="6422" max="6432" width="0" style="74" hidden="1" customWidth="1"/>
    <col min="6433" max="6653" width="9.140625" style="74"/>
    <col min="6654" max="6654" width="54.140625" style="74" bestFit="1" customWidth="1"/>
    <col min="6655" max="6655" width="14.7109375" style="74" customWidth="1"/>
    <col min="6656" max="6656" width="10.140625" style="74" customWidth="1"/>
    <col min="6657" max="6657" width="10.42578125" style="74" bestFit="1" customWidth="1"/>
    <col min="6658" max="6659" width="9.42578125" style="74" bestFit="1" customWidth="1"/>
    <col min="6660" max="6661" width="9.42578125" style="74" customWidth="1"/>
    <col min="6662" max="6662" width="10.140625" style="74" bestFit="1" customWidth="1"/>
    <col min="6663" max="6666" width="9.140625" style="74"/>
    <col min="6667" max="6667" width="7.28515625" style="74" customWidth="1"/>
    <col min="6668" max="6670" width="7.42578125" style="74" customWidth="1"/>
    <col min="6671" max="6671" width="10.42578125" style="74" bestFit="1" customWidth="1"/>
    <col min="6672" max="6672" width="12" style="74" bestFit="1" customWidth="1"/>
    <col min="6673" max="6673" width="11" style="74" bestFit="1" customWidth="1"/>
    <col min="6674" max="6675" width="11" style="74" customWidth="1"/>
    <col min="6676" max="6676" width="10" style="74" bestFit="1" customWidth="1"/>
    <col min="6677" max="6677" width="14.42578125" style="74" bestFit="1" customWidth="1"/>
    <col min="6678" max="6688" width="0" style="74" hidden="1" customWidth="1"/>
    <col min="6689" max="6909" width="9.140625" style="74"/>
    <col min="6910" max="6910" width="54.140625" style="74" bestFit="1" customWidth="1"/>
    <col min="6911" max="6911" width="14.7109375" style="74" customWidth="1"/>
    <col min="6912" max="6912" width="10.140625" style="74" customWidth="1"/>
    <col min="6913" max="6913" width="10.42578125" style="74" bestFit="1" customWidth="1"/>
    <col min="6914" max="6915" width="9.42578125" style="74" bestFit="1" customWidth="1"/>
    <col min="6916" max="6917" width="9.42578125" style="74" customWidth="1"/>
    <col min="6918" max="6918" width="10.140625" style="74" bestFit="1" customWidth="1"/>
    <col min="6919" max="6922" width="9.140625" style="74"/>
    <col min="6923" max="6923" width="7.28515625" style="74" customWidth="1"/>
    <col min="6924" max="6926" width="7.42578125" style="74" customWidth="1"/>
    <col min="6927" max="6927" width="10.42578125" style="74" bestFit="1" customWidth="1"/>
    <col min="6928" max="6928" width="12" style="74" bestFit="1" customWidth="1"/>
    <col min="6929" max="6929" width="11" style="74" bestFit="1" customWidth="1"/>
    <col min="6930" max="6931" width="11" style="74" customWidth="1"/>
    <col min="6932" max="6932" width="10" style="74" bestFit="1" customWidth="1"/>
    <col min="6933" max="6933" width="14.42578125" style="74" bestFit="1" customWidth="1"/>
    <col min="6934" max="6944" width="0" style="74" hidden="1" customWidth="1"/>
    <col min="6945" max="7165" width="9.140625" style="74"/>
    <col min="7166" max="7166" width="54.140625" style="74" bestFit="1" customWidth="1"/>
    <col min="7167" max="7167" width="14.7109375" style="74" customWidth="1"/>
    <col min="7168" max="7168" width="10.140625" style="74" customWidth="1"/>
    <col min="7169" max="7169" width="10.42578125" style="74" bestFit="1" customWidth="1"/>
    <col min="7170" max="7171" width="9.42578125" style="74" bestFit="1" customWidth="1"/>
    <col min="7172" max="7173" width="9.42578125" style="74" customWidth="1"/>
    <col min="7174" max="7174" width="10.140625" style="74" bestFit="1" customWidth="1"/>
    <col min="7175" max="7178" width="9.140625" style="74"/>
    <col min="7179" max="7179" width="7.28515625" style="74" customWidth="1"/>
    <col min="7180" max="7182" width="7.42578125" style="74" customWidth="1"/>
    <col min="7183" max="7183" width="10.42578125" style="74" bestFit="1" customWidth="1"/>
    <col min="7184" max="7184" width="12" style="74" bestFit="1" customWidth="1"/>
    <col min="7185" max="7185" width="11" style="74" bestFit="1" customWidth="1"/>
    <col min="7186" max="7187" width="11" style="74" customWidth="1"/>
    <col min="7188" max="7188" width="10" style="74" bestFit="1" customWidth="1"/>
    <col min="7189" max="7189" width="14.42578125" style="74" bestFit="1" customWidth="1"/>
    <col min="7190" max="7200" width="0" style="74" hidden="1" customWidth="1"/>
    <col min="7201" max="7421" width="9.140625" style="74"/>
    <col min="7422" max="7422" width="54.140625" style="74" bestFit="1" customWidth="1"/>
    <col min="7423" max="7423" width="14.7109375" style="74" customWidth="1"/>
    <col min="7424" max="7424" width="10.140625" style="74" customWidth="1"/>
    <col min="7425" max="7425" width="10.42578125" style="74" bestFit="1" customWidth="1"/>
    <col min="7426" max="7427" width="9.42578125" style="74" bestFit="1" customWidth="1"/>
    <col min="7428" max="7429" width="9.42578125" style="74" customWidth="1"/>
    <col min="7430" max="7430" width="10.140625" style="74" bestFit="1" customWidth="1"/>
    <col min="7431" max="7434" width="9.140625" style="74"/>
    <col min="7435" max="7435" width="7.28515625" style="74" customWidth="1"/>
    <col min="7436" max="7438" width="7.42578125" style="74" customWidth="1"/>
    <col min="7439" max="7439" width="10.42578125" style="74" bestFit="1" customWidth="1"/>
    <col min="7440" max="7440" width="12" style="74" bestFit="1" customWidth="1"/>
    <col min="7441" max="7441" width="11" style="74" bestFit="1" customWidth="1"/>
    <col min="7442" max="7443" width="11" style="74" customWidth="1"/>
    <col min="7444" max="7444" width="10" style="74" bestFit="1" customWidth="1"/>
    <col min="7445" max="7445" width="14.42578125" style="74" bestFit="1" customWidth="1"/>
    <col min="7446" max="7456" width="0" style="74" hidden="1" customWidth="1"/>
    <col min="7457" max="7677" width="9.140625" style="74"/>
    <col min="7678" max="7678" width="54.140625" style="74" bestFit="1" customWidth="1"/>
    <col min="7679" max="7679" width="14.7109375" style="74" customWidth="1"/>
    <col min="7680" max="7680" width="10.140625" style="74" customWidth="1"/>
    <col min="7681" max="7681" width="10.42578125" style="74" bestFit="1" customWidth="1"/>
    <col min="7682" max="7683" width="9.42578125" style="74" bestFit="1" customWidth="1"/>
    <col min="7684" max="7685" width="9.42578125" style="74" customWidth="1"/>
    <col min="7686" max="7686" width="10.140625" style="74" bestFit="1" customWidth="1"/>
    <col min="7687" max="7690" width="9.140625" style="74"/>
    <col min="7691" max="7691" width="7.28515625" style="74" customWidth="1"/>
    <col min="7692" max="7694" width="7.42578125" style="74" customWidth="1"/>
    <col min="7695" max="7695" width="10.42578125" style="74" bestFit="1" customWidth="1"/>
    <col min="7696" max="7696" width="12" style="74" bestFit="1" customWidth="1"/>
    <col min="7697" max="7697" width="11" style="74" bestFit="1" customWidth="1"/>
    <col min="7698" max="7699" width="11" style="74" customWidth="1"/>
    <col min="7700" max="7700" width="10" style="74" bestFit="1" customWidth="1"/>
    <col min="7701" max="7701" width="14.42578125" style="74" bestFit="1" customWidth="1"/>
    <col min="7702" max="7712" width="0" style="74" hidden="1" customWidth="1"/>
    <col min="7713" max="7933" width="9.140625" style="74"/>
    <col min="7934" max="7934" width="54.140625" style="74" bestFit="1" customWidth="1"/>
    <col min="7935" max="7935" width="14.7109375" style="74" customWidth="1"/>
    <col min="7936" max="7936" width="10.140625" style="74" customWidth="1"/>
    <col min="7937" max="7937" width="10.42578125" style="74" bestFit="1" customWidth="1"/>
    <col min="7938" max="7939" width="9.42578125" style="74" bestFit="1" customWidth="1"/>
    <col min="7940" max="7941" width="9.42578125" style="74" customWidth="1"/>
    <col min="7942" max="7942" width="10.140625" style="74" bestFit="1" customWidth="1"/>
    <col min="7943" max="7946" width="9.140625" style="74"/>
    <col min="7947" max="7947" width="7.28515625" style="74" customWidth="1"/>
    <col min="7948" max="7950" width="7.42578125" style="74" customWidth="1"/>
    <col min="7951" max="7951" width="10.42578125" style="74" bestFit="1" customWidth="1"/>
    <col min="7952" max="7952" width="12" style="74" bestFit="1" customWidth="1"/>
    <col min="7953" max="7953" width="11" style="74" bestFit="1" customWidth="1"/>
    <col min="7954" max="7955" width="11" style="74" customWidth="1"/>
    <col min="7956" max="7956" width="10" style="74" bestFit="1" customWidth="1"/>
    <col min="7957" max="7957" width="14.42578125" style="74" bestFit="1" customWidth="1"/>
    <col min="7958" max="7968" width="0" style="74" hidden="1" customWidth="1"/>
    <col min="7969" max="8189" width="9.140625" style="74"/>
    <col min="8190" max="8190" width="54.140625" style="74" bestFit="1" customWidth="1"/>
    <col min="8191" max="8191" width="14.7109375" style="74" customWidth="1"/>
    <col min="8192" max="8192" width="10.140625" style="74" customWidth="1"/>
    <col min="8193" max="8193" width="10.42578125" style="74" bestFit="1" customWidth="1"/>
    <col min="8194" max="8195" width="9.42578125" style="74" bestFit="1" customWidth="1"/>
    <col min="8196" max="8197" width="9.42578125" style="74" customWidth="1"/>
    <col min="8198" max="8198" width="10.140625" style="74" bestFit="1" customWidth="1"/>
    <col min="8199" max="8202" width="9.140625" style="74"/>
    <col min="8203" max="8203" width="7.28515625" style="74" customWidth="1"/>
    <col min="8204" max="8206" width="7.42578125" style="74" customWidth="1"/>
    <col min="8207" max="8207" width="10.42578125" style="74" bestFit="1" customWidth="1"/>
    <col min="8208" max="8208" width="12" style="74" bestFit="1" customWidth="1"/>
    <col min="8209" max="8209" width="11" style="74" bestFit="1" customWidth="1"/>
    <col min="8210" max="8211" width="11" style="74" customWidth="1"/>
    <col min="8212" max="8212" width="10" style="74" bestFit="1" customWidth="1"/>
    <col min="8213" max="8213" width="14.42578125" style="74" bestFit="1" customWidth="1"/>
    <col min="8214" max="8224" width="0" style="74" hidden="1" customWidth="1"/>
    <col min="8225" max="8445" width="9.140625" style="74"/>
    <col min="8446" max="8446" width="54.140625" style="74" bestFit="1" customWidth="1"/>
    <col min="8447" max="8447" width="14.7109375" style="74" customWidth="1"/>
    <col min="8448" max="8448" width="10.140625" style="74" customWidth="1"/>
    <col min="8449" max="8449" width="10.42578125" style="74" bestFit="1" customWidth="1"/>
    <col min="8450" max="8451" width="9.42578125" style="74" bestFit="1" customWidth="1"/>
    <col min="8452" max="8453" width="9.42578125" style="74" customWidth="1"/>
    <col min="8454" max="8454" width="10.140625" style="74" bestFit="1" customWidth="1"/>
    <col min="8455" max="8458" width="9.140625" style="74"/>
    <col min="8459" max="8459" width="7.28515625" style="74" customWidth="1"/>
    <col min="8460" max="8462" width="7.42578125" style="74" customWidth="1"/>
    <col min="8463" max="8463" width="10.42578125" style="74" bestFit="1" customWidth="1"/>
    <col min="8464" max="8464" width="12" style="74" bestFit="1" customWidth="1"/>
    <col min="8465" max="8465" width="11" style="74" bestFit="1" customWidth="1"/>
    <col min="8466" max="8467" width="11" style="74" customWidth="1"/>
    <col min="8468" max="8468" width="10" style="74" bestFit="1" customWidth="1"/>
    <col min="8469" max="8469" width="14.42578125" style="74" bestFit="1" customWidth="1"/>
    <col min="8470" max="8480" width="0" style="74" hidden="1" customWidth="1"/>
    <col min="8481" max="8701" width="9.140625" style="74"/>
    <col min="8702" max="8702" width="54.140625" style="74" bestFit="1" customWidth="1"/>
    <col min="8703" max="8703" width="14.7109375" style="74" customWidth="1"/>
    <col min="8704" max="8704" width="10.140625" style="74" customWidth="1"/>
    <col min="8705" max="8705" width="10.42578125" style="74" bestFit="1" customWidth="1"/>
    <col min="8706" max="8707" width="9.42578125" style="74" bestFit="1" customWidth="1"/>
    <col min="8708" max="8709" width="9.42578125" style="74" customWidth="1"/>
    <col min="8710" max="8710" width="10.140625" style="74" bestFit="1" customWidth="1"/>
    <col min="8711" max="8714" width="9.140625" style="74"/>
    <col min="8715" max="8715" width="7.28515625" style="74" customWidth="1"/>
    <col min="8716" max="8718" width="7.42578125" style="74" customWidth="1"/>
    <col min="8719" max="8719" width="10.42578125" style="74" bestFit="1" customWidth="1"/>
    <col min="8720" max="8720" width="12" style="74" bestFit="1" customWidth="1"/>
    <col min="8721" max="8721" width="11" style="74" bestFit="1" customWidth="1"/>
    <col min="8722" max="8723" width="11" style="74" customWidth="1"/>
    <col min="8724" max="8724" width="10" style="74" bestFit="1" customWidth="1"/>
    <col min="8725" max="8725" width="14.42578125" style="74" bestFit="1" customWidth="1"/>
    <col min="8726" max="8736" width="0" style="74" hidden="1" customWidth="1"/>
    <col min="8737" max="8957" width="9.140625" style="74"/>
    <col min="8958" max="8958" width="54.140625" style="74" bestFit="1" customWidth="1"/>
    <col min="8959" max="8959" width="14.7109375" style="74" customWidth="1"/>
    <col min="8960" max="8960" width="10.140625" style="74" customWidth="1"/>
    <col min="8961" max="8961" width="10.42578125" style="74" bestFit="1" customWidth="1"/>
    <col min="8962" max="8963" width="9.42578125" style="74" bestFit="1" customWidth="1"/>
    <col min="8964" max="8965" width="9.42578125" style="74" customWidth="1"/>
    <col min="8966" max="8966" width="10.140625" style="74" bestFit="1" customWidth="1"/>
    <col min="8967" max="8970" width="9.140625" style="74"/>
    <col min="8971" max="8971" width="7.28515625" style="74" customWidth="1"/>
    <col min="8972" max="8974" width="7.42578125" style="74" customWidth="1"/>
    <col min="8975" max="8975" width="10.42578125" style="74" bestFit="1" customWidth="1"/>
    <col min="8976" max="8976" width="12" style="74" bestFit="1" customWidth="1"/>
    <col min="8977" max="8977" width="11" style="74" bestFit="1" customWidth="1"/>
    <col min="8978" max="8979" width="11" style="74" customWidth="1"/>
    <col min="8980" max="8980" width="10" style="74" bestFit="1" customWidth="1"/>
    <col min="8981" max="8981" width="14.42578125" style="74" bestFit="1" customWidth="1"/>
    <col min="8982" max="8992" width="0" style="74" hidden="1" customWidth="1"/>
    <col min="8993" max="9213" width="9.140625" style="74"/>
    <col min="9214" max="9214" width="54.140625" style="74" bestFit="1" customWidth="1"/>
    <col min="9215" max="9215" width="14.7109375" style="74" customWidth="1"/>
    <col min="9216" max="9216" width="10.140625" style="74" customWidth="1"/>
    <col min="9217" max="9217" width="10.42578125" style="74" bestFit="1" customWidth="1"/>
    <col min="9218" max="9219" width="9.42578125" style="74" bestFit="1" customWidth="1"/>
    <col min="9220" max="9221" width="9.42578125" style="74" customWidth="1"/>
    <col min="9222" max="9222" width="10.140625" style="74" bestFit="1" customWidth="1"/>
    <col min="9223" max="9226" width="9.140625" style="74"/>
    <col min="9227" max="9227" width="7.28515625" style="74" customWidth="1"/>
    <col min="9228" max="9230" width="7.42578125" style="74" customWidth="1"/>
    <col min="9231" max="9231" width="10.42578125" style="74" bestFit="1" customWidth="1"/>
    <col min="9232" max="9232" width="12" style="74" bestFit="1" customWidth="1"/>
    <col min="9233" max="9233" width="11" style="74" bestFit="1" customWidth="1"/>
    <col min="9234" max="9235" width="11" style="74" customWidth="1"/>
    <col min="9236" max="9236" width="10" style="74" bestFit="1" customWidth="1"/>
    <col min="9237" max="9237" width="14.42578125" style="74" bestFit="1" customWidth="1"/>
    <col min="9238" max="9248" width="0" style="74" hidden="1" customWidth="1"/>
    <col min="9249" max="9469" width="9.140625" style="74"/>
    <col min="9470" max="9470" width="54.140625" style="74" bestFit="1" customWidth="1"/>
    <col min="9471" max="9471" width="14.7109375" style="74" customWidth="1"/>
    <col min="9472" max="9472" width="10.140625" style="74" customWidth="1"/>
    <col min="9473" max="9473" width="10.42578125" style="74" bestFit="1" customWidth="1"/>
    <col min="9474" max="9475" width="9.42578125" style="74" bestFit="1" customWidth="1"/>
    <col min="9476" max="9477" width="9.42578125" style="74" customWidth="1"/>
    <col min="9478" max="9478" width="10.140625" style="74" bestFit="1" customWidth="1"/>
    <col min="9479" max="9482" width="9.140625" style="74"/>
    <col min="9483" max="9483" width="7.28515625" style="74" customWidth="1"/>
    <col min="9484" max="9486" width="7.42578125" style="74" customWidth="1"/>
    <col min="9487" max="9487" width="10.42578125" style="74" bestFit="1" customWidth="1"/>
    <col min="9488" max="9488" width="12" style="74" bestFit="1" customWidth="1"/>
    <col min="9489" max="9489" width="11" style="74" bestFit="1" customWidth="1"/>
    <col min="9490" max="9491" width="11" style="74" customWidth="1"/>
    <col min="9492" max="9492" width="10" style="74" bestFit="1" customWidth="1"/>
    <col min="9493" max="9493" width="14.42578125" style="74" bestFit="1" customWidth="1"/>
    <col min="9494" max="9504" width="0" style="74" hidden="1" customWidth="1"/>
    <col min="9505" max="9725" width="9.140625" style="74"/>
    <col min="9726" max="9726" width="54.140625" style="74" bestFit="1" customWidth="1"/>
    <col min="9727" max="9727" width="14.7109375" style="74" customWidth="1"/>
    <col min="9728" max="9728" width="10.140625" style="74" customWidth="1"/>
    <col min="9729" max="9729" width="10.42578125" style="74" bestFit="1" customWidth="1"/>
    <col min="9730" max="9731" width="9.42578125" style="74" bestFit="1" customWidth="1"/>
    <col min="9732" max="9733" width="9.42578125" style="74" customWidth="1"/>
    <col min="9734" max="9734" width="10.140625" style="74" bestFit="1" customWidth="1"/>
    <col min="9735" max="9738" width="9.140625" style="74"/>
    <col min="9739" max="9739" width="7.28515625" style="74" customWidth="1"/>
    <col min="9740" max="9742" width="7.42578125" style="74" customWidth="1"/>
    <col min="9743" max="9743" width="10.42578125" style="74" bestFit="1" customWidth="1"/>
    <col min="9744" max="9744" width="12" style="74" bestFit="1" customWidth="1"/>
    <col min="9745" max="9745" width="11" style="74" bestFit="1" customWidth="1"/>
    <col min="9746" max="9747" width="11" style="74" customWidth="1"/>
    <col min="9748" max="9748" width="10" style="74" bestFit="1" customWidth="1"/>
    <col min="9749" max="9749" width="14.42578125" style="74" bestFit="1" customWidth="1"/>
    <col min="9750" max="9760" width="0" style="74" hidden="1" customWidth="1"/>
    <col min="9761" max="9981" width="9.140625" style="74"/>
    <col min="9982" max="9982" width="54.140625" style="74" bestFit="1" customWidth="1"/>
    <col min="9983" max="9983" width="14.7109375" style="74" customWidth="1"/>
    <col min="9984" max="9984" width="10.140625" style="74" customWidth="1"/>
    <col min="9985" max="9985" width="10.42578125" style="74" bestFit="1" customWidth="1"/>
    <col min="9986" max="9987" width="9.42578125" style="74" bestFit="1" customWidth="1"/>
    <col min="9988" max="9989" width="9.42578125" style="74" customWidth="1"/>
    <col min="9990" max="9990" width="10.140625" style="74" bestFit="1" customWidth="1"/>
    <col min="9991" max="9994" width="9.140625" style="74"/>
    <col min="9995" max="9995" width="7.28515625" style="74" customWidth="1"/>
    <col min="9996" max="9998" width="7.42578125" style="74" customWidth="1"/>
    <col min="9999" max="9999" width="10.42578125" style="74" bestFit="1" customWidth="1"/>
    <col min="10000" max="10000" width="12" style="74" bestFit="1" customWidth="1"/>
    <col min="10001" max="10001" width="11" style="74" bestFit="1" customWidth="1"/>
    <col min="10002" max="10003" width="11" style="74" customWidth="1"/>
    <col min="10004" max="10004" width="10" style="74" bestFit="1" customWidth="1"/>
    <col min="10005" max="10005" width="14.42578125" style="74" bestFit="1" customWidth="1"/>
    <col min="10006" max="10016" width="0" style="74" hidden="1" customWidth="1"/>
    <col min="10017" max="10237" width="9.140625" style="74"/>
    <col min="10238" max="10238" width="54.140625" style="74" bestFit="1" customWidth="1"/>
    <col min="10239" max="10239" width="14.7109375" style="74" customWidth="1"/>
    <col min="10240" max="10240" width="10.140625" style="74" customWidth="1"/>
    <col min="10241" max="10241" width="10.42578125" style="74" bestFit="1" customWidth="1"/>
    <col min="10242" max="10243" width="9.42578125" style="74" bestFit="1" customWidth="1"/>
    <col min="10244" max="10245" width="9.42578125" style="74" customWidth="1"/>
    <col min="10246" max="10246" width="10.140625" style="74" bestFit="1" customWidth="1"/>
    <col min="10247" max="10250" width="9.140625" style="74"/>
    <col min="10251" max="10251" width="7.28515625" style="74" customWidth="1"/>
    <col min="10252" max="10254" width="7.42578125" style="74" customWidth="1"/>
    <col min="10255" max="10255" width="10.42578125" style="74" bestFit="1" customWidth="1"/>
    <col min="10256" max="10256" width="12" style="74" bestFit="1" customWidth="1"/>
    <col min="10257" max="10257" width="11" style="74" bestFit="1" customWidth="1"/>
    <col min="10258" max="10259" width="11" style="74" customWidth="1"/>
    <col min="10260" max="10260" width="10" style="74" bestFit="1" customWidth="1"/>
    <col min="10261" max="10261" width="14.42578125" style="74" bestFit="1" customWidth="1"/>
    <col min="10262" max="10272" width="0" style="74" hidden="1" customWidth="1"/>
    <col min="10273" max="10493" width="9.140625" style="74"/>
    <col min="10494" max="10494" width="54.140625" style="74" bestFit="1" customWidth="1"/>
    <col min="10495" max="10495" width="14.7109375" style="74" customWidth="1"/>
    <col min="10496" max="10496" width="10.140625" style="74" customWidth="1"/>
    <col min="10497" max="10497" width="10.42578125" style="74" bestFit="1" customWidth="1"/>
    <col min="10498" max="10499" width="9.42578125" style="74" bestFit="1" customWidth="1"/>
    <col min="10500" max="10501" width="9.42578125" style="74" customWidth="1"/>
    <col min="10502" max="10502" width="10.140625" style="74" bestFit="1" customWidth="1"/>
    <col min="10503" max="10506" width="9.140625" style="74"/>
    <col min="10507" max="10507" width="7.28515625" style="74" customWidth="1"/>
    <col min="10508" max="10510" width="7.42578125" style="74" customWidth="1"/>
    <col min="10511" max="10511" width="10.42578125" style="74" bestFit="1" customWidth="1"/>
    <col min="10512" max="10512" width="12" style="74" bestFit="1" customWidth="1"/>
    <col min="10513" max="10513" width="11" style="74" bestFit="1" customWidth="1"/>
    <col min="10514" max="10515" width="11" style="74" customWidth="1"/>
    <col min="10516" max="10516" width="10" style="74" bestFit="1" customWidth="1"/>
    <col min="10517" max="10517" width="14.42578125" style="74" bestFit="1" customWidth="1"/>
    <col min="10518" max="10528" width="0" style="74" hidden="1" customWidth="1"/>
    <col min="10529" max="10749" width="9.140625" style="74"/>
    <col min="10750" max="10750" width="54.140625" style="74" bestFit="1" customWidth="1"/>
    <col min="10751" max="10751" width="14.7109375" style="74" customWidth="1"/>
    <col min="10752" max="10752" width="10.140625" style="74" customWidth="1"/>
    <col min="10753" max="10753" width="10.42578125" style="74" bestFit="1" customWidth="1"/>
    <col min="10754" max="10755" width="9.42578125" style="74" bestFit="1" customWidth="1"/>
    <col min="10756" max="10757" width="9.42578125" style="74" customWidth="1"/>
    <col min="10758" max="10758" width="10.140625" style="74" bestFit="1" customWidth="1"/>
    <col min="10759" max="10762" width="9.140625" style="74"/>
    <col min="10763" max="10763" width="7.28515625" style="74" customWidth="1"/>
    <col min="10764" max="10766" width="7.42578125" style="74" customWidth="1"/>
    <col min="10767" max="10767" width="10.42578125" style="74" bestFit="1" customWidth="1"/>
    <col min="10768" max="10768" width="12" style="74" bestFit="1" customWidth="1"/>
    <col min="10769" max="10769" width="11" style="74" bestFit="1" customWidth="1"/>
    <col min="10770" max="10771" width="11" style="74" customWidth="1"/>
    <col min="10772" max="10772" width="10" style="74" bestFit="1" customWidth="1"/>
    <col min="10773" max="10773" width="14.42578125" style="74" bestFit="1" customWidth="1"/>
    <col min="10774" max="10784" width="0" style="74" hidden="1" customWidth="1"/>
    <col min="10785" max="11005" width="9.140625" style="74"/>
    <col min="11006" max="11006" width="54.140625" style="74" bestFit="1" customWidth="1"/>
    <col min="11007" max="11007" width="14.7109375" style="74" customWidth="1"/>
    <col min="11008" max="11008" width="10.140625" style="74" customWidth="1"/>
    <col min="11009" max="11009" width="10.42578125" style="74" bestFit="1" customWidth="1"/>
    <col min="11010" max="11011" width="9.42578125" style="74" bestFit="1" customWidth="1"/>
    <col min="11012" max="11013" width="9.42578125" style="74" customWidth="1"/>
    <col min="11014" max="11014" width="10.140625" style="74" bestFit="1" customWidth="1"/>
    <col min="11015" max="11018" width="9.140625" style="74"/>
    <col min="11019" max="11019" width="7.28515625" style="74" customWidth="1"/>
    <col min="11020" max="11022" width="7.42578125" style="74" customWidth="1"/>
    <col min="11023" max="11023" width="10.42578125" style="74" bestFit="1" customWidth="1"/>
    <col min="11024" max="11024" width="12" style="74" bestFit="1" customWidth="1"/>
    <col min="11025" max="11025" width="11" style="74" bestFit="1" customWidth="1"/>
    <col min="11026" max="11027" width="11" style="74" customWidth="1"/>
    <col min="11028" max="11028" width="10" style="74" bestFit="1" customWidth="1"/>
    <col min="11029" max="11029" width="14.42578125" style="74" bestFit="1" customWidth="1"/>
    <col min="11030" max="11040" width="0" style="74" hidden="1" customWidth="1"/>
    <col min="11041" max="11261" width="9.140625" style="74"/>
    <col min="11262" max="11262" width="54.140625" style="74" bestFit="1" customWidth="1"/>
    <col min="11263" max="11263" width="14.7109375" style="74" customWidth="1"/>
    <col min="11264" max="11264" width="10.140625" style="74" customWidth="1"/>
    <col min="11265" max="11265" width="10.42578125" style="74" bestFit="1" customWidth="1"/>
    <col min="11266" max="11267" width="9.42578125" style="74" bestFit="1" customWidth="1"/>
    <col min="11268" max="11269" width="9.42578125" style="74" customWidth="1"/>
    <col min="11270" max="11270" width="10.140625" style="74" bestFit="1" customWidth="1"/>
    <col min="11271" max="11274" width="9.140625" style="74"/>
    <col min="11275" max="11275" width="7.28515625" style="74" customWidth="1"/>
    <col min="11276" max="11278" width="7.42578125" style="74" customWidth="1"/>
    <col min="11279" max="11279" width="10.42578125" style="74" bestFit="1" customWidth="1"/>
    <col min="11280" max="11280" width="12" style="74" bestFit="1" customWidth="1"/>
    <col min="11281" max="11281" width="11" style="74" bestFit="1" customWidth="1"/>
    <col min="11282" max="11283" width="11" style="74" customWidth="1"/>
    <col min="11284" max="11284" width="10" style="74" bestFit="1" customWidth="1"/>
    <col min="11285" max="11285" width="14.42578125" style="74" bestFit="1" customWidth="1"/>
    <col min="11286" max="11296" width="0" style="74" hidden="1" customWidth="1"/>
    <col min="11297" max="11517" width="9.140625" style="74"/>
    <col min="11518" max="11518" width="54.140625" style="74" bestFit="1" customWidth="1"/>
    <col min="11519" max="11519" width="14.7109375" style="74" customWidth="1"/>
    <col min="11520" max="11520" width="10.140625" style="74" customWidth="1"/>
    <col min="11521" max="11521" width="10.42578125" style="74" bestFit="1" customWidth="1"/>
    <col min="11522" max="11523" width="9.42578125" style="74" bestFit="1" customWidth="1"/>
    <col min="11524" max="11525" width="9.42578125" style="74" customWidth="1"/>
    <col min="11526" max="11526" width="10.140625" style="74" bestFit="1" customWidth="1"/>
    <col min="11527" max="11530" width="9.140625" style="74"/>
    <col min="11531" max="11531" width="7.28515625" style="74" customWidth="1"/>
    <col min="11532" max="11534" width="7.42578125" style="74" customWidth="1"/>
    <col min="11535" max="11535" width="10.42578125" style="74" bestFit="1" customWidth="1"/>
    <col min="11536" max="11536" width="12" style="74" bestFit="1" customWidth="1"/>
    <col min="11537" max="11537" width="11" style="74" bestFit="1" customWidth="1"/>
    <col min="11538" max="11539" width="11" style="74" customWidth="1"/>
    <col min="11540" max="11540" width="10" style="74" bestFit="1" customWidth="1"/>
    <col min="11541" max="11541" width="14.42578125" style="74" bestFit="1" customWidth="1"/>
    <col min="11542" max="11552" width="0" style="74" hidden="1" customWidth="1"/>
    <col min="11553" max="11773" width="9.140625" style="74"/>
    <col min="11774" max="11774" width="54.140625" style="74" bestFit="1" customWidth="1"/>
    <col min="11775" max="11775" width="14.7109375" style="74" customWidth="1"/>
    <col min="11776" max="11776" width="10.140625" style="74" customWidth="1"/>
    <col min="11777" max="11777" width="10.42578125" style="74" bestFit="1" customWidth="1"/>
    <col min="11778" max="11779" width="9.42578125" style="74" bestFit="1" customWidth="1"/>
    <col min="11780" max="11781" width="9.42578125" style="74" customWidth="1"/>
    <col min="11782" max="11782" width="10.140625" style="74" bestFit="1" customWidth="1"/>
    <col min="11783" max="11786" width="9.140625" style="74"/>
    <col min="11787" max="11787" width="7.28515625" style="74" customWidth="1"/>
    <col min="11788" max="11790" width="7.42578125" style="74" customWidth="1"/>
    <col min="11791" max="11791" width="10.42578125" style="74" bestFit="1" customWidth="1"/>
    <col min="11792" max="11792" width="12" style="74" bestFit="1" customWidth="1"/>
    <col min="11793" max="11793" width="11" style="74" bestFit="1" customWidth="1"/>
    <col min="11794" max="11795" width="11" style="74" customWidth="1"/>
    <col min="11796" max="11796" width="10" style="74" bestFit="1" customWidth="1"/>
    <col min="11797" max="11797" width="14.42578125" style="74" bestFit="1" customWidth="1"/>
    <col min="11798" max="11808" width="0" style="74" hidden="1" customWidth="1"/>
    <col min="11809" max="12029" width="9.140625" style="74"/>
    <col min="12030" max="12030" width="54.140625" style="74" bestFit="1" customWidth="1"/>
    <col min="12031" max="12031" width="14.7109375" style="74" customWidth="1"/>
    <col min="12032" max="12032" width="10.140625" style="74" customWidth="1"/>
    <col min="12033" max="12033" width="10.42578125" style="74" bestFit="1" customWidth="1"/>
    <col min="12034" max="12035" width="9.42578125" style="74" bestFit="1" customWidth="1"/>
    <col min="12036" max="12037" width="9.42578125" style="74" customWidth="1"/>
    <col min="12038" max="12038" width="10.140625" style="74" bestFit="1" customWidth="1"/>
    <col min="12039" max="12042" width="9.140625" style="74"/>
    <col min="12043" max="12043" width="7.28515625" style="74" customWidth="1"/>
    <col min="12044" max="12046" width="7.42578125" style="74" customWidth="1"/>
    <col min="12047" max="12047" width="10.42578125" style="74" bestFit="1" customWidth="1"/>
    <col min="12048" max="12048" width="12" style="74" bestFit="1" customWidth="1"/>
    <col min="12049" max="12049" width="11" style="74" bestFit="1" customWidth="1"/>
    <col min="12050" max="12051" width="11" style="74" customWidth="1"/>
    <col min="12052" max="12052" width="10" style="74" bestFit="1" customWidth="1"/>
    <col min="12053" max="12053" width="14.42578125" style="74" bestFit="1" customWidth="1"/>
    <col min="12054" max="12064" width="0" style="74" hidden="1" customWidth="1"/>
    <col min="12065" max="12285" width="9.140625" style="74"/>
    <col min="12286" max="12286" width="54.140625" style="74" bestFit="1" customWidth="1"/>
    <col min="12287" max="12287" width="14.7109375" style="74" customWidth="1"/>
    <col min="12288" max="12288" width="10.140625" style="74" customWidth="1"/>
    <col min="12289" max="12289" width="10.42578125" style="74" bestFit="1" customWidth="1"/>
    <col min="12290" max="12291" width="9.42578125" style="74" bestFit="1" customWidth="1"/>
    <col min="12292" max="12293" width="9.42578125" style="74" customWidth="1"/>
    <col min="12294" max="12294" width="10.140625" style="74" bestFit="1" customWidth="1"/>
    <col min="12295" max="12298" width="9.140625" style="74"/>
    <col min="12299" max="12299" width="7.28515625" style="74" customWidth="1"/>
    <col min="12300" max="12302" width="7.42578125" style="74" customWidth="1"/>
    <col min="12303" max="12303" width="10.42578125" style="74" bestFit="1" customWidth="1"/>
    <col min="12304" max="12304" width="12" style="74" bestFit="1" customWidth="1"/>
    <col min="12305" max="12305" width="11" style="74" bestFit="1" customWidth="1"/>
    <col min="12306" max="12307" width="11" style="74" customWidth="1"/>
    <col min="12308" max="12308" width="10" style="74" bestFit="1" customWidth="1"/>
    <col min="12309" max="12309" width="14.42578125" style="74" bestFit="1" customWidth="1"/>
    <col min="12310" max="12320" width="0" style="74" hidden="1" customWidth="1"/>
    <col min="12321" max="12541" width="9.140625" style="74"/>
    <col min="12542" max="12542" width="54.140625" style="74" bestFit="1" customWidth="1"/>
    <col min="12543" max="12543" width="14.7109375" style="74" customWidth="1"/>
    <col min="12544" max="12544" width="10.140625" style="74" customWidth="1"/>
    <col min="12545" max="12545" width="10.42578125" style="74" bestFit="1" customWidth="1"/>
    <col min="12546" max="12547" width="9.42578125" style="74" bestFit="1" customWidth="1"/>
    <col min="12548" max="12549" width="9.42578125" style="74" customWidth="1"/>
    <col min="12550" max="12550" width="10.140625" style="74" bestFit="1" customWidth="1"/>
    <col min="12551" max="12554" width="9.140625" style="74"/>
    <col min="12555" max="12555" width="7.28515625" style="74" customWidth="1"/>
    <col min="12556" max="12558" width="7.42578125" style="74" customWidth="1"/>
    <col min="12559" max="12559" width="10.42578125" style="74" bestFit="1" customWidth="1"/>
    <col min="12560" max="12560" width="12" style="74" bestFit="1" customWidth="1"/>
    <col min="12561" max="12561" width="11" style="74" bestFit="1" customWidth="1"/>
    <col min="12562" max="12563" width="11" style="74" customWidth="1"/>
    <col min="12564" max="12564" width="10" style="74" bestFit="1" customWidth="1"/>
    <col min="12565" max="12565" width="14.42578125" style="74" bestFit="1" customWidth="1"/>
    <col min="12566" max="12576" width="0" style="74" hidden="1" customWidth="1"/>
    <col min="12577" max="12797" width="9.140625" style="74"/>
    <col min="12798" max="12798" width="54.140625" style="74" bestFit="1" customWidth="1"/>
    <col min="12799" max="12799" width="14.7109375" style="74" customWidth="1"/>
    <col min="12800" max="12800" width="10.140625" style="74" customWidth="1"/>
    <col min="12801" max="12801" width="10.42578125" style="74" bestFit="1" customWidth="1"/>
    <col min="12802" max="12803" width="9.42578125" style="74" bestFit="1" customWidth="1"/>
    <col min="12804" max="12805" width="9.42578125" style="74" customWidth="1"/>
    <col min="12806" max="12806" width="10.140625" style="74" bestFit="1" customWidth="1"/>
    <col min="12807" max="12810" width="9.140625" style="74"/>
    <col min="12811" max="12811" width="7.28515625" style="74" customWidth="1"/>
    <col min="12812" max="12814" width="7.42578125" style="74" customWidth="1"/>
    <col min="12815" max="12815" width="10.42578125" style="74" bestFit="1" customWidth="1"/>
    <col min="12816" max="12816" width="12" style="74" bestFit="1" customWidth="1"/>
    <col min="12817" max="12817" width="11" style="74" bestFit="1" customWidth="1"/>
    <col min="12818" max="12819" width="11" style="74" customWidth="1"/>
    <col min="12820" max="12820" width="10" style="74" bestFit="1" customWidth="1"/>
    <col min="12821" max="12821" width="14.42578125" style="74" bestFit="1" customWidth="1"/>
    <col min="12822" max="12832" width="0" style="74" hidden="1" customWidth="1"/>
    <col min="12833" max="13053" width="9.140625" style="74"/>
    <col min="13054" max="13054" width="54.140625" style="74" bestFit="1" customWidth="1"/>
    <col min="13055" max="13055" width="14.7109375" style="74" customWidth="1"/>
    <col min="13056" max="13056" width="10.140625" style="74" customWidth="1"/>
    <col min="13057" max="13057" width="10.42578125" style="74" bestFit="1" customWidth="1"/>
    <col min="13058" max="13059" width="9.42578125" style="74" bestFit="1" customWidth="1"/>
    <col min="13060" max="13061" width="9.42578125" style="74" customWidth="1"/>
    <col min="13062" max="13062" width="10.140625" style="74" bestFit="1" customWidth="1"/>
    <col min="13063" max="13066" width="9.140625" style="74"/>
    <col min="13067" max="13067" width="7.28515625" style="74" customWidth="1"/>
    <col min="13068" max="13070" width="7.42578125" style="74" customWidth="1"/>
    <col min="13071" max="13071" width="10.42578125" style="74" bestFit="1" customWidth="1"/>
    <col min="13072" max="13072" width="12" style="74" bestFit="1" customWidth="1"/>
    <col min="13073" max="13073" width="11" style="74" bestFit="1" customWidth="1"/>
    <col min="13074" max="13075" width="11" style="74" customWidth="1"/>
    <col min="13076" max="13076" width="10" style="74" bestFit="1" customWidth="1"/>
    <col min="13077" max="13077" width="14.42578125" style="74" bestFit="1" customWidth="1"/>
    <col min="13078" max="13088" width="0" style="74" hidden="1" customWidth="1"/>
    <col min="13089" max="13309" width="9.140625" style="74"/>
    <col min="13310" max="13310" width="54.140625" style="74" bestFit="1" customWidth="1"/>
    <col min="13311" max="13311" width="14.7109375" style="74" customWidth="1"/>
    <col min="13312" max="13312" width="10.140625" style="74" customWidth="1"/>
    <col min="13313" max="13313" width="10.42578125" style="74" bestFit="1" customWidth="1"/>
    <col min="13314" max="13315" width="9.42578125" style="74" bestFit="1" customWidth="1"/>
    <col min="13316" max="13317" width="9.42578125" style="74" customWidth="1"/>
    <col min="13318" max="13318" width="10.140625" style="74" bestFit="1" customWidth="1"/>
    <col min="13319" max="13322" width="9.140625" style="74"/>
    <col min="13323" max="13323" width="7.28515625" style="74" customWidth="1"/>
    <col min="13324" max="13326" width="7.42578125" style="74" customWidth="1"/>
    <col min="13327" max="13327" width="10.42578125" style="74" bestFit="1" customWidth="1"/>
    <col min="13328" max="13328" width="12" style="74" bestFit="1" customWidth="1"/>
    <col min="13329" max="13329" width="11" style="74" bestFit="1" customWidth="1"/>
    <col min="13330" max="13331" width="11" style="74" customWidth="1"/>
    <col min="13332" max="13332" width="10" style="74" bestFit="1" customWidth="1"/>
    <col min="13333" max="13333" width="14.42578125" style="74" bestFit="1" customWidth="1"/>
    <col min="13334" max="13344" width="0" style="74" hidden="1" customWidth="1"/>
    <col min="13345" max="13565" width="9.140625" style="74"/>
    <col min="13566" max="13566" width="54.140625" style="74" bestFit="1" customWidth="1"/>
    <col min="13567" max="13567" width="14.7109375" style="74" customWidth="1"/>
    <col min="13568" max="13568" width="10.140625" style="74" customWidth="1"/>
    <col min="13569" max="13569" width="10.42578125" style="74" bestFit="1" customWidth="1"/>
    <col min="13570" max="13571" width="9.42578125" style="74" bestFit="1" customWidth="1"/>
    <col min="13572" max="13573" width="9.42578125" style="74" customWidth="1"/>
    <col min="13574" max="13574" width="10.140625" style="74" bestFit="1" customWidth="1"/>
    <col min="13575" max="13578" width="9.140625" style="74"/>
    <col min="13579" max="13579" width="7.28515625" style="74" customWidth="1"/>
    <col min="13580" max="13582" width="7.42578125" style="74" customWidth="1"/>
    <col min="13583" max="13583" width="10.42578125" style="74" bestFit="1" customWidth="1"/>
    <col min="13584" max="13584" width="12" style="74" bestFit="1" customWidth="1"/>
    <col min="13585" max="13585" width="11" style="74" bestFit="1" customWidth="1"/>
    <col min="13586" max="13587" width="11" style="74" customWidth="1"/>
    <col min="13588" max="13588" width="10" style="74" bestFit="1" customWidth="1"/>
    <col min="13589" max="13589" width="14.42578125" style="74" bestFit="1" customWidth="1"/>
    <col min="13590" max="13600" width="0" style="74" hidden="1" customWidth="1"/>
    <col min="13601" max="13821" width="9.140625" style="74"/>
    <col min="13822" max="13822" width="54.140625" style="74" bestFit="1" customWidth="1"/>
    <col min="13823" max="13823" width="14.7109375" style="74" customWidth="1"/>
    <col min="13824" max="13824" width="10.140625" style="74" customWidth="1"/>
    <col min="13825" max="13825" width="10.42578125" style="74" bestFit="1" customWidth="1"/>
    <col min="13826" max="13827" width="9.42578125" style="74" bestFit="1" customWidth="1"/>
    <col min="13828" max="13829" width="9.42578125" style="74" customWidth="1"/>
    <col min="13830" max="13830" width="10.140625" style="74" bestFit="1" customWidth="1"/>
    <col min="13831" max="13834" width="9.140625" style="74"/>
    <col min="13835" max="13835" width="7.28515625" style="74" customWidth="1"/>
    <col min="13836" max="13838" width="7.42578125" style="74" customWidth="1"/>
    <col min="13839" max="13839" width="10.42578125" style="74" bestFit="1" customWidth="1"/>
    <col min="13840" max="13840" width="12" style="74" bestFit="1" customWidth="1"/>
    <col min="13841" max="13841" width="11" style="74" bestFit="1" customWidth="1"/>
    <col min="13842" max="13843" width="11" style="74" customWidth="1"/>
    <col min="13844" max="13844" width="10" style="74" bestFit="1" customWidth="1"/>
    <col min="13845" max="13845" width="14.42578125" style="74" bestFit="1" customWidth="1"/>
    <col min="13846" max="13856" width="0" style="74" hidden="1" customWidth="1"/>
    <col min="13857" max="14077" width="9.140625" style="74"/>
    <col min="14078" max="14078" width="54.140625" style="74" bestFit="1" customWidth="1"/>
    <col min="14079" max="14079" width="14.7109375" style="74" customWidth="1"/>
    <col min="14080" max="14080" width="10.140625" style="74" customWidth="1"/>
    <col min="14081" max="14081" width="10.42578125" style="74" bestFit="1" customWidth="1"/>
    <col min="14082" max="14083" width="9.42578125" style="74" bestFit="1" customWidth="1"/>
    <col min="14084" max="14085" width="9.42578125" style="74" customWidth="1"/>
    <col min="14086" max="14086" width="10.140625" style="74" bestFit="1" customWidth="1"/>
    <col min="14087" max="14090" width="9.140625" style="74"/>
    <col min="14091" max="14091" width="7.28515625" style="74" customWidth="1"/>
    <col min="14092" max="14094" width="7.42578125" style="74" customWidth="1"/>
    <col min="14095" max="14095" width="10.42578125" style="74" bestFit="1" customWidth="1"/>
    <col min="14096" max="14096" width="12" style="74" bestFit="1" customWidth="1"/>
    <col min="14097" max="14097" width="11" style="74" bestFit="1" customWidth="1"/>
    <col min="14098" max="14099" width="11" style="74" customWidth="1"/>
    <col min="14100" max="14100" width="10" style="74" bestFit="1" customWidth="1"/>
    <col min="14101" max="14101" width="14.42578125" style="74" bestFit="1" customWidth="1"/>
    <col min="14102" max="14112" width="0" style="74" hidden="1" customWidth="1"/>
    <col min="14113" max="14333" width="9.140625" style="74"/>
    <col min="14334" max="14334" width="54.140625" style="74" bestFit="1" customWidth="1"/>
    <col min="14335" max="14335" width="14.7109375" style="74" customWidth="1"/>
    <col min="14336" max="14336" width="10.140625" style="74" customWidth="1"/>
    <col min="14337" max="14337" width="10.42578125" style="74" bestFit="1" customWidth="1"/>
    <col min="14338" max="14339" width="9.42578125" style="74" bestFit="1" customWidth="1"/>
    <col min="14340" max="14341" width="9.42578125" style="74" customWidth="1"/>
    <col min="14342" max="14342" width="10.140625" style="74" bestFit="1" customWidth="1"/>
    <col min="14343" max="14346" width="9.140625" style="74"/>
    <col min="14347" max="14347" width="7.28515625" style="74" customWidth="1"/>
    <col min="14348" max="14350" width="7.42578125" style="74" customWidth="1"/>
    <col min="14351" max="14351" width="10.42578125" style="74" bestFit="1" customWidth="1"/>
    <col min="14352" max="14352" width="12" style="74" bestFit="1" customWidth="1"/>
    <col min="14353" max="14353" width="11" style="74" bestFit="1" customWidth="1"/>
    <col min="14354" max="14355" width="11" style="74" customWidth="1"/>
    <col min="14356" max="14356" width="10" style="74" bestFit="1" customWidth="1"/>
    <col min="14357" max="14357" width="14.42578125" style="74" bestFit="1" customWidth="1"/>
    <col min="14358" max="14368" width="0" style="74" hidden="1" customWidth="1"/>
    <col min="14369" max="14589" width="9.140625" style="74"/>
    <col min="14590" max="14590" width="54.140625" style="74" bestFit="1" customWidth="1"/>
    <col min="14591" max="14591" width="14.7109375" style="74" customWidth="1"/>
    <col min="14592" max="14592" width="10.140625" style="74" customWidth="1"/>
    <col min="14593" max="14593" width="10.42578125" style="74" bestFit="1" customWidth="1"/>
    <col min="14594" max="14595" width="9.42578125" style="74" bestFit="1" customWidth="1"/>
    <col min="14596" max="14597" width="9.42578125" style="74" customWidth="1"/>
    <col min="14598" max="14598" width="10.140625" style="74" bestFit="1" customWidth="1"/>
    <col min="14599" max="14602" width="9.140625" style="74"/>
    <col min="14603" max="14603" width="7.28515625" style="74" customWidth="1"/>
    <col min="14604" max="14606" width="7.42578125" style="74" customWidth="1"/>
    <col min="14607" max="14607" width="10.42578125" style="74" bestFit="1" customWidth="1"/>
    <col min="14608" max="14608" width="12" style="74" bestFit="1" customWidth="1"/>
    <col min="14609" max="14609" width="11" style="74" bestFit="1" customWidth="1"/>
    <col min="14610" max="14611" width="11" style="74" customWidth="1"/>
    <col min="14612" max="14612" width="10" style="74" bestFit="1" customWidth="1"/>
    <col min="14613" max="14613" width="14.42578125" style="74" bestFit="1" customWidth="1"/>
    <col min="14614" max="14624" width="0" style="74" hidden="1" customWidth="1"/>
    <col min="14625" max="14845" width="9.140625" style="74"/>
    <col min="14846" max="14846" width="54.140625" style="74" bestFit="1" customWidth="1"/>
    <col min="14847" max="14847" width="14.7109375" style="74" customWidth="1"/>
    <col min="14848" max="14848" width="10.140625" style="74" customWidth="1"/>
    <col min="14849" max="14849" width="10.42578125" style="74" bestFit="1" customWidth="1"/>
    <col min="14850" max="14851" width="9.42578125" style="74" bestFit="1" customWidth="1"/>
    <col min="14852" max="14853" width="9.42578125" style="74" customWidth="1"/>
    <col min="14854" max="14854" width="10.140625" style="74" bestFit="1" customWidth="1"/>
    <col min="14855" max="14858" width="9.140625" style="74"/>
    <col min="14859" max="14859" width="7.28515625" style="74" customWidth="1"/>
    <col min="14860" max="14862" width="7.42578125" style="74" customWidth="1"/>
    <col min="14863" max="14863" width="10.42578125" style="74" bestFit="1" customWidth="1"/>
    <col min="14864" max="14864" width="12" style="74" bestFit="1" customWidth="1"/>
    <col min="14865" max="14865" width="11" style="74" bestFit="1" customWidth="1"/>
    <col min="14866" max="14867" width="11" style="74" customWidth="1"/>
    <col min="14868" max="14868" width="10" style="74" bestFit="1" customWidth="1"/>
    <col min="14869" max="14869" width="14.42578125" style="74" bestFit="1" customWidth="1"/>
    <col min="14870" max="14880" width="0" style="74" hidden="1" customWidth="1"/>
    <col min="14881" max="15101" width="9.140625" style="74"/>
    <col min="15102" max="15102" width="54.140625" style="74" bestFit="1" customWidth="1"/>
    <col min="15103" max="15103" width="14.7109375" style="74" customWidth="1"/>
    <col min="15104" max="15104" width="10.140625" style="74" customWidth="1"/>
    <col min="15105" max="15105" width="10.42578125" style="74" bestFit="1" customWidth="1"/>
    <col min="15106" max="15107" width="9.42578125" style="74" bestFit="1" customWidth="1"/>
    <col min="15108" max="15109" width="9.42578125" style="74" customWidth="1"/>
    <col min="15110" max="15110" width="10.140625" style="74" bestFit="1" customWidth="1"/>
    <col min="15111" max="15114" width="9.140625" style="74"/>
    <col min="15115" max="15115" width="7.28515625" style="74" customWidth="1"/>
    <col min="15116" max="15118" width="7.42578125" style="74" customWidth="1"/>
    <col min="15119" max="15119" width="10.42578125" style="74" bestFit="1" customWidth="1"/>
    <col min="15120" max="15120" width="12" style="74" bestFit="1" customWidth="1"/>
    <col min="15121" max="15121" width="11" style="74" bestFit="1" customWidth="1"/>
    <col min="15122" max="15123" width="11" style="74" customWidth="1"/>
    <col min="15124" max="15124" width="10" style="74" bestFit="1" customWidth="1"/>
    <col min="15125" max="15125" width="14.42578125" style="74" bestFit="1" customWidth="1"/>
    <col min="15126" max="15136" width="0" style="74" hidden="1" customWidth="1"/>
    <col min="15137" max="15357" width="9.140625" style="74"/>
    <col min="15358" max="15358" width="54.140625" style="74" bestFit="1" customWidth="1"/>
    <col min="15359" max="15359" width="14.7109375" style="74" customWidth="1"/>
    <col min="15360" max="15360" width="10.140625" style="74" customWidth="1"/>
    <col min="15361" max="15361" width="10.42578125" style="74" bestFit="1" customWidth="1"/>
    <col min="15362" max="15363" width="9.42578125" style="74" bestFit="1" customWidth="1"/>
    <col min="15364" max="15365" width="9.42578125" style="74" customWidth="1"/>
    <col min="15366" max="15366" width="10.140625" style="74" bestFit="1" customWidth="1"/>
    <col min="15367" max="15370" width="9.140625" style="74"/>
    <col min="15371" max="15371" width="7.28515625" style="74" customWidth="1"/>
    <col min="15372" max="15374" width="7.42578125" style="74" customWidth="1"/>
    <col min="15375" max="15375" width="10.42578125" style="74" bestFit="1" customWidth="1"/>
    <col min="15376" max="15376" width="12" style="74" bestFit="1" customWidth="1"/>
    <col min="15377" max="15377" width="11" style="74" bestFit="1" customWidth="1"/>
    <col min="15378" max="15379" width="11" style="74" customWidth="1"/>
    <col min="15380" max="15380" width="10" style="74" bestFit="1" customWidth="1"/>
    <col min="15381" max="15381" width="14.42578125" style="74" bestFit="1" customWidth="1"/>
    <col min="15382" max="15392" width="0" style="74" hidden="1" customWidth="1"/>
    <col min="15393" max="15613" width="9.140625" style="74"/>
    <col min="15614" max="15614" width="54.140625" style="74" bestFit="1" customWidth="1"/>
    <col min="15615" max="15615" width="14.7109375" style="74" customWidth="1"/>
    <col min="15616" max="15616" width="10.140625" style="74" customWidth="1"/>
    <col min="15617" max="15617" width="10.42578125" style="74" bestFit="1" customWidth="1"/>
    <col min="15618" max="15619" width="9.42578125" style="74" bestFit="1" customWidth="1"/>
    <col min="15620" max="15621" width="9.42578125" style="74" customWidth="1"/>
    <col min="15622" max="15622" width="10.140625" style="74" bestFit="1" customWidth="1"/>
    <col min="15623" max="15626" width="9.140625" style="74"/>
    <col min="15627" max="15627" width="7.28515625" style="74" customWidth="1"/>
    <col min="15628" max="15630" width="7.42578125" style="74" customWidth="1"/>
    <col min="15631" max="15631" width="10.42578125" style="74" bestFit="1" customWidth="1"/>
    <col min="15632" max="15632" width="12" style="74" bestFit="1" customWidth="1"/>
    <col min="15633" max="15633" width="11" style="74" bestFit="1" customWidth="1"/>
    <col min="15634" max="15635" width="11" style="74" customWidth="1"/>
    <col min="15636" max="15636" width="10" style="74" bestFit="1" customWidth="1"/>
    <col min="15637" max="15637" width="14.42578125" style="74" bestFit="1" customWidth="1"/>
    <col min="15638" max="15648" width="0" style="74" hidden="1" customWidth="1"/>
    <col min="15649" max="15869" width="9.140625" style="74"/>
    <col min="15870" max="15870" width="54.140625" style="74" bestFit="1" customWidth="1"/>
    <col min="15871" max="15871" width="14.7109375" style="74" customWidth="1"/>
    <col min="15872" max="15872" width="10.140625" style="74" customWidth="1"/>
    <col min="15873" max="15873" width="10.42578125" style="74" bestFit="1" customWidth="1"/>
    <col min="15874" max="15875" width="9.42578125" style="74" bestFit="1" customWidth="1"/>
    <col min="15876" max="15877" width="9.42578125" style="74" customWidth="1"/>
    <col min="15878" max="15878" width="10.140625" style="74" bestFit="1" customWidth="1"/>
    <col min="15879" max="15882" width="9.140625" style="74"/>
    <col min="15883" max="15883" width="7.28515625" style="74" customWidth="1"/>
    <col min="15884" max="15886" width="7.42578125" style="74" customWidth="1"/>
    <col min="15887" max="15887" width="10.42578125" style="74" bestFit="1" customWidth="1"/>
    <col min="15888" max="15888" width="12" style="74" bestFit="1" customWidth="1"/>
    <col min="15889" max="15889" width="11" style="74" bestFit="1" customWidth="1"/>
    <col min="15890" max="15891" width="11" style="74" customWidth="1"/>
    <col min="15892" max="15892" width="10" style="74" bestFit="1" customWidth="1"/>
    <col min="15893" max="15893" width="14.42578125" style="74" bestFit="1" customWidth="1"/>
    <col min="15894" max="15904" width="0" style="74" hidden="1" customWidth="1"/>
    <col min="15905" max="16125" width="9.140625" style="74"/>
    <col min="16126" max="16126" width="54.140625" style="74" bestFit="1" customWidth="1"/>
    <col min="16127" max="16127" width="14.7109375" style="74" customWidth="1"/>
    <col min="16128" max="16128" width="10.140625" style="74" customWidth="1"/>
    <col min="16129" max="16129" width="10.42578125" style="74" bestFit="1" customWidth="1"/>
    <col min="16130" max="16131" width="9.42578125" style="74" bestFit="1" customWidth="1"/>
    <col min="16132" max="16133" width="9.42578125" style="74" customWidth="1"/>
    <col min="16134" max="16134" width="10.140625" style="74" bestFit="1" customWidth="1"/>
    <col min="16135" max="16138" width="9.140625" style="74"/>
    <col min="16139" max="16139" width="7.28515625" style="74" customWidth="1"/>
    <col min="16140" max="16142" width="7.42578125" style="74" customWidth="1"/>
    <col min="16143" max="16143" width="10.42578125" style="74" bestFit="1" customWidth="1"/>
    <col min="16144" max="16144" width="12" style="74" bestFit="1" customWidth="1"/>
    <col min="16145" max="16145" width="11" style="74" bestFit="1" customWidth="1"/>
    <col min="16146" max="16147" width="11" style="74" customWidth="1"/>
    <col min="16148" max="16148" width="10" style="74" bestFit="1" customWidth="1"/>
    <col min="16149" max="16149" width="14.42578125" style="74" bestFit="1" customWidth="1"/>
    <col min="16150" max="16160" width="0" style="74" hidden="1" customWidth="1"/>
    <col min="16161" max="16384" width="9.140625" style="74"/>
  </cols>
  <sheetData>
    <row r="1" spans="1:39" s="68" customFormat="1" ht="45.75" customHeight="1" x14ac:dyDescent="0.25">
      <c r="A1" s="63" t="s">
        <v>133</v>
      </c>
      <c r="B1" s="227">
        <v>45170</v>
      </c>
      <c r="C1" s="227"/>
      <c r="D1" s="227"/>
      <c r="E1" s="227"/>
      <c r="F1" s="227"/>
      <c r="G1" s="227"/>
      <c r="H1" s="227"/>
      <c r="I1" s="64"/>
      <c r="J1" s="64"/>
      <c r="K1" s="64"/>
      <c r="L1" s="64"/>
      <c r="M1" s="64"/>
      <c r="N1" s="64"/>
      <c r="O1" s="64"/>
      <c r="P1" s="64"/>
      <c r="Q1" s="65"/>
      <c r="R1" s="66"/>
      <c r="S1" s="66"/>
      <c r="T1" s="67"/>
      <c r="U1" s="67"/>
      <c r="V1" s="67"/>
      <c r="W1" s="67"/>
      <c r="X1" s="67"/>
      <c r="Y1" s="67"/>
      <c r="Z1" s="67"/>
      <c r="AA1" s="67"/>
      <c r="AB1" s="67"/>
      <c r="AC1" s="67"/>
      <c r="AD1" s="67"/>
      <c r="AE1" s="67"/>
      <c r="AF1" s="67"/>
    </row>
    <row r="2" spans="1:39" ht="91.5" customHeight="1" x14ac:dyDescent="0.2">
      <c r="A2" s="69" t="s">
        <v>226</v>
      </c>
      <c r="B2" s="228" t="s">
        <v>227</v>
      </c>
      <c r="C2" s="228"/>
      <c r="D2" s="228"/>
      <c r="E2" s="228"/>
      <c r="F2" s="228"/>
      <c r="G2" s="228"/>
      <c r="H2" s="228"/>
      <c r="I2" s="70"/>
      <c r="J2" s="70"/>
      <c r="K2" s="70"/>
      <c r="L2" s="70"/>
      <c r="M2" s="70"/>
      <c r="N2" s="70"/>
      <c r="O2" s="70"/>
      <c r="P2" s="70"/>
      <c r="Q2" s="71"/>
      <c r="R2" s="72"/>
      <c r="S2" s="72"/>
      <c r="T2" s="73"/>
      <c r="U2" s="73"/>
      <c r="V2" s="73"/>
      <c r="W2" s="73"/>
      <c r="X2" s="73"/>
      <c r="Y2" s="73"/>
      <c r="Z2" s="73"/>
      <c r="AA2" s="73"/>
      <c r="AB2" s="73"/>
      <c r="AC2" s="73"/>
      <c r="AD2" s="73"/>
      <c r="AE2" s="73"/>
      <c r="AF2" s="73"/>
    </row>
    <row r="3" spans="1:39" ht="33.75" customHeight="1" x14ac:dyDescent="0.2">
      <c r="A3" s="229" t="s">
        <v>228</v>
      </c>
      <c r="B3" s="229"/>
      <c r="C3" s="229"/>
      <c r="D3" s="229"/>
      <c r="E3" s="229"/>
      <c r="F3" s="229"/>
      <c r="G3" s="229"/>
      <c r="H3" s="229"/>
      <c r="I3" s="75"/>
      <c r="J3" s="76"/>
      <c r="K3" s="76"/>
      <c r="L3" s="76"/>
      <c r="M3" s="76"/>
      <c r="N3" s="76"/>
      <c r="O3" s="76"/>
      <c r="P3" s="76"/>
      <c r="Q3" s="76"/>
      <c r="R3" s="72"/>
      <c r="S3" s="72"/>
      <c r="T3" s="73"/>
      <c r="U3" s="73"/>
      <c r="V3" s="73"/>
      <c r="W3" s="73"/>
      <c r="X3" s="73"/>
      <c r="Y3" s="73"/>
      <c r="Z3" s="73"/>
      <c r="AA3" s="73"/>
      <c r="AB3" s="73"/>
      <c r="AC3" s="73"/>
      <c r="AD3" s="73"/>
      <c r="AE3" s="73"/>
      <c r="AF3" s="73"/>
    </row>
    <row r="4" spans="1:39" x14ac:dyDescent="0.2">
      <c r="A4" s="229" t="s">
        <v>229</v>
      </c>
      <c r="B4" s="229"/>
      <c r="C4" s="229"/>
      <c r="D4" s="229"/>
      <c r="E4" s="229"/>
      <c r="F4" s="229"/>
      <c r="G4" s="229"/>
      <c r="H4" s="229"/>
      <c r="I4" s="77"/>
      <c r="J4" s="76"/>
      <c r="K4" s="76"/>
      <c r="L4" s="76"/>
      <c r="M4" s="76"/>
      <c r="N4" s="76"/>
      <c r="O4" s="76"/>
      <c r="P4" s="78"/>
      <c r="Q4" s="78"/>
      <c r="R4" s="78"/>
      <c r="S4" s="78"/>
      <c r="T4" s="73"/>
      <c r="U4" s="73"/>
      <c r="V4" s="73"/>
      <c r="W4" s="73"/>
      <c r="X4" s="73"/>
      <c r="Y4" s="73"/>
      <c r="Z4" s="73"/>
      <c r="AA4" s="73"/>
      <c r="AB4" s="73"/>
      <c r="AC4" s="73"/>
      <c r="AD4" s="73"/>
      <c r="AE4" s="73"/>
      <c r="AF4" s="73"/>
    </row>
    <row r="5" spans="1:39" x14ac:dyDescent="0.2">
      <c r="A5" s="229"/>
      <c r="B5" s="229"/>
      <c r="C5" s="229"/>
      <c r="D5" s="229"/>
      <c r="E5" s="229"/>
      <c r="F5" s="229"/>
      <c r="G5" s="229"/>
      <c r="H5" s="229"/>
      <c r="I5" s="79"/>
      <c r="J5" s="80"/>
      <c r="K5" s="80"/>
      <c r="L5" s="80"/>
      <c r="M5" s="80"/>
      <c r="N5" s="80"/>
      <c r="O5" s="80"/>
      <c r="P5" s="80"/>
      <c r="Q5" s="80"/>
      <c r="R5" s="72"/>
      <c r="S5" s="72"/>
      <c r="T5" s="73"/>
      <c r="U5" s="73"/>
      <c r="V5" s="73"/>
      <c r="W5" s="73"/>
      <c r="X5" s="73"/>
      <c r="Y5" s="73"/>
      <c r="Z5" s="73"/>
      <c r="AA5" s="73"/>
      <c r="AB5" s="73"/>
      <c r="AC5" s="73"/>
      <c r="AD5" s="73"/>
      <c r="AE5" s="73"/>
      <c r="AF5" s="73"/>
    </row>
    <row r="6" spans="1:39" x14ac:dyDescent="0.2">
      <c r="A6" s="79"/>
      <c r="B6" s="79"/>
      <c r="C6" s="79"/>
      <c r="D6" s="79"/>
      <c r="E6" s="79"/>
      <c r="F6" s="79"/>
      <c r="G6" s="79"/>
      <c r="H6" s="79"/>
      <c r="I6" s="79"/>
      <c r="J6" s="80"/>
      <c r="K6" s="80"/>
      <c r="L6" s="80"/>
      <c r="M6" s="80"/>
      <c r="N6" s="80"/>
      <c r="O6" s="80"/>
      <c r="P6" s="80"/>
      <c r="Q6" s="80"/>
      <c r="R6" s="192"/>
      <c r="S6" s="192"/>
      <c r="T6" s="73"/>
      <c r="U6" s="73"/>
      <c r="V6" s="73"/>
      <c r="W6" s="73"/>
      <c r="X6" s="73"/>
      <c r="Y6" s="73"/>
      <c r="Z6" s="73"/>
      <c r="AA6" s="73"/>
      <c r="AB6" s="73"/>
      <c r="AC6" s="73"/>
      <c r="AD6" s="73"/>
      <c r="AE6" s="73"/>
      <c r="AF6" s="73"/>
    </row>
    <row r="7" spans="1:39" ht="25.5" x14ac:dyDescent="0.2">
      <c r="A7" s="81" t="s">
        <v>230</v>
      </c>
      <c r="B7" s="82" t="s">
        <v>231</v>
      </c>
      <c r="C7" s="79"/>
      <c r="D7" s="79"/>
      <c r="E7" s="79"/>
      <c r="F7" s="79"/>
      <c r="G7" s="79"/>
      <c r="H7" s="79"/>
      <c r="I7" s="79"/>
      <c r="J7" s="80"/>
      <c r="K7" s="80"/>
      <c r="L7" s="80"/>
      <c r="M7" s="80"/>
      <c r="N7" s="80"/>
      <c r="O7" s="80"/>
      <c r="P7" s="80"/>
      <c r="Q7" s="80"/>
      <c r="R7" s="83"/>
      <c r="S7" s="83"/>
      <c r="T7" s="73"/>
      <c r="U7" s="73"/>
      <c r="V7" s="73"/>
      <c r="W7" s="73"/>
      <c r="X7" s="73"/>
      <c r="Y7" s="73"/>
      <c r="Z7" s="73"/>
      <c r="AA7" s="73"/>
      <c r="AB7" s="73"/>
      <c r="AC7" s="73"/>
      <c r="AD7" s="73"/>
      <c r="AE7" s="73"/>
      <c r="AF7" s="73"/>
    </row>
    <row r="8" spans="1:39" ht="25.5" x14ac:dyDescent="0.25">
      <c r="A8" t="s">
        <v>232</v>
      </c>
      <c r="B8" s="82" t="s">
        <v>233</v>
      </c>
      <c r="C8" s="79"/>
      <c r="D8" s="79"/>
      <c r="E8" s="79"/>
      <c r="F8" s="79"/>
      <c r="G8" s="79"/>
      <c r="H8" s="79"/>
      <c r="I8" s="79"/>
      <c r="J8" s="80"/>
      <c r="K8" s="80"/>
      <c r="L8" s="80"/>
      <c r="M8" s="80"/>
      <c r="N8" s="80"/>
      <c r="O8" s="80"/>
      <c r="P8" s="80"/>
      <c r="Q8" s="80"/>
      <c r="R8" s="83"/>
      <c r="S8" s="83"/>
      <c r="T8" s="73"/>
      <c r="U8" s="73"/>
      <c r="V8" s="73"/>
      <c r="W8" s="73"/>
      <c r="X8" s="73"/>
      <c r="Y8" s="73"/>
      <c r="Z8" s="73"/>
      <c r="AA8" s="73"/>
      <c r="AB8" s="73"/>
      <c r="AC8" s="73"/>
      <c r="AD8" s="73"/>
      <c r="AE8" s="73"/>
      <c r="AF8" s="73"/>
    </row>
    <row r="9" spans="1:39" x14ac:dyDescent="0.2">
      <c r="A9" s="225"/>
      <c r="B9" s="226"/>
      <c r="C9" s="79"/>
      <c r="D9" s="79"/>
      <c r="E9" s="79"/>
      <c r="F9" s="79"/>
      <c r="G9" s="79"/>
      <c r="H9" s="79"/>
      <c r="I9" s="79"/>
      <c r="J9" s="80"/>
      <c r="K9" s="80"/>
      <c r="L9" s="80"/>
      <c r="M9" s="80"/>
      <c r="N9" s="80"/>
      <c r="O9" s="80"/>
      <c r="P9" s="84"/>
      <c r="Q9" s="80"/>
      <c r="R9" s="83"/>
      <c r="S9" s="83"/>
      <c r="T9" s="73"/>
      <c r="U9" s="73"/>
      <c r="V9" s="73"/>
      <c r="W9" s="73"/>
      <c r="X9" s="73"/>
      <c r="Y9" s="73"/>
      <c r="Z9" s="73"/>
      <c r="AA9" s="73"/>
      <c r="AB9" s="73"/>
      <c r="AC9" s="73"/>
      <c r="AD9" s="73"/>
      <c r="AE9" s="73"/>
      <c r="AF9" s="73"/>
    </row>
    <row r="10" spans="1:39" ht="18" customHeight="1" thickBot="1" x14ac:dyDescent="0.25">
      <c r="A10" s="73"/>
      <c r="B10" s="79"/>
      <c r="C10" s="79"/>
      <c r="D10" s="79"/>
      <c r="E10" s="79"/>
      <c r="F10" s="79"/>
      <c r="G10" s="79"/>
      <c r="H10" s="79"/>
      <c r="I10" s="79"/>
      <c r="J10" s="80"/>
      <c r="K10" s="80"/>
      <c r="L10" s="80"/>
      <c r="M10" s="80"/>
      <c r="N10" s="80"/>
      <c r="O10" s="80"/>
      <c r="P10" s="84"/>
      <c r="Q10" s="80"/>
      <c r="R10" s="83"/>
      <c r="S10" s="83"/>
      <c r="T10" s="73"/>
      <c r="U10" s="73"/>
      <c r="V10" s="73"/>
      <c r="W10" s="73"/>
      <c r="X10" s="73"/>
      <c r="Y10" s="73"/>
      <c r="Z10" s="73"/>
      <c r="AA10" s="73"/>
      <c r="AB10" s="73"/>
      <c r="AC10" s="73"/>
      <c r="AD10" s="73"/>
      <c r="AE10" s="73"/>
      <c r="AF10" s="73"/>
    </row>
    <row r="11" spans="1:39" ht="13.5" thickBot="1" x14ac:dyDescent="0.25">
      <c r="A11" s="73"/>
      <c r="B11" s="85"/>
      <c r="C11" s="86"/>
      <c r="D11" s="87"/>
      <c r="E11" s="80"/>
      <c r="F11" s="80"/>
      <c r="G11" s="80"/>
      <c r="H11" s="80"/>
      <c r="I11" s="79"/>
      <c r="J11" s="80"/>
      <c r="K11" s="80"/>
      <c r="L11" s="80"/>
      <c r="M11" s="80"/>
      <c r="N11" s="80"/>
      <c r="O11" s="80"/>
      <c r="P11" s="80"/>
      <c r="Q11" s="80"/>
      <c r="R11" s="83"/>
      <c r="S11" s="83"/>
      <c r="T11" s="193" t="s">
        <v>235</v>
      </c>
      <c r="U11" s="194"/>
      <c r="V11" s="194"/>
      <c r="W11" s="194"/>
      <c r="X11" s="194"/>
      <c r="Y11" s="194"/>
      <c r="Z11" s="194"/>
      <c r="AA11" s="194"/>
      <c r="AB11" s="194"/>
      <c r="AC11" s="194"/>
      <c r="AD11" s="194"/>
      <c r="AE11" s="194"/>
      <c r="AF11" s="194"/>
      <c r="AG11" s="194"/>
      <c r="AH11" s="194"/>
      <c r="AI11" s="194"/>
      <c r="AJ11" s="194"/>
      <c r="AK11" s="194"/>
      <c r="AL11" s="194"/>
      <c r="AM11" s="195"/>
    </row>
    <row r="12" spans="1:39" ht="26.25" customHeight="1" x14ac:dyDescent="0.2">
      <c r="A12" s="199" t="s">
        <v>234</v>
      </c>
      <c r="B12" s="202" t="s">
        <v>236</v>
      </c>
      <c r="C12" s="204" t="s">
        <v>237</v>
      </c>
      <c r="D12" s="207" t="s">
        <v>238</v>
      </c>
      <c r="E12" s="208"/>
      <c r="F12" s="208"/>
      <c r="G12" s="204" t="s">
        <v>239</v>
      </c>
      <c r="H12" s="204"/>
      <c r="I12" s="204"/>
      <c r="J12" s="209" t="s">
        <v>240</v>
      </c>
      <c r="K12" s="204"/>
      <c r="L12" s="204"/>
      <c r="M12" s="204"/>
      <c r="N12" s="210"/>
      <c r="O12" s="213" t="s">
        <v>241</v>
      </c>
      <c r="P12" s="216" t="s">
        <v>242</v>
      </c>
      <c r="Q12" s="219" t="s">
        <v>243</v>
      </c>
      <c r="R12" s="220" t="s">
        <v>244</v>
      </c>
      <c r="S12" s="213" t="s">
        <v>245</v>
      </c>
      <c r="T12" s="196"/>
      <c r="U12" s="197"/>
      <c r="V12" s="197"/>
      <c r="W12" s="197"/>
      <c r="X12" s="197"/>
      <c r="Y12" s="197"/>
      <c r="Z12" s="197"/>
      <c r="AA12" s="197"/>
      <c r="AB12" s="197"/>
      <c r="AC12" s="197"/>
      <c r="AD12" s="197"/>
      <c r="AE12" s="197"/>
      <c r="AF12" s="197"/>
      <c r="AG12" s="197"/>
      <c r="AH12" s="197"/>
      <c r="AI12" s="197"/>
      <c r="AJ12" s="197"/>
      <c r="AK12" s="197"/>
      <c r="AL12" s="197"/>
      <c r="AM12" s="198"/>
    </row>
    <row r="13" spans="1:39" ht="51" customHeight="1" x14ac:dyDescent="0.2">
      <c r="A13" s="200"/>
      <c r="B13" s="203"/>
      <c r="C13" s="205"/>
      <c r="D13" s="223" t="s">
        <v>246</v>
      </c>
      <c r="E13" s="191" t="s">
        <v>247</v>
      </c>
      <c r="F13" s="224" t="s">
        <v>248</v>
      </c>
      <c r="G13" s="190" t="s">
        <v>246</v>
      </c>
      <c r="H13" s="191" t="s">
        <v>249</v>
      </c>
      <c r="I13" s="191" t="s">
        <v>250</v>
      </c>
      <c r="J13" s="211"/>
      <c r="K13" s="206"/>
      <c r="L13" s="206"/>
      <c r="M13" s="206"/>
      <c r="N13" s="212"/>
      <c r="O13" s="214"/>
      <c r="P13" s="217"/>
      <c r="Q13" s="191"/>
      <c r="R13" s="221"/>
      <c r="S13" s="214"/>
      <c r="T13" s="88" t="str">
        <f>'AUTO CALCULATION SHEET (2)'!N15</f>
        <v>Alumimium</v>
      </c>
      <c r="U13" s="89" t="str">
        <f>'AUTO CALCULATION SHEET (2)'!T15</f>
        <v>Alumimium ALLOY</v>
      </c>
      <c r="V13" s="89" t="str">
        <f>'AUTO CALCULATION SHEET (2)'!AF15</f>
        <v>LT-XLPE</v>
      </c>
      <c r="W13" s="89" t="str">
        <f>'AUTO CALCULATION SHEET (2)'!AQ15</f>
        <v>PVC Type ST-2</v>
      </c>
      <c r="X13" s="89" t="str">
        <f>'AUTO CALCULATION SHEET (2)'!AR15</f>
        <v>PVC Type ST-2-PRESSURE EXTRUDED</v>
      </c>
      <c r="Y13" s="89" t="str">
        <f>'AUTO CALCULATION SHEET (2)'!AX15</f>
        <v>Galvanised Steel Flat Strip</v>
      </c>
      <c r="Z13" s="89" t="str">
        <f>'AUTO CALCULATION SHEET (2)'!AZ15</f>
        <v>Galvanised Steel Flat Strip-B</v>
      </c>
      <c r="AA13" s="89" t="str">
        <f>'AUTO CALCULATION SHEET (2)'!BA15</f>
        <v>Galvanised Steel Round Wire</v>
      </c>
      <c r="AB13" s="89" t="str">
        <f>'AUTO CALCULATION SHEET (2)'!BF15</f>
        <v>FRLSH PVC Type ST-2</v>
      </c>
      <c r="AC13" s="89" t="str">
        <f>'AUTO CALCULATION SHEET (2)'!BO15</f>
        <v>NCWBT</v>
      </c>
      <c r="AD13" s="89" t="str">
        <f>'AUTO CALCULATION SHEET (2)'!BT15</f>
        <v>RUBBERIZED COTTON TAPE</v>
      </c>
      <c r="AE13" s="187" t="s">
        <v>251</v>
      </c>
      <c r="AF13" s="187" t="s">
        <v>252</v>
      </c>
      <c r="AG13" s="187" t="s">
        <v>253</v>
      </c>
      <c r="AH13" s="187" t="s">
        <v>254</v>
      </c>
      <c r="AI13" s="187" t="s">
        <v>255</v>
      </c>
      <c r="AJ13" s="187" t="s">
        <v>256</v>
      </c>
      <c r="AK13" s="187" t="s">
        <v>257</v>
      </c>
      <c r="AL13" s="187" t="s">
        <v>258</v>
      </c>
      <c r="AM13" s="184" t="s">
        <v>259</v>
      </c>
    </row>
    <row r="14" spans="1:39" ht="23.25" customHeight="1" x14ac:dyDescent="0.2">
      <c r="A14" s="201"/>
      <c r="B14" s="203"/>
      <c r="C14" s="206"/>
      <c r="D14" s="223"/>
      <c r="E14" s="191"/>
      <c r="F14" s="224"/>
      <c r="G14" s="190"/>
      <c r="H14" s="191"/>
      <c r="I14" s="191"/>
      <c r="J14" s="90" t="s">
        <v>230</v>
      </c>
      <c r="K14" s="91" t="s">
        <v>260</v>
      </c>
      <c r="L14" s="92" t="s">
        <v>261</v>
      </c>
      <c r="M14" s="92" t="s">
        <v>262</v>
      </c>
      <c r="N14" s="93" t="s">
        <v>263</v>
      </c>
      <c r="O14" s="215"/>
      <c r="P14" s="218"/>
      <c r="Q14" s="191"/>
      <c r="R14" s="222"/>
      <c r="S14" s="215"/>
      <c r="T14" s="94">
        <v>224</v>
      </c>
      <c r="U14" s="155">
        <v>231</v>
      </c>
      <c r="V14" s="155">
        <v>116</v>
      </c>
      <c r="W14" s="155">
        <v>63</v>
      </c>
      <c r="X14" s="155">
        <v>89</v>
      </c>
      <c r="Y14" s="155">
        <v>76</v>
      </c>
      <c r="Z14" s="155">
        <v>86</v>
      </c>
      <c r="AA14" s="155">
        <v>87</v>
      </c>
      <c r="AB14" s="155">
        <f>95+5+1</f>
        <v>101</v>
      </c>
      <c r="AC14" s="155">
        <v>420</v>
      </c>
      <c r="AD14" s="155">
        <v>450</v>
      </c>
      <c r="AE14" s="188"/>
      <c r="AF14" s="188"/>
      <c r="AG14" s="188"/>
      <c r="AH14" s="188"/>
      <c r="AI14" s="188"/>
      <c r="AJ14" s="188"/>
      <c r="AK14" s="188"/>
      <c r="AL14" s="188"/>
      <c r="AM14" s="185"/>
    </row>
    <row r="15" spans="1:39" x14ac:dyDescent="0.2">
      <c r="A15" s="95"/>
      <c r="B15" s="96"/>
      <c r="C15" s="97"/>
      <c r="D15" s="98"/>
      <c r="E15" s="99"/>
      <c r="F15" s="100"/>
      <c r="G15" s="101"/>
      <c r="H15" s="99"/>
      <c r="I15" s="99"/>
      <c r="J15" s="102"/>
      <c r="K15" s="103"/>
      <c r="L15" s="104"/>
      <c r="M15" s="104"/>
      <c r="N15" s="105"/>
      <c r="O15" s="153"/>
      <c r="P15" s="106"/>
      <c r="Q15" s="92"/>
      <c r="R15" s="156"/>
      <c r="S15" s="107"/>
      <c r="T15" s="94" t="s">
        <v>264</v>
      </c>
      <c r="U15" s="108" t="s">
        <v>264</v>
      </c>
      <c r="V15" s="108" t="s">
        <v>264</v>
      </c>
      <c r="W15" s="108" t="s">
        <v>264</v>
      </c>
      <c r="X15" s="108" t="s">
        <v>264</v>
      </c>
      <c r="Y15" s="108" t="s">
        <v>264</v>
      </c>
      <c r="Z15" s="108" t="s">
        <v>264</v>
      </c>
      <c r="AA15" s="108" t="s">
        <v>264</v>
      </c>
      <c r="AB15" s="108" t="s">
        <v>264</v>
      </c>
      <c r="AC15" s="108" t="s">
        <v>264</v>
      </c>
      <c r="AD15" s="108" t="s">
        <v>264</v>
      </c>
      <c r="AE15" s="189"/>
      <c r="AF15" s="189"/>
      <c r="AG15" s="189"/>
      <c r="AH15" s="189"/>
      <c r="AI15" s="189"/>
      <c r="AJ15" s="189"/>
      <c r="AK15" s="189"/>
      <c r="AL15" s="189"/>
      <c r="AM15" s="186"/>
    </row>
    <row r="16" spans="1:39" ht="32.25" customHeight="1" x14ac:dyDescent="0.2">
      <c r="A16" s="109" t="s">
        <v>195</v>
      </c>
      <c r="B16" s="110"/>
      <c r="C16" s="111" t="s">
        <v>265</v>
      </c>
      <c r="D16" s="112">
        <v>45201</v>
      </c>
      <c r="E16" s="113">
        <v>218785.75</v>
      </c>
      <c r="F16" s="114"/>
      <c r="G16" s="115">
        <f t="shared" ref="G16:G29" si="0">$B$1</f>
        <v>45170</v>
      </c>
      <c r="H16" s="114">
        <v>208424.45</v>
      </c>
      <c r="I16" s="114"/>
      <c r="J16" s="116">
        <f>6.5/1000</f>
        <v>6.4999999999999997E-3</v>
      </c>
      <c r="K16" s="117"/>
      <c r="L16" s="118"/>
      <c r="M16" s="118"/>
      <c r="N16" s="119"/>
      <c r="O16" s="154">
        <f>'AUTO CALCULATION SHEET (2)'!E17</f>
        <v>16844.625</v>
      </c>
      <c r="P16" s="120">
        <f t="shared" ref="P16:P31" si="1">(J16*(E16-H16))</f>
        <v>67.348449999999914</v>
      </c>
      <c r="Q16" s="121">
        <f t="shared" ref="Q16:Q29" si="2">(M16*(F16-I16))</f>
        <v>0</v>
      </c>
      <c r="R16" s="157">
        <f t="shared" ref="R16:R29" si="3">P16+Q16</f>
        <v>67.348449999999914</v>
      </c>
      <c r="S16" s="122">
        <f t="shared" ref="S16:S29" si="4">+O16+R16</f>
        <v>16911.973450000001</v>
      </c>
      <c r="T16" s="123">
        <f>'AUTO CALCULATION SHEET (2)'!N17</f>
        <v>7</v>
      </c>
      <c r="U16" s="124">
        <f>'AUTO CALCULATION SHEET (2)'!T17</f>
        <v>0</v>
      </c>
      <c r="V16" s="124">
        <f>'AUTO CALCULATION SHEET (2)'!AF17</f>
        <v>9</v>
      </c>
      <c r="W16" s="124">
        <f>'AUTO CALCULATION SHEET (2)'!AQ17</f>
        <v>0</v>
      </c>
      <c r="X16" s="124">
        <f>'AUTO CALCULATION SHEET (2)'!AR17</f>
        <v>0</v>
      </c>
      <c r="Y16" s="124">
        <f>'AUTO CALCULATION SHEET (2)'!AX17</f>
        <v>0</v>
      </c>
      <c r="Z16" s="124">
        <f>'AUTO CALCULATION SHEET (2)'!AZ17</f>
        <v>0</v>
      </c>
      <c r="AA16" s="124">
        <f>'AUTO CALCULATION SHEET (2)'!BA17</f>
        <v>0</v>
      </c>
      <c r="AB16" s="124">
        <f>'AUTO CALCULATION SHEET (2)'!BF17</f>
        <v>52</v>
      </c>
      <c r="AC16" s="124">
        <f>'AUTO CALCULATION SHEET (2)'!BO17</f>
        <v>0</v>
      </c>
      <c r="AD16" s="124">
        <f>'AUTO CALCULATION SHEET (2)'!BT17</f>
        <v>0</v>
      </c>
      <c r="AE16" s="125">
        <f>SUMPRODUCT($T$14:$AD$14,T16:AD16)</f>
        <v>7864</v>
      </c>
      <c r="AF16" s="126">
        <f>'AUTO CALCULATION SHEET (2)'!BZ17</f>
        <v>2960</v>
      </c>
      <c r="AG16" s="125">
        <f>AE16+AF16</f>
        <v>10824</v>
      </c>
      <c r="AH16" s="126">
        <f t="shared" ref="AH16:AH29" si="5">S16-AG16</f>
        <v>6087.9734500000013</v>
      </c>
      <c r="AI16" s="125">
        <f>ROUND((AH16/AG16)*100,2)</f>
        <v>56.25</v>
      </c>
      <c r="AJ16" s="126"/>
      <c r="AK16" s="126">
        <v>2</v>
      </c>
      <c r="AL16" s="126">
        <v>1</v>
      </c>
      <c r="AM16" s="127">
        <f t="shared" ref="AM16:AM29" si="6">AI16-AJ16-AK16-AL16</f>
        <v>53.25</v>
      </c>
    </row>
    <row r="17" spans="1:39" ht="32.25" customHeight="1" x14ac:dyDescent="0.2">
      <c r="A17" s="109" t="s">
        <v>266</v>
      </c>
      <c r="B17" s="128"/>
      <c r="C17" s="111" t="s">
        <v>265</v>
      </c>
      <c r="D17" s="112">
        <v>45201</v>
      </c>
      <c r="E17" s="113">
        <v>218785.75</v>
      </c>
      <c r="F17" s="114"/>
      <c r="G17" s="115">
        <f t="shared" si="0"/>
        <v>45170</v>
      </c>
      <c r="H17" s="114">
        <v>208424.45</v>
      </c>
      <c r="I17" s="114"/>
      <c r="J17" s="129">
        <f>10.4/1000</f>
        <v>1.04E-2</v>
      </c>
      <c r="K17" s="130"/>
      <c r="L17" s="131"/>
      <c r="M17" s="131"/>
      <c r="N17" s="132"/>
      <c r="O17" s="154">
        <f>'AUTO CALCULATION SHEET (2)'!E18</f>
        <v>19181.924999999999</v>
      </c>
      <c r="P17" s="120">
        <f t="shared" si="1"/>
        <v>107.75751999999987</v>
      </c>
      <c r="Q17" s="121">
        <f t="shared" si="2"/>
        <v>0</v>
      </c>
      <c r="R17" s="157">
        <f t="shared" si="3"/>
        <v>107.75751999999987</v>
      </c>
      <c r="S17" s="122">
        <f t="shared" si="4"/>
        <v>19289.682519999998</v>
      </c>
      <c r="T17" s="123">
        <f>'AUTO CALCULATION SHEET (2)'!N18</f>
        <v>11</v>
      </c>
      <c r="U17" s="124">
        <f>'AUTO CALCULATION SHEET (2)'!T18</f>
        <v>0</v>
      </c>
      <c r="V17" s="124">
        <f>'AUTO CALCULATION SHEET (2)'!AF18</f>
        <v>11</v>
      </c>
      <c r="W17" s="124">
        <f>'AUTO CALCULATION SHEET (2)'!AQ18</f>
        <v>0</v>
      </c>
      <c r="X17" s="124">
        <f>'AUTO CALCULATION SHEET (2)'!AR18</f>
        <v>0</v>
      </c>
      <c r="Y17" s="124">
        <f>'AUTO CALCULATION SHEET (2)'!AX18</f>
        <v>0</v>
      </c>
      <c r="Z17" s="124">
        <f>'AUTO CALCULATION SHEET (2)'!AZ18</f>
        <v>0</v>
      </c>
      <c r="AA17" s="124">
        <f>'AUTO CALCULATION SHEET (2)'!BA18</f>
        <v>0</v>
      </c>
      <c r="AB17" s="124">
        <f>'AUTO CALCULATION SHEET (2)'!BF18</f>
        <v>56</v>
      </c>
      <c r="AC17" s="124">
        <f>'AUTO CALCULATION SHEET (2)'!BO18</f>
        <v>0</v>
      </c>
      <c r="AD17" s="124">
        <f>'AUTO CALCULATION SHEET (2)'!BT18</f>
        <v>0</v>
      </c>
      <c r="AE17" s="125">
        <f>SUMPRODUCT($T$14:$AD$14,T17:AD17)</f>
        <v>9396</v>
      </c>
      <c r="AF17" s="126">
        <f>'AUTO CALCULATION SHEET (2)'!BZ18</f>
        <v>2960</v>
      </c>
      <c r="AG17" s="125">
        <f>AE17+AF17</f>
        <v>12356</v>
      </c>
      <c r="AH17" s="126">
        <f t="shared" si="5"/>
        <v>6933.6825199999985</v>
      </c>
      <c r="AI17" s="125">
        <f>ROUND((AH17/AG17)*100,2)</f>
        <v>56.12</v>
      </c>
      <c r="AJ17" s="126"/>
      <c r="AK17" s="126">
        <v>2</v>
      </c>
      <c r="AL17" s="126">
        <v>1</v>
      </c>
      <c r="AM17" s="127">
        <f t="shared" si="6"/>
        <v>53.12</v>
      </c>
    </row>
    <row r="18" spans="1:39" ht="32.25" customHeight="1" x14ac:dyDescent="0.2">
      <c r="A18" s="109" t="s">
        <v>188</v>
      </c>
      <c r="B18" s="128"/>
      <c r="C18" s="111" t="s">
        <v>265</v>
      </c>
      <c r="D18" s="112">
        <v>45201</v>
      </c>
      <c r="E18" s="113">
        <v>218785.75</v>
      </c>
      <c r="F18" s="114"/>
      <c r="G18" s="115">
        <f t="shared" si="0"/>
        <v>45170</v>
      </c>
      <c r="H18" s="114">
        <v>208424.45</v>
      </c>
      <c r="I18" s="114"/>
      <c r="J18" s="129">
        <f>65/1000</f>
        <v>6.5000000000000002E-2</v>
      </c>
      <c r="K18" s="130"/>
      <c r="L18" s="131"/>
      <c r="M18" s="131"/>
      <c r="N18" s="132"/>
      <c r="O18" s="154">
        <f>'AUTO CALCULATION SHEET (2)'!E19</f>
        <v>46242</v>
      </c>
      <c r="P18" s="120">
        <f t="shared" si="1"/>
        <v>673.48449999999923</v>
      </c>
      <c r="Q18" s="121">
        <f t="shared" si="2"/>
        <v>0</v>
      </c>
      <c r="R18" s="157">
        <f t="shared" si="3"/>
        <v>673.48449999999923</v>
      </c>
      <c r="S18" s="122">
        <f t="shared" si="4"/>
        <v>46915.484499999999</v>
      </c>
      <c r="T18" s="123">
        <f>'AUTO CALCULATION SHEET (2)'!N19</f>
        <v>68</v>
      </c>
      <c r="U18" s="124">
        <f>'AUTO CALCULATION SHEET (2)'!T19</f>
        <v>0</v>
      </c>
      <c r="V18" s="124">
        <f>'AUTO CALCULATION SHEET (2)'!AF19</f>
        <v>26</v>
      </c>
      <c r="W18" s="124">
        <f>'AUTO CALCULATION SHEET (2)'!AQ19</f>
        <v>0</v>
      </c>
      <c r="X18" s="124">
        <f>'AUTO CALCULATION SHEET (2)'!AR19</f>
        <v>0</v>
      </c>
      <c r="Y18" s="124">
        <f>'AUTO CALCULATION SHEET (2)'!AX19</f>
        <v>0</v>
      </c>
      <c r="Z18" s="124">
        <f>'AUTO CALCULATION SHEET (2)'!AZ19</f>
        <v>0</v>
      </c>
      <c r="AA18" s="124">
        <f>'AUTO CALCULATION SHEET (2)'!BA19</f>
        <v>0</v>
      </c>
      <c r="AB18" s="124">
        <f>'AUTO CALCULATION SHEET (2)'!BF19</f>
        <v>89</v>
      </c>
      <c r="AC18" s="124">
        <f>'AUTO CALCULATION SHEET (2)'!BO19</f>
        <v>0</v>
      </c>
      <c r="AD18" s="124">
        <f>'AUTO CALCULATION SHEET (2)'!BT19</f>
        <v>0</v>
      </c>
      <c r="AE18" s="125">
        <f>SUMPRODUCT($T$14:$AD$14,T18:AD18)</f>
        <v>27237</v>
      </c>
      <c r="AF18" s="126">
        <f>'AUTO CALCULATION SHEET (2)'!BZ19</f>
        <v>2960</v>
      </c>
      <c r="AG18" s="125">
        <f>AE18+AF18</f>
        <v>30197</v>
      </c>
      <c r="AH18" s="126">
        <f t="shared" si="5"/>
        <v>16718.484499999999</v>
      </c>
      <c r="AI18" s="125">
        <f>ROUND((AH18/AG18)*100,2)</f>
        <v>55.36</v>
      </c>
      <c r="AJ18" s="126"/>
      <c r="AK18" s="126">
        <v>2</v>
      </c>
      <c r="AL18" s="126">
        <v>1</v>
      </c>
      <c r="AM18" s="127">
        <f t="shared" si="6"/>
        <v>52.36</v>
      </c>
    </row>
    <row r="19" spans="1:39" ht="32.25" customHeight="1" x14ac:dyDescent="0.2">
      <c r="A19" s="109" t="s">
        <v>182</v>
      </c>
      <c r="B19" s="128"/>
      <c r="C19" s="111" t="s">
        <v>265</v>
      </c>
      <c r="D19" s="112">
        <v>45201</v>
      </c>
      <c r="E19" s="113">
        <v>218785.75</v>
      </c>
      <c r="F19" s="114"/>
      <c r="G19" s="115">
        <f t="shared" si="0"/>
        <v>45170</v>
      </c>
      <c r="H19" s="114">
        <v>208424.45</v>
      </c>
      <c r="I19" s="114"/>
      <c r="J19" s="129">
        <v>0.247</v>
      </c>
      <c r="K19" s="130"/>
      <c r="L19" s="131"/>
      <c r="M19" s="131"/>
      <c r="N19" s="132"/>
      <c r="O19" s="154">
        <f>'AUTO CALCULATION SHEET (2)'!E20</f>
        <v>128866.79925</v>
      </c>
      <c r="P19" s="120">
        <f t="shared" si="1"/>
        <v>2559.241099999997</v>
      </c>
      <c r="Q19" s="121">
        <f t="shared" si="2"/>
        <v>0</v>
      </c>
      <c r="R19" s="157">
        <f t="shared" si="3"/>
        <v>2559.241099999997</v>
      </c>
      <c r="S19" s="122">
        <f t="shared" si="4"/>
        <v>131426.04035</v>
      </c>
      <c r="T19" s="123">
        <f>'AUTO CALCULATION SHEET (2)'!N20</f>
        <v>256</v>
      </c>
      <c r="U19" s="124">
        <f>'AUTO CALCULATION SHEET (2)'!T20</f>
        <v>0</v>
      </c>
      <c r="V19" s="124">
        <f>'AUTO CALCULATION SHEET (2)'!AF20</f>
        <v>53</v>
      </c>
      <c r="W19" s="124">
        <f>'AUTO CALCULATION SHEET (2)'!AQ20</f>
        <v>0</v>
      </c>
      <c r="X19" s="124">
        <f>'AUTO CALCULATION SHEET (2)'!AR20</f>
        <v>0</v>
      </c>
      <c r="Y19" s="124">
        <f>'AUTO CALCULATION SHEET (2)'!AX20</f>
        <v>0</v>
      </c>
      <c r="Z19" s="124">
        <f>'AUTO CALCULATION SHEET (2)'!AZ20</f>
        <v>0</v>
      </c>
      <c r="AA19" s="124">
        <f>'AUTO CALCULATION SHEET (2)'!BA20</f>
        <v>0</v>
      </c>
      <c r="AB19" s="124">
        <f>'AUTO CALCULATION SHEET (2)'!BF20</f>
        <v>139</v>
      </c>
      <c r="AC19" s="124">
        <f>'AUTO CALCULATION SHEET (2)'!BO20</f>
        <v>0</v>
      </c>
      <c r="AD19" s="124">
        <f>'AUTO CALCULATION SHEET (2)'!BT20</f>
        <v>0</v>
      </c>
      <c r="AE19" s="125">
        <f>SUMPRODUCT($T$14:$AD$14,T19:AD19)</f>
        <v>77531</v>
      </c>
      <c r="AF19" s="126">
        <f>'AUTO CALCULATION SHEET (2)'!BZ20</f>
        <v>7244.19</v>
      </c>
      <c r="AG19" s="125">
        <f>AE19+AF19</f>
        <v>84775.19</v>
      </c>
      <c r="AH19" s="126">
        <f t="shared" si="5"/>
        <v>46650.850349999993</v>
      </c>
      <c r="AI19" s="125">
        <f>ROUND((AH19/AG19)*100,2)</f>
        <v>55.03</v>
      </c>
      <c r="AJ19" s="126"/>
      <c r="AK19" s="126">
        <v>2</v>
      </c>
      <c r="AL19" s="126">
        <v>1</v>
      </c>
      <c r="AM19" s="127">
        <f t="shared" si="6"/>
        <v>52.03</v>
      </c>
    </row>
    <row r="20" spans="1:39" ht="32.25" customHeight="1" x14ac:dyDescent="0.2">
      <c r="A20" s="109" t="s">
        <v>167</v>
      </c>
      <c r="B20" s="128"/>
      <c r="C20" s="111" t="s">
        <v>265</v>
      </c>
      <c r="D20" s="112">
        <v>45201</v>
      </c>
      <c r="E20" s="113">
        <v>218785.75</v>
      </c>
      <c r="F20" s="114"/>
      <c r="G20" s="115">
        <f t="shared" si="0"/>
        <v>45170</v>
      </c>
      <c r="H20" s="114">
        <v>208424.45</v>
      </c>
      <c r="I20" s="114"/>
      <c r="J20" s="129">
        <f>482/1000</f>
        <v>0.48199999999999998</v>
      </c>
      <c r="K20" s="130"/>
      <c r="L20" s="131"/>
      <c r="M20" s="131"/>
      <c r="N20" s="132"/>
      <c r="O20" s="154">
        <f>'AUTO CALCULATION SHEET (2)'!E21</f>
        <v>244370.889</v>
      </c>
      <c r="P20" s="120">
        <f t="shared" si="1"/>
        <v>4994.1465999999946</v>
      </c>
      <c r="Q20" s="121">
        <f t="shared" si="2"/>
        <v>0</v>
      </c>
      <c r="R20" s="157">
        <f t="shared" si="3"/>
        <v>4994.1465999999946</v>
      </c>
      <c r="S20" s="122">
        <f t="shared" si="4"/>
        <v>249365.0356</v>
      </c>
      <c r="T20" s="123">
        <f>'AUTO CALCULATION SHEET (2)'!N21</f>
        <v>500</v>
      </c>
      <c r="U20" s="124">
        <f>'AUTO CALCULATION SHEET (2)'!T21</f>
        <v>0</v>
      </c>
      <c r="V20" s="124">
        <f>'AUTO CALCULATION SHEET (2)'!AF21</f>
        <v>90</v>
      </c>
      <c r="W20" s="124">
        <f>'AUTO CALCULATION SHEET (2)'!AQ21</f>
        <v>0</v>
      </c>
      <c r="X20" s="124">
        <f>'AUTO CALCULATION SHEET (2)'!AR21</f>
        <v>0</v>
      </c>
      <c r="Y20" s="124">
        <f>'AUTO CALCULATION SHEET (2)'!AX21</f>
        <v>0</v>
      </c>
      <c r="Z20" s="124">
        <f>'AUTO CALCULATION SHEET (2)'!AZ21</f>
        <v>0</v>
      </c>
      <c r="AA20" s="124">
        <f>'AUTO CALCULATION SHEET (2)'!BA21</f>
        <v>0</v>
      </c>
      <c r="AB20" s="124">
        <f>'AUTO CALCULATION SHEET (2)'!BF21</f>
        <v>210</v>
      </c>
      <c r="AC20" s="124">
        <f>'AUTO CALCULATION SHEET (2)'!BO21</f>
        <v>22</v>
      </c>
      <c r="AD20" s="124">
        <f>'AUTO CALCULATION SHEET (2)'!BT21</f>
        <v>0</v>
      </c>
      <c r="AE20" s="125">
        <f>SUMPRODUCT($T$14:$AD$14,T20:AD20)</f>
        <v>152890</v>
      </c>
      <c r="AF20" s="126">
        <f>'AUTO CALCULATION SHEET (2)'!BZ21</f>
        <v>7976.12</v>
      </c>
      <c r="AG20" s="125">
        <f>AE20+AF20</f>
        <v>160866.12</v>
      </c>
      <c r="AH20" s="126">
        <f t="shared" si="5"/>
        <v>88498.915600000008</v>
      </c>
      <c r="AI20" s="125">
        <f>ROUND((AH20/AG20)*100,2)</f>
        <v>55.01</v>
      </c>
      <c r="AJ20" s="126"/>
      <c r="AK20" s="126">
        <v>2</v>
      </c>
      <c r="AL20" s="126">
        <v>1</v>
      </c>
      <c r="AM20" s="127">
        <f t="shared" si="6"/>
        <v>52.01</v>
      </c>
    </row>
    <row r="21" spans="1:39" ht="32.25" customHeight="1" x14ac:dyDescent="0.2">
      <c r="A21" s="109" t="s">
        <v>186</v>
      </c>
      <c r="B21" s="128"/>
      <c r="C21" s="111" t="s">
        <v>265</v>
      </c>
      <c r="D21" s="112">
        <v>45201</v>
      </c>
      <c r="E21" s="113">
        <v>218785.75</v>
      </c>
      <c r="F21" s="114"/>
      <c r="G21" s="115">
        <f t="shared" si="0"/>
        <v>45170</v>
      </c>
      <c r="H21" s="114">
        <v>208424.45</v>
      </c>
      <c r="I21" s="114"/>
      <c r="J21" s="129">
        <f>780/1000</f>
        <v>0.78</v>
      </c>
      <c r="K21" s="130"/>
      <c r="L21" s="131"/>
      <c r="M21" s="131"/>
      <c r="N21" s="132"/>
      <c r="O21" s="154">
        <f>'AUTO CALCULATION SHEET (2)'!E22</f>
        <v>387453.15</v>
      </c>
      <c r="P21" s="120">
        <f t="shared" si="1"/>
        <v>8081.8139999999912</v>
      </c>
      <c r="Q21" s="121">
        <f t="shared" si="2"/>
        <v>0</v>
      </c>
      <c r="R21" s="157">
        <f t="shared" si="3"/>
        <v>8081.8139999999912</v>
      </c>
      <c r="S21" s="122">
        <f t="shared" si="4"/>
        <v>395534.96400000004</v>
      </c>
      <c r="T21" s="123">
        <f>'AUTO CALCULATION SHEET (2)'!N22</f>
        <v>810</v>
      </c>
      <c r="U21" s="124">
        <f>'AUTO CALCULATION SHEET (2)'!T22</f>
        <v>0</v>
      </c>
      <c r="V21" s="124">
        <f>'AUTO CALCULATION SHEET (2)'!AF22</f>
        <v>132</v>
      </c>
      <c r="W21" s="124">
        <f>'AUTO CALCULATION SHEET (2)'!AQ22</f>
        <v>0</v>
      </c>
      <c r="X21" s="124">
        <f>'AUTO CALCULATION SHEET (2)'!AR22</f>
        <v>0</v>
      </c>
      <c r="Y21" s="124">
        <f>'AUTO CALCULATION SHEET (2)'!AX22</f>
        <v>0</v>
      </c>
      <c r="Z21" s="124">
        <f>'AUTO CALCULATION SHEET (2)'!AZ22</f>
        <v>0</v>
      </c>
      <c r="AA21" s="124">
        <f>'AUTO CALCULATION SHEET (2)'!BA22</f>
        <v>0</v>
      </c>
      <c r="AB21" s="124">
        <f>'AUTO CALCULATION SHEET (2)'!BF22</f>
        <v>255</v>
      </c>
      <c r="AC21" s="124">
        <f>'AUTO CALCULATION SHEET (2)'!BO22</f>
        <v>28</v>
      </c>
      <c r="AD21" s="124">
        <f>'AUTO CALCULATION SHEET (2)'!BT22</f>
        <v>0</v>
      </c>
      <c r="AE21" s="125">
        <f>SUMPRODUCT($T$14:$AD$14,T21:AD21)</f>
        <v>234267</v>
      </c>
      <c r="AF21" s="126">
        <f>'AUTO CALCULATION SHEET (2)'!BZ22</f>
        <v>20900</v>
      </c>
      <c r="AG21" s="125">
        <f>AE21+AF21</f>
        <v>255167</v>
      </c>
      <c r="AH21" s="126">
        <f t="shared" si="5"/>
        <v>140367.96400000004</v>
      </c>
      <c r="AI21" s="125">
        <f>ROUND((AH21/AG21)*100,2)</f>
        <v>55.01</v>
      </c>
      <c r="AJ21" s="126"/>
      <c r="AK21" s="126">
        <v>2</v>
      </c>
      <c r="AL21" s="126">
        <v>1</v>
      </c>
      <c r="AM21" s="127">
        <f t="shared" si="6"/>
        <v>52.01</v>
      </c>
    </row>
    <row r="22" spans="1:39" ht="32.25" customHeight="1" x14ac:dyDescent="0.2">
      <c r="A22" s="109" t="s">
        <v>177</v>
      </c>
      <c r="B22" s="128"/>
      <c r="C22" s="111" t="s">
        <v>265</v>
      </c>
      <c r="D22" s="112">
        <v>45201</v>
      </c>
      <c r="E22" s="113">
        <v>218785.75</v>
      </c>
      <c r="F22" s="114"/>
      <c r="G22" s="115">
        <f t="shared" si="0"/>
        <v>45170</v>
      </c>
      <c r="H22" s="114">
        <v>208424.45</v>
      </c>
      <c r="I22" s="114"/>
      <c r="J22" s="129">
        <v>1.64</v>
      </c>
      <c r="K22" s="130"/>
      <c r="L22" s="131"/>
      <c r="M22" s="131"/>
      <c r="N22" s="132"/>
      <c r="O22" s="154">
        <f>'AUTO CALCULATION SHEET (2)'!E23</f>
        <v>747471.375</v>
      </c>
      <c r="P22" s="120">
        <f t="shared" si="1"/>
        <v>16992.531999999981</v>
      </c>
      <c r="Q22" s="121">
        <f t="shared" si="2"/>
        <v>0</v>
      </c>
      <c r="R22" s="157">
        <f t="shared" si="3"/>
        <v>16992.531999999981</v>
      </c>
      <c r="S22" s="122">
        <f t="shared" si="4"/>
        <v>764463.90700000001</v>
      </c>
      <c r="T22" s="123">
        <f>'AUTO CALCULATION SHEET (2)'!N23</f>
        <v>1701</v>
      </c>
      <c r="U22" s="124">
        <f>'AUTO CALCULATION SHEET (2)'!T23</f>
        <v>0</v>
      </c>
      <c r="V22" s="124">
        <f>'AUTO CALCULATION SHEET (2)'!AF23</f>
        <v>242</v>
      </c>
      <c r="W22" s="124">
        <f>'AUTO CALCULATION SHEET (2)'!AQ23</f>
        <v>0</v>
      </c>
      <c r="X22" s="124">
        <f>'AUTO CALCULATION SHEET (2)'!AR23</f>
        <v>0</v>
      </c>
      <c r="Y22" s="124">
        <f>'AUTO CALCULATION SHEET (2)'!AX23</f>
        <v>0</v>
      </c>
      <c r="Z22" s="124">
        <f>'AUTO CALCULATION SHEET (2)'!AZ23</f>
        <v>0</v>
      </c>
      <c r="AA22" s="124">
        <f>'AUTO CALCULATION SHEET (2)'!BA23</f>
        <v>0</v>
      </c>
      <c r="AB22" s="124">
        <f>'AUTO CALCULATION SHEET (2)'!BF23</f>
        <v>408</v>
      </c>
      <c r="AC22" s="124">
        <f>'AUTO CALCULATION SHEET (2)'!BO23</f>
        <v>40</v>
      </c>
      <c r="AD22" s="124">
        <f>'AUTO CALCULATION SHEET (2)'!BT23</f>
        <v>0</v>
      </c>
      <c r="AE22" s="125">
        <f>SUMPRODUCT($T$14:$AD$14,T22:AD22)</f>
        <v>467104</v>
      </c>
      <c r="AF22" s="126">
        <f>'AUTO CALCULATION SHEET (2)'!BZ23</f>
        <v>26600</v>
      </c>
      <c r="AG22" s="125">
        <f>AE22+AF22</f>
        <v>493704</v>
      </c>
      <c r="AH22" s="126">
        <f t="shared" si="5"/>
        <v>270759.90700000001</v>
      </c>
      <c r="AI22" s="125">
        <f>ROUND((AH22/AG22)*100,2)</f>
        <v>54.84</v>
      </c>
      <c r="AJ22" s="126"/>
      <c r="AK22" s="126">
        <v>2</v>
      </c>
      <c r="AL22" s="126">
        <v>1</v>
      </c>
      <c r="AM22" s="127">
        <f t="shared" si="6"/>
        <v>51.84</v>
      </c>
    </row>
    <row r="23" spans="1:39" ht="32.25" customHeight="1" x14ac:dyDescent="0.2">
      <c r="A23" s="109" t="s">
        <v>218</v>
      </c>
      <c r="B23" s="128"/>
      <c r="C23" s="111" t="s">
        <v>265</v>
      </c>
      <c r="D23" s="112">
        <v>45201</v>
      </c>
      <c r="E23" s="113">
        <v>218785.75</v>
      </c>
      <c r="F23" s="114">
        <v>78250</v>
      </c>
      <c r="G23" s="115">
        <f t="shared" si="0"/>
        <v>45170</v>
      </c>
      <c r="H23" s="114">
        <v>208424.45</v>
      </c>
      <c r="I23" s="114">
        <v>78250</v>
      </c>
      <c r="J23" s="129">
        <f>84/1000</f>
        <v>8.4000000000000005E-2</v>
      </c>
      <c r="K23" s="130"/>
      <c r="L23" s="131"/>
      <c r="M23" s="131">
        <f>202/1000</f>
        <v>0.20200000000000001</v>
      </c>
      <c r="N23" s="132"/>
      <c r="O23" s="154">
        <f>'AUTO CALCULATION SHEET (2)'!E24</f>
        <v>114603.59925000001</v>
      </c>
      <c r="P23" s="120">
        <f t="shared" si="1"/>
        <v>870.34919999999909</v>
      </c>
      <c r="Q23" s="121">
        <f t="shared" si="2"/>
        <v>0</v>
      </c>
      <c r="R23" s="157">
        <f t="shared" si="3"/>
        <v>870.34919999999909</v>
      </c>
      <c r="S23" s="122">
        <f t="shared" si="4"/>
        <v>115473.94845000001</v>
      </c>
      <c r="T23" s="123">
        <f>'AUTO CALCULATION SHEET (2)'!N24</f>
        <v>86</v>
      </c>
      <c r="U23" s="124">
        <f>'AUTO CALCULATION SHEET (2)'!T24</f>
        <v>0</v>
      </c>
      <c r="V23" s="124">
        <f>'AUTO CALCULATION SHEET (2)'!AF24</f>
        <v>37</v>
      </c>
      <c r="W23" s="124">
        <f>'AUTO CALCULATION SHEET (2)'!AQ24</f>
        <v>0</v>
      </c>
      <c r="X23" s="124">
        <f>'AUTO CALCULATION SHEET (2)'!AR24</f>
        <v>45</v>
      </c>
      <c r="Y23" s="124">
        <f>'AUTO CALCULATION SHEET (2)'!AX24</f>
        <v>0</v>
      </c>
      <c r="Z23" s="124">
        <f>'AUTO CALCULATION SHEET (2)'!AZ24</f>
        <v>0</v>
      </c>
      <c r="AA23" s="124">
        <f>'AUTO CALCULATION SHEET (2)'!BA24</f>
        <v>250</v>
      </c>
      <c r="AB23" s="124">
        <f>'AUTO CALCULATION SHEET (2)'!BF24</f>
        <v>120</v>
      </c>
      <c r="AC23" s="124">
        <f>'AUTO CALCULATION SHEET (2)'!BO24</f>
        <v>0</v>
      </c>
      <c r="AD23" s="124">
        <f>'AUTO CALCULATION SHEET (2)'!BT24</f>
        <v>11</v>
      </c>
      <c r="AE23" s="125">
        <f>SUMPRODUCT($T$14:$AD$14,T23:AD23)</f>
        <v>66381</v>
      </c>
      <c r="AF23" s="126">
        <f>'AUTO CALCULATION SHEET (2)'!BZ24</f>
        <v>7244.19</v>
      </c>
      <c r="AG23" s="125">
        <f>AE23+AF23</f>
        <v>73625.19</v>
      </c>
      <c r="AH23" s="126">
        <f t="shared" si="5"/>
        <v>41848.758450000008</v>
      </c>
      <c r="AI23" s="125">
        <f>ROUND((AH23/AG23)*100,2)</f>
        <v>56.84</v>
      </c>
      <c r="AJ23" s="126"/>
      <c r="AK23" s="126">
        <v>2</v>
      </c>
      <c r="AL23" s="126">
        <v>1</v>
      </c>
      <c r="AM23" s="127">
        <f t="shared" si="6"/>
        <v>53.84</v>
      </c>
    </row>
    <row r="24" spans="1:39" ht="32.25" customHeight="1" x14ac:dyDescent="0.2">
      <c r="A24" s="109" t="s">
        <v>205</v>
      </c>
      <c r="B24" s="128"/>
      <c r="C24" s="111" t="s">
        <v>265</v>
      </c>
      <c r="D24" s="112">
        <v>45201</v>
      </c>
      <c r="E24" s="113">
        <v>218785.75</v>
      </c>
      <c r="F24" s="114">
        <v>79250</v>
      </c>
      <c r="G24" s="115">
        <f t="shared" si="0"/>
        <v>45170</v>
      </c>
      <c r="H24" s="114">
        <v>208424.45</v>
      </c>
      <c r="I24" s="114">
        <v>79250</v>
      </c>
      <c r="J24" s="129">
        <v>0.13</v>
      </c>
      <c r="K24" s="130"/>
      <c r="L24" s="131"/>
      <c r="M24" s="131">
        <v>0.22700000000000001</v>
      </c>
      <c r="N24" s="132"/>
      <c r="O24" s="154">
        <f>'AUTO CALCULATION SHEET (2)'!E25</f>
        <v>137789.06400000001</v>
      </c>
      <c r="P24" s="120">
        <f t="shared" si="1"/>
        <v>1346.9689999999985</v>
      </c>
      <c r="Q24" s="121">
        <f t="shared" si="2"/>
        <v>0</v>
      </c>
      <c r="R24" s="157">
        <f t="shared" si="3"/>
        <v>1346.9689999999985</v>
      </c>
      <c r="S24" s="122">
        <f t="shared" si="4"/>
        <v>139136.03300000002</v>
      </c>
      <c r="T24" s="123">
        <f>'AUTO CALCULATION SHEET (2)'!N25</f>
        <v>135</v>
      </c>
      <c r="U24" s="124">
        <f>'AUTO CALCULATION SHEET (2)'!T25</f>
        <v>0</v>
      </c>
      <c r="V24" s="124">
        <f>'AUTO CALCULATION SHEET (2)'!AF25</f>
        <v>44</v>
      </c>
      <c r="W24" s="124">
        <f>'AUTO CALCULATION SHEET (2)'!AQ25</f>
        <v>0</v>
      </c>
      <c r="X24" s="124">
        <f>'AUTO CALCULATION SHEET (2)'!AR25</f>
        <v>50</v>
      </c>
      <c r="Y24" s="124">
        <f>'AUTO CALCULATION SHEET (2)'!AX25</f>
        <v>275</v>
      </c>
      <c r="Z24" s="124">
        <f>'AUTO CALCULATION SHEET (2)'!AZ25</f>
        <v>0</v>
      </c>
      <c r="AA24" s="124">
        <f>'AUTO CALCULATION SHEET (2)'!BA25</f>
        <v>0</v>
      </c>
      <c r="AB24" s="124">
        <f>'AUTO CALCULATION SHEET (2)'!BF25</f>
        <v>145</v>
      </c>
      <c r="AC24" s="124">
        <f>'AUTO CALCULATION SHEET (2)'!BO25</f>
        <v>0</v>
      </c>
      <c r="AD24" s="124">
        <f>'AUTO CALCULATION SHEET (2)'!BT25</f>
        <v>13</v>
      </c>
      <c r="AE24" s="125">
        <f>SUMPRODUCT($T$14:$AD$14,T24:AD24)</f>
        <v>81189</v>
      </c>
      <c r="AF24" s="126">
        <f>'AUTO CALCULATION SHEET (2)'!BZ25</f>
        <v>7976.12</v>
      </c>
      <c r="AG24" s="125">
        <f>AE24+AF24</f>
        <v>89165.119999999995</v>
      </c>
      <c r="AH24" s="126">
        <f t="shared" si="5"/>
        <v>49970.91300000003</v>
      </c>
      <c r="AI24" s="125">
        <f>ROUND((AH24/AG24)*100,2)</f>
        <v>56.04</v>
      </c>
      <c r="AJ24" s="126"/>
      <c r="AK24" s="126">
        <v>2</v>
      </c>
      <c r="AL24" s="126">
        <v>1</v>
      </c>
      <c r="AM24" s="127">
        <f t="shared" si="6"/>
        <v>53.04</v>
      </c>
    </row>
    <row r="25" spans="1:39" ht="32.25" customHeight="1" x14ac:dyDescent="0.2">
      <c r="A25" s="109" t="s">
        <v>214</v>
      </c>
      <c r="B25" s="128"/>
      <c r="C25" s="111" t="s">
        <v>265</v>
      </c>
      <c r="D25" s="112">
        <v>45201</v>
      </c>
      <c r="E25" s="113">
        <v>218785.75</v>
      </c>
      <c r="F25" s="114">
        <v>79250</v>
      </c>
      <c r="G25" s="115">
        <f t="shared" si="0"/>
        <v>45170</v>
      </c>
      <c r="H25" s="114">
        <v>208424.45</v>
      </c>
      <c r="I25" s="114">
        <v>79250</v>
      </c>
      <c r="J25" s="129">
        <v>0.26</v>
      </c>
      <c r="K25" s="130"/>
      <c r="L25" s="131"/>
      <c r="M25" s="131">
        <v>0.30299999999999999</v>
      </c>
      <c r="N25" s="132"/>
      <c r="O25" s="154">
        <f>'AUTO CALCULATION SHEET (2)'!E26</f>
        <v>204072.75</v>
      </c>
      <c r="P25" s="120">
        <f t="shared" si="1"/>
        <v>2693.9379999999969</v>
      </c>
      <c r="Q25" s="121">
        <f t="shared" si="2"/>
        <v>0</v>
      </c>
      <c r="R25" s="157">
        <f t="shared" si="3"/>
        <v>2693.9379999999969</v>
      </c>
      <c r="S25" s="122">
        <f t="shared" si="4"/>
        <v>206766.68799999999</v>
      </c>
      <c r="T25" s="123">
        <f>'AUTO CALCULATION SHEET (2)'!N26</f>
        <v>270</v>
      </c>
      <c r="U25" s="124">
        <f>'AUTO CALCULATION SHEET (2)'!T26</f>
        <v>0</v>
      </c>
      <c r="V25" s="124">
        <f>'AUTO CALCULATION SHEET (2)'!AF26</f>
        <v>95</v>
      </c>
      <c r="W25" s="124">
        <f>'AUTO CALCULATION SHEET (2)'!AQ26</f>
        <v>46</v>
      </c>
      <c r="X25" s="124">
        <f>'AUTO CALCULATION SHEET (2)'!AR26</f>
        <v>0</v>
      </c>
      <c r="Y25" s="124">
        <f>'AUTO CALCULATION SHEET (2)'!AX26</f>
        <v>364</v>
      </c>
      <c r="Z25" s="124">
        <f>'AUTO CALCULATION SHEET (2)'!AZ26</f>
        <v>0</v>
      </c>
      <c r="AA25" s="124">
        <f>'AUTO CALCULATION SHEET (2)'!BA26</f>
        <v>0</v>
      </c>
      <c r="AB25" s="124">
        <f>'AUTO CALCULATION SHEET (2)'!BF26</f>
        <v>173</v>
      </c>
      <c r="AC25" s="124">
        <f>'AUTO CALCULATION SHEET (2)'!BO26</f>
        <v>0</v>
      </c>
      <c r="AD25" s="124">
        <f>'AUTO CALCULATION SHEET (2)'!BT26</f>
        <v>13</v>
      </c>
      <c r="AE25" s="125">
        <f>SUMPRODUCT($T$14:$AD$14,T25:AD25)</f>
        <v>125385</v>
      </c>
      <c r="AF25" s="126">
        <f>'AUTO CALCULATION SHEET (2)'!BZ26</f>
        <v>7374</v>
      </c>
      <c r="AG25" s="125">
        <f>AE25+AF25</f>
        <v>132759</v>
      </c>
      <c r="AH25" s="126">
        <f t="shared" si="5"/>
        <v>74007.687999999995</v>
      </c>
      <c r="AI25" s="125">
        <f>ROUND((AH25/AG25)*100,2)</f>
        <v>55.75</v>
      </c>
      <c r="AJ25" s="126"/>
      <c r="AK25" s="126">
        <v>2</v>
      </c>
      <c r="AL25" s="126">
        <v>1</v>
      </c>
      <c r="AM25" s="127">
        <f t="shared" si="6"/>
        <v>52.75</v>
      </c>
    </row>
    <row r="26" spans="1:39" ht="32.25" customHeight="1" x14ac:dyDescent="0.2">
      <c r="A26" s="109" t="s">
        <v>203</v>
      </c>
      <c r="B26" s="128"/>
      <c r="C26" s="111" t="s">
        <v>265</v>
      </c>
      <c r="D26" s="112">
        <v>45201</v>
      </c>
      <c r="E26" s="113">
        <v>218785.75</v>
      </c>
      <c r="F26" s="114">
        <v>79250</v>
      </c>
      <c r="G26" s="115">
        <f t="shared" si="0"/>
        <v>45170</v>
      </c>
      <c r="H26" s="114">
        <v>208424.45</v>
      </c>
      <c r="I26" s="114">
        <v>79250</v>
      </c>
      <c r="J26" s="129">
        <v>0.52</v>
      </c>
      <c r="K26" s="130"/>
      <c r="L26" s="131"/>
      <c r="M26" s="131">
        <v>0.379</v>
      </c>
      <c r="N26" s="132"/>
      <c r="O26" s="154">
        <f>'AUTO CALCULATION SHEET (2)'!E27</f>
        <v>348018.3</v>
      </c>
      <c r="P26" s="120">
        <f t="shared" si="1"/>
        <v>5387.8759999999938</v>
      </c>
      <c r="Q26" s="121">
        <f t="shared" si="2"/>
        <v>0</v>
      </c>
      <c r="R26" s="157">
        <f t="shared" si="3"/>
        <v>5387.8759999999938</v>
      </c>
      <c r="S26" s="122">
        <f t="shared" si="4"/>
        <v>353406.17599999998</v>
      </c>
      <c r="T26" s="123">
        <f>'AUTO CALCULATION SHEET (2)'!N27</f>
        <v>540</v>
      </c>
      <c r="U26" s="124">
        <f>'AUTO CALCULATION SHEET (2)'!T27</f>
        <v>0</v>
      </c>
      <c r="V26" s="124">
        <f>'AUTO CALCULATION SHEET (2)'!AF27</f>
        <v>124</v>
      </c>
      <c r="W26" s="124">
        <f>'AUTO CALCULATION SHEET (2)'!AQ27</f>
        <v>69</v>
      </c>
      <c r="X26" s="124">
        <f>'AUTO CALCULATION SHEET (2)'!AR27</f>
        <v>0</v>
      </c>
      <c r="Y26" s="124">
        <f>'AUTO CALCULATION SHEET (2)'!AX27</f>
        <v>457</v>
      </c>
      <c r="Z26" s="124">
        <f>'AUTO CALCULATION SHEET (2)'!AZ27</f>
        <v>0</v>
      </c>
      <c r="AA26" s="124">
        <f>'AUTO CALCULATION SHEET (2)'!BA27</f>
        <v>0</v>
      </c>
      <c r="AB26" s="124">
        <f>'AUTO CALCULATION SHEET (2)'!BF27</f>
        <v>240</v>
      </c>
      <c r="AC26" s="124">
        <f>'AUTO CALCULATION SHEET (2)'!BO27</f>
        <v>0</v>
      </c>
      <c r="AD26" s="124">
        <f>'AUTO CALCULATION SHEET (2)'!BT27</f>
        <v>17</v>
      </c>
      <c r="AE26" s="125">
        <f>SUMPRODUCT($T$14:$AD$14,T26:AD26)</f>
        <v>206313</v>
      </c>
      <c r="AF26" s="126">
        <f>'AUTO CALCULATION SHEET (2)'!BZ27</f>
        <v>20900</v>
      </c>
      <c r="AG26" s="125">
        <f>AE26+AF26</f>
        <v>227213</v>
      </c>
      <c r="AH26" s="126">
        <f t="shared" si="5"/>
        <v>126193.17599999998</v>
      </c>
      <c r="AI26" s="125">
        <f>ROUND((AH26/AG26)*100,2)</f>
        <v>55.54</v>
      </c>
      <c r="AJ26" s="126"/>
      <c r="AK26" s="126">
        <v>2</v>
      </c>
      <c r="AL26" s="126">
        <v>1</v>
      </c>
      <c r="AM26" s="127">
        <f t="shared" si="6"/>
        <v>52.54</v>
      </c>
    </row>
    <row r="27" spans="1:39" ht="32.25" customHeight="1" x14ac:dyDescent="0.2">
      <c r="A27" s="109" t="s">
        <v>201</v>
      </c>
      <c r="B27" s="128"/>
      <c r="C27" s="111" t="s">
        <v>265</v>
      </c>
      <c r="D27" s="112">
        <v>45201</v>
      </c>
      <c r="E27" s="113">
        <v>218785.75</v>
      </c>
      <c r="F27" s="114">
        <v>79250</v>
      </c>
      <c r="G27" s="115">
        <f t="shared" si="0"/>
        <v>45170</v>
      </c>
      <c r="H27" s="114">
        <v>208424.45</v>
      </c>
      <c r="I27" s="114">
        <v>79250</v>
      </c>
      <c r="J27" s="129">
        <v>0.98799999999999999</v>
      </c>
      <c r="K27" s="130"/>
      <c r="L27" s="131"/>
      <c r="M27" s="131">
        <v>0.505</v>
      </c>
      <c r="N27" s="132"/>
      <c r="O27" s="154">
        <f>'AUTO CALCULATION SHEET (2)'!E28</f>
        <v>564254.77499999991</v>
      </c>
      <c r="P27" s="120">
        <f t="shared" si="1"/>
        <v>10236.964399999988</v>
      </c>
      <c r="Q27" s="121">
        <f t="shared" si="2"/>
        <v>0</v>
      </c>
      <c r="R27" s="157">
        <f t="shared" si="3"/>
        <v>10236.964399999988</v>
      </c>
      <c r="S27" s="122">
        <f t="shared" si="4"/>
        <v>574491.73939999985</v>
      </c>
      <c r="T27" s="123">
        <f>'AUTO CALCULATION SHEET (2)'!N28</f>
        <v>1026</v>
      </c>
      <c r="U27" s="124">
        <f>'AUTO CALCULATION SHEET (2)'!T28</f>
        <v>0</v>
      </c>
      <c r="V27" s="124">
        <f>'AUTO CALCULATION SHEET (2)'!AF28</f>
        <v>187</v>
      </c>
      <c r="W27" s="124">
        <f>'AUTO CALCULATION SHEET (2)'!AQ28</f>
        <v>93</v>
      </c>
      <c r="X27" s="124">
        <f>'AUTO CALCULATION SHEET (2)'!AR28</f>
        <v>0</v>
      </c>
      <c r="Y27" s="124">
        <f>'AUTO CALCULATION SHEET (2)'!AX28</f>
        <v>611</v>
      </c>
      <c r="Z27" s="124">
        <f>'AUTO CALCULATION SHEET (2)'!AZ28</f>
        <v>0</v>
      </c>
      <c r="AA27" s="124">
        <f>'AUTO CALCULATION SHEET (2)'!BA28</f>
        <v>0</v>
      </c>
      <c r="AB27" s="124">
        <f>'AUTO CALCULATION SHEET (2)'!BF28</f>
        <v>348</v>
      </c>
      <c r="AC27" s="124">
        <f>'AUTO CALCULATION SHEET (2)'!BO28</f>
        <v>0</v>
      </c>
      <c r="AD27" s="124">
        <f>'AUTO CALCULATION SHEET (2)'!BT28</f>
        <v>22.5</v>
      </c>
      <c r="AE27" s="125">
        <f>SUMPRODUCT($T$14:$AD$14,T27:AD27)</f>
        <v>349084</v>
      </c>
      <c r="AF27" s="126">
        <f>'AUTO CALCULATION SHEET (2)'!BZ28</f>
        <v>20900</v>
      </c>
      <c r="AG27" s="125">
        <f>AE27+AF27</f>
        <v>369984</v>
      </c>
      <c r="AH27" s="126">
        <f t="shared" si="5"/>
        <v>204507.73939999985</v>
      </c>
      <c r="AI27" s="125">
        <f>ROUND((AH27/AG27)*100,2)</f>
        <v>55.27</v>
      </c>
      <c r="AJ27" s="126"/>
      <c r="AK27" s="126">
        <v>2</v>
      </c>
      <c r="AL27" s="126">
        <v>1</v>
      </c>
      <c r="AM27" s="127">
        <f t="shared" si="6"/>
        <v>52.27</v>
      </c>
    </row>
    <row r="28" spans="1:39" ht="32.25" customHeight="1" x14ac:dyDescent="0.2">
      <c r="A28" s="109" t="s">
        <v>193</v>
      </c>
      <c r="B28" s="128"/>
      <c r="C28" s="111" t="s">
        <v>265</v>
      </c>
      <c r="D28" s="112">
        <v>45201</v>
      </c>
      <c r="E28" s="113">
        <v>218785.75</v>
      </c>
      <c r="F28" s="114">
        <v>79250</v>
      </c>
      <c r="G28" s="115">
        <f t="shared" si="0"/>
        <v>45170</v>
      </c>
      <c r="H28" s="114">
        <v>208424.45</v>
      </c>
      <c r="I28" s="114">
        <v>79250</v>
      </c>
      <c r="J28" s="129">
        <v>1.56</v>
      </c>
      <c r="K28" s="130"/>
      <c r="L28" s="131"/>
      <c r="M28" s="131">
        <v>1.145</v>
      </c>
      <c r="N28" s="132"/>
      <c r="O28" s="154">
        <f>'AUTO CALCULATION SHEET (2)'!E29</f>
        <v>977476.5</v>
      </c>
      <c r="P28" s="120">
        <f t="shared" si="1"/>
        <v>16163.627999999982</v>
      </c>
      <c r="Q28" s="121">
        <f t="shared" si="2"/>
        <v>0</v>
      </c>
      <c r="R28" s="157">
        <f t="shared" si="3"/>
        <v>16163.627999999982</v>
      </c>
      <c r="S28" s="122">
        <f t="shared" si="4"/>
        <v>993640.12800000003</v>
      </c>
      <c r="T28" s="123">
        <f>'AUTO CALCULATION SHEET (2)'!N29</f>
        <v>1620</v>
      </c>
      <c r="U28" s="124">
        <f>'AUTO CALCULATION SHEET (2)'!T29</f>
        <v>0</v>
      </c>
      <c r="V28" s="124">
        <f>'AUTO CALCULATION SHEET (2)'!AF29</f>
        <v>285</v>
      </c>
      <c r="W28" s="124">
        <f>'AUTO CALCULATION SHEET (2)'!AQ29</f>
        <v>138</v>
      </c>
      <c r="X28" s="124">
        <f>'AUTO CALCULATION SHEET (2)'!AR29</f>
        <v>0</v>
      </c>
      <c r="Y28" s="124">
        <f>'AUTO CALCULATION SHEET (2)'!AX29</f>
        <v>0</v>
      </c>
      <c r="Z28" s="124">
        <f>'AUTO CALCULATION SHEET (2)'!AZ29</f>
        <v>1279</v>
      </c>
      <c r="AA28" s="124">
        <f>'AUTO CALCULATION SHEET (2)'!BA29</f>
        <v>0</v>
      </c>
      <c r="AB28" s="124">
        <f>'AUTO CALCULATION SHEET (2)'!BF29</f>
        <v>460</v>
      </c>
      <c r="AC28" s="124">
        <f>'AUTO CALCULATION SHEET (2)'!BO29</f>
        <v>55</v>
      </c>
      <c r="AD28" s="124">
        <f>'AUTO CALCULATION SHEET (2)'!BT29</f>
        <v>29</v>
      </c>
      <c r="AE28" s="125">
        <f>SUMPRODUCT($T$14:$AD$14,T28:AD28)</f>
        <v>597238</v>
      </c>
      <c r="AF28" s="126">
        <f>'AUTO CALCULATION SHEET (2)'!BZ29</f>
        <v>41800</v>
      </c>
      <c r="AG28" s="125">
        <f>AE28+AF28</f>
        <v>639038</v>
      </c>
      <c r="AH28" s="126">
        <f t="shared" si="5"/>
        <v>354602.12800000003</v>
      </c>
      <c r="AI28" s="125">
        <f>ROUND((AH28/AG28)*100,2)</f>
        <v>55.49</v>
      </c>
      <c r="AJ28" s="126"/>
      <c r="AK28" s="126">
        <v>2</v>
      </c>
      <c r="AL28" s="126">
        <v>1</v>
      </c>
      <c r="AM28" s="127">
        <f t="shared" si="6"/>
        <v>52.49</v>
      </c>
    </row>
    <row r="29" spans="1:39" ht="32.25" customHeight="1" x14ac:dyDescent="0.2">
      <c r="A29" s="109" t="s">
        <v>197</v>
      </c>
      <c r="B29" s="128"/>
      <c r="C29" s="111" t="s">
        <v>265</v>
      </c>
      <c r="D29" s="112">
        <v>45201</v>
      </c>
      <c r="E29" s="113">
        <v>218785.75</v>
      </c>
      <c r="F29" s="114">
        <v>74250</v>
      </c>
      <c r="G29" s="115">
        <f t="shared" si="0"/>
        <v>45170</v>
      </c>
      <c r="H29" s="114">
        <v>208424.45</v>
      </c>
      <c r="I29" s="114">
        <v>74250</v>
      </c>
      <c r="J29" s="129">
        <v>3.12</v>
      </c>
      <c r="K29" s="130"/>
      <c r="L29" s="131"/>
      <c r="M29" s="131">
        <v>2.323</v>
      </c>
      <c r="N29" s="132"/>
      <c r="O29" s="154">
        <f>'AUTO CALCULATION SHEET (2)'!E30</f>
        <v>1901327.4</v>
      </c>
      <c r="P29" s="120">
        <f t="shared" si="1"/>
        <v>32327.255999999965</v>
      </c>
      <c r="Q29" s="121">
        <f t="shared" si="2"/>
        <v>0</v>
      </c>
      <c r="R29" s="157">
        <f t="shared" si="3"/>
        <v>32327.255999999965</v>
      </c>
      <c r="S29" s="122">
        <f t="shared" si="4"/>
        <v>1933654.656</v>
      </c>
      <c r="T29" s="123">
        <f>'AUTO CALCULATION SHEET (2)'!N30</f>
        <v>3240</v>
      </c>
      <c r="U29" s="124">
        <f>'AUTO CALCULATION SHEET (2)'!T30</f>
        <v>0</v>
      </c>
      <c r="V29" s="124">
        <f>'AUTO CALCULATION SHEET (2)'!AF30</f>
        <v>500</v>
      </c>
      <c r="W29" s="124">
        <f>'AUTO CALCULATION SHEET (2)'!AQ30</f>
        <v>240</v>
      </c>
      <c r="X29" s="124">
        <f>'AUTO CALCULATION SHEET (2)'!AR30</f>
        <v>0</v>
      </c>
      <c r="Y29" s="124">
        <f>'AUTO CALCULATION SHEET (2)'!AX30</f>
        <v>0</v>
      </c>
      <c r="Z29" s="124">
        <f>'AUTO CALCULATION SHEET (2)'!AZ30</f>
        <v>0</v>
      </c>
      <c r="AA29" s="124">
        <f>'AUTO CALCULATION SHEET (2)'!BA30</f>
        <v>2444</v>
      </c>
      <c r="AB29" s="124">
        <f>'AUTO CALCULATION SHEET (2)'!BF30</f>
        <v>835</v>
      </c>
      <c r="AC29" s="124">
        <f>'AUTO CALCULATION SHEET (2)'!BO30</f>
        <v>112</v>
      </c>
      <c r="AD29" s="124">
        <f>'AUTO CALCULATION SHEET (2)'!BT30</f>
        <v>44</v>
      </c>
      <c r="AE29" s="125">
        <f>SUMPRODUCT($T$14:$AD$14,T29:AD29)</f>
        <v>1162683</v>
      </c>
      <c r="AF29" s="126">
        <f>'AUTO CALCULATION SHEET (2)'!BZ30</f>
        <v>78780</v>
      </c>
      <c r="AG29" s="125">
        <f>AE29+AF29</f>
        <v>1241463</v>
      </c>
      <c r="AH29" s="126">
        <f t="shared" si="5"/>
        <v>692191.65599999996</v>
      </c>
      <c r="AI29" s="125">
        <f>ROUND((AH29/AG29)*100,2)</f>
        <v>55.76</v>
      </c>
      <c r="AJ29" s="126"/>
      <c r="AK29" s="126">
        <v>2</v>
      </c>
      <c r="AL29" s="126">
        <v>1</v>
      </c>
      <c r="AM29" s="127">
        <f t="shared" si="6"/>
        <v>52.76</v>
      </c>
    </row>
    <row r="30" spans="1:39" ht="32.25" customHeight="1" x14ac:dyDescent="0.2">
      <c r="A30" s="109" t="str">
        <f>'AUTO CALCULATION SHEET (2)'!D31</f>
        <v>2 CORE X 25 SQ MM + 1 CORE X 25 SQ MM (AB CABLES) (BARE)</v>
      </c>
      <c r="B30" s="128"/>
      <c r="C30" s="111" t="s">
        <v>265</v>
      </c>
      <c r="D30" s="112">
        <v>45201</v>
      </c>
      <c r="E30" s="113">
        <v>218785.75</v>
      </c>
      <c r="F30" s="114"/>
      <c r="G30" s="115">
        <f t="shared" ref="G30:G31" si="7">$B$1</f>
        <v>45170</v>
      </c>
      <c r="H30" s="114">
        <v>208424.45</v>
      </c>
      <c r="I30" s="114"/>
      <c r="J30" s="129">
        <v>0.19700000000000001</v>
      </c>
      <c r="K30" s="130"/>
      <c r="L30" s="131"/>
      <c r="M30" s="131"/>
      <c r="N30" s="132"/>
      <c r="O30" s="154">
        <f>'AUTO CALCULATION SHEET (2)'!E31</f>
        <v>84853.170055794661</v>
      </c>
      <c r="P30" s="120">
        <f t="shared" si="1"/>
        <v>2041.1760999999979</v>
      </c>
      <c r="Q30" s="121"/>
      <c r="R30" s="157">
        <f t="shared" ref="R30:R31" si="8">P30+Q30</f>
        <v>2041.1760999999979</v>
      </c>
      <c r="S30" s="122">
        <f t="shared" ref="S30:S31" si="9">+O30+R30</f>
        <v>86894.346155794658</v>
      </c>
      <c r="T30" s="123">
        <f>'AUTO CALCULATION SHEET (2)'!N31</f>
        <v>135</v>
      </c>
      <c r="U30" s="124">
        <f>'AUTO CALCULATION SHEET (2)'!T31</f>
        <v>67.5</v>
      </c>
      <c r="V30" s="124">
        <f>'AUTO CALCULATION SHEET (2)'!AF31</f>
        <v>58</v>
      </c>
      <c r="W30" s="124">
        <f>'AUTO CALCULATION SHEET (2)'!AQ31</f>
        <v>0</v>
      </c>
      <c r="X30" s="124">
        <f>'AUTO CALCULATION SHEET (2)'!AR31</f>
        <v>0</v>
      </c>
      <c r="Y30" s="124">
        <f>'AUTO CALCULATION SHEET (2)'!AX31</f>
        <v>0</v>
      </c>
      <c r="Z30" s="124">
        <f>'AUTO CALCULATION SHEET (2)'!AZ31</f>
        <v>0</v>
      </c>
      <c r="AA30" s="124">
        <f>'AUTO CALCULATION SHEET (2)'!BA31</f>
        <v>0</v>
      </c>
      <c r="AB30" s="124">
        <f>'AUTO CALCULATION SHEET (2)'!BF31</f>
        <v>0</v>
      </c>
      <c r="AC30" s="124">
        <f>'AUTO CALCULATION SHEET (2)'!BO31</f>
        <v>0</v>
      </c>
      <c r="AD30" s="124">
        <f>'AUTO CALCULATION SHEET (2)'!BT31</f>
        <v>0</v>
      </c>
      <c r="AE30" s="125">
        <f>SUMPRODUCT($T$14:$AD$14,T30:AD30)</f>
        <v>52560.5</v>
      </c>
      <c r="AF30" s="126">
        <f>'AUTO CALCULATION SHEET (2)'!BZ31</f>
        <v>3542.0286068537494</v>
      </c>
      <c r="AG30" s="125">
        <f>AE30+AF30</f>
        <v>56102.528606853746</v>
      </c>
      <c r="AH30" s="126">
        <f t="shared" ref="AH30:AH31" si="10">S30-AG30</f>
        <v>30791.817548940911</v>
      </c>
      <c r="AI30" s="125">
        <f>ROUND((AH30/AG30)*100,2)</f>
        <v>54.88</v>
      </c>
      <c r="AJ30" s="126"/>
      <c r="AK30" s="126">
        <v>2</v>
      </c>
      <c r="AL30" s="126">
        <v>1</v>
      </c>
      <c r="AM30" s="127">
        <f t="shared" ref="AM30:AM31" si="11">AI30-AJ30-AK30-AL30</f>
        <v>51.88</v>
      </c>
    </row>
    <row r="31" spans="1:39" ht="32.25" customHeight="1" x14ac:dyDescent="0.2">
      <c r="A31" s="109" t="str">
        <f>'AUTO CALCULATION SHEET (2)'!D32</f>
        <v>4 CORE X 150 SQ MM + 1 CORE X 16 SQ MM + 1 CORE X 150 SQ MM (AB CABLES) (BARE)</v>
      </c>
      <c r="B31" s="128"/>
      <c r="C31" s="111" t="s">
        <v>265</v>
      </c>
      <c r="D31" s="112">
        <v>45201</v>
      </c>
      <c r="E31" s="113">
        <v>218785.75</v>
      </c>
      <c r="F31" s="114"/>
      <c r="G31" s="115">
        <f t="shared" si="7"/>
        <v>45170</v>
      </c>
      <c r="H31" s="114">
        <v>208424.45</v>
      </c>
      <c r="I31" s="114"/>
      <c r="J31" s="129">
        <v>2.032</v>
      </c>
      <c r="K31" s="130"/>
      <c r="L31" s="131"/>
      <c r="M31" s="131"/>
      <c r="N31" s="132"/>
      <c r="O31" s="154">
        <f>'AUTO CALCULATION SHEET (2)'!E32</f>
        <v>797786.07300000009</v>
      </c>
      <c r="P31" s="120">
        <f t="shared" si="1"/>
        <v>21054.161599999978</v>
      </c>
      <c r="Q31" s="121"/>
      <c r="R31" s="157">
        <f t="shared" si="8"/>
        <v>21054.161599999978</v>
      </c>
      <c r="S31" s="122">
        <f t="shared" si="9"/>
        <v>818840.23460000008</v>
      </c>
      <c r="T31" s="123">
        <f>'AUTO CALCULATION SHEET (2)'!N32</f>
        <v>1664</v>
      </c>
      <c r="U31" s="124">
        <f>'AUTO CALCULATION SHEET (2)'!T32</f>
        <v>415</v>
      </c>
      <c r="V31" s="124">
        <f>'AUTO CALCULATION SHEET (2)'!AF32</f>
        <v>370</v>
      </c>
      <c r="W31" s="124">
        <f>'AUTO CALCULATION SHEET (2)'!AQ32</f>
        <v>0</v>
      </c>
      <c r="X31" s="124">
        <f>'AUTO CALCULATION SHEET (2)'!AR32</f>
        <v>0</v>
      </c>
      <c r="Y31" s="124">
        <f>'AUTO CALCULATION SHEET (2)'!AX32</f>
        <v>0</v>
      </c>
      <c r="Z31" s="124">
        <f>'AUTO CALCULATION SHEET (2)'!AZ32</f>
        <v>0</v>
      </c>
      <c r="AA31" s="124">
        <f>'AUTO CALCULATION SHEET (2)'!BA32</f>
        <v>0</v>
      </c>
      <c r="AB31" s="124">
        <f>'AUTO CALCULATION SHEET (2)'!BF32</f>
        <v>0</v>
      </c>
      <c r="AC31" s="124">
        <f>'AUTO CALCULATION SHEET (2)'!BO32</f>
        <v>0</v>
      </c>
      <c r="AD31" s="124">
        <f>'AUTO CALCULATION SHEET (2)'!BT32</f>
        <v>0</v>
      </c>
      <c r="AE31" s="125">
        <f>SUMPRODUCT($T$14:$AD$14,T31:AD31)</f>
        <v>511521</v>
      </c>
      <c r="AF31" s="126">
        <f>'AUTO CALCULATION SHEET (2)'!BZ32</f>
        <v>17878.84</v>
      </c>
      <c r="AG31" s="125">
        <f>AE31+AF31</f>
        <v>529399.84</v>
      </c>
      <c r="AH31" s="126">
        <f t="shared" si="10"/>
        <v>289440.39460000012</v>
      </c>
      <c r="AI31" s="125">
        <f>ROUND((AH31/AG31)*100,2)</f>
        <v>54.67</v>
      </c>
      <c r="AJ31" s="126"/>
      <c r="AK31" s="126">
        <v>2</v>
      </c>
      <c r="AL31" s="126">
        <v>1</v>
      </c>
      <c r="AM31" s="127">
        <f t="shared" si="11"/>
        <v>51.67</v>
      </c>
    </row>
    <row r="32" spans="1:39" s="150" customFormat="1" ht="13.5" thickBot="1" x14ac:dyDescent="0.25">
      <c r="A32" s="133"/>
      <c r="B32" s="134"/>
      <c r="C32" s="135"/>
      <c r="D32" s="136"/>
      <c r="E32" s="137"/>
      <c r="F32" s="138"/>
      <c r="G32" s="139"/>
      <c r="H32" s="140"/>
      <c r="I32" s="140"/>
      <c r="J32" s="141"/>
      <c r="K32" s="142"/>
      <c r="L32" s="137"/>
      <c r="M32" s="137"/>
      <c r="N32" s="143"/>
      <c r="O32" s="146"/>
      <c r="P32" s="144"/>
      <c r="Q32" s="145"/>
      <c r="R32" s="158"/>
      <c r="S32" s="146"/>
      <c r="T32" s="147"/>
      <c r="U32" s="148"/>
      <c r="V32" s="148"/>
      <c r="W32" s="148"/>
      <c r="X32" s="148"/>
      <c r="Y32" s="148"/>
      <c r="Z32" s="148"/>
      <c r="AA32" s="148"/>
      <c r="AB32" s="148"/>
      <c r="AC32" s="148"/>
      <c r="AD32" s="148"/>
      <c r="AE32" s="148"/>
      <c r="AF32" s="148"/>
      <c r="AG32" s="148"/>
      <c r="AH32" s="148"/>
      <c r="AI32" s="148"/>
      <c r="AJ32" s="148"/>
      <c r="AK32" s="148"/>
      <c r="AL32" s="148"/>
      <c r="AM32" s="149"/>
    </row>
    <row r="33" spans="1:32" s="150" customFormat="1" x14ac:dyDescent="0.2">
      <c r="A33" s="73"/>
      <c r="B33" s="73"/>
      <c r="C33" s="73"/>
      <c r="D33" s="73"/>
      <c r="E33" s="151"/>
      <c r="F33" s="73"/>
      <c r="G33" s="73"/>
      <c r="H33" s="73"/>
    </row>
    <row r="34" spans="1:32" x14ac:dyDescent="0.2">
      <c r="I34" s="73"/>
      <c r="J34" s="73"/>
      <c r="K34" s="73"/>
      <c r="L34" s="73"/>
      <c r="M34" s="73"/>
      <c r="N34" s="73"/>
      <c r="O34" s="73"/>
      <c r="P34" s="73"/>
      <c r="Q34" s="73"/>
      <c r="R34" s="73"/>
      <c r="S34" s="73"/>
      <c r="T34" s="73"/>
      <c r="U34" s="73"/>
      <c r="V34" s="73"/>
      <c r="W34" s="73"/>
      <c r="X34" s="73"/>
      <c r="Y34" s="73"/>
      <c r="Z34" s="73"/>
      <c r="AA34" s="73"/>
      <c r="AB34" s="73"/>
      <c r="AC34" s="73"/>
      <c r="AD34" s="73"/>
      <c r="AE34" s="73"/>
      <c r="AF34" s="73"/>
    </row>
    <row r="40" spans="1:32" x14ac:dyDescent="0.2">
      <c r="T40" s="85"/>
      <c r="U40" s="85"/>
      <c r="V40" s="85"/>
      <c r="W40" s="85"/>
      <c r="X40" s="85"/>
      <c r="Y40" s="85"/>
      <c r="Z40" s="85"/>
      <c r="AA40" s="85"/>
      <c r="AB40" s="85"/>
      <c r="AC40" s="85"/>
      <c r="AD40" s="85"/>
      <c r="AE40" s="85"/>
      <c r="AF40" s="85"/>
    </row>
    <row r="41" spans="1:32" x14ac:dyDescent="0.2">
      <c r="T41" s="152"/>
      <c r="U41" s="152"/>
      <c r="V41" s="152"/>
      <c r="W41" s="152"/>
      <c r="X41" s="152"/>
      <c r="Y41" s="152"/>
      <c r="Z41" s="152"/>
      <c r="AA41" s="152"/>
      <c r="AB41" s="152"/>
      <c r="AC41" s="152"/>
      <c r="AD41" s="152"/>
      <c r="AE41" s="152"/>
      <c r="AF41" s="152"/>
    </row>
  </sheetData>
  <mergeCells count="33">
    <mergeCell ref="A9:B9"/>
    <mergeCell ref="B1:H1"/>
    <mergeCell ref="B2:H2"/>
    <mergeCell ref="A3:H3"/>
    <mergeCell ref="A4:H5"/>
    <mergeCell ref="R6:S6"/>
    <mergeCell ref="T11:AM12"/>
    <mergeCell ref="A12:A14"/>
    <mergeCell ref="B12:B14"/>
    <mergeCell ref="C12:C14"/>
    <mergeCell ref="D12:F12"/>
    <mergeCell ref="G12:I12"/>
    <mergeCell ref="J12:N13"/>
    <mergeCell ref="O12:O14"/>
    <mergeCell ref="P12:P14"/>
    <mergeCell ref="Q12:Q14"/>
    <mergeCell ref="R12:R14"/>
    <mergeCell ref="S12:S14"/>
    <mergeCell ref="D13:D14"/>
    <mergeCell ref="E13:E14"/>
    <mergeCell ref="F13:F14"/>
    <mergeCell ref="G13:G14"/>
    <mergeCell ref="H13:H14"/>
    <mergeCell ref="I13:I14"/>
    <mergeCell ref="AK13:AK15"/>
    <mergeCell ref="AL13:AL15"/>
    <mergeCell ref="AM13:AM15"/>
    <mergeCell ref="AE13:AE15"/>
    <mergeCell ref="AF13:AF15"/>
    <mergeCell ref="AG13:AG15"/>
    <mergeCell ref="AH13:AH15"/>
    <mergeCell ref="AI13:AI15"/>
    <mergeCell ref="AJ13:AJ15"/>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PV-CALCULATION</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2023-10-03T12:31:40Z</dcterms:modified>
</cp:coreProperties>
</file>