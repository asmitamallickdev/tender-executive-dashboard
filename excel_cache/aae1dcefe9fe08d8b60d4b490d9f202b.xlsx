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E:\working\2026-27\06_JUNE 2026\JBVNL-10-06-2026-96-33KV3X400-19909\"/>
    </mc:Choice>
  </mc:AlternateContent>
  <xr:revisionPtr revIDLastSave="0" documentId="13_ncr:1_{03AC56CD-8721-4107-A120-9DAD26E79944}" xr6:coauthVersionLast="47" xr6:coauthVersionMax="47" xr10:uidLastSave="{00000000-0000-0000-0000-000000000000}"/>
  <bookViews>
    <workbookView xWindow="30" yWindow="7275" windowWidth="28680" windowHeight="8205" firstSheet="1" activeTab="1" xr2:uid="{00000000-000D-0000-FFFF-FFFF00000000}"/>
  </bookViews>
  <sheets>
    <sheet name="Sheet1" sheetId="1" state="hidden" r:id="rId1"/>
    <sheet name="AUTO CALCULATION SHEET (2)" sheetId="4" r:id="rId2"/>
    <sheet name="NORMAL" sheetId="6" r:id="rId3"/>
    <sheet name="terms" sheetId="5" state="hidden" r:id="rId4"/>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7" i="6" l="1"/>
  <c r="J27" i="6" s="1"/>
  <c r="CY22" i="6"/>
  <c r="CN22" i="6"/>
  <c r="CL22" i="6"/>
  <c r="CG22" i="6"/>
  <c r="CF22" i="6"/>
  <c r="CE22" i="6"/>
  <c r="CD22" i="6"/>
  <c r="CC22" i="6"/>
  <c r="CB22" i="6"/>
  <c r="CA22" i="6"/>
  <c r="BZ22" i="6"/>
  <c r="O27" i="6"/>
  <c r="Q27" i="6" s="1"/>
  <c r="R27" i="6" s="1"/>
  <c r="L22" i="6"/>
  <c r="K22" i="6"/>
  <c r="E27" i="6" s="1"/>
  <c r="K27" i="6" s="1"/>
  <c r="L27" i="6" s="1"/>
  <c r="M27" i="6" s="1"/>
  <c r="F22" i="6" s="1"/>
  <c r="H22" i="6"/>
  <c r="D22" i="6"/>
  <c r="C22" i="6"/>
  <c r="A22" i="6"/>
  <c r="CG21" i="6"/>
  <c r="CF21" i="6"/>
  <c r="CE21" i="6"/>
  <c r="CD21" i="6"/>
  <c r="CC21" i="6"/>
  <c r="CB21" i="6"/>
  <c r="CA21" i="6"/>
  <c r="BZ21" i="6"/>
  <c r="BX21" i="6"/>
  <c r="BW21" i="6"/>
  <c r="BV21" i="6"/>
  <c r="BU21" i="6"/>
  <c r="BT21" i="6"/>
  <c r="BS21" i="6"/>
  <c r="BR21" i="6"/>
  <c r="BQ21" i="6"/>
  <c r="BP21" i="6"/>
  <c r="BO21" i="6"/>
  <c r="BN21" i="6"/>
  <c r="BM21" i="6"/>
  <c r="BL21" i="6"/>
  <c r="BK21" i="6"/>
  <c r="BJ21" i="6"/>
  <c r="BI21" i="6"/>
  <c r="BG21" i="6"/>
  <c r="BF21" i="6"/>
  <c r="BE21" i="6"/>
  <c r="BD21" i="6"/>
  <c r="BC21" i="6"/>
  <c r="BB21" i="6"/>
  <c r="BA21" i="6"/>
  <c r="AZ21" i="6"/>
  <c r="AX21" i="6"/>
  <c r="AW21" i="6"/>
  <c r="AV21" i="6"/>
  <c r="AU21" i="6"/>
  <c r="AT21" i="6"/>
  <c r="AS21" i="6"/>
  <c r="AR21" i="6"/>
  <c r="AQ21" i="6"/>
  <c r="AP21" i="6"/>
  <c r="AO21" i="6"/>
  <c r="AN21" i="6"/>
  <c r="AM21" i="6"/>
  <c r="AL21" i="6"/>
  <c r="AK21" i="6"/>
  <c r="AJ21" i="6"/>
  <c r="AG21" i="6"/>
  <c r="AF21" i="6"/>
  <c r="AE21" i="6"/>
  <c r="AD21" i="6"/>
  <c r="AC21" i="6"/>
  <c r="AB21" i="6"/>
  <c r="AA21" i="6"/>
  <c r="Y21" i="6"/>
  <c r="X21" i="6"/>
  <c r="W21" i="6"/>
  <c r="CM22" i="6" l="1"/>
  <c r="CS22" i="6" s="1"/>
  <c r="CO22" i="6" l="1"/>
  <c r="CQ22" i="6"/>
  <c r="CT22" i="6" s="1"/>
  <c r="CV22" i="6" s="1"/>
  <c r="AI27" i="4"/>
  <c r="AH27" i="4"/>
  <c r="O27" i="4"/>
  <c r="CL22" i="4"/>
  <c r="CZ22" i="6" l="1"/>
  <c r="CX22" i="6"/>
  <c r="E22" i="6" s="1"/>
  <c r="G22" i="6" l="1"/>
  <c r="I22" i="6" s="1"/>
  <c r="J22" i="6" s="1"/>
  <c r="M22" i="6" s="1"/>
  <c r="E22" i="4"/>
  <c r="CT22" i="4" s="1"/>
  <c r="CP22" i="4" s="1"/>
  <c r="F27" i="4" l="1"/>
  <c r="J27" i="4" s="1"/>
  <c r="T22" i="4" l="1"/>
  <c r="T21" i="4"/>
  <c r="S22" i="4"/>
  <c r="S21" i="4"/>
  <c r="AU22" i="4"/>
  <c r="AU21" i="4"/>
  <c r="R22" i="4"/>
  <c r="R21" i="4"/>
  <c r="BV22" i="4"/>
  <c r="BV21" i="4"/>
  <c r="AZ22" i="4"/>
  <c r="AZ21" i="4"/>
  <c r="L22" i="4"/>
  <c r="K22" i="4"/>
  <c r="E27" i="4" s="1"/>
  <c r="K27" i="4" s="1"/>
  <c r="L27" i="4" s="1"/>
  <c r="M27" i="4" s="1"/>
  <c r="F22" i="4" s="1"/>
  <c r="H22" i="4"/>
  <c r="CY22" i="4"/>
  <c r="BQ22" i="4" l="1"/>
  <c r="BQ21" i="4"/>
  <c r="BF22" i="4" l="1"/>
  <c r="BF21" i="4"/>
  <c r="AO22" i="4" l="1"/>
  <c r="AO21" i="4"/>
  <c r="AN22" i="4"/>
  <c r="AN21" i="4"/>
  <c r="AP22" i="4"/>
  <c r="AP21" i="4"/>
  <c r="CN22" i="4" l="1"/>
  <c r="A22" i="4" l="1"/>
  <c r="X21" i="4" l="1"/>
  <c r="W21" i="4"/>
  <c r="AF22" i="4" l="1"/>
  <c r="AE22" i="4"/>
  <c r="AD22" i="4"/>
  <c r="AC22" i="4"/>
  <c r="AB22" i="4"/>
  <c r="AA22" i="4"/>
  <c r="Y22" i="4"/>
  <c r="X22" i="4"/>
  <c r="W22" i="4"/>
  <c r="CG22" i="4"/>
  <c r="CF22" i="4"/>
  <c r="CE22" i="4"/>
  <c r="CD22" i="4"/>
  <c r="CC22" i="4"/>
  <c r="CB22" i="4"/>
  <c r="CA22" i="4"/>
  <c r="BZ22" i="4"/>
  <c r="CE21" i="4"/>
  <c r="CF21" i="4"/>
  <c r="CG21" i="4"/>
  <c r="CD21" i="4"/>
  <c r="CC21" i="4"/>
  <c r="CB21" i="4"/>
  <c r="BZ21" i="4"/>
  <c r="CA21" i="4"/>
  <c r="BX22" i="4"/>
  <c r="BW22" i="4"/>
  <c r="BT22" i="4"/>
  <c r="BS22" i="4"/>
  <c r="BR22" i="4"/>
  <c r="BP22" i="4"/>
  <c r="BO22" i="4"/>
  <c r="BN22" i="4"/>
  <c r="BM22" i="4"/>
  <c r="BX21" i="4"/>
  <c r="BW21" i="4"/>
  <c r="BT21" i="4"/>
  <c r="BS21" i="4"/>
  <c r="BR21" i="4"/>
  <c r="BP21" i="4"/>
  <c r="BO21" i="4"/>
  <c r="BN21" i="4"/>
  <c r="BM21" i="4"/>
  <c r="BL22" i="4"/>
  <c r="BK22" i="4"/>
  <c r="BJ22" i="4"/>
  <c r="BI22" i="4"/>
  <c r="BG22" i="4"/>
  <c r="BE22" i="4"/>
  <c r="BD22" i="4"/>
  <c r="BC22" i="4"/>
  <c r="BB22" i="4"/>
  <c r="BL21" i="4"/>
  <c r="BK21" i="4"/>
  <c r="BJ21" i="4"/>
  <c r="BI21" i="4"/>
  <c r="BG21" i="4"/>
  <c r="BE21" i="4"/>
  <c r="BD21" i="4"/>
  <c r="BC21" i="4"/>
  <c r="BB21" i="4"/>
  <c r="BA21" i="4"/>
  <c r="BA22" i="4"/>
  <c r="AX22" i="4"/>
  <c r="AW22" i="4"/>
  <c r="AV22" i="4"/>
  <c r="AT22" i="4"/>
  <c r="AS22" i="4"/>
  <c r="BU21" i="4"/>
  <c r="AX21" i="4"/>
  <c r="AW21" i="4"/>
  <c r="AV21" i="4"/>
  <c r="AT21" i="4"/>
  <c r="AS21" i="4"/>
  <c r="AR21" i="4"/>
  <c r="AR22" i="4"/>
  <c r="AQ22" i="4"/>
  <c r="AM22" i="4"/>
  <c r="AL22" i="4"/>
  <c r="AK22" i="4"/>
  <c r="AJ22" i="4"/>
  <c r="AQ21" i="4"/>
  <c r="AM21" i="4"/>
  <c r="AL21" i="4"/>
  <c r="AK21" i="4"/>
  <c r="AJ21" i="4"/>
  <c r="AG22" i="4"/>
  <c r="AG21" i="4"/>
  <c r="AF21" i="4" l="1"/>
  <c r="AE21" i="4"/>
  <c r="AD21" i="4"/>
  <c r="AC21" i="4"/>
  <c r="AB21" i="4"/>
  <c r="AA21" i="4"/>
  <c r="Y21" i="4"/>
  <c r="V21" i="4" l="1"/>
  <c r="U21" i="4"/>
  <c r="Q21" i="4"/>
  <c r="P21" i="4"/>
  <c r="V22" i="4"/>
  <c r="U22" i="4"/>
  <c r="Q22" i="4"/>
  <c r="P22" i="4"/>
  <c r="D22" i="4"/>
  <c r="C22" i="4"/>
  <c r="CM22" i="4" l="1"/>
  <c r="CO22" i="4" l="1"/>
  <c r="CQ22" i="4"/>
  <c r="CS22" i="4"/>
  <c r="CZ22" i="4" l="1"/>
  <c r="CV22" i="4"/>
  <c r="CX22" i="4"/>
  <c r="G22" i="4" l="1"/>
  <c r="I22" i="4" l="1"/>
  <c r="J22" i="4" s="1"/>
  <c r="M22"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6" authorId="0" shapeId="0" xr:uid="{F0651630-6BD7-401D-85FA-6C78D5EF6145}">
      <text>
        <r>
          <rPr>
            <b/>
            <sz val="9"/>
            <color indexed="81"/>
            <rFont val="Tahoma"/>
            <family val="2"/>
          </rPr>
          <t>Author:</t>
        </r>
        <r>
          <rPr>
            <sz val="9"/>
            <color indexed="81"/>
            <rFont val="Tahoma"/>
            <family val="2"/>
          </rPr>
          <t xml:space="preserve">
Take from BI BOM Master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6" authorId="0" shapeId="0" xr:uid="{FECA890F-C3D3-45BA-849E-BA11EFBE191C}">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<sst xmlns="http://schemas.openxmlformats.org/spreadsheetml/2006/main" count="467" uniqueCount="274">
  <si>
    <t>DOCKET NO.</t>
  </si>
  <si>
    <t>ITEM CODE</t>
  </si>
  <si>
    <t>PROPOSE ERP ITEM NAME</t>
  </si>
  <si>
    <t>Insulation Screening (Metallic)</t>
  </si>
  <si>
    <t>AL ALLOY</t>
  </si>
  <si>
    <t>Insulation Screening (Non-Metallic)</t>
  </si>
  <si>
    <t>Insulation</t>
  </si>
  <si>
    <t>POLY TAPE</t>
  </si>
  <si>
    <t>Inner Sheath</t>
  </si>
  <si>
    <t>Armouring</t>
  </si>
  <si>
    <t>Outer Sheath</t>
  </si>
  <si>
    <t>FILLER</t>
  </si>
  <si>
    <t>GREASE</t>
  </si>
  <si>
    <t>Water swellable Tape</t>
  </si>
  <si>
    <t>Semi conducting Water Swellable tape</t>
  </si>
  <si>
    <t>SEMICON TAPE</t>
  </si>
  <si>
    <t>GLASS FIBER TAPE</t>
  </si>
  <si>
    <t>COPPER WIRE 0.8 MM</t>
  </si>
  <si>
    <t>RUBBERIZED COTTON TAPE</t>
  </si>
  <si>
    <t>Water Tight Compound</t>
  </si>
  <si>
    <t>DRUM COST PER KM</t>
  </si>
  <si>
    <t>TOTAL RM COST</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</si>
  <si>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</si>
  <si>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</si>
  <si>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</si>
  <si>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</si>
  <si>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</si>
  <si>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</si>
  <si>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</si>
  <si>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</si>
  <si>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</si>
  <si>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</si>
  <si>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</si>
  <si>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</si>
  <si>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</si>
  <si>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</si>
  <si>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</si>
  <si>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</si>
  <si>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</si>
  <si>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</si>
  <si>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</si>
  <si>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</si>
  <si>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</si>
  <si>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</si>
  <si>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</si>
  <si>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</si>
  <si>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</si>
  <si>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</si>
  <si>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</si>
  <si>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</si>
  <si>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</si>
  <si>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</si>
  <si>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</si>
  <si>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</si>
  <si>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</si>
  <si>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</si>
  <si>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</si>
  <si>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</si>
  <si>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</si>
  <si>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</si>
  <si>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</si>
  <si>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</si>
  <si>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</si>
  <si>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</si>
  <si>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</si>
  <si>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</si>
  <si>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</si>
  <si>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</si>
  <si>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</si>
  <si>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</si>
  <si>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</si>
  <si>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Copper Tape - 0.050 mm</t>
  </si>
  <si>
    <t>Double Steel Tape</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</si>
  <si>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</si>
  <si>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</si>
  <si>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</si>
  <si>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</si>
  <si>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</si>
  <si>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</si>
  <si>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</si>
  <si>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</si>
  <si>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</si>
  <si>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Conductor</t>
  </si>
  <si>
    <t>PROPOSE DRUM TYPE</t>
  </si>
  <si>
    <t>DRUM TYPE</t>
  </si>
  <si>
    <t>BASE DATE</t>
  </si>
  <si>
    <t>Type A PVC-FRLS</t>
  </si>
  <si>
    <t>Type A PVC-1.45</t>
  </si>
  <si>
    <t>Type A PVC-FR</t>
  </si>
  <si>
    <t>Alumimium Tape</t>
  </si>
  <si>
    <t>ZHFR</t>
  </si>
  <si>
    <t>PE-ST-7</t>
  </si>
  <si>
    <t>DRUM CODE</t>
  </si>
  <si>
    <t>DRUM SIZE (FxbXtx Ft)</t>
  </si>
  <si>
    <t>Type A PVC-1.38</t>
  </si>
  <si>
    <t>PE-ST-3</t>
  </si>
  <si>
    <t xml:space="preserve">PARTY STANDARD LENGTH (MTR) </t>
  </si>
  <si>
    <t>TTR Charges%</t>
  </si>
  <si>
    <t>TTR Charges VALUE</t>
  </si>
  <si>
    <t>The quoted prices are on Firm inclusive of packing and forwading but exclusive of GST Statutory levies.</t>
  </si>
  <si>
    <t>The quoted prices are on VARIABLE basis with PV base Date: DD/MM/YYYY as per "IEEMA", inclusive of packing and forwading but exclusive of GST Statutory levies.</t>
  </si>
  <si>
    <t>The above prices are quoted on Ex-works basis, where freight will be charged extra.</t>
  </si>
  <si>
    <t xml:space="preserve"> The above prices are quoted on FOR Destination basis, where freight is included, refer Price offer.</t>
  </si>
  <si>
    <t xml:space="preserve"> The above prices are quoted on Ex-works+Freight basis.</t>
  </si>
  <si>
    <t>100% against "90 days" LC, where 90 days usance interest will be borne by LPIPL</t>
  </si>
  <si>
    <t>100% against "120 days" LC, where 120 days usance interest will be borne by LPIPL</t>
  </si>
  <si>
    <t>100% against "45 days" LC, where 45 days usance interest will be borne by LPIPL</t>
  </si>
  <si>
    <t>100% against "60 days" LC, where 60 days usance interest will be borne by LPIPL</t>
  </si>
  <si>
    <t>100% against "30 days" LC, where 30 days usance interest will be borne by LPIPL</t>
  </si>
  <si>
    <t xml:space="preserve">20% Advance and Balance against PI (Proforma Invoice) prior to dispatch </t>
  </si>
  <si>
    <t>100% against 60 days PDC from the date of MRC/MRN</t>
  </si>
  <si>
    <t>"45 days" Open Credit</t>
  </si>
  <si>
    <t>"30 days" Open Credit</t>
  </si>
  <si>
    <t>100% against "90 days" Bill Discounting/Bill of Exchange/VFS</t>
  </si>
  <si>
    <t>100% against "179 days" Bill Discounting/Bill of Exchange/VFS</t>
  </si>
  <si>
    <t>"12 months" from the date of commissioning, or "18 months" from the date of Supply, whichever is earlier.</t>
  </si>
  <si>
    <t>"18 months" from the date of commissioning, or "36 months" from the date of Supply, whichever is earlier.</t>
  </si>
  <si>
    <t>Within "4-6 weeks" from the date of Receipt of your technically and commercially clear order along with manufacturing clearance, drum schedule, approved GTP/Drawing.</t>
  </si>
  <si>
    <t>Within "6-8 weeks" from the date of Receipt of your technically and commercially clear order along with manufacturing clearance, drum schedule, approved GTP/Drawing.</t>
  </si>
  <si>
    <t>Negotiable</t>
  </si>
  <si>
    <t>25% advance, balance 90 days Credit.</t>
  </si>
  <si>
    <t>90 days VFS.</t>
  </si>
  <si>
    <t>PVC COMPOUND 1.48</t>
  </si>
  <si>
    <t>AL-59</t>
  </si>
  <si>
    <t>AL-4</t>
  </si>
  <si>
    <t>AL-7</t>
  </si>
  <si>
    <t>$A$1</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</si>
  <si>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</si>
  <si>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</si>
  <si>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</si>
  <si>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</si>
  <si>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</si>
  <si>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</si>
  <si>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</si>
  <si>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</si>
  <si>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</si>
  <si>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 xml:space="preserve">JHARKHAND BIJLI VITRAN NIGAM LIMITED </t>
  </si>
  <si>
    <t>TENDER SPECIFICATION NO ()</t>
  </si>
  <si>
    <t>TENDER DESCRIPTION  ()</t>
  </si>
  <si>
    <t>Last Date &amp; Time of Submission ()</t>
  </si>
  <si>
    <t>REVERSE AUCTION</t>
  </si>
  <si>
    <t>Price ()</t>
  </si>
  <si>
    <t>Validity  ()</t>
  </si>
  <si>
    <t>Delivery Period  ()</t>
  </si>
  <si>
    <t>Payment Terms ()</t>
  </si>
  <si>
    <t>Standard length ()</t>
  </si>
  <si>
    <t>Packing  ()</t>
  </si>
  <si>
    <t>Technical Specification</t>
  </si>
  <si>
    <t>96/PR/JBVNL/2026-27 (2026_JSEB_114304_1)</t>
  </si>
  <si>
    <t>Manufacturing, Testing and Supply of ISI marked 33 kv XLPE Underground cable 400 sqmm under deposit headof ESA, Jamshedpur</t>
  </si>
  <si>
    <t>11-Jun-2026 02:00 PM
Opening on 12-Jun-2026 03:00 PM</t>
  </si>
  <si>
    <t>Not Mention</t>
  </si>
  <si>
    <t>Materials must be delivered within 30 Days of issue of Purchase order.
The materials are to be delivered within 30 Days of issue of Purchase Order. Early delivery may be preferred. The commencement of delivery period shall be reckoned from the date of issue of PO.</t>
  </si>
  <si>
    <t>FIRM price
Rate in figures and in words must be quoted in the enclosed proforma of price part on ‘FIRM PRICE’, subject to any statutory change in due course of time, indicating therein Ex-factory price, freight element up to destination, input tax credit under section -171 of CGST/SGST act or scheme to be retained by the supplier.</t>
  </si>
  <si>
    <t>100% payment will be made by Manager (F&amp;A), ESA, Jamshedpur on submission of 5% Bank Guarantee(0.5% for MSE unit of Jharkhand only) from any Nationalized/Scheduled Bank of ordered value on non-judicial stamp Rs.
100/- (Rupees hundred) only valid for Guarantee period and on receipt of SRV duly signed by the concerned consignee after receipt of the materials in good condition along with tax invoice in triplicate.</t>
  </si>
  <si>
    <t>Tenderer should specify the validity period of their offer which should not be less than 180 (One Hundred Eighty) days from the date of opening of tender. The offers with lesser validity period may be out- rightly rejected.</t>
  </si>
  <si>
    <t>The cable shall be supplied in standard drum length of 500 mtrs. + 5% tolerance for all the sizes of cable.
Overall tolerance in total quantity of ordered cables shall be -2% max.</t>
  </si>
  <si>
    <t>The cable shall be wound on wooden drums as per IS:10418/1996 and packed in drums suitable for vertical / horizontal transport, as the case may be and shall be suitable to withstand rough handling during transport and outer storage.
The wooden drums shall be reinforced with steel bends and strips for better protection.</t>
  </si>
  <si>
    <t>Base Date</t>
  </si>
  <si>
    <t>Propose Drum Type</t>
  </si>
  <si>
    <t>Insulation Screening(Metallic)</t>
  </si>
  <si>
    <t>RM Rate(Insulation Screening(Metallic))</t>
  </si>
  <si>
    <t>Weight (Insulation Screening (Metallic))</t>
  </si>
  <si>
    <t>Cost Insulation Screening(Metallic)</t>
  </si>
  <si>
    <t>RM Rate(Conductor)</t>
  </si>
  <si>
    <t>Weight(Conductor)</t>
  </si>
  <si>
    <t>Cost(Conductor)</t>
  </si>
  <si>
    <t>RM Rate(AL Alloy)</t>
  </si>
  <si>
    <t>Weight(Al Alloy)</t>
  </si>
  <si>
    <t>Cost(AL Alloy)</t>
  </si>
  <si>
    <t>Insulation Screening(Non-Metallic)</t>
  </si>
  <si>
    <t>RM Rate(Insulation Screening(Non-Metallic))</t>
  </si>
  <si>
    <t>Weight(Insulation Screening(Non-Metallic)</t>
  </si>
  <si>
    <t>Cost(Insulation Screening(Non-Metallic)</t>
  </si>
  <si>
    <t>RM Rate(Insulation)</t>
  </si>
  <si>
    <t>Weight(Insulation)</t>
  </si>
  <si>
    <t>Cost(Insulation)</t>
  </si>
  <si>
    <t>Poly Tape</t>
  </si>
  <si>
    <t>RM Rate(Poly Tape)</t>
  </si>
  <si>
    <t>Weight(Poly Tape)</t>
  </si>
  <si>
    <t>Cost(Poly Tape)</t>
  </si>
  <si>
    <t>RM Rate(Inner Sheath)</t>
  </si>
  <si>
    <t>Weight(Inner Sheath)</t>
  </si>
  <si>
    <t>Cost(Inner Sheath)</t>
  </si>
  <si>
    <t>RM Rate(Armouring)</t>
  </si>
  <si>
    <t>Weight(Armouring)</t>
  </si>
  <si>
    <t>Cost(Armouring)</t>
  </si>
  <si>
    <t>RM Rate(Outer Sheath)</t>
  </si>
  <si>
    <t>Weight(Outer Sheath)</t>
  </si>
  <si>
    <t>Cost(Outer Sheath)</t>
  </si>
  <si>
    <t>Filler</t>
  </si>
  <si>
    <t>RM Rate(Filler)</t>
  </si>
  <si>
    <t>Weight(Filler)</t>
  </si>
  <si>
    <t>Cost(Filler)</t>
  </si>
  <si>
    <t>RM Rate(Grease)</t>
  </si>
  <si>
    <t>Weight(Grease)</t>
  </si>
  <si>
    <t>Cost(Grease)</t>
  </si>
  <si>
    <t>Water Swellable Tape</t>
  </si>
  <si>
    <t>RM Rate(Water Swellable Tape)</t>
  </si>
  <si>
    <t>Weight(Water Swellable Tape)</t>
  </si>
  <si>
    <t>Cost(Water Swellable Tape)</t>
  </si>
  <si>
    <t>Semi Conducting Water Swellable Tape</t>
  </si>
  <si>
    <t>RM Rate(Semi Conducting Water Swellable Tape)</t>
  </si>
  <si>
    <t>Weight(Semi Conducting Water Swellable Tape)</t>
  </si>
  <si>
    <t>Cost(Semi Conducting Water Swellable Tape)</t>
  </si>
  <si>
    <t>Semicon Tape</t>
  </si>
  <si>
    <t>RM Rate(Semicon Tape)</t>
  </si>
  <si>
    <t>Weight(Semicon Tape)</t>
  </si>
  <si>
    <t>Cost(Semicon Tape)</t>
  </si>
  <si>
    <t>Glass Fiber Tape</t>
  </si>
  <si>
    <t>RM Rate(Glass Fiber Tape)</t>
  </si>
  <si>
    <t>Weight(Glass Fiber Tape)</t>
  </si>
  <si>
    <t>Cost(Glass Fiber Tape)</t>
  </si>
  <si>
    <t>Copper Wire 0.8MM</t>
  </si>
  <si>
    <t>RM Rate(Copper Wire 0.8MM)</t>
  </si>
  <si>
    <t>Weight(Copper Wire 0.8MM)</t>
  </si>
  <si>
    <t>Cost(Copper Wire 0.8MM)</t>
  </si>
  <si>
    <t>Rubberized Cotton Tape</t>
  </si>
  <si>
    <t>RM Rate(Rubberized Cotton Tape)</t>
  </si>
  <si>
    <t>Weight(Rubberized Cotton Tape)</t>
  </si>
  <si>
    <t>Cost(Rubberized Cotton Tape)</t>
  </si>
  <si>
    <t>RM Rate(Water Tight Compound)</t>
  </si>
  <si>
    <t>Weight(Water Tight Compound)</t>
  </si>
  <si>
    <t>Cost(Water Tight Compound)</t>
  </si>
  <si>
    <t>Drum Cost Per KM</t>
  </si>
  <si>
    <t>Total RM Cost</t>
  </si>
  <si>
    <t>FIRM %</t>
  </si>
  <si>
    <t>Firm Value</t>
  </si>
  <si>
    <t>MFG Value</t>
  </si>
  <si>
    <t>Profit Value</t>
  </si>
  <si>
    <t>1st EX-Works</t>
  </si>
  <si>
    <t>Intt Value</t>
  </si>
  <si>
    <t>Insp Value</t>
  </si>
  <si>
    <t>TTR CHARGES%</t>
  </si>
  <si>
    <t>TTR Value</t>
  </si>
  <si>
    <t>EX-Works Per KM</t>
  </si>
  <si>
    <t>Freight Per KM</t>
  </si>
  <si>
    <t>Price Including Freight Per KM</t>
  </si>
  <si>
    <t>GST Value</t>
  </si>
  <si>
    <t>Price Including GST &amp; Freight Per KM</t>
  </si>
  <si>
    <t>Total Price Of Full QTY(Including Freight&amp;GST)</t>
  </si>
  <si>
    <t>PARTY LENGTH (IF STANDER LENGTH NOT MATCH WITH PAR</t>
  </si>
  <si>
    <t>ENQ-19909-25-26</t>
  </si>
  <si>
    <t>FA1300010</t>
  </si>
  <si>
    <t>KMS</t>
  </si>
  <si>
    <t>3 CORE X 400 SQ.MM. AL/ARM - STRIP (XLPE) - 33KV</t>
  </si>
  <si>
    <t>STEEL</t>
  </si>
  <si>
    <t>SP0400105</t>
  </si>
  <si>
    <t>CORRUGATED DISPATCH STEEL DRUM 2500 X 1500 X 1400</t>
  </si>
  <si>
    <t>ATR</t>
  </si>
  <si>
    <t>NON CHAIN BOM ID</t>
  </si>
  <si>
    <t>IS</t>
  </si>
  <si>
    <t>CABLE WEIGHT KG/KM</t>
  </si>
  <si>
    <t>DRUM WEIGHT</t>
  </si>
  <si>
    <t>CABLE+DRUM WEIGHT</t>
  </si>
  <si>
    <t>TRAILOR WEIGHT</t>
  </si>
  <si>
    <t>25 MT TRAILOR</t>
  </si>
  <si>
    <t>U1-C0003-2498</t>
  </si>
  <si>
    <t>RA0100002</t>
  </si>
  <si>
    <t>Aluminium Wire Rod</t>
  </si>
  <si>
    <t>RC0100011</t>
  </si>
  <si>
    <t>Copper Tape - 50 X 0.030 MM</t>
  </si>
  <si>
    <t>RE0100002</t>
  </si>
  <si>
    <t>Semi Con - CCV</t>
  </si>
  <si>
    <t>RE0100005</t>
  </si>
  <si>
    <t>XLPE CCV</t>
  </si>
  <si>
    <t>RP0100012</t>
  </si>
  <si>
    <t>PVC FILLER</t>
  </si>
  <si>
    <t>RP0100015</t>
  </si>
  <si>
    <t>PVC COMPOUND 1.60</t>
  </si>
  <si>
    <t>RP0100027</t>
  </si>
  <si>
    <t>RP PVC BLACK 1.45</t>
  </si>
  <si>
    <t>RS0100027</t>
  </si>
  <si>
    <t>STEEL STRIP 4*0.60 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</si>
</sst>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_ * #,##0.00_ ;_ * \-#,##0.00_ ;_ * &quot;-&quot;??_ ;_ @_ "/>
    <numFmt numFmtId="165" formatCode="0.000%"/>
    <numFmt numFmtId="166" formatCode="[$-F800]dddd\,\ mmmm\ dd\,\ yyyy"/>
    <numFmt numFmtId="167" formatCode="_ * #,##0.00000_ ;_ * \-#,##0.00000_ ;_ * &quot;-&quot;??_ ;_ @_ "/>
    <numFmt numFmtId="168" formatCode="_ * #,##0.000_ ;_ * \-#,##0.000_ ;_ * &quot;-&quot;??_ ;_ @_ "/>
    <numFmt numFmtId="169" formatCode="[$-14009]dd\ mmmm\ yyyy;@"/>
    <numFmt numFmtId="170" formatCode="0.0000%"/>
  </numFmts>
  <fonts count="49"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1"/>
      <color rgb="FFFF0000"/>
      <name val="Calibri"/>
      <family val="2"/>
      <scheme val="minor"/>
    </font>
    <font>
      <sz val="11"/>
      <color theme="3" tint="0.39997558519241921"/>
      <name val="Calibri"/>
      <family val="2"/>
      <scheme val="minor"/>
    </font>
    <font>
      <sz val="11"/>
      <color theme="2" tint="-0.749992370372631"/>
      <name val="Calibri"/>
      <family val="2"/>
      <scheme val="minor"/>
    </font>
    <font>
      <sz val="11"/>
      <color rgb="FF00B050"/>
      <name val="Calibri"/>
      <family val="2"/>
      <scheme val="minor"/>
    </font>
    <font>
      <sz val="11"/>
      <color rgb="FF0070C0"/>
      <name val="Calibri"/>
      <family val="2"/>
      <scheme val="minor"/>
    </font>
    <font>
      <sz val="11"/>
      <color rgb="FFCC0099"/>
      <name val="Calibri"/>
      <family val="2"/>
      <scheme val="minor"/>
    </font>
    <font>
      <sz val="11"/>
      <color theme="1" tint="4.9989318521683403E-2"/>
      <name val="Calibri"/>
      <family val="2"/>
      <scheme val="minor"/>
    </font>
    <font>
      <sz val="11"/>
      <color rgb="FF669900"/>
      <name val="Calibri"/>
      <family val="2"/>
      <scheme val="minor"/>
    </font>
    <font>
      <sz val="11"/>
      <color rgb="FFFF9900"/>
      <name val="Calibri"/>
      <family val="2"/>
      <scheme val="minor"/>
    </font>
    <font>
      <sz val="11"/>
      <color rgb="FF009900"/>
      <name val="Calibri"/>
      <family val="2"/>
      <scheme val="minor"/>
    </font>
    <font>
      <sz val="11"/>
      <color theme="1" tint="0.499984740745262"/>
      <name val="Calibri"/>
      <family val="2"/>
      <scheme val="minor"/>
    </font>
    <font>
      <b/>
      <sz val="10"/>
      <color theme="1" tint="0.499984740745262"/>
      <name val="Calibri"/>
      <family val="2"/>
      <scheme val="minor"/>
    </font>
    <font>
      <sz val="11"/>
      <color theme="6" tint="-0.499984740745262"/>
      <name val="Calibri"/>
      <family val="2"/>
      <scheme val="minor"/>
    </font>
    <font>
      <sz val="11"/>
      <color theme="7" tint="-0.499984740745262"/>
      <name val="Calibri"/>
      <family val="2"/>
      <scheme val="minor"/>
    </font>
    <font>
      <sz val="11"/>
      <color theme="9" tint="-0.249977111117893"/>
      <name val="Calibri"/>
      <family val="2"/>
      <scheme val="minor"/>
    </font>
    <font>
      <b/>
      <sz val="10"/>
      <color theme="9" tint="-0.249977111117893"/>
      <name val="Calibri"/>
      <family val="2"/>
      <scheme val="minor"/>
    </font>
    <font>
      <b/>
      <sz val="10"/>
      <color theme="3" tint="0.39997558519241921"/>
      <name val="Calibri"/>
      <family val="2"/>
      <scheme val="minor"/>
    </font>
    <font>
      <sz val="11"/>
      <color theme="7" tint="-0.249977111117893"/>
      <name val="Calibri"/>
      <family val="2"/>
      <scheme val="minor"/>
    </font>
    <font>
      <b/>
      <sz val="10"/>
      <color theme="2" tint="-0.749992370372631"/>
      <name val="Calibri"/>
      <family val="2"/>
      <scheme val="minor"/>
    </font>
    <font>
      <sz val="11"/>
      <color theme="9" tint="-0.499984740745262"/>
      <name val="Calibri"/>
      <family val="2"/>
      <scheme val="minor"/>
    </font>
    <font>
      <b/>
      <sz val="10"/>
      <color rgb="FF00B050"/>
      <name val="Calibri"/>
      <family val="2"/>
      <scheme val="minor"/>
    </font>
    <font>
      <b/>
      <sz val="10"/>
      <color theme="7" tint="-0.249977111117893"/>
      <name val="Calibri"/>
      <family val="2"/>
      <scheme val="minor"/>
    </font>
    <font>
      <b/>
      <sz val="10"/>
      <color theme="9" tint="-0.499984740745262"/>
      <name val="Calibri"/>
      <family val="2"/>
      <scheme val="minor"/>
    </font>
    <font>
      <b/>
      <u/>
      <sz val="12"/>
      <color theme="1"/>
      <name val="Calibri"/>
      <family val="2"/>
      <scheme val="minor"/>
    </font>
    <font>
      <b/>
      <sz val="11"/>
      <color theme="5" tint="-0.499984740745262"/>
      <name val="Calibri"/>
      <family val="2"/>
      <scheme val="minor"/>
    </font>
    <font>
      <b/>
      <sz val="11"/>
      <color rgb="FF0070C0"/>
      <name val="Calibri"/>
      <family val="2"/>
      <scheme val="minor"/>
    </font>
    <font>
      <b/>
      <sz val="11"/>
      <color rgb="FF009900"/>
      <name val="Calibri"/>
      <family val="2"/>
      <scheme val="minor"/>
    </font>
    <font>
      <b/>
      <sz val="11"/>
      <color theme="9" tint="-0.249977111117893"/>
      <name val="Calibri"/>
      <family val="2"/>
      <scheme val="minor"/>
    </font>
    <font>
      <b/>
      <sz val="11"/>
      <color theme="6" tint="-0.249977111117893"/>
      <name val="Calibri"/>
      <family val="2"/>
      <scheme val="minor"/>
    </font>
    <font>
      <b/>
      <sz val="11"/>
      <color theme="6" tint="-0.499984740745262"/>
      <name val="Calibri"/>
      <family val="2"/>
      <scheme val="minor"/>
    </font>
    <font>
      <b/>
      <sz val="11"/>
      <color rgb="FFFF00FF"/>
      <name val="Calibri"/>
      <family val="2"/>
      <scheme val="minor"/>
    </font>
    <font>
      <sz val="11"/>
      <color rgb="FF660066"/>
      <name val="Calibri"/>
      <family val="2"/>
      <scheme val="minor"/>
    </font>
    <font>
      <b/>
      <sz val="10"/>
      <color rgb="FF660066"/>
      <name val="Calibri"/>
      <family val="2"/>
      <scheme val="minor"/>
    </font>
    <font>
      <sz val="10"/>
      <name val="Verdana"/>
      <family val="2"/>
    </font>
    <font>
      <b/>
      <sz val="9"/>
      <color indexed="81"/>
      <name val="Tahoma"/>
      <family val="2"/>
    </font>
    <font>
      <sz val="9"/>
      <color indexed="81"/>
      <name val="Tahoma"/>
      <family val="2"/>
    </font>
    <font>
      <sz val="14"/>
      <color theme="1"/>
      <name val="Arial Black"/>
      <family val="2"/>
    </font>
    <font>
      <sz val="11"/>
      <name val="Calibri"/>
      <family val="2"/>
      <scheme val="minor"/>
    </font>
    <font>
      <b/>
      <sz val="10"/>
      <name val="Calibri"/>
      <family val="2"/>
      <scheme val="minor"/>
    </font>
    <font>
      <b/>
      <sz val="11"/>
      <name val="Calibri"/>
      <family val="2"/>
      <scheme val="minor"/>
    </font>
  </fonts>
  <fills count="11">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2"/>
        <bgColor indexed="64"/>
      </patternFill>
    </fill>
    <fill>
      <patternFill patternType="solid">
        <fgColor rgb="FF00B0F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rgb="FF92D05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42" fillId="0" borderId="0"/>
    <xf numFmtId="43" fontId="1" fillId="0" borderId="0" applyFont="0" applyFill="0" applyBorder="0" applyAlignment="0" applyProtection="0"/>
  </cellStyleXfs>
  <cellXfs count="127">
    <xf numFmtId="0" fontId="0" fillId="0" borderId="0" xfId="0"/>
    <xf numFmtId="0" fontId="2" fillId="0" borderId="1" xfId="0" applyFont="1" applyBorder="1" applyAlignment="1">
      <alignment horizontal="center" vertical="center"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0" xfId="2" applyFont="1"/>
    <xf numFmtId="0" fontId="0" fillId="0" borderId="1" xfId="0"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0" fontId="2" fillId="0" borderId="0" xfId="0" applyFont="1" applyAlignment="1">
      <alignment horizontal="center" vertical="center" wrapText="1"/>
    </xf>
    <xf numFmtId="0" fontId="4" fillId="0" borderId="0" xfId="0" applyFont="1" applyAlignment="1">
      <alignment horizontal="center" vertical="center" wrapText="1"/>
    </xf>
    <xf numFmtId="10" fontId="4" fillId="0" borderId="0" xfId="2" applyNumberFormat="1" applyFont="1" applyAlignment="1">
      <alignment horizontal="center" vertical="center"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164" fontId="0" fillId="0" borderId="1" xfId="0" applyNumberFormat="1" applyBorder="1" applyAlignment="1">
      <alignment horizontal="center" vertical="center" wrapText="1"/>
    </xf>
    <xf numFmtId="9" fontId="0" fillId="0" borderId="1" xfId="2" applyFont="1" applyBorder="1" applyAlignment="1">
      <alignment horizontal="center" vertical="center" wrapText="1"/>
    </xf>
    <xf numFmtId="0" fontId="10"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1" fillId="0" borderId="4" xfId="0" applyFont="1" applyBorder="1" applyAlignment="1">
      <alignment horizontal="center" vertical="center" wrapText="1"/>
    </xf>
    <xf numFmtId="0" fontId="19"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25" fillId="0" borderId="1" xfId="0" applyFont="1" applyBorder="1" applyAlignment="1">
      <alignment horizontal="center" vertical="center" wrapText="1"/>
    </xf>
    <xf numFmtId="0" fontId="26"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30" fillId="0" borderId="1" xfId="0" applyFont="1" applyBorder="1" applyAlignment="1">
      <alignment horizontal="center" vertical="center" wrapText="1"/>
    </xf>
    <xf numFmtId="0" fontId="31" fillId="0" borderId="1" xfId="0" applyFont="1" applyBorder="1" applyAlignment="1">
      <alignment horizontal="center" vertical="center" wrapText="1"/>
    </xf>
    <xf numFmtId="164" fontId="0" fillId="0" borderId="0" xfId="1" applyFont="1" applyAlignment="1">
      <alignment wrapText="1"/>
    </xf>
    <xf numFmtId="0" fontId="33" fillId="0" borderId="1" xfId="0" applyFont="1" applyBorder="1" applyAlignment="1">
      <alignment horizontal="center" vertical="center" wrapText="1"/>
    </xf>
    <xf numFmtId="0" fontId="34" fillId="0" borderId="1" xfId="0" applyFont="1" applyBorder="1" applyAlignment="1">
      <alignment horizontal="center" vertical="center" wrapText="1"/>
    </xf>
    <xf numFmtId="0" fontId="35" fillId="0" borderId="1" xfId="0" applyFont="1" applyBorder="1" applyAlignment="1">
      <alignment horizontal="center" vertical="center" wrapText="1"/>
    </xf>
    <xf numFmtId="0" fontId="36" fillId="0" borderId="1" xfId="0" applyFont="1" applyBorder="1" applyAlignment="1">
      <alignment horizontal="center" vertical="center" wrapText="1"/>
    </xf>
    <xf numFmtId="0" fontId="37" fillId="0" borderId="1" xfId="0" applyFont="1" applyBorder="1" applyAlignment="1">
      <alignment horizontal="center" vertical="center" wrapText="1"/>
    </xf>
    <xf numFmtId="0" fontId="38" fillId="0" borderId="1" xfId="0" applyFont="1" applyBorder="1" applyAlignment="1">
      <alignment horizontal="center" vertical="center" wrapText="1"/>
    </xf>
    <xf numFmtId="0" fontId="39"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10" fontId="2" fillId="0" borderId="1" xfId="0" applyNumberFormat="1" applyFont="1" applyBorder="1" applyAlignment="1">
      <alignment horizontal="center" vertical="center" wrapText="1"/>
    </xf>
    <xf numFmtId="166" fontId="3" fillId="3" borderId="1" xfId="1" applyNumberFormat="1" applyFont="1" applyFill="1" applyBorder="1" applyAlignment="1">
      <alignment vertical="center" wrapText="1"/>
    </xf>
    <xf numFmtId="166" fontId="0" fillId="0" borderId="0" xfId="0" applyNumberFormat="1"/>
    <xf numFmtId="14" fontId="0" fillId="0" borderId="1" xfId="0" applyNumberFormat="1" applyBorder="1" applyAlignment="1">
      <alignment horizontal="center" vertical="center" wrapText="1"/>
    </xf>
    <xf numFmtId="164" fontId="3" fillId="0" borderId="1" xfId="1" applyFont="1" applyFill="1" applyBorder="1" applyAlignment="1">
      <alignment horizontal="center" vertical="center" wrapText="1"/>
    </xf>
    <xf numFmtId="164" fontId="0" fillId="0" borderId="4" xfId="1" applyFont="1" applyBorder="1" applyAlignment="1">
      <alignment horizontal="center" vertical="center" wrapText="1"/>
    </xf>
    <xf numFmtId="164" fontId="8" fillId="5" borderId="1" xfId="1" applyFont="1" applyFill="1" applyBorder="1" applyAlignment="1">
      <alignment vertical="center" wrapText="1"/>
    </xf>
    <xf numFmtId="0" fontId="41" fillId="5" borderId="1" xfId="0" applyFont="1" applyFill="1" applyBorder="1" applyAlignment="1">
      <alignment horizontal="center" vertical="center" wrapText="1"/>
    </xf>
    <xf numFmtId="3" fontId="41" fillId="5"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4" fontId="2" fillId="0" borderId="1" xfId="0" applyNumberFormat="1" applyFont="1" applyBorder="1" applyAlignment="1">
      <alignment horizontal="center" vertical="center" wrapText="1"/>
    </xf>
    <xf numFmtId="3" fontId="0" fillId="0" borderId="1" xfId="0" applyNumberFormat="1" applyBorder="1" applyAlignment="1">
      <alignment horizontal="center" vertical="center" wrapText="1"/>
    </xf>
    <xf numFmtId="2" fontId="3" fillId="0" borderId="1" xfId="1" applyNumberFormat="1" applyFont="1" applyBorder="1" applyAlignment="1">
      <alignment horizontal="center" vertical="center" wrapText="1"/>
    </xf>
    <xf numFmtId="167" fontId="3" fillId="0" borderId="1" xfId="1" applyNumberFormat="1" applyFont="1" applyBorder="1" applyAlignment="1">
      <alignment horizontal="center" vertical="center" wrapText="1"/>
    </xf>
    <xf numFmtId="168" fontId="0" fillId="0" borderId="1" xfId="0" applyNumberFormat="1" applyBorder="1" applyAlignment="1">
      <alignment horizontal="center" vertical="center" wrapText="1"/>
    </xf>
    <xf numFmtId="0" fontId="3" fillId="3" borderId="1" xfId="0" applyFont="1" applyFill="1" applyBorder="1" applyAlignment="1">
      <alignment horizontal="center" vertical="center" wrapText="1"/>
    </xf>
    <xf numFmtId="166" fontId="3" fillId="3"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0" fontId="7" fillId="2" borderId="1" xfId="3"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169" fontId="0" fillId="0" borderId="1" xfId="0" applyNumberFormat="1" applyBorder="1" applyAlignment="1">
      <alignment horizontal="center" vertical="center" wrapText="1"/>
    </xf>
    <xf numFmtId="0" fontId="32" fillId="0" borderId="5" xfId="0" applyFont="1" applyBorder="1" applyAlignment="1">
      <alignment vertical="center"/>
    </xf>
    <xf numFmtId="0" fontId="0" fillId="0" borderId="5" xfId="0" applyBorder="1" applyAlignment="1">
      <alignment vertical="center"/>
    </xf>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164" fontId="2" fillId="0" borderId="1" xfId="0" applyNumberFormat="1" applyFont="1" applyBorder="1" applyAlignment="1">
      <alignment horizontal="center" vertical="center"/>
    </xf>
    <xf numFmtId="0" fontId="2" fillId="7" borderId="1" xfId="0" applyFont="1" applyFill="1" applyBorder="1" applyAlignment="1">
      <alignment horizontal="center" vertical="center"/>
    </xf>
    <xf numFmtId="43" fontId="2" fillId="0" borderId="1" xfId="5" applyFont="1" applyFill="1" applyBorder="1" applyAlignment="1">
      <alignment horizontal="center" vertical="center"/>
    </xf>
    <xf numFmtId="10" fontId="2" fillId="0" borderId="1" xfId="2" applyNumberFormat="1" applyFont="1" applyBorder="1" applyAlignment="1">
      <alignment horizontal="center" vertical="center" wrapText="1"/>
    </xf>
    <xf numFmtId="2" fontId="2" fillId="6" borderId="1" xfId="5" applyNumberFormat="1" applyFont="1" applyFill="1" applyBorder="1" applyAlignment="1">
      <alignment horizontal="center" vertical="center"/>
    </xf>
    <xf numFmtId="2" fontId="0" fillId="0" borderId="0" xfId="0" applyNumberFormat="1"/>
    <xf numFmtId="0" fontId="0" fillId="0" borderId="0" xfId="0" applyAlignment="1">
      <alignment vertical="center"/>
    </xf>
    <xf numFmtId="0" fontId="2" fillId="8" borderId="9" xfId="0" applyFont="1" applyFill="1" applyBorder="1" applyAlignment="1">
      <alignment vertical="top" wrapText="1"/>
    </xf>
    <xf numFmtId="0" fontId="2" fillId="8" borderId="10" xfId="0" applyFont="1" applyFill="1" applyBorder="1" applyAlignment="1">
      <alignment vertical="top" wrapText="1"/>
    </xf>
    <xf numFmtId="0" fontId="2" fillId="8" borderId="1" xfId="0" applyFont="1" applyFill="1" applyBorder="1" applyAlignment="1">
      <alignment vertical="center" wrapText="1"/>
    </xf>
    <xf numFmtId="0" fontId="2" fillId="0" borderId="0" xfId="0" applyFont="1" applyAlignment="1">
      <alignment vertical="center" wrapText="1"/>
    </xf>
    <xf numFmtId="0" fontId="3" fillId="10" borderId="1" xfId="0" applyFont="1" applyFill="1" applyBorder="1" applyAlignment="1">
      <alignment horizontal="center" vertical="center" wrapText="1"/>
    </xf>
    <xf numFmtId="164" fontId="3" fillId="10" borderId="1" xfId="1" applyFont="1" applyFill="1" applyBorder="1" applyAlignment="1">
      <alignment horizontal="center" vertical="center" wrapText="1"/>
    </xf>
    <xf numFmtId="164" fontId="0" fillId="10" borderId="1" xfId="1" applyFont="1" applyFill="1" applyBorder="1" applyAlignment="1">
      <alignment horizontal="center" vertical="center" wrapText="1"/>
    </xf>
    <xf numFmtId="2" fontId="2" fillId="0" borderId="0" xfId="5" applyNumberFormat="1" applyFont="1" applyFill="1" applyBorder="1" applyAlignment="1">
      <alignment horizontal="center" vertical="center"/>
    </xf>
    <xf numFmtId="0" fontId="47" fillId="0" borderId="1" xfId="0" applyFont="1" applyBorder="1" applyAlignment="1">
      <alignment horizontal="center" vertical="center" wrapText="1"/>
    </xf>
    <xf numFmtId="0" fontId="47" fillId="9" borderId="1" xfId="0" applyFont="1" applyFill="1" applyBorder="1" applyAlignment="1">
      <alignment horizontal="center" vertical="center" wrapText="1"/>
    </xf>
    <xf numFmtId="0" fontId="48" fillId="9" borderId="1" xfId="0" applyFont="1" applyFill="1" applyBorder="1" applyAlignment="1">
      <alignment horizontal="center" vertical="center" wrapText="1"/>
    </xf>
    <xf numFmtId="0" fontId="48" fillId="0" borderId="1" xfId="0" applyFont="1" applyBorder="1" applyAlignment="1">
      <alignment horizontal="center" vertical="center" wrapText="1"/>
    </xf>
    <xf numFmtId="164" fontId="0" fillId="0" borderId="1" xfId="1" applyFont="1" applyBorder="1" applyAlignment="1">
      <alignment vertical="center" wrapText="1"/>
    </xf>
    <xf numFmtId="170" fontId="2" fillId="0" borderId="1" xfId="2" applyNumberFormat="1" applyFont="1" applyBorder="1" applyAlignment="1">
      <alignment horizontal="center" vertical="center" wrapText="1"/>
    </xf>
    <xf numFmtId="0" fontId="40" fillId="5" borderId="2" xfId="0" applyFont="1" applyFill="1" applyBorder="1" applyAlignment="1">
      <alignment horizontal="center" vertical="center" wrapText="1"/>
    </xf>
    <xf numFmtId="0" fontId="40" fillId="5" borderId="3" xfId="0" applyFont="1" applyFill="1" applyBorder="1" applyAlignment="1">
      <alignment horizontal="center" vertical="center" wrapText="1"/>
    </xf>
    <xf numFmtId="0" fontId="40" fillId="5" borderId="4" xfId="0" applyFont="1" applyFill="1" applyBorder="1" applyAlignment="1">
      <alignment horizontal="center" vertical="center" wrapText="1"/>
    </xf>
    <xf numFmtId="0" fontId="18" fillId="0" borderId="2" xfId="0" applyFont="1" applyBorder="1" applyAlignment="1">
      <alignment horizontal="center" vertical="center" wrapText="1"/>
    </xf>
    <xf numFmtId="0" fontId="18" fillId="0" borderId="3" xfId="0" applyFont="1" applyBorder="1" applyAlignment="1">
      <alignment horizontal="center" vertical="center" wrapText="1"/>
    </xf>
    <xf numFmtId="0" fontId="17"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9" fillId="0" borderId="1" xfId="0" applyFont="1" applyBorder="1" applyAlignment="1">
      <alignment horizontal="center" vertical="center" wrapText="1"/>
    </xf>
    <xf numFmtId="0" fontId="45" fillId="0" borderId="6" xfId="0" applyFont="1" applyBorder="1" applyAlignment="1">
      <alignment horizontal="center"/>
    </xf>
    <xf numFmtId="0" fontId="45" fillId="0" borderId="7" xfId="0" applyFont="1" applyBorder="1" applyAlignment="1">
      <alignment horizontal="center"/>
    </xf>
    <xf numFmtId="0" fontId="45" fillId="0" borderId="8" xfId="0" applyFont="1" applyBorder="1" applyAlignment="1">
      <alignment horizontal="center"/>
    </xf>
    <xf numFmtId="0" fontId="46" fillId="0" borderId="1" xfId="0" applyFont="1" applyBorder="1" applyAlignment="1">
      <alignment horizontal="left" vertical="top"/>
    </xf>
    <xf numFmtId="0" fontId="46" fillId="0" borderId="1" xfId="0" applyFont="1" applyBorder="1" applyAlignment="1">
      <alignment horizontal="left" vertical="top" wrapText="1"/>
    </xf>
    <xf numFmtId="0" fontId="0" fillId="0" borderId="1" xfId="0" applyBorder="1" applyAlignment="1">
      <alignment vertical="center" wrapText="1"/>
    </xf>
    <xf numFmtId="0" fontId="46" fillId="0" borderId="2" xfId="0" applyFont="1" applyBorder="1" applyAlignment="1">
      <alignment horizontal="left" vertical="top" wrapText="1"/>
    </xf>
    <xf numFmtId="0" fontId="46" fillId="0" borderId="3" xfId="0" applyFont="1" applyBorder="1" applyAlignment="1">
      <alignment horizontal="left" vertical="top" wrapText="1"/>
    </xf>
    <xf numFmtId="0" fontId="46" fillId="0" borderId="4" xfId="0" applyFont="1" applyBorder="1" applyAlignment="1">
      <alignment horizontal="left" vertical="top" wrapText="1"/>
    </xf>
    <xf numFmtId="0" fontId="46" fillId="0" borderId="2" xfId="0" applyFont="1" applyBorder="1" applyAlignment="1">
      <alignment horizontal="justify" vertical="top" wrapText="1"/>
    </xf>
    <xf numFmtId="0" fontId="46" fillId="0" borderId="3" xfId="0" applyFont="1" applyBorder="1" applyAlignment="1">
      <alignment horizontal="justify" vertical="top" wrapText="1"/>
    </xf>
    <xf numFmtId="0" fontId="46" fillId="0" borderId="4" xfId="0" applyFont="1" applyBorder="1" applyAlignment="1">
      <alignment horizontal="justify" vertical="top" wrapText="1"/>
    </xf>
  </cellXfs>
  <cellStyles count="6">
    <cellStyle name="Comma" xfId="1" builtinId="3"/>
    <cellStyle name="Comma 3" xfId="5" xr:uid="{E6AEC2ED-D963-49AC-B4D6-DA21A917E236}"/>
    <cellStyle name="Normal" xfId="0" builtinId="0"/>
    <cellStyle name="Normal 2" xfId="3" xr:uid="{00000000-0005-0000-0000-000002000000}"/>
    <cellStyle name="Normal 2 2" xfId="4" xr:uid="{00000000-0005-0000-0000-000003000000}"/>
    <cellStyle name="Percent" xfId="2" builtinId="5"/>
  </cellStyles>
  <dxfs count="1">
    <dxf>
      <font>
        <color rgb="FF9C0006"/>
      </font>
      <fill>
        <patternFill>
          <bgColor rgb="FFFFC7CE"/>
        </patternFill>
      </fill>
    </dxf>
  </dxfs>
  <tableStyles count="0" defaultTableStyle="TableStyleMedium9" defaultPivotStyle="PivotStyleLight16"/>
  <colors>
    <mruColors>
      <color rgb="FF660066"/>
      <color rgb="FFFF00FF"/>
      <color rgb="FF009900"/>
      <color rgb="FF0033CC"/>
      <color rgb="FFCC9900"/>
      <color rgb="FFFF9900"/>
      <color rgb="FFA50021"/>
      <color rgb="FF33CC33"/>
      <color rgb="FFFFCC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Z44"/>
  <sheetViews>
    <sheetView showZeros="0" zoomScale="85" zoomScaleNormal="85" workbookViewId="0">
      <pane xSplit="4" topLeftCell="E1" activePane="topRight" state="frozen"/>
      <selection pane="topRight" activeCell="D3" sqref="D3"/>
    </sheetView>
  </sheetViews>
  <sheetFormatPr defaultRowHeight="18" customHeight="1" x14ac:dyDescent="0.25"/>
  <cols>
    <col min="1" max="1" width="15.140625" style="15" bestFit="1" customWidth="1"/>
    <col min="2" max="2" width="10.42578125" style="15" bestFit="1" customWidth="1"/>
    <col min="3" max="3" width="10.7109375" style="15" bestFit="1" customWidth="1"/>
    <col min="4" max="4" width="56.85546875" style="15" bestFit="1" customWidth="1"/>
    <col min="5" max="5" width="20.42578125" style="15" bestFit="1" customWidth="1"/>
    <col min="6" max="6" width="28.7109375" style="15" bestFit="1" customWidth="1"/>
    <col min="7" max="7" width="45.5703125" style="15" bestFit="1" customWidth="1"/>
    <col min="8" max="8" width="37.42578125" style="15" bestFit="1" customWidth="1"/>
    <col min="9" max="9" width="35" style="15" bestFit="1" customWidth="1"/>
    <col min="10" max="10" width="16.5703125" style="15" bestFit="1" customWidth="1"/>
    <col min="11" max="11" width="26.5703125" style="15" bestFit="1" customWidth="1"/>
    <col min="12" max="12" width="19.140625" style="15" bestFit="1" customWidth="1"/>
    <col min="13" max="13" width="16.28515625" style="15" bestFit="1" customWidth="1"/>
    <col min="14" max="14" width="9.140625" style="15" bestFit="1" customWidth="1"/>
    <col min="15" max="15" width="25.28515625" style="15" bestFit="1" customWidth="1"/>
    <col min="16" max="16" width="18" style="15" bestFit="1" customWidth="1"/>
    <col min="17" max="17" width="15.140625" style="15" bestFit="1" customWidth="1"/>
    <col min="18" max="18" width="33.85546875" style="15" bestFit="1" customWidth="1"/>
    <col min="19" max="19" width="49.7109375" style="15" bestFit="1" customWidth="1"/>
    <col min="20" max="20" width="42.42578125" style="15" bestFit="1" customWidth="1"/>
    <col min="21" max="21" width="39.5703125" style="15" bestFit="1" customWidth="1"/>
    <col min="22" max="22" width="9.85546875" style="15" bestFit="1" customWidth="1"/>
    <col min="23" max="23" width="26.28515625" style="15" bestFit="1" customWidth="1"/>
    <col min="24" max="24" width="18.85546875" style="15" bestFit="1" customWidth="1"/>
    <col min="25" max="25" width="16" style="15" bestFit="1" customWidth="1"/>
    <col min="26" max="26" width="10.42578125" style="15" bestFit="1" customWidth="1"/>
    <col min="27" max="27" width="26.42578125" style="15" bestFit="1" customWidth="1"/>
    <col min="28" max="28" width="19" style="15" bestFit="1" customWidth="1"/>
    <col min="29" max="29" width="15.7109375" style="15" bestFit="1" customWidth="1"/>
    <col min="30" max="30" width="20.42578125" style="15" bestFit="1" customWidth="1"/>
    <col min="31" max="31" width="28.7109375" style="15" bestFit="1" customWidth="1"/>
    <col min="32" max="32" width="21.42578125" style="15" bestFit="1" customWidth="1"/>
    <col min="33" max="33" width="18.5703125" style="15" bestFit="1" customWidth="1"/>
    <col min="34" max="34" width="24.5703125" style="15" bestFit="1" customWidth="1"/>
    <col min="35" max="35" width="26.85546875" style="15" bestFit="1" customWidth="1"/>
    <col min="36" max="36" width="19.42578125" style="15" bestFit="1" customWidth="1"/>
    <col min="37" max="37" width="16.5703125" style="15" bestFit="1" customWidth="1"/>
    <col min="38" max="38" width="24.28515625" style="15" bestFit="1" customWidth="1"/>
    <col min="39" max="39" width="29.140625" style="15" bestFit="1" customWidth="1"/>
    <col min="40" max="40" width="21.85546875" style="15" bestFit="1" customWidth="1"/>
    <col min="41" max="41" width="19" style="15" bestFit="1" customWidth="1"/>
    <col min="42" max="42" width="6.42578125" style="15" bestFit="1" customWidth="1"/>
    <col min="43" max="43" width="21.85546875" style="15" bestFit="1" customWidth="1"/>
    <col min="44" max="44" width="14.42578125" style="15" bestFit="1" customWidth="1"/>
    <col min="45" max="45" width="11.5703125" style="15" bestFit="1" customWidth="1"/>
    <col min="46" max="46" width="7.85546875" style="15" bestFit="1" customWidth="1"/>
    <col min="47" max="47" width="23.5703125" style="15" bestFit="1" customWidth="1"/>
    <col min="48" max="48" width="16.140625" style="15" bestFit="1" customWidth="1"/>
    <col min="49" max="49" width="13.42578125" style="15" bestFit="1" customWidth="1"/>
    <col min="50" max="50" width="20.5703125" style="15" bestFit="1" customWidth="1"/>
    <col min="51" max="51" width="37" style="15" bestFit="1" customWidth="1"/>
    <col min="52" max="52" width="29.7109375" style="15" bestFit="1" customWidth="1"/>
    <col min="53" max="53" width="26.85546875" style="15" bestFit="1" customWidth="1"/>
    <col min="54" max="54" width="36" style="15" bestFit="1" customWidth="1"/>
    <col min="55" max="55" width="52.42578125" style="15" bestFit="1" customWidth="1"/>
    <col min="56" max="56" width="45" style="15" bestFit="1" customWidth="1"/>
    <col min="57" max="57" width="42.28515625" style="15" bestFit="1" customWidth="1"/>
    <col min="58" max="58" width="14.42578125" style="15" bestFit="1" customWidth="1"/>
    <col min="59" max="59" width="30.85546875" style="15" bestFit="1" customWidth="1"/>
    <col min="60" max="60" width="23.42578125" style="15" bestFit="1" customWidth="1"/>
    <col min="61" max="61" width="20.5703125" style="15" bestFit="1" customWidth="1"/>
    <col min="62" max="62" width="16.85546875" style="15" bestFit="1" customWidth="1"/>
    <col min="63" max="63" width="33.28515625" style="15" bestFit="1" customWidth="1"/>
    <col min="64" max="64" width="26" style="15" bestFit="1" customWidth="1"/>
    <col min="65" max="65" width="23.140625" style="15" bestFit="1" customWidth="1"/>
    <col min="66" max="66" width="20.5703125" style="15" bestFit="1" customWidth="1"/>
    <col min="67" max="67" width="37" style="15" bestFit="1" customWidth="1"/>
    <col min="68" max="68" width="29.7109375" style="15" bestFit="1" customWidth="1"/>
    <col min="69" max="69" width="26.85546875" style="15" bestFit="1" customWidth="1"/>
    <col min="70" max="70" width="25" style="15" bestFit="1" customWidth="1"/>
    <col min="71" max="71" width="41.42578125" style="15" bestFit="1" customWidth="1"/>
    <col min="72" max="72" width="34.140625" style="15" bestFit="1" customWidth="1"/>
    <col min="73" max="73" width="31.28515625" style="15" bestFit="1" customWidth="1"/>
    <col min="74" max="74" width="22" style="15" bestFit="1" customWidth="1"/>
    <col min="75" max="75" width="38.42578125" style="15" bestFit="1" customWidth="1"/>
    <col min="76" max="76" width="31" style="15" bestFit="1" customWidth="1"/>
    <col min="77" max="77" width="28.140625" style="15" bestFit="1" customWidth="1"/>
    <col min="78" max="78" width="19.140625" style="15" bestFit="1" customWidth="1"/>
    <col min="79" max="79" width="15.140625" style="15" bestFit="1" customWidth="1"/>
    <col min="80" max="80" width="7.5703125" style="15" bestFit="1" customWidth="1"/>
    <col min="81" max="81" width="11.85546875" style="15" bestFit="1" customWidth="1"/>
    <col min="82" max="82" width="7.140625" style="15" bestFit="1" customWidth="1"/>
    <col min="83" max="83" width="11.5703125" style="15" bestFit="1" customWidth="1"/>
    <col min="84" max="84" width="7.28515625" style="15" bestFit="1" customWidth="1"/>
    <col min="85" max="85" width="13.7109375" style="15" bestFit="1" customWidth="1"/>
    <col min="86" max="86" width="14.140625" style="15" bestFit="1" customWidth="1"/>
    <col min="87" max="87" width="6.140625" style="15" bestFit="1" customWidth="1"/>
    <col min="88" max="88" width="11.28515625" style="15" bestFit="1" customWidth="1"/>
    <col min="89" max="89" width="6.28515625" style="15" bestFit="1" customWidth="1"/>
    <col min="90" max="90" width="11.42578125" style="15" bestFit="1" customWidth="1"/>
    <col min="91" max="91" width="19.42578125" style="46" bestFit="1" customWidth="1"/>
    <col min="92" max="92" width="15.7109375" style="15" bestFit="1" customWidth="1"/>
    <col min="93" max="93" width="33.85546875" style="15" bestFit="1" customWidth="1"/>
    <col min="94" max="94" width="7.140625" style="15" bestFit="1" customWidth="1"/>
    <col min="95" max="95" width="10.7109375" style="15" bestFit="1" customWidth="1"/>
    <col min="96" max="96" width="39.85546875" style="15" bestFit="1" customWidth="1"/>
    <col min="97" max="98" width="5" style="15" bestFit="1" customWidth="1"/>
    <col min="99" max="99" width="49.42578125" style="15" bestFit="1" customWidth="1"/>
    <col min="100" max="100" width="12" style="15" bestFit="1" customWidth="1"/>
    <col min="101" max="101" width="56" style="15" bestFit="1" customWidth="1"/>
    <col min="102" max="102" width="30.85546875" style="15" bestFit="1" customWidth="1"/>
    <col min="103" max="16384" width="9.140625" style="15"/>
  </cols>
  <sheetData>
    <row r="1" spans="1:104" s="10" customFormat="1" ht="18" customHeight="1" x14ac:dyDescent="0.25">
      <c r="A1" s="6" t="s">
        <v>0</v>
      </c>
      <c r="B1" s="6" t="s">
        <v>158</v>
      </c>
      <c r="C1" s="1" t="s">
        <v>1</v>
      </c>
      <c r="D1" s="1" t="s">
        <v>2</v>
      </c>
      <c r="E1" s="1" t="s">
        <v>159</v>
      </c>
      <c r="F1" s="53" t="s">
        <v>160</v>
      </c>
      <c r="G1" s="53" t="s">
        <v>161</v>
      </c>
      <c r="H1" s="53" t="s">
        <v>162</v>
      </c>
      <c r="I1" s="53" t="s">
        <v>163</v>
      </c>
      <c r="J1" s="48" t="s">
        <v>82</v>
      </c>
      <c r="K1" s="48" t="s">
        <v>164</v>
      </c>
      <c r="L1" s="48" t="s">
        <v>165</v>
      </c>
      <c r="M1" s="48" t="s">
        <v>166</v>
      </c>
      <c r="N1" s="47" t="s">
        <v>4</v>
      </c>
      <c r="O1" s="47" t="s">
        <v>167</v>
      </c>
      <c r="P1" s="47" t="s">
        <v>168</v>
      </c>
      <c r="Q1" s="47" t="s">
        <v>169</v>
      </c>
      <c r="R1" s="51" t="s">
        <v>170</v>
      </c>
      <c r="S1" s="51" t="s">
        <v>171</v>
      </c>
      <c r="T1" s="51" t="s">
        <v>172</v>
      </c>
      <c r="U1" s="51" t="s">
        <v>173</v>
      </c>
      <c r="V1" s="50" t="s">
        <v>6</v>
      </c>
      <c r="W1" s="50" t="s">
        <v>174</v>
      </c>
      <c r="X1" s="50" t="s">
        <v>175</v>
      </c>
      <c r="Y1" s="50" t="s">
        <v>176</v>
      </c>
      <c r="Z1" s="1" t="s">
        <v>177</v>
      </c>
      <c r="AA1" s="1" t="s">
        <v>178</v>
      </c>
      <c r="AB1" s="1" t="s">
        <v>179</v>
      </c>
      <c r="AC1" s="1" t="s">
        <v>180</v>
      </c>
      <c r="AD1" s="49" t="s">
        <v>8</v>
      </c>
      <c r="AE1" s="49" t="s">
        <v>181</v>
      </c>
      <c r="AF1" s="49" t="s">
        <v>182</v>
      </c>
      <c r="AG1" s="49" t="s">
        <v>183</v>
      </c>
      <c r="AH1" s="50" t="s">
        <v>9</v>
      </c>
      <c r="AI1" s="50" t="s">
        <v>184</v>
      </c>
      <c r="AJ1" s="50" t="s">
        <v>185</v>
      </c>
      <c r="AK1" s="50" t="s">
        <v>186</v>
      </c>
      <c r="AL1" s="1" t="s">
        <v>10</v>
      </c>
      <c r="AM1" s="1" t="s">
        <v>187</v>
      </c>
      <c r="AN1" s="1" t="s">
        <v>188</v>
      </c>
      <c r="AO1" s="1" t="s">
        <v>189</v>
      </c>
      <c r="AP1" s="52" t="s">
        <v>190</v>
      </c>
      <c r="AQ1" s="52" t="s">
        <v>191</v>
      </c>
      <c r="AR1" s="52" t="s">
        <v>192</v>
      </c>
      <c r="AS1" s="52" t="s">
        <v>193</v>
      </c>
      <c r="AT1" s="1" t="s">
        <v>50</v>
      </c>
      <c r="AU1" s="1" t="s">
        <v>194</v>
      </c>
      <c r="AV1" s="1" t="s">
        <v>195</v>
      </c>
      <c r="AW1" s="1" t="s">
        <v>196</v>
      </c>
      <c r="AX1" s="1" t="s">
        <v>197</v>
      </c>
      <c r="AY1" s="1" t="s">
        <v>198</v>
      </c>
      <c r="AZ1" s="1" t="s">
        <v>199</v>
      </c>
      <c r="BA1" s="1" t="s">
        <v>200</v>
      </c>
      <c r="BB1" s="1" t="s">
        <v>201</v>
      </c>
      <c r="BC1" s="1" t="s">
        <v>202</v>
      </c>
      <c r="BD1" s="1" t="s">
        <v>203</v>
      </c>
      <c r="BE1" s="1" t="s">
        <v>204</v>
      </c>
      <c r="BF1" s="1" t="s">
        <v>205</v>
      </c>
      <c r="BG1" s="1" t="s">
        <v>206</v>
      </c>
      <c r="BH1" s="1" t="s">
        <v>207</v>
      </c>
      <c r="BI1" s="1" t="s">
        <v>208</v>
      </c>
      <c r="BJ1" s="1" t="s">
        <v>209</v>
      </c>
      <c r="BK1" s="1" t="s">
        <v>210</v>
      </c>
      <c r="BL1" s="1" t="s">
        <v>211</v>
      </c>
      <c r="BM1" s="1" t="s">
        <v>212</v>
      </c>
      <c r="BN1" s="1" t="s">
        <v>213</v>
      </c>
      <c r="BO1" s="1" t="s">
        <v>214</v>
      </c>
      <c r="BP1" s="1" t="s">
        <v>215</v>
      </c>
      <c r="BQ1" s="1" t="s">
        <v>216</v>
      </c>
      <c r="BR1" s="1" t="s">
        <v>217</v>
      </c>
      <c r="BS1" s="1" t="s">
        <v>218</v>
      </c>
      <c r="BT1" s="1" t="s">
        <v>219</v>
      </c>
      <c r="BU1" s="1" t="s">
        <v>220</v>
      </c>
      <c r="BV1" s="1" t="s">
        <v>19</v>
      </c>
      <c r="BW1" s="1" t="s">
        <v>221</v>
      </c>
      <c r="BX1" s="1" t="s">
        <v>222</v>
      </c>
      <c r="BY1" s="1" t="s">
        <v>223</v>
      </c>
      <c r="BZ1" s="1" t="s">
        <v>224</v>
      </c>
      <c r="CA1" s="1" t="s">
        <v>225</v>
      </c>
      <c r="CB1" s="1" t="s">
        <v>226</v>
      </c>
      <c r="CC1" s="1" t="s">
        <v>227</v>
      </c>
      <c r="CD1" s="1" t="s">
        <v>22</v>
      </c>
      <c r="CE1" s="1" t="s">
        <v>228</v>
      </c>
      <c r="CF1" s="1" t="s">
        <v>24</v>
      </c>
      <c r="CG1" s="1" t="s">
        <v>229</v>
      </c>
      <c r="CH1" s="1" t="s">
        <v>230</v>
      </c>
      <c r="CI1" s="1" t="s">
        <v>27</v>
      </c>
      <c r="CJ1" s="1" t="s">
        <v>231</v>
      </c>
      <c r="CK1" s="1" t="s">
        <v>29</v>
      </c>
      <c r="CL1" s="1" t="s">
        <v>232</v>
      </c>
      <c r="CM1" s="1" t="s">
        <v>233</v>
      </c>
      <c r="CN1" s="1" t="s">
        <v>234</v>
      </c>
      <c r="CO1" s="1" t="s">
        <v>235</v>
      </c>
      <c r="CP1" s="1" t="s">
        <v>236</v>
      </c>
      <c r="CQ1" s="1" t="s">
        <v>237</v>
      </c>
      <c r="CR1" s="1" t="s">
        <v>34</v>
      </c>
      <c r="CS1" s="1" t="s">
        <v>238</v>
      </c>
      <c r="CT1" s="1" t="s">
        <v>239</v>
      </c>
      <c r="CU1" s="1" t="s">
        <v>37</v>
      </c>
      <c r="CV1" s="1" t="s">
        <v>38</v>
      </c>
      <c r="CW1" s="1" t="s">
        <v>240</v>
      </c>
      <c r="CX1" s="1" t="s">
        <v>241</v>
      </c>
      <c r="CY1" s="10" t="s">
        <v>92</v>
      </c>
      <c r="CZ1" s="10" t="s">
        <v>93</v>
      </c>
    </row>
    <row r="2" spans="1:104" s="10" customFormat="1" ht="18" customHeight="1" x14ac:dyDescent="0.25">
      <c r="A2" s="6" t="s">
        <v>242</v>
      </c>
      <c r="B2" s="58"/>
      <c r="C2" s="1" t="s">
        <v>243</v>
      </c>
      <c r="D2" s="1" t="s">
        <v>245</v>
      </c>
      <c r="E2" s="1"/>
      <c r="F2" s="53"/>
      <c r="G2" s="53"/>
      <c r="H2" s="53">
        <v>0</v>
      </c>
      <c r="I2" s="53"/>
      <c r="J2" s="48"/>
      <c r="K2" s="48"/>
      <c r="L2" s="48">
        <v>3240</v>
      </c>
      <c r="M2" s="48"/>
      <c r="N2" s="47"/>
      <c r="O2" s="47"/>
      <c r="P2" s="47">
        <v>0</v>
      </c>
      <c r="Q2" s="47"/>
      <c r="R2" s="51"/>
      <c r="S2" s="51"/>
      <c r="T2" s="51">
        <v>427</v>
      </c>
      <c r="U2" s="51"/>
      <c r="V2" s="50"/>
      <c r="W2" s="50"/>
      <c r="X2" s="50">
        <v>2621</v>
      </c>
      <c r="Y2" s="50"/>
      <c r="Z2" s="1"/>
      <c r="AA2" s="1"/>
      <c r="AB2" s="1">
        <v>0</v>
      </c>
      <c r="AC2" s="1"/>
      <c r="AD2" s="49"/>
      <c r="AE2" s="49"/>
      <c r="AF2" s="49">
        <v>405</v>
      </c>
      <c r="AG2" s="49"/>
      <c r="AH2" s="50"/>
      <c r="AI2" s="50"/>
      <c r="AJ2" s="50">
        <v>1600</v>
      </c>
      <c r="AK2" s="50"/>
      <c r="AL2" s="1"/>
      <c r="AM2" s="1"/>
      <c r="AN2" s="1">
        <v>1560</v>
      </c>
      <c r="AO2" s="1"/>
      <c r="AP2" s="52"/>
      <c r="AQ2" s="52"/>
      <c r="AR2" s="52">
        <v>2672</v>
      </c>
      <c r="AS2" s="52"/>
      <c r="AT2" s="1"/>
      <c r="AU2" s="1"/>
      <c r="AV2" s="1">
        <v>0</v>
      </c>
      <c r="AW2" s="1"/>
      <c r="AX2" s="1"/>
      <c r="AY2" s="1"/>
      <c r="AZ2" s="1">
        <v>162</v>
      </c>
      <c r="BA2" s="1"/>
      <c r="BB2" s="1"/>
      <c r="BC2" s="1"/>
      <c r="BD2" s="1">
        <v>0</v>
      </c>
      <c r="BE2" s="1"/>
      <c r="BF2" s="1"/>
      <c r="BG2" s="1"/>
      <c r="BH2" s="1">
        <v>52</v>
      </c>
      <c r="BI2" s="1"/>
      <c r="BJ2" s="1"/>
      <c r="BK2" s="1"/>
      <c r="BL2" s="1">
        <v>129</v>
      </c>
      <c r="BM2" s="65"/>
      <c r="BN2" s="1"/>
      <c r="BO2" s="1"/>
      <c r="BP2" s="1">
        <v>0</v>
      </c>
      <c r="BQ2" s="1"/>
      <c r="BR2" s="1"/>
      <c r="BS2" s="1"/>
      <c r="BT2" s="1">
        <v>0</v>
      </c>
      <c r="BU2" s="1"/>
      <c r="BV2" s="1"/>
      <c r="BW2" s="1"/>
      <c r="BX2" s="1">
        <v>0</v>
      </c>
      <c r="BY2" s="1"/>
      <c r="BZ2" s="1"/>
      <c r="CA2" s="1"/>
      <c r="CB2" s="55"/>
      <c r="CC2" s="1"/>
      <c r="CD2" s="55"/>
      <c r="CE2" s="1"/>
      <c r="CF2" s="55"/>
      <c r="CG2" s="1"/>
      <c r="CH2" s="1"/>
      <c r="CI2" s="55"/>
      <c r="CJ2" s="1"/>
      <c r="CK2" s="55"/>
      <c r="CL2" s="1"/>
      <c r="CM2" s="1"/>
      <c r="CN2" s="1"/>
      <c r="CO2" s="1"/>
      <c r="CP2" s="55"/>
      <c r="CQ2" s="1"/>
      <c r="CR2" s="55">
        <v>0.18</v>
      </c>
      <c r="CS2" s="1"/>
      <c r="CT2" s="1"/>
      <c r="CU2" s="54">
        <v>12.95</v>
      </c>
      <c r="CV2" s="54" t="s">
        <v>244</v>
      </c>
      <c r="CW2" s="54"/>
      <c r="CX2" s="1"/>
    </row>
    <row r="3" spans="1:104" s="10" customFormat="1" ht="18" customHeight="1" x14ac:dyDescent="0.25">
      <c r="A3" s="6"/>
      <c r="B3" s="58"/>
      <c r="C3" s="1"/>
      <c r="D3" s="1"/>
      <c r="E3" s="1"/>
      <c r="F3" s="53"/>
      <c r="G3" s="53"/>
      <c r="H3" s="53"/>
      <c r="I3" s="53"/>
      <c r="J3" s="48"/>
      <c r="K3" s="48"/>
      <c r="L3" s="48"/>
      <c r="M3" s="48"/>
      <c r="N3" s="47"/>
      <c r="O3" s="47"/>
      <c r="P3" s="47"/>
      <c r="Q3" s="47"/>
      <c r="R3" s="51"/>
      <c r="S3" s="51"/>
      <c r="T3" s="51"/>
      <c r="U3" s="51"/>
      <c r="V3" s="50"/>
      <c r="W3" s="50"/>
      <c r="X3" s="50"/>
      <c r="Y3" s="50"/>
      <c r="Z3" s="1"/>
      <c r="AA3" s="1"/>
      <c r="AB3" s="1"/>
      <c r="AC3" s="1"/>
      <c r="AD3" s="49"/>
      <c r="AE3" s="49"/>
      <c r="AF3" s="49"/>
      <c r="AG3" s="49"/>
      <c r="AH3" s="50"/>
      <c r="AI3" s="50"/>
      <c r="AJ3" s="50"/>
      <c r="AK3" s="50"/>
      <c r="AL3" s="1"/>
      <c r="AM3" s="1"/>
      <c r="AN3" s="1"/>
      <c r="AO3" s="1"/>
      <c r="AP3" s="52"/>
      <c r="AQ3" s="52"/>
      <c r="AR3" s="52"/>
      <c r="AS3" s="52"/>
      <c r="AT3" s="1"/>
      <c r="AU3" s="1"/>
      <c r="AV3" s="1"/>
      <c r="AW3" s="1"/>
      <c r="AX3" s="1"/>
      <c r="AY3" s="1"/>
      <c r="AZ3" s="1"/>
      <c r="BA3" s="1"/>
      <c r="BB3" s="1"/>
      <c r="BC3" s="1"/>
      <c r="BD3" s="1"/>
      <c r="BE3" s="1"/>
      <c r="BF3" s="1"/>
      <c r="BG3" s="1"/>
      <c r="BH3" s="1"/>
      <c r="BI3" s="1"/>
      <c r="BJ3" s="1"/>
      <c r="BK3" s="1"/>
      <c r="BL3" s="1"/>
      <c r="BM3" s="65"/>
      <c r="BN3" s="1"/>
      <c r="BO3" s="1"/>
      <c r="BP3" s="1"/>
      <c r="BQ3" s="1"/>
      <c r="BR3" s="1"/>
      <c r="BS3" s="1"/>
      <c r="BT3" s="1"/>
      <c r="BU3" s="1"/>
      <c r="BV3" s="1"/>
      <c r="BW3" s="1"/>
      <c r="BX3" s="1"/>
      <c r="BY3" s="1"/>
      <c r="BZ3" s="1"/>
      <c r="CA3" s="1"/>
      <c r="CB3" s="55"/>
      <c r="CC3" s="1"/>
      <c r="CD3" s="55"/>
      <c r="CE3" s="1"/>
      <c r="CF3" s="55"/>
      <c r="CG3" s="1"/>
      <c r="CH3" s="1"/>
      <c r="CI3" s="55"/>
      <c r="CJ3" s="1"/>
      <c r="CK3" s="55"/>
      <c r="CL3" s="1"/>
      <c r="CM3" s="1"/>
      <c r="CN3" s="1"/>
      <c r="CO3" s="1"/>
      <c r="CP3" s="55"/>
      <c r="CQ3" s="1"/>
      <c r="CR3" s="55"/>
      <c r="CS3" s="1"/>
      <c r="CT3" s="1"/>
      <c r="CU3" s="54"/>
      <c r="CV3" s="54"/>
      <c r="CW3" s="54"/>
      <c r="CX3" s="1"/>
    </row>
    <row r="4" spans="1:104" s="10" customFormat="1" ht="18" customHeight="1" x14ac:dyDescent="0.25">
      <c r="A4" s="6"/>
      <c r="B4" s="58"/>
      <c r="C4" s="1"/>
      <c r="D4" s="1"/>
      <c r="E4" s="1"/>
      <c r="F4" s="53"/>
      <c r="G4" s="53"/>
      <c r="H4" s="53"/>
      <c r="I4" s="53"/>
      <c r="J4" s="48"/>
      <c r="K4" s="48"/>
      <c r="L4" s="48"/>
      <c r="M4" s="48"/>
      <c r="N4" s="47"/>
      <c r="O4" s="47"/>
      <c r="P4" s="47"/>
      <c r="Q4" s="47"/>
      <c r="R4" s="51"/>
      <c r="S4" s="51"/>
      <c r="T4" s="51"/>
      <c r="U4" s="51"/>
      <c r="V4" s="50"/>
      <c r="W4" s="50"/>
      <c r="X4" s="50"/>
      <c r="Y4" s="50"/>
      <c r="Z4" s="1"/>
      <c r="AA4" s="1"/>
      <c r="AB4" s="1"/>
      <c r="AC4" s="1"/>
      <c r="AD4" s="49"/>
      <c r="AE4" s="49"/>
      <c r="AF4" s="49"/>
      <c r="AG4" s="49"/>
      <c r="AH4" s="50"/>
      <c r="AI4" s="50"/>
      <c r="AJ4" s="50"/>
      <c r="AK4" s="50"/>
      <c r="AL4" s="1"/>
      <c r="AM4" s="1"/>
      <c r="AN4" s="1"/>
      <c r="AO4" s="1"/>
      <c r="AP4" s="52"/>
      <c r="AQ4" s="52"/>
      <c r="AR4" s="52"/>
      <c r="AS4" s="52"/>
      <c r="AT4" s="1"/>
      <c r="AU4" s="1"/>
      <c r="AV4" s="1"/>
      <c r="AW4" s="1"/>
      <c r="AX4" s="1"/>
      <c r="AY4" s="1"/>
      <c r="AZ4" s="1"/>
      <c r="BA4" s="1"/>
      <c r="BB4" s="1"/>
      <c r="BC4" s="1"/>
      <c r="BD4" s="1"/>
      <c r="BE4" s="1"/>
      <c r="BF4" s="1"/>
      <c r="BG4" s="1"/>
      <c r="BH4" s="1"/>
      <c r="BI4" s="1"/>
      <c r="BJ4" s="1"/>
      <c r="BK4" s="1"/>
      <c r="BL4" s="1"/>
      <c r="BM4" s="65"/>
      <c r="BN4" s="1"/>
      <c r="BO4" s="1"/>
      <c r="BP4" s="1"/>
      <c r="BQ4" s="1"/>
      <c r="BR4" s="1"/>
      <c r="BS4" s="1"/>
      <c r="BT4" s="1"/>
      <c r="BU4" s="1"/>
      <c r="BV4" s="1"/>
      <c r="BW4" s="1"/>
      <c r="BX4" s="1"/>
      <c r="BY4" s="1"/>
      <c r="BZ4" s="1"/>
      <c r="CA4" s="1"/>
      <c r="CB4" s="55"/>
      <c r="CC4" s="1"/>
      <c r="CD4" s="55"/>
      <c r="CE4" s="1"/>
      <c r="CF4" s="55"/>
      <c r="CG4" s="1"/>
      <c r="CH4" s="1"/>
      <c r="CI4" s="55"/>
      <c r="CJ4" s="1"/>
      <c r="CK4" s="55"/>
      <c r="CL4" s="1"/>
      <c r="CM4" s="1"/>
      <c r="CN4" s="1"/>
      <c r="CO4" s="1"/>
      <c r="CP4" s="55"/>
      <c r="CQ4" s="1"/>
      <c r="CR4" s="55"/>
      <c r="CS4" s="1"/>
      <c r="CT4" s="1"/>
      <c r="CU4" s="54"/>
      <c r="CV4" s="54"/>
      <c r="CW4" s="54"/>
      <c r="CX4" s="1"/>
    </row>
    <row r="5" spans="1:104" s="10" customFormat="1" ht="18" customHeight="1" x14ac:dyDescent="0.25">
      <c r="A5" s="6"/>
      <c r="B5" s="58"/>
      <c r="C5" s="1"/>
      <c r="D5" s="1"/>
      <c r="E5" s="1"/>
      <c r="F5" s="53"/>
      <c r="G5" s="53"/>
      <c r="H5" s="53"/>
      <c r="I5" s="53"/>
      <c r="J5" s="48"/>
      <c r="K5" s="48"/>
      <c r="L5" s="48"/>
      <c r="M5" s="48"/>
      <c r="N5" s="47"/>
      <c r="O5" s="47"/>
      <c r="P5" s="47"/>
      <c r="Q5" s="47"/>
      <c r="R5" s="51"/>
      <c r="S5" s="51"/>
      <c r="T5" s="51"/>
      <c r="U5" s="51"/>
      <c r="V5" s="50"/>
      <c r="W5" s="50"/>
      <c r="X5" s="50"/>
      <c r="Y5" s="50"/>
      <c r="Z5" s="1"/>
      <c r="AA5" s="1"/>
      <c r="AB5" s="1"/>
      <c r="AC5" s="1"/>
      <c r="AD5" s="49"/>
      <c r="AE5" s="49"/>
      <c r="AF5" s="49"/>
      <c r="AG5" s="49"/>
      <c r="AH5" s="50"/>
      <c r="AI5" s="50"/>
      <c r="AJ5" s="50"/>
      <c r="AK5" s="50"/>
      <c r="AL5" s="1"/>
      <c r="AM5" s="1"/>
      <c r="AN5" s="1"/>
      <c r="AO5" s="1"/>
      <c r="AP5" s="52"/>
      <c r="AQ5" s="52"/>
      <c r="AR5" s="52"/>
      <c r="AS5" s="52"/>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55"/>
      <c r="CC5" s="1"/>
      <c r="CD5" s="55"/>
      <c r="CE5" s="1"/>
      <c r="CF5" s="55"/>
      <c r="CG5" s="1"/>
      <c r="CH5" s="1"/>
      <c r="CI5" s="55"/>
      <c r="CJ5" s="1"/>
      <c r="CK5" s="55"/>
      <c r="CL5" s="1"/>
      <c r="CM5" s="1"/>
      <c r="CN5" s="1"/>
      <c r="CO5" s="1"/>
      <c r="CP5" s="55"/>
      <c r="CQ5" s="1"/>
      <c r="CR5" s="1"/>
      <c r="CS5" s="1"/>
      <c r="CT5" s="1"/>
      <c r="CU5" s="54"/>
      <c r="CV5" s="54"/>
      <c r="CW5" s="54"/>
      <c r="CX5" s="1"/>
    </row>
    <row r="6" spans="1:104" s="10" customFormat="1" ht="18" customHeight="1" x14ac:dyDescent="0.25">
      <c r="A6" s="6"/>
      <c r="B6" s="58"/>
      <c r="C6" s="1"/>
      <c r="D6" s="1"/>
      <c r="E6" s="1"/>
      <c r="F6" s="53"/>
      <c r="G6" s="53"/>
      <c r="H6" s="53"/>
      <c r="I6" s="53"/>
      <c r="J6" s="48"/>
      <c r="K6" s="48"/>
      <c r="L6" s="48"/>
      <c r="M6" s="48"/>
      <c r="N6" s="47"/>
      <c r="O6" s="47"/>
      <c r="P6" s="47"/>
      <c r="Q6" s="47"/>
      <c r="R6" s="51"/>
      <c r="S6" s="51"/>
      <c r="T6" s="51"/>
      <c r="U6" s="51"/>
      <c r="V6" s="50"/>
      <c r="W6" s="50"/>
      <c r="X6" s="50"/>
      <c r="Y6" s="50"/>
      <c r="Z6" s="1"/>
      <c r="AA6" s="1"/>
      <c r="AB6" s="1"/>
      <c r="AC6" s="1"/>
      <c r="AD6" s="49"/>
      <c r="AE6" s="49"/>
      <c r="AF6" s="49"/>
      <c r="AG6" s="49"/>
      <c r="AH6" s="50"/>
      <c r="AI6" s="50"/>
      <c r="AJ6" s="50"/>
      <c r="AK6" s="50"/>
      <c r="AL6" s="1"/>
      <c r="AM6" s="1"/>
      <c r="AN6" s="1"/>
      <c r="AO6" s="1"/>
      <c r="AP6" s="52"/>
      <c r="AQ6" s="52"/>
      <c r="AR6" s="52"/>
      <c r="AS6" s="52"/>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55"/>
      <c r="CC6" s="1"/>
      <c r="CD6" s="55"/>
      <c r="CE6" s="1"/>
      <c r="CF6" s="55"/>
      <c r="CG6" s="1"/>
      <c r="CH6" s="1"/>
      <c r="CI6" s="55"/>
      <c r="CJ6" s="1"/>
      <c r="CK6" s="55"/>
      <c r="CL6" s="1"/>
      <c r="CM6" s="1"/>
      <c r="CN6" s="1"/>
      <c r="CO6" s="1"/>
      <c r="CP6" s="55"/>
      <c r="CQ6" s="1"/>
      <c r="CR6" s="1"/>
      <c r="CS6" s="1"/>
      <c r="CT6" s="1"/>
      <c r="CU6" s="54"/>
      <c r="CV6" s="54"/>
      <c r="CW6" s="54"/>
      <c r="CX6" s="1"/>
    </row>
    <row r="7" spans="1:104" s="10" customFormat="1" ht="18" customHeight="1" x14ac:dyDescent="0.25">
      <c r="A7" s="6"/>
      <c r="B7" s="58"/>
      <c r="C7" s="1"/>
      <c r="D7" s="1"/>
      <c r="E7" s="1"/>
      <c r="F7" s="53"/>
      <c r="G7" s="53"/>
      <c r="H7" s="53"/>
      <c r="I7" s="53"/>
      <c r="J7" s="48"/>
      <c r="K7" s="48"/>
      <c r="L7" s="48"/>
      <c r="M7" s="48"/>
      <c r="N7" s="47"/>
      <c r="O7" s="47"/>
      <c r="P7" s="47"/>
      <c r="Q7" s="47"/>
      <c r="R7" s="51"/>
      <c r="S7" s="51"/>
      <c r="T7" s="51"/>
      <c r="U7" s="51"/>
      <c r="V7" s="50"/>
      <c r="W7" s="50"/>
      <c r="X7" s="50"/>
      <c r="Y7" s="50"/>
      <c r="Z7" s="1"/>
      <c r="AA7" s="1"/>
      <c r="AB7" s="1"/>
      <c r="AC7" s="1"/>
      <c r="AD7" s="49"/>
      <c r="AE7" s="49"/>
      <c r="AF7" s="49"/>
      <c r="AG7" s="49"/>
      <c r="AH7" s="50"/>
      <c r="AI7" s="50"/>
      <c r="AJ7" s="50"/>
      <c r="AK7" s="50"/>
      <c r="AL7" s="1"/>
      <c r="AM7" s="1"/>
      <c r="AN7" s="1"/>
      <c r="AO7" s="1"/>
      <c r="AP7" s="52"/>
      <c r="AQ7" s="52"/>
      <c r="AR7" s="52"/>
      <c r="AS7" s="52"/>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55"/>
      <c r="CC7" s="1"/>
      <c r="CD7" s="55"/>
      <c r="CE7" s="1"/>
      <c r="CF7" s="55"/>
      <c r="CG7" s="1"/>
      <c r="CH7" s="1"/>
      <c r="CI7" s="55"/>
      <c r="CJ7" s="1"/>
      <c r="CK7" s="55"/>
      <c r="CL7" s="1"/>
      <c r="CM7" s="1"/>
      <c r="CN7" s="1"/>
      <c r="CO7" s="1"/>
      <c r="CP7" s="55"/>
      <c r="CQ7" s="1"/>
      <c r="CR7" s="1"/>
      <c r="CS7" s="1"/>
      <c r="CT7" s="1"/>
      <c r="CU7" s="54"/>
      <c r="CV7" s="54"/>
      <c r="CW7" s="54"/>
      <c r="CX7" s="1"/>
    </row>
    <row r="8" spans="1:104" s="10" customFormat="1" ht="18" customHeight="1" x14ac:dyDescent="0.25">
      <c r="A8" s="6"/>
      <c r="B8" s="58"/>
      <c r="C8" s="1"/>
      <c r="D8" s="1"/>
      <c r="E8" s="1"/>
      <c r="F8" s="53"/>
      <c r="G8" s="53"/>
      <c r="H8" s="53"/>
      <c r="I8" s="53"/>
      <c r="J8" s="48"/>
      <c r="K8" s="48"/>
      <c r="L8" s="48"/>
      <c r="M8" s="48"/>
      <c r="N8" s="47"/>
      <c r="O8" s="47"/>
      <c r="P8" s="47"/>
      <c r="Q8" s="47"/>
      <c r="R8" s="51"/>
      <c r="S8" s="51"/>
      <c r="T8" s="51"/>
      <c r="U8" s="51"/>
      <c r="V8" s="50"/>
      <c r="W8" s="50"/>
      <c r="X8" s="50"/>
      <c r="Y8" s="50"/>
      <c r="Z8" s="1"/>
      <c r="AA8" s="1"/>
      <c r="AB8" s="1"/>
      <c r="AC8" s="1"/>
      <c r="AD8" s="49"/>
      <c r="AE8" s="49"/>
      <c r="AF8" s="49"/>
      <c r="AG8" s="49"/>
      <c r="AH8" s="50"/>
      <c r="AI8" s="50"/>
      <c r="AJ8" s="50"/>
      <c r="AK8" s="50"/>
      <c r="AL8" s="1"/>
      <c r="AM8" s="1"/>
      <c r="AN8" s="1"/>
      <c r="AO8" s="1"/>
      <c r="AP8" s="52"/>
      <c r="AQ8" s="52"/>
      <c r="AR8" s="52"/>
      <c r="AS8" s="52"/>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55"/>
      <c r="CC8" s="1"/>
      <c r="CD8" s="55"/>
      <c r="CE8" s="1"/>
      <c r="CF8" s="55"/>
      <c r="CG8" s="1"/>
      <c r="CH8" s="1"/>
      <c r="CI8" s="55"/>
      <c r="CJ8" s="1"/>
      <c r="CK8" s="55"/>
      <c r="CL8" s="1"/>
      <c r="CM8" s="1"/>
      <c r="CN8" s="1"/>
      <c r="CO8" s="1"/>
      <c r="CP8" s="55"/>
      <c r="CQ8" s="1"/>
      <c r="CR8" s="1"/>
      <c r="CS8" s="1"/>
      <c r="CT8" s="1"/>
      <c r="CU8" s="54"/>
      <c r="CV8" s="54"/>
      <c r="CW8" s="54"/>
      <c r="CX8" s="1"/>
    </row>
    <row r="9" spans="1:104" s="10" customFormat="1" ht="18" customHeight="1" x14ac:dyDescent="0.25">
      <c r="A9" s="6"/>
      <c r="B9" s="58"/>
      <c r="C9" s="1"/>
      <c r="D9" s="1"/>
      <c r="E9" s="1"/>
      <c r="F9" s="53"/>
      <c r="G9" s="53"/>
      <c r="H9" s="53"/>
      <c r="I9" s="53"/>
      <c r="J9" s="48"/>
      <c r="K9" s="48"/>
      <c r="L9" s="48"/>
      <c r="M9" s="48"/>
      <c r="N9" s="47"/>
      <c r="O9" s="47"/>
      <c r="P9" s="47"/>
      <c r="Q9" s="47"/>
      <c r="R9" s="51"/>
      <c r="S9" s="51"/>
      <c r="T9" s="51"/>
      <c r="U9" s="51"/>
      <c r="V9" s="50"/>
      <c r="W9" s="50"/>
      <c r="X9" s="50"/>
      <c r="Y9" s="50"/>
      <c r="Z9" s="1"/>
      <c r="AA9" s="1"/>
      <c r="AB9" s="1"/>
      <c r="AC9" s="1"/>
      <c r="AD9" s="49"/>
      <c r="AE9" s="49"/>
      <c r="AF9" s="49"/>
      <c r="AG9" s="49"/>
      <c r="AH9" s="50"/>
      <c r="AI9" s="50"/>
      <c r="AJ9" s="50"/>
      <c r="AK9" s="50"/>
      <c r="AL9" s="1"/>
      <c r="AM9" s="1"/>
      <c r="AN9" s="1"/>
      <c r="AO9" s="1"/>
      <c r="AP9" s="52"/>
      <c r="AQ9" s="52"/>
      <c r="AR9" s="52"/>
      <c r="AS9" s="52"/>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55"/>
      <c r="CC9" s="1"/>
      <c r="CD9" s="55"/>
      <c r="CE9" s="1"/>
      <c r="CF9" s="55"/>
      <c r="CG9" s="1"/>
      <c r="CH9" s="1"/>
      <c r="CI9" s="55"/>
      <c r="CJ9" s="1"/>
      <c r="CK9" s="55"/>
      <c r="CL9" s="1"/>
      <c r="CM9" s="1"/>
      <c r="CN9" s="1"/>
      <c r="CO9" s="1"/>
      <c r="CP9" s="55"/>
      <c r="CQ9" s="1"/>
      <c r="CR9" s="1"/>
      <c r="CS9" s="1"/>
      <c r="CT9" s="1"/>
      <c r="CU9" s="54"/>
      <c r="CV9" s="54"/>
      <c r="CW9" s="54"/>
      <c r="CX9" s="1"/>
    </row>
    <row r="10" spans="1:104" s="10" customFormat="1" ht="18" customHeight="1" x14ac:dyDescent="0.25">
      <c r="A10" s="6"/>
      <c r="B10" s="58"/>
      <c r="C10" s="1"/>
      <c r="D10" s="1"/>
      <c r="E10" s="1"/>
      <c r="F10" s="53"/>
      <c r="G10" s="53"/>
      <c r="H10" s="53"/>
      <c r="I10" s="53"/>
      <c r="J10" s="48"/>
      <c r="K10" s="48"/>
      <c r="L10" s="48"/>
      <c r="M10" s="48"/>
      <c r="N10" s="47"/>
      <c r="O10" s="47"/>
      <c r="P10" s="47"/>
      <c r="Q10" s="47"/>
      <c r="R10" s="51"/>
      <c r="S10" s="51"/>
      <c r="T10" s="51"/>
      <c r="U10" s="51"/>
      <c r="V10" s="50"/>
      <c r="W10" s="50"/>
      <c r="X10" s="50"/>
      <c r="Y10" s="50"/>
      <c r="Z10" s="1"/>
      <c r="AA10" s="1"/>
      <c r="AB10" s="1"/>
      <c r="AC10" s="1"/>
      <c r="AD10" s="49"/>
      <c r="AE10" s="49"/>
      <c r="AF10" s="49"/>
      <c r="AG10" s="49"/>
      <c r="AH10" s="50"/>
      <c r="AI10" s="50"/>
      <c r="AJ10" s="50"/>
      <c r="AK10" s="50"/>
      <c r="AL10" s="1"/>
      <c r="AM10" s="1"/>
      <c r="AN10" s="1"/>
      <c r="AO10" s="1"/>
      <c r="AP10" s="52"/>
      <c r="AQ10" s="52"/>
      <c r="AR10" s="52"/>
      <c r="AS10" s="52"/>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55"/>
      <c r="CC10" s="1"/>
      <c r="CD10" s="55"/>
      <c r="CE10" s="1"/>
      <c r="CF10" s="55"/>
      <c r="CG10" s="1"/>
      <c r="CH10" s="1"/>
      <c r="CI10" s="55"/>
      <c r="CJ10" s="1"/>
      <c r="CK10" s="55"/>
      <c r="CL10" s="1"/>
      <c r="CM10" s="1"/>
      <c r="CN10" s="1"/>
      <c r="CO10" s="1"/>
      <c r="CP10" s="55"/>
      <c r="CQ10" s="1"/>
      <c r="CR10" s="1"/>
      <c r="CS10" s="1"/>
      <c r="CT10" s="1"/>
      <c r="CU10" s="54"/>
      <c r="CV10" s="54"/>
      <c r="CW10" s="54"/>
      <c r="CX10" s="1"/>
    </row>
    <row r="11" spans="1:104" s="10" customFormat="1" ht="18" customHeight="1" x14ac:dyDescent="0.25">
      <c r="A11" s="6"/>
      <c r="B11" s="58"/>
      <c r="C11" s="1"/>
      <c r="D11" s="1"/>
      <c r="E11" s="1"/>
      <c r="F11" s="53"/>
      <c r="G11" s="53"/>
      <c r="H11" s="53"/>
      <c r="I11" s="53"/>
      <c r="J11" s="48"/>
      <c r="K11" s="48"/>
      <c r="L11" s="48"/>
      <c r="M11" s="48"/>
      <c r="N11" s="47"/>
      <c r="O11" s="47"/>
      <c r="P11" s="47"/>
      <c r="Q11" s="47"/>
      <c r="R11" s="51"/>
      <c r="S11" s="51"/>
      <c r="T11" s="51"/>
      <c r="U11" s="51"/>
      <c r="V11" s="50"/>
      <c r="W11" s="50"/>
      <c r="X11" s="50"/>
      <c r="Y11" s="50"/>
      <c r="Z11" s="1"/>
      <c r="AA11" s="1"/>
      <c r="AB11" s="1"/>
      <c r="AC11" s="1"/>
      <c r="AD11" s="49"/>
      <c r="AE11" s="49"/>
      <c r="AF11" s="49"/>
      <c r="AG11" s="49"/>
      <c r="AH11" s="50"/>
      <c r="AI11" s="50"/>
      <c r="AJ11" s="50"/>
      <c r="AK11" s="50"/>
      <c r="AL11" s="1"/>
      <c r="AM11" s="1"/>
      <c r="AN11" s="1"/>
      <c r="AO11" s="1"/>
      <c r="AP11" s="52"/>
      <c r="AQ11" s="52"/>
      <c r="AR11" s="52"/>
      <c r="AS11" s="52"/>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55"/>
      <c r="CC11" s="1"/>
      <c r="CD11" s="55"/>
      <c r="CE11" s="1"/>
      <c r="CF11" s="55"/>
      <c r="CG11" s="1"/>
      <c r="CH11" s="1"/>
      <c r="CI11" s="55"/>
      <c r="CJ11" s="1"/>
      <c r="CK11" s="55"/>
      <c r="CL11" s="1"/>
      <c r="CM11" s="1"/>
      <c r="CN11" s="1"/>
      <c r="CO11" s="1"/>
      <c r="CP11" s="55"/>
      <c r="CQ11" s="1"/>
      <c r="CR11" s="1"/>
      <c r="CS11" s="1"/>
      <c r="CT11" s="1"/>
      <c r="CU11" s="54"/>
      <c r="CV11" s="54"/>
      <c r="CW11" s="54"/>
      <c r="CX11" s="1"/>
    </row>
    <row r="12" spans="1:104" s="10" customFormat="1" ht="18" customHeight="1" x14ac:dyDescent="0.25">
      <c r="A12" s="6"/>
      <c r="B12" s="58"/>
      <c r="C12" s="1"/>
      <c r="D12" s="1"/>
      <c r="E12" s="1"/>
      <c r="F12" s="53"/>
      <c r="G12" s="53"/>
      <c r="H12" s="53"/>
      <c r="I12" s="53"/>
      <c r="J12" s="48"/>
      <c r="K12" s="48"/>
      <c r="L12" s="48"/>
      <c r="M12" s="48"/>
      <c r="N12" s="47"/>
      <c r="O12" s="47"/>
      <c r="P12" s="47"/>
      <c r="Q12" s="47"/>
      <c r="R12" s="51"/>
      <c r="S12" s="51"/>
      <c r="T12" s="51"/>
      <c r="U12" s="51"/>
      <c r="V12" s="50"/>
      <c r="W12" s="50"/>
      <c r="X12" s="50"/>
      <c r="Y12" s="50"/>
      <c r="Z12" s="1"/>
      <c r="AA12" s="1"/>
      <c r="AB12" s="1"/>
      <c r="AC12" s="1"/>
      <c r="AD12" s="49"/>
      <c r="AE12" s="49"/>
      <c r="AF12" s="49"/>
      <c r="AG12" s="49"/>
      <c r="AH12" s="50"/>
      <c r="AI12" s="50"/>
      <c r="AJ12" s="50"/>
      <c r="AK12" s="50"/>
      <c r="AL12" s="1"/>
      <c r="AM12" s="1"/>
      <c r="AN12" s="1"/>
      <c r="AO12" s="1"/>
      <c r="AP12" s="52"/>
      <c r="AQ12" s="52"/>
      <c r="AR12" s="52"/>
      <c r="AS12" s="52"/>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55"/>
      <c r="CC12" s="1"/>
      <c r="CD12" s="55"/>
      <c r="CE12" s="1"/>
      <c r="CF12" s="55"/>
      <c r="CG12" s="1"/>
      <c r="CH12" s="1"/>
      <c r="CI12" s="55"/>
      <c r="CJ12" s="1"/>
      <c r="CK12" s="55"/>
      <c r="CL12" s="1"/>
      <c r="CM12" s="1"/>
      <c r="CN12" s="1"/>
      <c r="CO12" s="1"/>
      <c r="CP12" s="55"/>
      <c r="CQ12" s="1"/>
      <c r="CR12" s="1"/>
      <c r="CS12" s="1"/>
      <c r="CT12" s="1"/>
      <c r="CU12" s="54"/>
      <c r="CV12" s="54"/>
      <c r="CW12" s="54"/>
      <c r="CX12" s="1"/>
    </row>
    <row r="13" spans="1:104" s="10" customFormat="1" ht="18" customHeight="1" x14ac:dyDescent="0.25">
      <c r="A13" s="6"/>
      <c r="B13" s="58"/>
      <c r="C13" s="1"/>
      <c r="D13" s="1"/>
      <c r="E13" s="1"/>
      <c r="F13" s="53"/>
      <c r="G13" s="53"/>
      <c r="H13" s="53"/>
      <c r="I13" s="53"/>
      <c r="J13" s="48"/>
      <c r="K13" s="48"/>
      <c r="L13" s="48"/>
      <c r="M13" s="48"/>
      <c r="N13" s="47"/>
      <c r="O13" s="47"/>
      <c r="P13" s="47"/>
      <c r="Q13" s="47"/>
      <c r="R13" s="51"/>
      <c r="S13" s="51"/>
      <c r="T13" s="51"/>
      <c r="U13" s="51"/>
      <c r="V13" s="50"/>
      <c r="W13" s="50"/>
      <c r="X13" s="50"/>
      <c r="Y13" s="50"/>
      <c r="Z13" s="1"/>
      <c r="AA13" s="1"/>
      <c r="AB13" s="1"/>
      <c r="AC13" s="1"/>
      <c r="AD13" s="49"/>
      <c r="AE13" s="49"/>
      <c r="AF13" s="49"/>
      <c r="AG13" s="49"/>
      <c r="AH13" s="50"/>
      <c r="AI13" s="50"/>
      <c r="AJ13" s="50"/>
      <c r="AK13" s="50"/>
      <c r="AL13" s="1"/>
      <c r="AM13" s="1"/>
      <c r="AN13" s="1"/>
      <c r="AO13" s="1"/>
      <c r="AP13" s="52"/>
      <c r="AQ13" s="52"/>
      <c r="AR13" s="52"/>
      <c r="AS13" s="52"/>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55"/>
      <c r="CC13" s="1"/>
      <c r="CD13" s="55"/>
      <c r="CE13" s="1"/>
      <c r="CF13" s="55"/>
      <c r="CG13" s="1"/>
      <c r="CH13" s="1"/>
      <c r="CI13" s="55"/>
      <c r="CJ13" s="1"/>
      <c r="CK13" s="55"/>
      <c r="CL13" s="1"/>
      <c r="CM13" s="1"/>
      <c r="CN13" s="1"/>
      <c r="CO13" s="1"/>
      <c r="CP13" s="55"/>
      <c r="CQ13" s="1"/>
      <c r="CR13" s="1"/>
      <c r="CS13" s="1"/>
      <c r="CT13" s="1"/>
      <c r="CU13" s="54"/>
      <c r="CV13" s="54"/>
      <c r="CW13" s="54"/>
      <c r="CX13" s="1"/>
    </row>
    <row r="14" spans="1:104" s="10" customFormat="1" ht="18" customHeight="1" x14ac:dyDescent="0.25">
      <c r="A14" s="6"/>
      <c r="B14" s="6"/>
      <c r="C14" s="1"/>
      <c r="D14" s="1"/>
      <c r="E14" s="1"/>
      <c r="F14" s="53"/>
      <c r="G14" s="53"/>
      <c r="H14" s="53"/>
      <c r="I14" s="53"/>
      <c r="J14" s="48"/>
      <c r="K14" s="48"/>
      <c r="L14" s="48"/>
      <c r="M14" s="48"/>
      <c r="N14" s="47"/>
      <c r="O14" s="47"/>
      <c r="P14" s="47"/>
      <c r="Q14" s="47"/>
      <c r="R14" s="51"/>
      <c r="S14" s="51"/>
      <c r="T14" s="51"/>
      <c r="U14" s="51"/>
      <c r="V14" s="50"/>
      <c r="W14" s="50"/>
      <c r="X14" s="50"/>
      <c r="Y14" s="50"/>
      <c r="Z14" s="1"/>
      <c r="AA14" s="1"/>
      <c r="AB14" s="1"/>
      <c r="AC14" s="1"/>
      <c r="AD14" s="49"/>
      <c r="AE14" s="49"/>
      <c r="AF14" s="49"/>
      <c r="AG14" s="49"/>
      <c r="AH14" s="50"/>
      <c r="AI14" s="50"/>
      <c r="AJ14" s="50"/>
      <c r="AK14" s="50"/>
      <c r="AL14" s="1"/>
      <c r="AM14" s="1"/>
      <c r="AN14" s="1"/>
      <c r="AO14" s="1"/>
      <c r="AP14" s="52"/>
      <c r="AQ14" s="52"/>
      <c r="AR14" s="52"/>
      <c r="AS14" s="52"/>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54"/>
      <c r="CW14" s="54"/>
      <c r="CX14" s="1"/>
    </row>
    <row r="15" spans="1:104" s="10" customFormat="1" ht="18" customHeight="1" x14ac:dyDescent="0.25">
      <c r="A15" s="6"/>
      <c r="B15" s="6"/>
      <c r="C15" s="1"/>
      <c r="D15" s="1"/>
      <c r="E15" s="1"/>
      <c r="F15" s="53"/>
      <c r="G15" s="53"/>
      <c r="H15" s="53"/>
      <c r="I15" s="53"/>
      <c r="J15" s="48"/>
      <c r="K15" s="48"/>
      <c r="L15" s="48"/>
      <c r="M15" s="48"/>
      <c r="N15" s="47"/>
      <c r="O15" s="47"/>
      <c r="P15" s="47"/>
      <c r="Q15" s="47"/>
      <c r="R15" s="51"/>
      <c r="S15" s="51"/>
      <c r="T15" s="51"/>
      <c r="U15" s="51"/>
      <c r="V15" s="50"/>
      <c r="W15" s="50"/>
      <c r="X15" s="50"/>
      <c r="Y15" s="50"/>
      <c r="Z15" s="1"/>
      <c r="AA15" s="1"/>
      <c r="AB15" s="1"/>
      <c r="AC15" s="1"/>
      <c r="AD15" s="49"/>
      <c r="AE15" s="49"/>
      <c r="AF15" s="49"/>
      <c r="AG15" s="49"/>
      <c r="AH15" s="50"/>
      <c r="AI15" s="50"/>
      <c r="AJ15" s="50"/>
      <c r="AK15" s="50"/>
      <c r="AL15" s="1"/>
      <c r="AM15" s="1"/>
      <c r="AN15" s="1"/>
      <c r="AO15" s="1"/>
      <c r="AP15" s="52"/>
      <c r="AQ15" s="52"/>
      <c r="AR15" s="52"/>
      <c r="AS15" s="52"/>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54"/>
      <c r="CW15" s="54"/>
      <c r="CX15" s="1"/>
    </row>
    <row r="16" spans="1:104" s="10" customFormat="1" ht="18" customHeight="1" x14ac:dyDescent="0.25">
      <c r="A16" s="6"/>
      <c r="B16" s="6"/>
      <c r="C16" s="1"/>
      <c r="D16" s="1"/>
      <c r="E16" s="1"/>
      <c r="F16" s="53"/>
      <c r="G16" s="53"/>
      <c r="H16" s="53"/>
      <c r="I16" s="53"/>
      <c r="J16" s="48"/>
      <c r="K16" s="48"/>
      <c r="L16" s="48"/>
      <c r="M16" s="48"/>
      <c r="N16" s="47"/>
      <c r="O16" s="47"/>
      <c r="P16" s="47"/>
      <c r="Q16" s="47"/>
      <c r="R16" s="51"/>
      <c r="S16" s="51"/>
      <c r="T16" s="51"/>
      <c r="U16" s="51"/>
      <c r="V16" s="50"/>
      <c r="W16" s="50"/>
      <c r="X16" s="50"/>
      <c r="Y16" s="50"/>
      <c r="Z16" s="1"/>
      <c r="AA16" s="1"/>
      <c r="AB16" s="1"/>
      <c r="AC16" s="1"/>
      <c r="AD16" s="49"/>
      <c r="AE16" s="49"/>
      <c r="AF16" s="49"/>
      <c r="AG16" s="49"/>
      <c r="AH16" s="50"/>
      <c r="AI16" s="50"/>
      <c r="AJ16" s="50"/>
      <c r="AK16" s="50"/>
      <c r="AL16" s="1"/>
      <c r="AM16" s="1"/>
      <c r="AN16" s="1"/>
      <c r="AO16" s="1"/>
      <c r="AP16" s="52"/>
      <c r="AQ16" s="52"/>
      <c r="AR16" s="52"/>
      <c r="AS16" s="52"/>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54"/>
      <c r="CW16" s="54"/>
      <c r="CX16" s="1"/>
    </row>
    <row r="17" spans="1:102" s="10" customFormat="1" ht="18" customHeight="1" x14ac:dyDescent="0.25">
      <c r="A17" s="6"/>
      <c r="B17" s="6"/>
      <c r="C17" s="1"/>
      <c r="D17" s="1"/>
      <c r="E17" s="1"/>
      <c r="F17" s="53"/>
      <c r="G17" s="53"/>
      <c r="H17" s="53"/>
      <c r="I17" s="53"/>
      <c r="J17" s="48"/>
      <c r="K17" s="48"/>
      <c r="L17" s="48"/>
      <c r="M17" s="48"/>
      <c r="N17" s="47"/>
      <c r="O17" s="47"/>
      <c r="P17" s="47"/>
      <c r="Q17" s="47"/>
      <c r="R17" s="51"/>
      <c r="S17" s="51"/>
      <c r="T17" s="51"/>
      <c r="U17" s="51"/>
      <c r="V17" s="50"/>
      <c r="W17" s="50"/>
      <c r="X17" s="50"/>
      <c r="Y17" s="50"/>
      <c r="Z17" s="1"/>
      <c r="AA17" s="1"/>
      <c r="AB17" s="1"/>
      <c r="AC17" s="1"/>
      <c r="AD17" s="49"/>
      <c r="AE17" s="49"/>
      <c r="AF17" s="49"/>
      <c r="AG17" s="49"/>
      <c r="AH17" s="50"/>
      <c r="AI17" s="50"/>
      <c r="AJ17" s="50"/>
      <c r="AK17" s="50"/>
      <c r="AL17" s="1"/>
      <c r="AM17" s="1"/>
      <c r="AN17" s="1"/>
      <c r="AO17" s="1"/>
      <c r="AP17" s="52"/>
      <c r="AQ17" s="52"/>
      <c r="AR17" s="52"/>
      <c r="AS17" s="52"/>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54"/>
      <c r="CW17" s="54"/>
      <c r="CX17" s="1"/>
    </row>
    <row r="18" spans="1:102" s="10" customFormat="1" ht="18" customHeight="1" x14ac:dyDescent="0.25">
      <c r="A18" s="6"/>
      <c r="B18" s="6"/>
      <c r="C18" s="1"/>
      <c r="D18" s="1"/>
      <c r="E18" s="1"/>
      <c r="F18" s="53"/>
      <c r="G18" s="53"/>
      <c r="H18" s="53"/>
      <c r="I18" s="53"/>
      <c r="J18" s="48"/>
      <c r="K18" s="48"/>
      <c r="L18" s="48"/>
      <c r="M18" s="48"/>
      <c r="N18" s="47"/>
      <c r="O18" s="47"/>
      <c r="P18" s="47"/>
      <c r="Q18" s="47"/>
      <c r="R18" s="51"/>
      <c r="S18" s="51"/>
      <c r="T18" s="51"/>
      <c r="U18" s="51"/>
      <c r="V18" s="50"/>
      <c r="W18" s="50"/>
      <c r="X18" s="50"/>
      <c r="Y18" s="50"/>
      <c r="Z18" s="1"/>
      <c r="AA18" s="1"/>
      <c r="AB18" s="1"/>
      <c r="AC18" s="1"/>
      <c r="AD18" s="49"/>
      <c r="AE18" s="49"/>
      <c r="AF18" s="49"/>
      <c r="AG18" s="49"/>
      <c r="AH18" s="50"/>
      <c r="AI18" s="50"/>
      <c r="AJ18" s="50"/>
      <c r="AK18" s="50"/>
      <c r="AL18" s="1"/>
      <c r="AM18" s="1"/>
      <c r="AN18" s="1"/>
      <c r="AO18" s="1"/>
      <c r="AP18" s="52"/>
      <c r="AQ18" s="52"/>
      <c r="AR18" s="52"/>
      <c r="AS18" s="52"/>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54"/>
      <c r="CW18" s="54"/>
      <c r="CX18" s="1"/>
    </row>
    <row r="19" spans="1:102" s="10" customFormat="1" ht="18" customHeight="1" x14ac:dyDescent="0.25">
      <c r="A19" s="6"/>
      <c r="B19" s="6"/>
      <c r="C19" s="1"/>
      <c r="D19" s="1"/>
      <c r="E19" s="1"/>
      <c r="F19" s="53"/>
      <c r="G19" s="53"/>
      <c r="H19" s="53"/>
      <c r="I19" s="53"/>
      <c r="J19" s="48"/>
      <c r="K19" s="48"/>
      <c r="L19" s="48"/>
      <c r="M19" s="48"/>
      <c r="N19" s="47"/>
      <c r="O19" s="47"/>
      <c r="P19" s="47"/>
      <c r="Q19" s="47"/>
      <c r="R19" s="51"/>
      <c r="S19" s="51"/>
      <c r="T19" s="51"/>
      <c r="U19" s="51"/>
      <c r="V19" s="50"/>
      <c r="W19" s="50"/>
      <c r="X19" s="50"/>
      <c r="Y19" s="50"/>
      <c r="Z19" s="1"/>
      <c r="AA19" s="1"/>
      <c r="AB19" s="1"/>
      <c r="AC19" s="1"/>
      <c r="AD19" s="49"/>
      <c r="AE19" s="49"/>
      <c r="AF19" s="49"/>
      <c r="AG19" s="49"/>
      <c r="AH19" s="50"/>
      <c r="AI19" s="50"/>
      <c r="AJ19" s="50"/>
      <c r="AK19" s="50"/>
      <c r="AL19" s="1"/>
      <c r="AM19" s="1"/>
      <c r="AN19" s="1"/>
      <c r="AO19" s="1"/>
      <c r="AP19" s="52"/>
      <c r="AQ19" s="52"/>
      <c r="AR19" s="52"/>
      <c r="AS19" s="52"/>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54"/>
      <c r="CW19" s="54"/>
      <c r="CX19" s="1"/>
    </row>
    <row r="20" spans="1:102" s="10" customFormat="1" ht="18" customHeight="1" x14ac:dyDescent="0.25">
      <c r="A20" s="6"/>
      <c r="B20" s="6"/>
      <c r="C20" s="1"/>
      <c r="D20" s="1"/>
      <c r="E20" s="1"/>
      <c r="F20" s="53"/>
      <c r="G20" s="53"/>
      <c r="H20" s="53"/>
      <c r="I20" s="53"/>
      <c r="J20" s="48"/>
      <c r="K20" s="48"/>
      <c r="L20" s="48"/>
      <c r="M20" s="48"/>
      <c r="N20" s="47"/>
      <c r="O20" s="47"/>
      <c r="P20" s="47"/>
      <c r="Q20" s="47"/>
      <c r="R20" s="51"/>
      <c r="S20" s="51"/>
      <c r="T20" s="51"/>
      <c r="U20" s="51"/>
      <c r="V20" s="50"/>
      <c r="W20" s="50"/>
      <c r="X20" s="50"/>
      <c r="Y20" s="50"/>
      <c r="Z20" s="1"/>
      <c r="AA20" s="1"/>
      <c r="AB20" s="1"/>
      <c r="AC20" s="1"/>
      <c r="AD20" s="49"/>
      <c r="AE20" s="49"/>
      <c r="AF20" s="49"/>
      <c r="AG20" s="49"/>
      <c r="AH20" s="50"/>
      <c r="AI20" s="50"/>
      <c r="AJ20" s="50"/>
      <c r="AK20" s="50"/>
      <c r="AL20" s="1"/>
      <c r="AM20" s="1"/>
      <c r="AN20" s="1"/>
      <c r="AO20" s="1"/>
      <c r="AP20" s="52"/>
      <c r="AQ20" s="52"/>
      <c r="AR20" s="52"/>
      <c r="AS20" s="52"/>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54"/>
      <c r="CW20" s="54"/>
      <c r="CX20" s="1"/>
    </row>
    <row r="21" spans="1:102" s="10" customFormat="1" ht="18" customHeight="1" x14ac:dyDescent="0.25">
      <c r="A21" s="6"/>
      <c r="B21" s="6"/>
      <c r="C21" s="1"/>
      <c r="D21" s="1"/>
      <c r="E21" s="1"/>
      <c r="F21" s="53"/>
      <c r="G21" s="53"/>
      <c r="H21" s="53"/>
      <c r="I21" s="53"/>
      <c r="J21" s="48"/>
      <c r="K21" s="48"/>
      <c r="L21" s="48"/>
      <c r="M21" s="48"/>
      <c r="N21" s="47"/>
      <c r="O21" s="47"/>
      <c r="P21" s="47"/>
      <c r="Q21" s="47"/>
      <c r="R21" s="51"/>
      <c r="S21" s="51"/>
      <c r="T21" s="51"/>
      <c r="U21" s="51"/>
      <c r="V21" s="50"/>
      <c r="W21" s="50"/>
      <c r="X21" s="50"/>
      <c r="Y21" s="50"/>
      <c r="Z21" s="1"/>
      <c r="AA21" s="1"/>
      <c r="AB21" s="1"/>
      <c r="AC21" s="1"/>
      <c r="AD21" s="49"/>
      <c r="AE21" s="49"/>
      <c r="AF21" s="49"/>
      <c r="AG21" s="49"/>
      <c r="AH21" s="50"/>
      <c r="AI21" s="50"/>
      <c r="AJ21" s="50"/>
      <c r="AK21" s="50"/>
      <c r="AL21" s="1"/>
      <c r="AM21" s="1"/>
      <c r="AN21" s="1"/>
      <c r="AO21" s="1"/>
      <c r="AP21" s="52"/>
      <c r="AQ21" s="52"/>
      <c r="AR21" s="52"/>
      <c r="AS21" s="52"/>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54"/>
      <c r="CW21" s="54"/>
      <c r="CX21" s="1"/>
    </row>
    <row r="22" spans="1:102" s="10" customFormat="1" ht="18" customHeight="1" x14ac:dyDescent="0.25">
      <c r="A22" s="6"/>
      <c r="B22" s="6"/>
      <c r="C22" s="1"/>
      <c r="D22" s="1"/>
      <c r="E22" s="1"/>
      <c r="F22" s="53"/>
      <c r="G22" s="53"/>
      <c r="H22" s="53"/>
      <c r="I22" s="53"/>
      <c r="J22" s="48"/>
      <c r="K22" s="48"/>
      <c r="L22" s="48"/>
      <c r="M22" s="48"/>
      <c r="N22" s="47"/>
      <c r="O22" s="47"/>
      <c r="P22" s="47"/>
      <c r="Q22" s="47"/>
      <c r="R22" s="51"/>
      <c r="S22" s="51"/>
      <c r="T22" s="51"/>
      <c r="U22" s="51"/>
      <c r="V22" s="50"/>
      <c r="W22" s="50"/>
      <c r="X22" s="50"/>
      <c r="Y22" s="50"/>
      <c r="Z22" s="1"/>
      <c r="AA22" s="1"/>
      <c r="AB22" s="1"/>
      <c r="AC22" s="1"/>
      <c r="AD22" s="49"/>
      <c r="AE22" s="49"/>
      <c r="AF22" s="49"/>
      <c r="AG22" s="49"/>
      <c r="AH22" s="50"/>
      <c r="AI22" s="50"/>
      <c r="AJ22" s="50"/>
      <c r="AK22" s="50"/>
      <c r="AL22" s="1"/>
      <c r="AM22" s="1"/>
      <c r="AN22" s="1"/>
      <c r="AO22" s="1"/>
      <c r="AP22" s="52"/>
      <c r="AQ22" s="52"/>
      <c r="AR22" s="52"/>
      <c r="AS22" s="52"/>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54"/>
      <c r="CW22" s="54"/>
      <c r="CX22" s="1"/>
    </row>
    <row r="23" spans="1:102" s="10" customFormat="1" ht="18" customHeight="1" x14ac:dyDescent="0.25">
      <c r="A23" s="6"/>
      <c r="B23" s="6"/>
      <c r="C23" s="1"/>
      <c r="D23" s="1"/>
      <c r="E23" s="1"/>
      <c r="F23" s="53"/>
      <c r="G23" s="53"/>
      <c r="H23" s="53"/>
      <c r="I23" s="53"/>
      <c r="J23" s="48"/>
      <c r="K23" s="48"/>
      <c r="L23" s="48"/>
      <c r="M23" s="48"/>
      <c r="N23" s="47"/>
      <c r="O23" s="47"/>
      <c r="P23" s="47"/>
      <c r="Q23" s="47"/>
      <c r="R23" s="51"/>
      <c r="S23" s="51"/>
      <c r="T23" s="51"/>
      <c r="U23" s="51"/>
      <c r="V23" s="50"/>
      <c r="W23" s="50"/>
      <c r="X23" s="50"/>
      <c r="Y23" s="50"/>
      <c r="Z23" s="1"/>
      <c r="AA23" s="1"/>
      <c r="AB23" s="1"/>
      <c r="AC23" s="1"/>
      <c r="AD23" s="49"/>
      <c r="AE23" s="49"/>
      <c r="AF23" s="49"/>
      <c r="AG23" s="49"/>
      <c r="AH23" s="50"/>
      <c r="AI23" s="50"/>
      <c r="AJ23" s="50"/>
      <c r="AK23" s="50"/>
      <c r="AL23" s="1"/>
      <c r="AM23" s="1"/>
      <c r="AN23" s="1"/>
      <c r="AO23" s="1"/>
      <c r="AP23" s="52"/>
      <c r="AQ23" s="52"/>
      <c r="AR23" s="52"/>
      <c r="AS23" s="52"/>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54"/>
      <c r="CW23" s="54"/>
      <c r="CX23" s="1"/>
    </row>
    <row r="24" spans="1:102" s="10" customFormat="1" ht="18" customHeight="1" x14ac:dyDescent="0.25">
      <c r="A24" s="6"/>
      <c r="B24" s="6"/>
      <c r="C24" s="1"/>
      <c r="D24" s="1"/>
      <c r="E24" s="1"/>
      <c r="F24" s="53"/>
      <c r="G24" s="53"/>
      <c r="H24" s="53"/>
      <c r="I24" s="53"/>
      <c r="J24" s="48"/>
      <c r="K24" s="48"/>
      <c r="L24" s="48"/>
      <c r="M24" s="48"/>
      <c r="N24" s="47"/>
      <c r="O24" s="47"/>
      <c r="P24" s="47"/>
      <c r="Q24" s="47"/>
      <c r="R24" s="51"/>
      <c r="S24" s="51"/>
      <c r="T24" s="51"/>
      <c r="U24" s="51"/>
      <c r="V24" s="50"/>
      <c r="W24" s="50"/>
      <c r="X24" s="50"/>
      <c r="Y24" s="50"/>
      <c r="Z24" s="1"/>
      <c r="AA24" s="1"/>
      <c r="AB24" s="1"/>
      <c r="AC24" s="1"/>
      <c r="AD24" s="49"/>
      <c r="AE24" s="49"/>
      <c r="AF24" s="49"/>
      <c r="AG24" s="49"/>
      <c r="AH24" s="50"/>
      <c r="AI24" s="50"/>
      <c r="AJ24" s="50"/>
      <c r="AK24" s="50"/>
      <c r="AL24" s="1"/>
      <c r="AM24" s="1"/>
      <c r="AN24" s="1"/>
      <c r="AO24" s="1"/>
      <c r="AP24" s="52"/>
      <c r="AQ24" s="52"/>
      <c r="AR24" s="52"/>
      <c r="AS24" s="52"/>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54"/>
      <c r="CW24" s="54"/>
      <c r="CX24" s="1"/>
    </row>
    <row r="25" spans="1:102" s="10" customFormat="1" ht="18" customHeight="1" x14ac:dyDescent="0.25">
      <c r="A25" s="6"/>
      <c r="B25" s="6"/>
      <c r="C25" s="1"/>
      <c r="D25" s="1"/>
      <c r="E25" s="1"/>
      <c r="F25" s="53"/>
      <c r="G25" s="53"/>
      <c r="H25" s="53"/>
      <c r="I25" s="53"/>
      <c r="J25" s="48"/>
      <c r="K25" s="48"/>
      <c r="L25" s="48"/>
      <c r="M25" s="48"/>
      <c r="N25" s="47"/>
      <c r="O25" s="47"/>
      <c r="P25" s="47"/>
      <c r="Q25" s="47"/>
      <c r="R25" s="51"/>
      <c r="S25" s="51"/>
      <c r="T25" s="51"/>
      <c r="U25" s="51"/>
      <c r="V25" s="50"/>
      <c r="W25" s="50"/>
      <c r="X25" s="50"/>
      <c r="Y25" s="50"/>
      <c r="Z25" s="1"/>
      <c r="AA25" s="1"/>
      <c r="AB25" s="1"/>
      <c r="AC25" s="1"/>
      <c r="AD25" s="49"/>
      <c r="AE25" s="49"/>
      <c r="AF25" s="49"/>
      <c r="AG25" s="49"/>
      <c r="AH25" s="50"/>
      <c r="AI25" s="50"/>
      <c r="AJ25" s="50"/>
      <c r="AK25" s="50"/>
      <c r="AL25" s="1"/>
      <c r="AM25" s="1"/>
      <c r="AN25" s="1"/>
      <c r="AO25" s="1"/>
      <c r="AP25" s="52"/>
      <c r="AQ25" s="52"/>
      <c r="AR25" s="52"/>
      <c r="AS25" s="52"/>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54"/>
      <c r="CW25" s="54"/>
      <c r="CX25" s="1"/>
    </row>
    <row r="26" spans="1:102" s="10" customFormat="1" ht="18" customHeight="1" x14ac:dyDescent="0.25">
      <c r="A26" s="6"/>
      <c r="B26" s="6"/>
      <c r="C26" s="1"/>
      <c r="D26" s="1"/>
      <c r="E26" s="1"/>
      <c r="F26" s="53"/>
      <c r="G26" s="53"/>
      <c r="H26" s="53"/>
      <c r="I26" s="53"/>
      <c r="J26" s="48"/>
      <c r="K26" s="48"/>
      <c r="L26" s="48"/>
      <c r="M26" s="48"/>
      <c r="N26" s="47"/>
      <c r="O26" s="47"/>
      <c r="P26" s="47"/>
      <c r="Q26" s="47"/>
      <c r="R26" s="51"/>
      <c r="S26" s="51"/>
      <c r="T26" s="51"/>
      <c r="U26" s="51"/>
      <c r="V26" s="50"/>
      <c r="W26" s="50"/>
      <c r="X26" s="50"/>
      <c r="Y26" s="50"/>
      <c r="Z26" s="1"/>
      <c r="AA26" s="1"/>
      <c r="AB26" s="1"/>
      <c r="AC26" s="1"/>
      <c r="AD26" s="49"/>
      <c r="AE26" s="49"/>
      <c r="AF26" s="49"/>
      <c r="AG26" s="49"/>
      <c r="AH26" s="50"/>
      <c r="AI26" s="50"/>
      <c r="AJ26" s="50"/>
      <c r="AK26" s="50"/>
      <c r="AL26" s="1"/>
      <c r="AM26" s="1"/>
      <c r="AN26" s="1"/>
      <c r="AO26" s="1"/>
      <c r="AP26" s="52"/>
      <c r="AQ26" s="52"/>
      <c r="AR26" s="52"/>
      <c r="AS26" s="52"/>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54"/>
      <c r="CW26" s="54"/>
      <c r="CX26" s="1"/>
    </row>
    <row r="27" spans="1:102" s="10" customFormat="1" ht="18" customHeight="1" x14ac:dyDescent="0.25">
      <c r="A27" s="6"/>
      <c r="B27" s="6"/>
      <c r="C27" s="1"/>
      <c r="D27" s="1"/>
      <c r="E27" s="1"/>
      <c r="F27" s="53"/>
      <c r="G27" s="53"/>
      <c r="H27" s="53"/>
      <c r="I27" s="53"/>
      <c r="J27" s="48"/>
      <c r="K27" s="48"/>
      <c r="L27" s="48"/>
      <c r="M27" s="48"/>
      <c r="N27" s="47"/>
      <c r="O27" s="47"/>
      <c r="P27" s="47"/>
      <c r="Q27" s="47"/>
      <c r="R27" s="51"/>
      <c r="S27" s="51"/>
      <c r="T27" s="51"/>
      <c r="U27" s="51"/>
      <c r="V27" s="50"/>
      <c r="W27" s="50"/>
      <c r="X27" s="50"/>
      <c r="Y27" s="50"/>
      <c r="Z27" s="1"/>
      <c r="AA27" s="1"/>
      <c r="AB27" s="1"/>
      <c r="AC27" s="1"/>
      <c r="AD27" s="49"/>
      <c r="AE27" s="49"/>
      <c r="AF27" s="49"/>
      <c r="AG27" s="49"/>
      <c r="AH27" s="50"/>
      <c r="AI27" s="50"/>
      <c r="AJ27" s="50"/>
      <c r="AK27" s="50"/>
      <c r="AL27" s="1"/>
      <c r="AM27" s="1"/>
      <c r="AN27" s="1"/>
      <c r="AO27" s="1"/>
      <c r="AP27" s="52"/>
      <c r="AQ27" s="52"/>
      <c r="AR27" s="52"/>
      <c r="AS27" s="52"/>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54"/>
      <c r="CW27" s="54"/>
      <c r="CX27" s="1"/>
    </row>
    <row r="28" spans="1:102" s="10" customFormat="1" ht="18" customHeight="1" x14ac:dyDescent="0.25">
      <c r="A28" s="6"/>
      <c r="B28" s="6"/>
      <c r="C28" s="1"/>
      <c r="D28" s="1"/>
      <c r="E28" s="1"/>
      <c r="F28" s="53"/>
      <c r="G28" s="53"/>
      <c r="H28" s="53"/>
      <c r="I28" s="53"/>
      <c r="J28" s="48"/>
      <c r="K28" s="48"/>
      <c r="L28" s="48"/>
      <c r="M28" s="48"/>
      <c r="N28" s="47"/>
      <c r="O28" s="47"/>
      <c r="P28" s="47"/>
      <c r="Q28" s="47"/>
      <c r="R28" s="51"/>
      <c r="S28" s="51"/>
      <c r="T28" s="51"/>
      <c r="U28" s="51"/>
      <c r="V28" s="50"/>
      <c r="W28" s="50"/>
      <c r="X28" s="50"/>
      <c r="Y28" s="50"/>
      <c r="Z28" s="1"/>
      <c r="AA28" s="1"/>
      <c r="AB28" s="1"/>
      <c r="AC28" s="1"/>
      <c r="AD28" s="49"/>
      <c r="AE28" s="49"/>
      <c r="AF28" s="49"/>
      <c r="AG28" s="49"/>
      <c r="AH28" s="50"/>
      <c r="AI28" s="50"/>
      <c r="AJ28" s="50"/>
      <c r="AK28" s="50"/>
      <c r="AL28" s="1"/>
      <c r="AM28" s="1"/>
      <c r="AN28" s="1"/>
      <c r="AO28" s="1"/>
      <c r="AP28" s="52"/>
      <c r="AQ28" s="52"/>
      <c r="AR28" s="52"/>
      <c r="AS28" s="52"/>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54"/>
      <c r="CW28" s="54"/>
      <c r="CX28" s="1"/>
    </row>
    <row r="29" spans="1:102" s="10" customFormat="1" ht="18" customHeight="1" x14ac:dyDescent="0.25">
      <c r="A29" s="6"/>
      <c r="B29" s="6"/>
      <c r="C29" s="1"/>
      <c r="D29" s="1"/>
      <c r="E29" s="1"/>
      <c r="F29" s="53"/>
      <c r="G29" s="53"/>
      <c r="H29" s="53"/>
      <c r="I29" s="53"/>
      <c r="J29" s="48"/>
      <c r="K29" s="48"/>
      <c r="L29" s="48"/>
      <c r="M29" s="48"/>
      <c r="N29" s="47"/>
      <c r="O29" s="47"/>
      <c r="P29" s="47"/>
      <c r="Q29" s="47"/>
      <c r="R29" s="51"/>
      <c r="S29" s="51"/>
      <c r="T29" s="51"/>
      <c r="U29" s="51"/>
      <c r="V29" s="50"/>
      <c r="W29" s="50"/>
      <c r="X29" s="50"/>
      <c r="Y29" s="50"/>
      <c r="Z29" s="1"/>
      <c r="AA29" s="1"/>
      <c r="AB29" s="1"/>
      <c r="AC29" s="1"/>
      <c r="AD29" s="49"/>
      <c r="AE29" s="49"/>
      <c r="AF29" s="49"/>
      <c r="AG29" s="49"/>
      <c r="AH29" s="50"/>
      <c r="AI29" s="50"/>
      <c r="AJ29" s="50"/>
      <c r="AK29" s="50"/>
      <c r="AL29" s="1"/>
      <c r="AM29" s="1"/>
      <c r="AN29" s="1"/>
      <c r="AO29" s="1"/>
      <c r="AP29" s="52"/>
      <c r="AQ29" s="52"/>
      <c r="AR29" s="52"/>
      <c r="AS29" s="52"/>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54"/>
      <c r="CW29" s="54"/>
      <c r="CX29" s="1"/>
    </row>
    <row r="30" spans="1:102" s="10" customFormat="1" ht="18" customHeight="1" x14ac:dyDescent="0.25">
      <c r="A30" s="6"/>
      <c r="B30" s="6"/>
      <c r="C30" s="1"/>
      <c r="D30" s="1"/>
      <c r="E30" s="1"/>
      <c r="F30" s="53"/>
      <c r="G30" s="53"/>
      <c r="H30" s="53"/>
      <c r="I30" s="53"/>
      <c r="J30" s="48"/>
      <c r="K30" s="48"/>
      <c r="L30" s="48"/>
      <c r="M30" s="48"/>
      <c r="N30" s="47"/>
      <c r="O30" s="47"/>
      <c r="P30" s="47"/>
      <c r="Q30" s="47"/>
      <c r="R30" s="51"/>
      <c r="S30" s="51"/>
      <c r="T30" s="51"/>
      <c r="U30" s="51"/>
      <c r="V30" s="50"/>
      <c r="W30" s="50"/>
      <c r="X30" s="50"/>
      <c r="Y30" s="50"/>
      <c r="Z30" s="1"/>
      <c r="AA30" s="1"/>
      <c r="AB30" s="1"/>
      <c r="AC30" s="1"/>
      <c r="AD30" s="49"/>
      <c r="AE30" s="49"/>
      <c r="AF30" s="49"/>
      <c r="AG30" s="49"/>
      <c r="AH30" s="50"/>
      <c r="AI30" s="50"/>
      <c r="AJ30" s="50"/>
      <c r="AK30" s="50"/>
      <c r="AL30" s="1"/>
      <c r="AM30" s="1"/>
      <c r="AN30" s="1"/>
      <c r="AO30" s="1"/>
      <c r="AP30" s="52"/>
      <c r="AQ30" s="52"/>
      <c r="AR30" s="52"/>
      <c r="AS30" s="52"/>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54"/>
      <c r="CW30" s="54"/>
      <c r="CX30" s="1"/>
    </row>
    <row r="31" spans="1:102" s="10" customFormat="1" ht="18" customHeight="1" x14ac:dyDescent="0.25">
      <c r="A31" s="6"/>
      <c r="B31" s="6"/>
      <c r="C31" s="1"/>
      <c r="D31" s="1"/>
      <c r="E31" s="1"/>
      <c r="F31" s="53"/>
      <c r="G31" s="53"/>
      <c r="H31" s="53"/>
      <c r="I31" s="53"/>
      <c r="J31" s="48"/>
      <c r="K31" s="48"/>
      <c r="L31" s="48"/>
      <c r="M31" s="48"/>
      <c r="N31" s="47"/>
      <c r="O31" s="47"/>
      <c r="P31" s="47"/>
      <c r="Q31" s="47"/>
      <c r="R31" s="51"/>
      <c r="S31" s="51"/>
      <c r="T31" s="51"/>
      <c r="U31" s="51"/>
      <c r="V31" s="50"/>
      <c r="W31" s="50"/>
      <c r="X31" s="50"/>
      <c r="Y31" s="50"/>
      <c r="Z31" s="1"/>
      <c r="AA31" s="1"/>
      <c r="AB31" s="1"/>
      <c r="AC31" s="1"/>
      <c r="AD31" s="49"/>
      <c r="AE31" s="49"/>
      <c r="AF31" s="49"/>
      <c r="AG31" s="49"/>
      <c r="AH31" s="50"/>
      <c r="AI31" s="50"/>
      <c r="AJ31" s="50"/>
      <c r="AK31" s="50"/>
      <c r="AL31" s="1"/>
      <c r="AM31" s="1"/>
      <c r="AN31" s="1"/>
      <c r="AO31" s="1"/>
      <c r="AP31" s="52"/>
      <c r="AQ31" s="52"/>
      <c r="AR31" s="52"/>
      <c r="AS31" s="52"/>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54"/>
      <c r="CW31" s="54"/>
      <c r="CX31" s="1"/>
    </row>
    <row r="32" spans="1:102" s="10" customFormat="1" ht="18" customHeight="1" x14ac:dyDescent="0.25">
      <c r="A32" s="6"/>
      <c r="B32" s="6"/>
      <c r="C32" s="1"/>
      <c r="D32" s="1"/>
      <c r="E32" s="1"/>
      <c r="F32" s="53"/>
      <c r="G32" s="53"/>
      <c r="H32" s="53"/>
      <c r="I32" s="53"/>
      <c r="J32" s="48"/>
      <c r="K32" s="48"/>
      <c r="L32" s="48"/>
      <c r="M32" s="48"/>
      <c r="N32" s="47"/>
      <c r="O32" s="47"/>
      <c r="P32" s="47"/>
      <c r="Q32" s="47"/>
      <c r="R32" s="51"/>
      <c r="S32" s="51"/>
      <c r="T32" s="51"/>
      <c r="U32" s="51"/>
      <c r="V32" s="50"/>
      <c r="W32" s="50"/>
      <c r="X32" s="50"/>
      <c r="Y32" s="50"/>
      <c r="Z32" s="1"/>
      <c r="AA32" s="1"/>
      <c r="AB32" s="1"/>
      <c r="AC32" s="1"/>
      <c r="AD32" s="49"/>
      <c r="AE32" s="49"/>
      <c r="AF32" s="49"/>
      <c r="AG32" s="49"/>
      <c r="AH32" s="50"/>
      <c r="AI32" s="50"/>
      <c r="AJ32" s="50"/>
      <c r="AK32" s="50"/>
      <c r="AL32" s="1"/>
      <c r="AM32" s="1"/>
      <c r="AN32" s="1"/>
      <c r="AO32" s="1"/>
      <c r="AP32" s="52"/>
      <c r="AQ32" s="52"/>
      <c r="AR32" s="52"/>
      <c r="AS32" s="52"/>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54"/>
      <c r="CW32" s="54"/>
      <c r="CX32" s="1"/>
    </row>
    <row r="33" spans="1:102" s="10" customFormat="1" ht="18" customHeight="1" x14ac:dyDescent="0.25">
      <c r="A33" s="6"/>
      <c r="B33" s="6"/>
      <c r="C33" s="1"/>
      <c r="D33" s="1"/>
      <c r="E33" s="1"/>
      <c r="F33" s="53"/>
      <c r="G33" s="53"/>
      <c r="H33" s="53"/>
      <c r="I33" s="53"/>
      <c r="J33" s="48"/>
      <c r="K33" s="48"/>
      <c r="L33" s="48"/>
      <c r="M33" s="48"/>
      <c r="N33" s="47"/>
      <c r="O33" s="47"/>
      <c r="P33" s="47"/>
      <c r="Q33" s="47"/>
      <c r="R33" s="51"/>
      <c r="S33" s="51"/>
      <c r="T33" s="51"/>
      <c r="U33" s="51"/>
      <c r="V33" s="50"/>
      <c r="W33" s="50"/>
      <c r="X33" s="50"/>
      <c r="Y33" s="50"/>
      <c r="Z33" s="1"/>
      <c r="AA33" s="1"/>
      <c r="AB33" s="1"/>
      <c r="AC33" s="1"/>
      <c r="AD33" s="49"/>
      <c r="AE33" s="49"/>
      <c r="AF33" s="49"/>
      <c r="AG33" s="49"/>
      <c r="AH33" s="50"/>
      <c r="AI33" s="50"/>
      <c r="AJ33" s="50"/>
      <c r="AK33" s="50"/>
      <c r="AL33" s="1"/>
      <c r="AM33" s="1"/>
      <c r="AN33" s="1"/>
      <c r="AO33" s="1"/>
      <c r="AP33" s="52"/>
      <c r="AQ33" s="52"/>
      <c r="AR33" s="52"/>
      <c r="AS33" s="52"/>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54"/>
      <c r="CW33" s="54"/>
      <c r="CX33" s="1"/>
    </row>
    <row r="34" spans="1:102" s="10" customFormat="1" ht="18" customHeight="1" x14ac:dyDescent="0.25">
      <c r="A34" s="6"/>
      <c r="B34" s="6"/>
      <c r="C34" s="1"/>
      <c r="D34" s="1"/>
      <c r="E34" s="1"/>
      <c r="F34" s="53"/>
      <c r="G34" s="53"/>
      <c r="H34" s="53"/>
      <c r="I34" s="53"/>
      <c r="J34" s="48"/>
      <c r="K34" s="48"/>
      <c r="L34" s="48"/>
      <c r="M34" s="48"/>
      <c r="N34" s="47"/>
      <c r="O34" s="47"/>
      <c r="P34" s="47"/>
      <c r="Q34" s="47"/>
      <c r="R34" s="51"/>
      <c r="S34" s="51"/>
      <c r="T34" s="51"/>
      <c r="U34" s="51"/>
      <c r="V34" s="50"/>
      <c r="W34" s="50"/>
      <c r="X34" s="50"/>
      <c r="Y34" s="50"/>
      <c r="Z34" s="1"/>
      <c r="AA34" s="1"/>
      <c r="AB34" s="1"/>
      <c r="AC34" s="1"/>
      <c r="AD34" s="49"/>
      <c r="AE34" s="49"/>
      <c r="AF34" s="49"/>
      <c r="AG34" s="49"/>
      <c r="AH34" s="50"/>
      <c r="AI34" s="50"/>
      <c r="AJ34" s="50"/>
      <c r="AK34" s="50"/>
      <c r="AL34" s="1"/>
      <c r="AM34" s="1"/>
      <c r="AN34" s="1"/>
      <c r="AO34" s="1"/>
      <c r="AP34" s="52"/>
      <c r="AQ34" s="52"/>
      <c r="AR34" s="52"/>
      <c r="AS34" s="52"/>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54"/>
      <c r="CW34" s="54"/>
      <c r="CX34" s="1"/>
    </row>
    <row r="35" spans="1:102" s="10" customFormat="1" ht="18" customHeight="1" x14ac:dyDescent="0.25">
      <c r="A35" s="6"/>
      <c r="B35" s="6"/>
      <c r="C35" s="1"/>
      <c r="D35" s="1"/>
      <c r="E35" s="1"/>
      <c r="F35" s="53"/>
      <c r="G35" s="53"/>
      <c r="H35" s="53"/>
      <c r="I35" s="53"/>
      <c r="J35" s="48"/>
      <c r="K35" s="48"/>
      <c r="L35" s="48"/>
      <c r="M35" s="48"/>
      <c r="N35" s="47"/>
      <c r="O35" s="47"/>
      <c r="P35" s="47"/>
      <c r="Q35" s="47"/>
      <c r="R35" s="51"/>
      <c r="S35" s="51"/>
      <c r="T35" s="51"/>
      <c r="U35" s="51"/>
      <c r="V35" s="50"/>
      <c r="W35" s="50"/>
      <c r="X35" s="50"/>
      <c r="Y35" s="50"/>
      <c r="Z35" s="1"/>
      <c r="AA35" s="1"/>
      <c r="AB35" s="1"/>
      <c r="AC35" s="1"/>
      <c r="AD35" s="49"/>
      <c r="AE35" s="49"/>
      <c r="AF35" s="49"/>
      <c r="AG35" s="49"/>
      <c r="AH35" s="50"/>
      <c r="AI35" s="50"/>
      <c r="AJ35" s="50"/>
      <c r="AK35" s="50"/>
      <c r="AL35" s="1"/>
      <c r="AM35" s="1"/>
      <c r="AN35" s="1"/>
      <c r="AO35" s="1"/>
      <c r="AP35" s="52"/>
      <c r="AQ35" s="52"/>
      <c r="AR35" s="52"/>
      <c r="AS35" s="52"/>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54"/>
      <c r="CW35" s="54"/>
      <c r="CX35" s="1"/>
    </row>
    <row r="36" spans="1:102" s="10" customFormat="1" ht="18" customHeight="1" x14ac:dyDescent="0.25">
      <c r="A36" s="6"/>
      <c r="B36" s="6"/>
      <c r="C36" s="1"/>
      <c r="D36" s="1"/>
      <c r="E36" s="1"/>
      <c r="F36" s="53"/>
      <c r="G36" s="53"/>
      <c r="H36" s="53"/>
      <c r="I36" s="53"/>
      <c r="J36" s="48"/>
      <c r="K36" s="48"/>
      <c r="L36" s="48"/>
      <c r="M36" s="48"/>
      <c r="N36" s="47"/>
      <c r="O36" s="47"/>
      <c r="P36" s="47"/>
      <c r="Q36" s="47"/>
      <c r="R36" s="51"/>
      <c r="S36" s="51"/>
      <c r="T36" s="51"/>
      <c r="U36" s="51"/>
      <c r="V36" s="50"/>
      <c r="W36" s="50"/>
      <c r="X36" s="50"/>
      <c r="Y36" s="50"/>
      <c r="Z36" s="1"/>
      <c r="AA36" s="1"/>
      <c r="AB36" s="1"/>
      <c r="AC36" s="1"/>
      <c r="AD36" s="49"/>
      <c r="AE36" s="49"/>
      <c r="AF36" s="49"/>
      <c r="AG36" s="49"/>
      <c r="AH36" s="50"/>
      <c r="AI36" s="50"/>
      <c r="AJ36" s="50"/>
      <c r="AK36" s="50"/>
      <c r="AL36" s="1"/>
      <c r="AM36" s="1"/>
      <c r="AN36" s="1"/>
      <c r="AO36" s="1"/>
      <c r="AP36" s="52"/>
      <c r="AQ36" s="52"/>
      <c r="AR36" s="52"/>
      <c r="AS36" s="52"/>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54"/>
      <c r="CW36" s="54"/>
      <c r="CX36" s="1"/>
    </row>
    <row r="37" spans="1:102" s="10" customFormat="1" ht="18" customHeight="1" x14ac:dyDescent="0.25">
      <c r="A37" s="6"/>
      <c r="B37" s="6"/>
      <c r="C37" s="1"/>
      <c r="D37" s="1"/>
      <c r="E37" s="1"/>
      <c r="F37" s="53"/>
      <c r="G37" s="53"/>
      <c r="H37" s="53"/>
      <c r="I37" s="53"/>
      <c r="J37" s="48"/>
      <c r="K37" s="48"/>
      <c r="L37" s="48"/>
      <c r="M37" s="48"/>
      <c r="N37" s="47"/>
      <c r="O37" s="47"/>
      <c r="P37" s="47"/>
      <c r="Q37" s="47"/>
      <c r="R37" s="51"/>
      <c r="S37" s="51"/>
      <c r="T37" s="51"/>
      <c r="U37" s="51"/>
      <c r="V37" s="50"/>
      <c r="W37" s="50"/>
      <c r="X37" s="50"/>
      <c r="Y37" s="50"/>
      <c r="Z37" s="1"/>
      <c r="AA37" s="1"/>
      <c r="AB37" s="1"/>
      <c r="AC37" s="1"/>
      <c r="AD37" s="49"/>
      <c r="AE37" s="49"/>
      <c r="AF37" s="49"/>
      <c r="AG37" s="49"/>
      <c r="AH37" s="50"/>
      <c r="AI37" s="50"/>
      <c r="AJ37" s="50"/>
      <c r="AK37" s="50"/>
      <c r="AL37" s="1"/>
      <c r="AM37" s="1"/>
      <c r="AN37" s="1"/>
      <c r="AO37" s="1"/>
      <c r="AP37" s="52"/>
      <c r="AQ37" s="52"/>
      <c r="AR37" s="52"/>
      <c r="AS37" s="52"/>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54"/>
      <c r="CW37" s="54"/>
      <c r="CX37" s="1"/>
    </row>
    <row r="38" spans="1:102" s="10" customFormat="1" ht="18" customHeight="1" x14ac:dyDescent="0.25">
      <c r="A38" s="6"/>
      <c r="B38" s="6"/>
      <c r="C38" s="1"/>
      <c r="D38" s="1"/>
      <c r="E38" s="1"/>
      <c r="F38" s="53"/>
      <c r="G38" s="53"/>
      <c r="H38" s="53"/>
      <c r="I38" s="53"/>
      <c r="J38" s="48"/>
      <c r="K38" s="48"/>
      <c r="L38" s="48"/>
      <c r="M38" s="48"/>
      <c r="N38" s="47"/>
      <c r="O38" s="47"/>
      <c r="P38" s="47"/>
      <c r="Q38" s="47"/>
      <c r="R38" s="51"/>
      <c r="S38" s="51"/>
      <c r="T38" s="51"/>
      <c r="U38" s="51"/>
      <c r="V38" s="50"/>
      <c r="W38" s="50"/>
      <c r="X38" s="50"/>
      <c r="Y38" s="50"/>
      <c r="Z38" s="1"/>
      <c r="AA38" s="1"/>
      <c r="AB38" s="1"/>
      <c r="AC38" s="1"/>
      <c r="AD38" s="49"/>
      <c r="AE38" s="49"/>
      <c r="AF38" s="49"/>
      <c r="AG38" s="49"/>
      <c r="AH38" s="50"/>
      <c r="AI38" s="50"/>
      <c r="AJ38" s="50"/>
      <c r="AK38" s="50"/>
      <c r="AL38" s="1"/>
      <c r="AM38" s="1"/>
      <c r="AN38" s="1"/>
      <c r="AO38" s="1"/>
      <c r="AP38" s="52"/>
      <c r="AQ38" s="52"/>
      <c r="AR38" s="52"/>
      <c r="AS38" s="52"/>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54"/>
      <c r="CW38" s="54"/>
      <c r="CX38" s="1"/>
    </row>
    <row r="39" spans="1:102" s="10" customFormat="1" ht="18" customHeight="1" x14ac:dyDescent="0.25">
      <c r="A39" s="6"/>
      <c r="B39" s="6"/>
      <c r="C39" s="1"/>
      <c r="D39" s="1"/>
      <c r="E39" s="1"/>
      <c r="F39" s="53"/>
      <c r="G39" s="53"/>
      <c r="H39" s="53"/>
      <c r="I39" s="53"/>
      <c r="J39" s="48"/>
      <c r="K39" s="48"/>
      <c r="L39" s="48"/>
      <c r="M39" s="48"/>
      <c r="N39" s="47"/>
      <c r="O39" s="47"/>
      <c r="P39" s="47"/>
      <c r="Q39" s="47"/>
      <c r="R39" s="51"/>
      <c r="S39" s="51"/>
      <c r="T39" s="51"/>
      <c r="U39" s="51"/>
      <c r="V39" s="50"/>
      <c r="W39" s="50"/>
      <c r="X39" s="50"/>
      <c r="Y39" s="50"/>
      <c r="Z39" s="1"/>
      <c r="AA39" s="1"/>
      <c r="AB39" s="1"/>
      <c r="AC39" s="1"/>
      <c r="AD39" s="49"/>
      <c r="AE39" s="49"/>
      <c r="AF39" s="49"/>
      <c r="AG39" s="49"/>
      <c r="AH39" s="50"/>
      <c r="AI39" s="50"/>
      <c r="AJ39" s="50"/>
      <c r="AK39" s="50"/>
      <c r="AL39" s="1"/>
      <c r="AM39" s="1"/>
      <c r="AN39" s="1"/>
      <c r="AO39" s="1"/>
      <c r="AP39" s="52"/>
      <c r="AQ39" s="52"/>
      <c r="AR39" s="52"/>
      <c r="AS39" s="52"/>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54"/>
      <c r="CW39" s="54"/>
      <c r="CX39" s="1"/>
    </row>
    <row r="40" spans="1:102" s="10" customFormat="1" ht="18" customHeight="1" x14ac:dyDescent="0.25">
      <c r="A40" s="6"/>
      <c r="B40" s="6"/>
      <c r="C40" s="1"/>
      <c r="D40" s="1"/>
      <c r="E40" s="1"/>
      <c r="F40" s="53"/>
      <c r="G40" s="53"/>
      <c r="H40" s="53"/>
      <c r="I40" s="53"/>
      <c r="J40" s="48"/>
      <c r="K40" s="48"/>
      <c r="L40" s="48"/>
      <c r="M40" s="48"/>
      <c r="N40" s="47"/>
      <c r="O40" s="47"/>
      <c r="P40" s="47"/>
      <c r="Q40" s="47"/>
      <c r="R40" s="51"/>
      <c r="S40" s="51"/>
      <c r="T40" s="51"/>
      <c r="U40" s="51"/>
      <c r="V40" s="50"/>
      <c r="W40" s="50"/>
      <c r="X40" s="50"/>
      <c r="Y40" s="50"/>
      <c r="Z40" s="1"/>
      <c r="AA40" s="1"/>
      <c r="AB40" s="1"/>
      <c r="AC40" s="1"/>
      <c r="AD40" s="49"/>
      <c r="AE40" s="49"/>
      <c r="AF40" s="49"/>
      <c r="AG40" s="49"/>
      <c r="AH40" s="50"/>
      <c r="AI40" s="50"/>
      <c r="AJ40" s="50"/>
      <c r="AK40" s="50"/>
      <c r="AL40" s="1"/>
      <c r="AM40" s="1"/>
      <c r="AN40" s="1"/>
      <c r="AO40" s="1"/>
      <c r="AP40" s="52"/>
      <c r="AQ40" s="52"/>
      <c r="AR40" s="52"/>
      <c r="AS40" s="52"/>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54"/>
      <c r="CW40" s="54"/>
      <c r="CX40" s="1"/>
    </row>
    <row r="41" spans="1:102" s="10" customFormat="1" ht="18" customHeight="1" x14ac:dyDescent="0.25">
      <c r="A41" s="6"/>
      <c r="B41" s="6"/>
      <c r="C41" s="1"/>
      <c r="D41" s="1"/>
      <c r="E41" s="1"/>
      <c r="F41" s="53"/>
      <c r="G41" s="53"/>
      <c r="H41" s="53"/>
      <c r="I41" s="53"/>
      <c r="J41" s="48"/>
      <c r="K41" s="48"/>
      <c r="L41" s="48"/>
      <c r="M41" s="48"/>
      <c r="N41" s="47"/>
      <c r="O41" s="47"/>
      <c r="P41" s="47"/>
      <c r="Q41" s="47"/>
      <c r="R41" s="51"/>
      <c r="S41" s="51"/>
      <c r="T41" s="51"/>
      <c r="U41" s="51"/>
      <c r="V41" s="50"/>
      <c r="W41" s="50"/>
      <c r="X41" s="50"/>
      <c r="Y41" s="50"/>
      <c r="Z41" s="1"/>
      <c r="AA41" s="1"/>
      <c r="AB41" s="1"/>
      <c r="AC41" s="1"/>
      <c r="AD41" s="49"/>
      <c r="AE41" s="49"/>
      <c r="AF41" s="49"/>
      <c r="AG41" s="49"/>
      <c r="AH41" s="50"/>
      <c r="AI41" s="50"/>
      <c r="AJ41" s="50"/>
      <c r="AK41" s="50"/>
      <c r="AL41" s="1"/>
      <c r="AM41" s="1"/>
      <c r="AN41" s="1"/>
      <c r="AO41" s="1"/>
      <c r="AP41" s="52"/>
      <c r="AQ41" s="52"/>
      <c r="AR41" s="52"/>
      <c r="AS41" s="52"/>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54"/>
      <c r="CW41" s="54"/>
      <c r="CX41" s="1"/>
    </row>
    <row r="42" spans="1:102" s="10" customFormat="1" ht="18" customHeight="1" x14ac:dyDescent="0.25">
      <c r="A42" s="6"/>
      <c r="B42" s="6"/>
      <c r="C42" s="1"/>
      <c r="D42" s="1"/>
      <c r="E42" s="1"/>
      <c r="F42" s="53"/>
      <c r="G42" s="53"/>
      <c r="H42" s="53"/>
      <c r="I42" s="53"/>
      <c r="J42" s="48"/>
      <c r="K42" s="48"/>
      <c r="L42" s="48"/>
      <c r="M42" s="48"/>
      <c r="N42" s="47"/>
      <c r="O42" s="47"/>
      <c r="P42" s="47"/>
      <c r="Q42" s="47"/>
      <c r="R42" s="51"/>
      <c r="S42" s="51"/>
      <c r="T42" s="51"/>
      <c r="U42" s="51"/>
      <c r="V42" s="50"/>
      <c r="W42" s="50"/>
      <c r="X42" s="50"/>
      <c r="Y42" s="50"/>
      <c r="Z42" s="1"/>
      <c r="AA42" s="1"/>
      <c r="AB42" s="1"/>
      <c r="AC42" s="1"/>
      <c r="AD42" s="49"/>
      <c r="AE42" s="49"/>
      <c r="AF42" s="49"/>
      <c r="AG42" s="49"/>
      <c r="AH42" s="50"/>
      <c r="AI42" s="50"/>
      <c r="AJ42" s="50"/>
      <c r="AK42" s="50"/>
      <c r="AL42" s="1"/>
      <c r="AM42" s="1"/>
      <c r="AN42" s="1"/>
      <c r="AO42" s="1"/>
      <c r="AP42" s="52"/>
      <c r="AQ42" s="52"/>
      <c r="AR42" s="52"/>
      <c r="AS42" s="52"/>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54"/>
      <c r="CW42" s="54"/>
      <c r="CX42" s="1"/>
    </row>
    <row r="43" spans="1:102" s="10" customFormat="1" ht="18" customHeight="1" x14ac:dyDescent="0.25">
      <c r="A43" s="6"/>
      <c r="B43" s="6"/>
      <c r="C43" s="1"/>
      <c r="D43" s="1"/>
      <c r="E43" s="1"/>
      <c r="F43" s="53"/>
      <c r="G43" s="53"/>
      <c r="H43" s="53"/>
      <c r="I43" s="53"/>
      <c r="J43" s="48"/>
      <c r="K43" s="48"/>
      <c r="L43" s="48"/>
      <c r="M43" s="48"/>
      <c r="N43" s="47"/>
      <c r="O43" s="47"/>
      <c r="P43" s="47"/>
      <c r="Q43" s="47"/>
      <c r="R43" s="51"/>
      <c r="S43" s="51"/>
      <c r="T43" s="51"/>
      <c r="U43" s="51"/>
      <c r="V43" s="50"/>
      <c r="W43" s="50"/>
      <c r="X43" s="50"/>
      <c r="Y43" s="50"/>
      <c r="Z43" s="1"/>
      <c r="AA43" s="1"/>
      <c r="AB43" s="1"/>
      <c r="AC43" s="1"/>
      <c r="AD43" s="49"/>
      <c r="AE43" s="49"/>
      <c r="AF43" s="49"/>
      <c r="AG43" s="49"/>
      <c r="AH43" s="50"/>
      <c r="AI43" s="50"/>
      <c r="AJ43" s="50"/>
      <c r="AK43" s="50"/>
      <c r="AL43" s="1"/>
      <c r="AM43" s="1"/>
      <c r="AN43" s="1"/>
      <c r="AO43" s="1"/>
      <c r="AP43" s="52"/>
      <c r="AQ43" s="52"/>
      <c r="AR43" s="52"/>
      <c r="AS43" s="52"/>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54"/>
      <c r="CW43" s="54"/>
      <c r="CX43" s="1"/>
    </row>
    <row r="44" spans="1:102" s="10" customFormat="1" ht="18" customHeight="1" x14ac:dyDescent="0.25">
      <c r="A44" s="6"/>
      <c r="B44" s="6"/>
      <c r="C44" s="1"/>
      <c r="D44" s="1"/>
      <c r="E44" s="1"/>
      <c r="F44" s="53"/>
      <c r="G44" s="53"/>
      <c r="H44" s="53"/>
      <c r="I44" s="53"/>
      <c r="J44" s="48"/>
      <c r="K44" s="48"/>
      <c r="L44" s="48"/>
      <c r="M44" s="48"/>
      <c r="N44" s="47"/>
      <c r="O44" s="47"/>
      <c r="P44" s="47"/>
      <c r="Q44" s="47"/>
      <c r="R44" s="51"/>
      <c r="S44" s="51"/>
      <c r="T44" s="51"/>
      <c r="U44" s="51"/>
      <c r="V44" s="50"/>
      <c r="W44" s="50"/>
      <c r="X44" s="50"/>
      <c r="Y44" s="50"/>
      <c r="Z44" s="1"/>
      <c r="AA44" s="1"/>
      <c r="AB44" s="1"/>
      <c r="AC44" s="1"/>
      <c r="AD44" s="49"/>
      <c r="AE44" s="49"/>
      <c r="AF44" s="49"/>
      <c r="AG44" s="49"/>
      <c r="AH44" s="50"/>
      <c r="AI44" s="50"/>
      <c r="AJ44" s="50"/>
      <c r="AK44" s="50"/>
      <c r="AL44" s="1"/>
      <c r="AM44" s="1"/>
      <c r="AN44" s="1"/>
      <c r="AO44" s="1"/>
      <c r="AP44" s="52"/>
      <c r="AQ44" s="52"/>
      <c r="AR44" s="52"/>
      <c r="AS44" s="52"/>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54"/>
      <c r="CW44" s="54"/>
      <c r="CX44" s="1"/>
    </row>
  </sheetData>
  <conditionalFormatting sqref="C1:C1048576">
    <cfRule type="duplicateValues" dxfId="0" priority="1"/>
  </conditionalFormatting>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A74"/>
  <sheetViews>
    <sheetView showZeros="0" tabSelected="1" topLeftCell="A21" zoomScale="85" zoomScaleNormal="85" workbookViewId="0">
      <selection activeCell="H28" sqref="H28"/>
    </sheetView>
  </sheetViews>
  <sheetFormatPr defaultRowHeight="15" x14ac:dyDescent="0.25"/>
  <cols>
    <col min="1" max="1" width="14.140625" bestFit="1" customWidth="1"/>
    <col min="2" max="2" width="16.28515625" style="57" bestFit="1" customWidth="1"/>
    <col min="3" max="3" width="10.28515625" bestFit="1" customWidth="1"/>
    <col min="4" max="4" width="37.5703125" bestFit="1" customWidth="1"/>
    <col min="5" max="5" width="13.7109375" style="2" bestFit="1" customWidth="1"/>
    <col min="6" max="6" width="12" customWidth="1"/>
    <col min="7" max="7" width="15.42578125" bestFit="1" customWidth="1"/>
    <col min="8" max="8" width="13.7109375" style="5" customWidth="1"/>
    <col min="9" max="9" width="15.42578125" customWidth="1"/>
    <col min="10" max="10" width="13.140625" bestFit="1" customWidth="1"/>
    <col min="11" max="11" width="10.28515625" bestFit="1" customWidth="1"/>
    <col min="12" max="12" width="12.140625" customWidth="1"/>
    <col min="13" max="13" width="16.42578125" customWidth="1"/>
    <col min="14" max="14" width="10.7109375" customWidth="1"/>
    <col min="15" max="15" width="7.85546875" style="15" customWidth="1"/>
    <col min="16" max="25" width="7.85546875" style="15" hidden="1" customWidth="1"/>
    <col min="26" max="26" width="10" style="15" customWidth="1"/>
    <col min="27" max="33" width="7.85546875" style="15" hidden="1" customWidth="1"/>
    <col min="34" max="35" width="7.85546875" style="15" customWidth="1"/>
    <col min="36" max="50" width="7.85546875" style="15" hidden="1" customWidth="1"/>
    <col min="51" max="51" width="7.85546875" style="15" customWidth="1"/>
    <col min="52" max="59" width="7.85546875" style="15" hidden="1" customWidth="1"/>
    <col min="60" max="60" width="7.85546875" style="15" customWidth="1"/>
    <col min="61" max="72" width="7.85546875" style="15" hidden="1" customWidth="1"/>
    <col min="73" max="73" width="7.85546875" style="15" customWidth="1"/>
    <col min="74" max="76" width="7.85546875" style="15" hidden="1" customWidth="1"/>
    <col min="77" max="77" width="7.85546875" style="15" customWidth="1"/>
    <col min="78" max="85" width="7.85546875" style="15" hidden="1" customWidth="1"/>
    <col min="86" max="86" width="7.85546875" style="15" customWidth="1"/>
    <col min="87" max="87" width="11" style="15" customWidth="1"/>
    <col min="88" max="88" width="25.7109375" style="15" customWidth="1"/>
    <col min="89" max="89" width="10.7109375" style="15" customWidth="1"/>
    <col min="90" max="90" width="11.28515625" style="2" customWidth="1"/>
    <col min="91" max="91" width="13.85546875" style="2" bestFit="1" customWidth="1"/>
    <col min="92" max="92" width="9.140625" style="13" customWidth="1"/>
    <col min="93" max="93" width="9.140625" style="2" customWidth="1"/>
    <col min="94" max="94" width="9.140625" style="8" customWidth="1"/>
    <col min="95" max="95" width="12" style="2" bestFit="1" customWidth="1"/>
    <col min="96" max="96" width="9.140625" style="5" customWidth="1"/>
    <col min="97" max="97" width="12.28515625" style="2" bestFit="1" customWidth="1"/>
    <col min="98" max="98" width="13.85546875" style="2" bestFit="1" customWidth="1"/>
    <col min="99" max="99" width="9.140625" style="5" customWidth="1"/>
    <col min="100" max="100" width="11.5703125" customWidth="1"/>
    <col min="101" max="101" width="9.140625" style="5" customWidth="1"/>
    <col min="102" max="102" width="9.140625" customWidth="1"/>
  </cols>
  <sheetData>
    <row r="1" spans="1:19" ht="15.75" thickBot="1" x14ac:dyDescent="0.3">
      <c r="A1" s="88"/>
      <c r="B1" s="88"/>
      <c r="C1" s="88"/>
      <c r="D1" s="88"/>
      <c r="E1" s="88"/>
      <c r="F1" s="88"/>
      <c r="G1" s="88"/>
      <c r="H1" s="88"/>
      <c r="I1" s="88"/>
      <c r="J1" s="88"/>
      <c r="K1" s="88"/>
      <c r="L1" s="88"/>
      <c r="M1" s="88"/>
      <c r="N1" s="88"/>
      <c r="O1" s="88"/>
      <c r="P1" s="88"/>
      <c r="Q1" s="88"/>
      <c r="R1" s="88"/>
      <c r="S1" s="88"/>
    </row>
    <row r="2" spans="1:19" ht="23.25" thickBot="1" x14ac:dyDescent="0.5">
      <c r="A2" s="115" t="s">
        <v>136</v>
      </c>
      <c r="B2" s="116"/>
      <c r="C2" s="116"/>
      <c r="D2" s="116"/>
      <c r="E2" s="116"/>
      <c r="F2" s="116"/>
      <c r="G2" s="116"/>
      <c r="H2" s="116"/>
      <c r="I2" s="116"/>
      <c r="J2" s="116"/>
      <c r="K2" s="116"/>
      <c r="L2" s="116"/>
      <c r="M2" s="116"/>
      <c r="N2" s="116"/>
      <c r="O2" s="116"/>
      <c r="P2" s="116"/>
      <c r="Q2" s="116"/>
      <c r="R2" s="116"/>
      <c r="S2" s="117"/>
    </row>
    <row r="3" spans="1:19" ht="15.75" thickBot="1" x14ac:dyDescent="0.3">
      <c r="B3"/>
      <c r="E3"/>
      <c r="H3"/>
      <c r="O3"/>
      <c r="P3"/>
      <c r="Q3"/>
      <c r="R3"/>
      <c r="S3"/>
    </row>
    <row r="4" spans="1:19" ht="45.75" thickBot="1" x14ac:dyDescent="0.3">
      <c r="A4" s="89" t="s">
        <v>137</v>
      </c>
      <c r="B4" s="118" t="s">
        <v>148</v>
      </c>
      <c r="C4" s="118"/>
      <c r="D4" s="118"/>
      <c r="E4" s="118"/>
      <c r="F4" s="118"/>
      <c r="G4" s="118"/>
      <c r="H4" s="118"/>
      <c r="I4" s="118"/>
      <c r="J4" s="118"/>
      <c r="K4" s="118"/>
      <c r="L4" s="118"/>
      <c r="M4" s="118"/>
      <c r="N4" s="118"/>
      <c r="O4" s="118"/>
      <c r="P4" s="118"/>
      <c r="Q4" s="118"/>
      <c r="R4" s="118"/>
      <c r="S4" s="118"/>
    </row>
    <row r="5" spans="1:19" ht="45" x14ac:dyDescent="0.25">
      <c r="A5" s="89" t="s">
        <v>138</v>
      </c>
      <c r="B5" s="118" t="s">
        <v>149</v>
      </c>
      <c r="C5" s="118"/>
      <c r="D5" s="118"/>
      <c r="E5" s="118"/>
      <c r="F5" s="118"/>
      <c r="G5" s="118"/>
      <c r="H5" s="118"/>
      <c r="I5" s="118"/>
      <c r="J5" s="118"/>
      <c r="K5" s="118"/>
      <c r="L5" s="118"/>
      <c r="M5" s="118"/>
      <c r="N5" s="118"/>
      <c r="O5" s="118"/>
      <c r="P5" s="118"/>
      <c r="Q5" s="118"/>
      <c r="R5" s="118"/>
      <c r="S5" s="118"/>
    </row>
    <row r="6" spans="1:19" ht="45" x14ac:dyDescent="0.25">
      <c r="A6" s="90" t="s">
        <v>139</v>
      </c>
      <c r="B6" s="119" t="s">
        <v>150</v>
      </c>
      <c r="C6" s="118"/>
      <c r="D6" s="118"/>
      <c r="E6" s="118"/>
      <c r="F6" s="118"/>
      <c r="G6" s="118"/>
      <c r="H6" s="118"/>
      <c r="I6" s="118"/>
      <c r="J6" s="118"/>
      <c r="K6" s="118"/>
      <c r="L6" s="118"/>
      <c r="M6" s="118"/>
      <c r="N6" s="118"/>
      <c r="O6" s="118"/>
      <c r="P6" s="118"/>
      <c r="Q6" s="118"/>
      <c r="R6" s="118"/>
      <c r="S6" s="118"/>
    </row>
    <row r="7" spans="1:19" ht="30" x14ac:dyDescent="0.25">
      <c r="A7" s="90" t="s">
        <v>140</v>
      </c>
      <c r="B7" s="119" t="s">
        <v>151</v>
      </c>
      <c r="C7" s="118"/>
      <c r="D7" s="118"/>
      <c r="E7" s="118"/>
      <c r="F7" s="118"/>
      <c r="G7" s="118"/>
      <c r="H7" s="118"/>
      <c r="I7" s="118"/>
      <c r="J7" s="118"/>
      <c r="K7" s="118"/>
      <c r="L7" s="118"/>
      <c r="M7" s="118"/>
      <c r="N7" s="118"/>
      <c r="O7" s="118"/>
      <c r="P7" s="118"/>
      <c r="Q7" s="118"/>
      <c r="R7" s="118"/>
      <c r="S7" s="118"/>
    </row>
    <row r="8" spans="1:19" x14ac:dyDescent="0.25">
      <c r="A8" s="90" t="s">
        <v>141</v>
      </c>
      <c r="B8" s="119" t="s">
        <v>153</v>
      </c>
      <c r="C8" s="119"/>
      <c r="D8" s="119"/>
      <c r="E8" s="119"/>
      <c r="F8" s="119"/>
      <c r="G8" s="119"/>
      <c r="H8" s="119"/>
      <c r="I8" s="119"/>
      <c r="J8" s="119"/>
      <c r="K8" s="119"/>
      <c r="L8" s="119"/>
      <c r="M8" s="119"/>
      <c r="N8" s="119"/>
      <c r="O8" s="119"/>
      <c r="P8" s="119"/>
      <c r="Q8" s="119"/>
      <c r="R8" s="119"/>
      <c r="S8" s="119"/>
    </row>
    <row r="9" spans="1:19" ht="21" customHeight="1" x14ac:dyDescent="0.25">
      <c r="A9" s="90" t="s">
        <v>142</v>
      </c>
      <c r="B9" s="121" t="s">
        <v>155</v>
      </c>
      <c r="C9" s="122"/>
      <c r="D9" s="122"/>
      <c r="E9" s="122"/>
      <c r="F9" s="122"/>
      <c r="G9" s="122"/>
      <c r="H9" s="122"/>
      <c r="I9" s="122"/>
      <c r="J9" s="122"/>
      <c r="K9" s="122"/>
      <c r="L9" s="122"/>
      <c r="M9" s="122"/>
      <c r="N9" s="122"/>
      <c r="O9" s="122"/>
      <c r="P9" s="122"/>
      <c r="Q9" s="122"/>
      <c r="R9" s="122"/>
      <c r="S9" s="123"/>
    </row>
    <row r="10" spans="1:19" ht="30" x14ac:dyDescent="0.25">
      <c r="A10" s="90" t="s">
        <v>143</v>
      </c>
      <c r="B10" s="119" t="s">
        <v>152</v>
      </c>
      <c r="C10" s="119"/>
      <c r="D10" s="119"/>
      <c r="E10" s="119"/>
      <c r="F10" s="119"/>
      <c r="G10" s="119"/>
      <c r="H10" s="119"/>
      <c r="I10" s="119"/>
      <c r="J10" s="119"/>
      <c r="K10" s="119"/>
      <c r="L10" s="119"/>
      <c r="M10" s="119"/>
      <c r="N10" s="119"/>
      <c r="O10" s="119"/>
      <c r="P10" s="119"/>
      <c r="Q10" s="119"/>
      <c r="R10" s="119"/>
      <c r="S10" s="119"/>
    </row>
    <row r="11" spans="1:19" ht="30" x14ac:dyDescent="0.25">
      <c r="A11" s="90" t="s">
        <v>144</v>
      </c>
      <c r="B11" s="124" t="s">
        <v>154</v>
      </c>
      <c r="C11" s="125"/>
      <c r="D11" s="125"/>
      <c r="E11" s="125"/>
      <c r="F11" s="125"/>
      <c r="G11" s="125"/>
      <c r="H11" s="125"/>
      <c r="I11" s="125"/>
      <c r="J11" s="125"/>
      <c r="K11" s="125"/>
      <c r="L11" s="125"/>
      <c r="M11" s="125"/>
      <c r="N11" s="125"/>
      <c r="O11" s="125"/>
      <c r="P11" s="125"/>
      <c r="Q11" s="125"/>
      <c r="R11" s="125"/>
      <c r="S11" s="126"/>
    </row>
    <row r="12" spans="1:19" ht="30" x14ac:dyDescent="0.25">
      <c r="A12" s="91" t="s">
        <v>145</v>
      </c>
      <c r="B12" s="120" t="s">
        <v>156</v>
      </c>
      <c r="C12" s="120"/>
      <c r="D12" s="120"/>
      <c r="E12" s="120"/>
      <c r="F12" s="120"/>
      <c r="G12" s="120"/>
      <c r="H12" s="120"/>
      <c r="I12" s="120"/>
      <c r="J12" s="120"/>
      <c r="K12" s="120"/>
      <c r="L12" s="120"/>
      <c r="M12" s="120"/>
      <c r="N12" s="120"/>
      <c r="O12" s="120"/>
      <c r="P12" s="120"/>
      <c r="Q12" s="120"/>
      <c r="R12" s="120"/>
      <c r="S12" s="120"/>
    </row>
    <row r="13" spans="1:19" ht="47.25" customHeight="1" x14ac:dyDescent="0.25">
      <c r="A13" s="91" t="s">
        <v>146</v>
      </c>
      <c r="B13" s="120" t="s">
        <v>157</v>
      </c>
      <c r="C13" s="120"/>
      <c r="D13" s="120"/>
      <c r="E13" s="120"/>
      <c r="F13" s="120"/>
      <c r="G13" s="120"/>
      <c r="H13" s="120"/>
      <c r="I13" s="120"/>
      <c r="J13" s="120"/>
      <c r="K13" s="120"/>
      <c r="L13" s="120"/>
      <c r="M13" s="120"/>
      <c r="N13" s="120"/>
      <c r="O13" s="120"/>
      <c r="P13" s="120"/>
      <c r="Q13" s="120"/>
      <c r="R13" s="120"/>
      <c r="S13" s="120"/>
    </row>
    <row r="14" spans="1:19" ht="30" x14ac:dyDescent="0.25">
      <c r="A14" s="92" t="s">
        <v>147</v>
      </c>
      <c r="B14" s="120"/>
      <c r="C14" s="120"/>
      <c r="D14" s="120"/>
      <c r="E14" s="120"/>
      <c r="F14" s="120"/>
      <c r="G14" s="120"/>
      <c r="H14" s="120"/>
      <c r="I14" s="120"/>
      <c r="J14" s="120"/>
      <c r="K14" s="120"/>
      <c r="L14" s="120"/>
      <c r="M14" s="120"/>
      <c r="N14" s="120"/>
      <c r="O14" s="120"/>
      <c r="P14" s="120"/>
      <c r="Q14" s="120"/>
      <c r="R14" s="120"/>
      <c r="S14" s="120"/>
    </row>
    <row r="15" spans="1:19" x14ac:dyDescent="0.25">
      <c r="B15"/>
    </row>
    <row r="19" spans="1:105" s="22" customFormat="1" ht="28.9" customHeight="1" x14ac:dyDescent="0.25">
      <c r="A19" s="78"/>
      <c r="B19" s="78"/>
      <c r="C19" s="79"/>
      <c r="D19" s="79"/>
      <c r="E19" s="26"/>
      <c r="H19" s="27"/>
      <c r="O19" s="110" t="s">
        <v>82</v>
      </c>
      <c r="P19" s="110"/>
      <c r="Q19" s="110"/>
      <c r="R19" s="110"/>
      <c r="S19" s="110"/>
      <c r="T19" s="110"/>
      <c r="U19" s="110"/>
      <c r="V19" s="110"/>
      <c r="W19" s="111" t="s">
        <v>4</v>
      </c>
      <c r="X19" s="111"/>
      <c r="Y19" s="112" t="s">
        <v>3</v>
      </c>
      <c r="Z19" s="112"/>
      <c r="AA19" s="112"/>
      <c r="AB19" s="112"/>
      <c r="AC19" s="112"/>
      <c r="AD19" s="112"/>
      <c r="AE19" s="112"/>
      <c r="AF19" s="112"/>
      <c r="AG19" s="113" t="s">
        <v>5</v>
      </c>
      <c r="AH19" s="113"/>
      <c r="AI19" s="114" t="s">
        <v>6</v>
      </c>
      <c r="AJ19" s="114"/>
      <c r="AK19" s="114"/>
      <c r="AL19" s="114"/>
      <c r="AM19" s="114"/>
      <c r="AN19" s="114"/>
      <c r="AO19" s="114"/>
      <c r="AP19" s="114"/>
      <c r="AQ19" s="114"/>
      <c r="AR19" s="33" t="s">
        <v>7</v>
      </c>
      <c r="AS19" s="106" t="s">
        <v>8</v>
      </c>
      <c r="AT19" s="107"/>
      <c r="AU19" s="107"/>
      <c r="AV19" s="107"/>
      <c r="AW19" s="107"/>
      <c r="AX19" s="107"/>
      <c r="AY19" s="107"/>
      <c r="AZ19" s="107"/>
      <c r="BA19" s="107"/>
      <c r="BB19" s="108" t="s">
        <v>9</v>
      </c>
      <c r="BC19" s="108"/>
      <c r="BD19" s="108"/>
      <c r="BE19" s="108"/>
      <c r="BF19" s="108"/>
      <c r="BG19" s="108"/>
      <c r="BH19" s="108"/>
      <c r="BI19" s="108"/>
      <c r="BJ19" s="108"/>
      <c r="BK19" s="108"/>
      <c r="BL19" s="108"/>
      <c r="BM19" s="109" t="s">
        <v>249</v>
      </c>
      <c r="BN19" s="109"/>
      <c r="BO19" s="109"/>
      <c r="BP19" s="109"/>
      <c r="BQ19" s="109"/>
      <c r="BR19" s="109"/>
      <c r="BS19" s="109"/>
      <c r="BT19" s="109"/>
      <c r="BU19" s="109"/>
      <c r="BV19" s="109"/>
      <c r="BW19" s="109"/>
      <c r="BX19" s="109"/>
      <c r="BY19" s="35" t="s">
        <v>11</v>
      </c>
      <c r="BZ19" s="37" t="s">
        <v>12</v>
      </c>
      <c r="CA19" s="30" t="s">
        <v>13</v>
      </c>
      <c r="CB19" s="32" t="s">
        <v>14</v>
      </c>
      <c r="CC19" s="31" t="s">
        <v>15</v>
      </c>
      <c r="CD19" s="40" t="s">
        <v>16</v>
      </c>
      <c r="CE19" s="42" t="s">
        <v>17</v>
      </c>
      <c r="CF19" s="36" t="s">
        <v>18</v>
      </c>
      <c r="CG19" s="30" t="s">
        <v>19</v>
      </c>
      <c r="CH19" s="103" t="s">
        <v>84</v>
      </c>
      <c r="CI19" s="104"/>
      <c r="CJ19" s="104"/>
      <c r="CK19" s="105"/>
      <c r="CL19" s="60" t="s">
        <v>20</v>
      </c>
      <c r="CM19" s="23" t="s">
        <v>21</v>
      </c>
      <c r="CN19" s="24" t="s">
        <v>40</v>
      </c>
      <c r="CO19" s="23" t="s">
        <v>81</v>
      </c>
      <c r="CP19" s="25"/>
      <c r="CQ19" s="26"/>
      <c r="CR19" s="27"/>
      <c r="CS19" s="26"/>
      <c r="CT19" s="26"/>
      <c r="CU19" s="27"/>
      <c r="CW19" s="27"/>
      <c r="DA19" s="22" t="s">
        <v>126</v>
      </c>
    </row>
    <row r="20" spans="1:105" s="11" customFormat="1" ht="89.25" x14ac:dyDescent="0.25">
      <c r="A20" s="70" t="s">
        <v>0</v>
      </c>
      <c r="B20" s="71" t="s">
        <v>85</v>
      </c>
      <c r="C20" s="70" t="s">
        <v>1</v>
      </c>
      <c r="D20" s="70" t="s">
        <v>2</v>
      </c>
      <c r="E20" s="3" t="s">
        <v>31</v>
      </c>
      <c r="F20" s="9" t="s">
        <v>32</v>
      </c>
      <c r="G20" s="9" t="s">
        <v>33</v>
      </c>
      <c r="H20" s="4" t="s">
        <v>34</v>
      </c>
      <c r="I20" s="9" t="s">
        <v>35</v>
      </c>
      <c r="J20" s="9" t="s">
        <v>36</v>
      </c>
      <c r="K20" s="9" t="s">
        <v>37</v>
      </c>
      <c r="L20" s="9" t="s">
        <v>38</v>
      </c>
      <c r="M20" s="9" t="s">
        <v>39</v>
      </c>
      <c r="N20" s="93" t="s">
        <v>250</v>
      </c>
      <c r="O20" s="72" t="s">
        <v>41</v>
      </c>
      <c r="P20" s="72" t="s">
        <v>46</v>
      </c>
      <c r="Q20" s="72" t="s">
        <v>43</v>
      </c>
      <c r="R20" s="72" t="s">
        <v>123</v>
      </c>
      <c r="S20" s="72" t="s">
        <v>124</v>
      </c>
      <c r="T20" s="72" t="s">
        <v>125</v>
      </c>
      <c r="U20" s="72" t="s">
        <v>44</v>
      </c>
      <c r="V20" s="72" t="s">
        <v>45</v>
      </c>
      <c r="W20" s="72" t="s">
        <v>41</v>
      </c>
      <c r="X20" s="72" t="s">
        <v>46</v>
      </c>
      <c r="Y20" s="73" t="s">
        <v>53</v>
      </c>
      <c r="Z20" s="73" t="s">
        <v>57</v>
      </c>
      <c r="AA20" s="73" t="s">
        <v>60</v>
      </c>
      <c r="AB20" s="73" t="s">
        <v>65</v>
      </c>
      <c r="AC20" s="73" t="s">
        <v>69</v>
      </c>
      <c r="AD20" s="73" t="s">
        <v>71</v>
      </c>
      <c r="AE20" s="73" t="s">
        <v>73</v>
      </c>
      <c r="AF20" s="73" t="s">
        <v>75</v>
      </c>
      <c r="AG20" s="73" t="s">
        <v>52</v>
      </c>
      <c r="AH20" s="73" t="s">
        <v>56</v>
      </c>
      <c r="AI20" s="73" t="s">
        <v>51</v>
      </c>
      <c r="AJ20" s="73" t="s">
        <v>47</v>
      </c>
      <c r="AK20" s="73" t="s">
        <v>59</v>
      </c>
      <c r="AL20" s="73" t="s">
        <v>64</v>
      </c>
      <c r="AM20" s="73" t="s">
        <v>68</v>
      </c>
      <c r="AN20" s="73" t="s">
        <v>87</v>
      </c>
      <c r="AO20" s="73" t="s">
        <v>88</v>
      </c>
      <c r="AP20" s="73" t="s">
        <v>86</v>
      </c>
      <c r="AQ20" s="73" t="s">
        <v>94</v>
      </c>
      <c r="AR20" s="74" t="s">
        <v>7</v>
      </c>
      <c r="AS20" s="73" t="s">
        <v>54</v>
      </c>
      <c r="AT20" s="73" t="s">
        <v>58</v>
      </c>
      <c r="AU20" s="73" t="s">
        <v>63</v>
      </c>
      <c r="AV20" s="73" t="s">
        <v>61</v>
      </c>
      <c r="AW20" s="73" t="s">
        <v>66</v>
      </c>
      <c r="AX20" s="73" t="s">
        <v>70</v>
      </c>
      <c r="AY20" s="73" t="s">
        <v>48</v>
      </c>
      <c r="AZ20" s="73" t="s">
        <v>122</v>
      </c>
      <c r="BA20" s="73" t="s">
        <v>74</v>
      </c>
      <c r="BB20" s="73" t="s">
        <v>55</v>
      </c>
      <c r="BC20" s="73" t="s">
        <v>42</v>
      </c>
      <c r="BD20" s="73" t="s">
        <v>62</v>
      </c>
      <c r="BE20" s="73" t="s">
        <v>67</v>
      </c>
      <c r="BF20" s="73" t="s">
        <v>89</v>
      </c>
      <c r="BG20" s="73" t="s">
        <v>72</v>
      </c>
      <c r="BH20" s="73" t="s">
        <v>49</v>
      </c>
      <c r="BI20" s="73" t="s">
        <v>76</v>
      </c>
      <c r="BJ20" s="73" t="s">
        <v>77</v>
      </c>
      <c r="BK20" s="73" t="s">
        <v>78</v>
      </c>
      <c r="BL20" s="73" t="s">
        <v>80</v>
      </c>
      <c r="BM20" s="73" t="s">
        <v>54</v>
      </c>
      <c r="BN20" s="73" t="s">
        <v>58</v>
      </c>
      <c r="BO20" s="73" t="s">
        <v>63</v>
      </c>
      <c r="BP20" s="73" t="s">
        <v>61</v>
      </c>
      <c r="BQ20" s="73" t="s">
        <v>90</v>
      </c>
      <c r="BR20" s="73" t="s">
        <v>95</v>
      </c>
      <c r="BS20" s="73" t="s">
        <v>91</v>
      </c>
      <c r="BT20" s="73" t="s">
        <v>66</v>
      </c>
      <c r="BU20" s="73" t="s">
        <v>48</v>
      </c>
      <c r="BV20" s="73" t="s">
        <v>122</v>
      </c>
      <c r="BW20" s="73" t="s">
        <v>74</v>
      </c>
      <c r="BX20" s="73" t="s">
        <v>79</v>
      </c>
      <c r="BY20" s="74" t="s">
        <v>11</v>
      </c>
      <c r="BZ20" s="74" t="s">
        <v>50</v>
      </c>
      <c r="CA20" s="75" t="s">
        <v>13</v>
      </c>
      <c r="CB20" s="76" t="s">
        <v>14</v>
      </c>
      <c r="CC20" s="75" t="s">
        <v>15</v>
      </c>
      <c r="CD20" s="75" t="s">
        <v>16</v>
      </c>
      <c r="CE20" s="75" t="s">
        <v>17</v>
      </c>
      <c r="CF20" s="76" t="s">
        <v>18</v>
      </c>
      <c r="CG20" s="75" t="s">
        <v>19</v>
      </c>
      <c r="CH20" s="64" t="s">
        <v>83</v>
      </c>
      <c r="CI20" s="64" t="s">
        <v>92</v>
      </c>
      <c r="CJ20" s="64" t="s">
        <v>93</v>
      </c>
      <c r="CK20" s="64" t="s">
        <v>96</v>
      </c>
      <c r="CL20" s="14"/>
      <c r="CM20" s="14"/>
      <c r="CN20" s="12"/>
      <c r="CO20" s="14"/>
      <c r="CP20" s="7" t="s">
        <v>22</v>
      </c>
      <c r="CQ20" s="3" t="s">
        <v>23</v>
      </c>
      <c r="CR20" s="4" t="s">
        <v>24</v>
      </c>
      <c r="CS20" s="3" t="s">
        <v>25</v>
      </c>
      <c r="CT20" s="3" t="s">
        <v>26</v>
      </c>
      <c r="CU20" s="4" t="s">
        <v>27</v>
      </c>
      <c r="CV20" s="9" t="s">
        <v>28</v>
      </c>
      <c r="CW20" s="4" t="s">
        <v>29</v>
      </c>
      <c r="CX20" s="9" t="s">
        <v>30</v>
      </c>
      <c r="CY20" s="4" t="s">
        <v>97</v>
      </c>
      <c r="CZ20" s="9" t="s">
        <v>98</v>
      </c>
    </row>
    <row r="21" spans="1:105" s="14" customFormat="1" x14ac:dyDescent="0.25">
      <c r="A21" s="16"/>
      <c r="B21" s="56"/>
      <c r="C21" s="16"/>
      <c r="D21" s="16"/>
      <c r="E21" s="3"/>
      <c r="F21" s="67"/>
      <c r="G21" s="59"/>
      <c r="H21" s="3"/>
      <c r="I21" s="3"/>
      <c r="J21" s="3"/>
      <c r="K21" s="68"/>
      <c r="L21" s="3"/>
      <c r="M21" s="3"/>
      <c r="N21" s="94"/>
      <c r="O21" s="17">
        <v>406</v>
      </c>
      <c r="P21" s="17">
        <f>+IFERROR(VLOOKUP($P$20,Sheet1!J:L,2,0),0)</f>
        <v>0</v>
      </c>
      <c r="Q21" s="17">
        <f>+IFERROR(VLOOKUP($Q$20,Sheet1!J:M,2,0),0)</f>
        <v>0</v>
      </c>
      <c r="R21" s="17">
        <f>+IFERROR(VLOOKUP($R$20,Sheet1!J:M,2,0),0)</f>
        <v>0</v>
      </c>
      <c r="S21" s="17">
        <f>+IFERROR(VLOOKUP($S$20,Sheet1!J:M,2,0),0)</f>
        <v>0</v>
      </c>
      <c r="T21" s="17">
        <f>+IFERROR(VLOOKUP($T$20,Sheet1!J:M,2,0),0)</f>
        <v>0</v>
      </c>
      <c r="U21" s="17">
        <f>+IFERROR(VLOOKUP($U$20,Sheet1!J:M,2,0),0)</f>
        <v>0</v>
      </c>
      <c r="V21" s="17">
        <f>+IFERROR(VLOOKUP($V$20,Sheet1!J:M,2,0),0)</f>
        <v>0</v>
      </c>
      <c r="W21" s="17">
        <f>+IFERROR(VLOOKUP($W$20,Sheet1!N:Q,2,0),0)</f>
        <v>0</v>
      </c>
      <c r="X21" s="17">
        <f>+IFERROR(VLOOKUP($X$20,Sheet1!N:O,2,0),0)</f>
        <v>0</v>
      </c>
      <c r="Y21" s="18">
        <f>+IFERROR(VLOOKUP($Y$20,Sheet1!F:I,2,0),0)</f>
        <v>0</v>
      </c>
      <c r="Z21" s="18">
        <v>1567</v>
      </c>
      <c r="AA21" s="18">
        <f>+IFERROR(VLOOKUP($AA$20,Sheet1!F:I,2,0),0)</f>
        <v>0</v>
      </c>
      <c r="AB21" s="18">
        <f>+IFERROR(VLOOKUP($AB$20,Sheet1!F:I,2,0),0)</f>
        <v>0</v>
      </c>
      <c r="AC21" s="18">
        <f>+IFERROR(VLOOKUP($AC$20,Sheet1!F:I,2,0),0)</f>
        <v>0</v>
      </c>
      <c r="AD21" s="18">
        <f>+IFERROR(VLOOKUP($AD$20,Sheet1!F:I,2,0),0)</f>
        <v>0</v>
      </c>
      <c r="AE21" s="18">
        <f>+IFERROR(VLOOKUP($AE$20,Sheet1!F:I,2,0),0)</f>
        <v>0</v>
      </c>
      <c r="AF21" s="18">
        <f>+IFERROR(VLOOKUP($AF$20,Sheet1!F:I,2,0),0)</f>
        <v>0</v>
      </c>
      <c r="AG21" s="18">
        <f>+IFERROR(VLOOKUP($AG$20,Sheet1!R:U,2,0),0)</f>
        <v>0</v>
      </c>
      <c r="AH21" s="18">
        <v>219</v>
      </c>
      <c r="AI21" s="18">
        <v>199</v>
      </c>
      <c r="AJ21" s="18">
        <f>+IFERROR(VLOOKUP($AJ$20,Sheet1!V:Y,2,0),0)</f>
        <v>0</v>
      </c>
      <c r="AK21" s="18">
        <f>+IFERROR(VLOOKUP($AK$20,Sheet1!V:Y,2,0),0)</f>
        <v>0</v>
      </c>
      <c r="AL21" s="18">
        <f>+IFERROR(VLOOKUP($AL$20,Sheet1!V:Y,2,0),0)</f>
        <v>0</v>
      </c>
      <c r="AM21" s="18">
        <f>+IFERROR(VLOOKUP($AM$20,Sheet1!V:Y,2,0),0)</f>
        <v>0</v>
      </c>
      <c r="AN21" s="18">
        <f>+IFERROR(VLOOKUP($AN$20,Sheet1!V:Y,2,0),0)</f>
        <v>0</v>
      </c>
      <c r="AO21" s="18">
        <f>+IFERROR(VLOOKUP($AO$20,Sheet1!V:Y,2,0),0)</f>
        <v>0</v>
      </c>
      <c r="AP21" s="18">
        <f>+IFERROR(VLOOKUP($AP$20,Sheet1!V:Y,2,0),0)</f>
        <v>0</v>
      </c>
      <c r="AQ21" s="18">
        <f>+IFERROR(VLOOKUP($AQ$20,Sheet1!V:Y,2,0),0)</f>
        <v>0</v>
      </c>
      <c r="AR21" s="19">
        <f>+IFERROR(VLOOKUP($AR$20,Sheet1!Z2:AA840,2,0),0)</f>
        <v>0</v>
      </c>
      <c r="AS21" s="18">
        <f>+IFERROR(VLOOKUP($AS$20,Sheet1!AD2:AG840,2,0),0)</f>
        <v>0</v>
      </c>
      <c r="AT21" s="18">
        <f>+IFERROR(VLOOKUP($AT$20,Sheet1!AD2:AG840,2,0),0)</f>
        <v>0</v>
      </c>
      <c r="AU21" s="18">
        <f>+IFERROR(VLOOKUP($AU$20,Sheet1!AD2:AG840,2,0),0)</f>
        <v>0</v>
      </c>
      <c r="AV21" s="18">
        <f>+IFERROR(VLOOKUP($AV$20,Sheet1!AD2:AG840,2,0),0)</f>
        <v>0</v>
      </c>
      <c r="AW21" s="18">
        <f>+IFERROR(VLOOKUP($AW$20,Sheet1!AD2:AG840,2,0),0)</f>
        <v>0</v>
      </c>
      <c r="AX21" s="18">
        <f>+IFERROR(VLOOKUP($AX$20,Sheet1!AD2:AG840,2,0),0)</f>
        <v>0</v>
      </c>
      <c r="AY21" s="18">
        <v>77</v>
      </c>
      <c r="AZ21" s="18">
        <f>+IFERROR(VLOOKUP($AZ$20,Sheet1!AD2:AG840,2,0),0)</f>
        <v>0</v>
      </c>
      <c r="BA21" s="18">
        <f>+IFERROR(VLOOKUP($BA$20,Sheet1!AD2:AG840,2,0),0)</f>
        <v>0</v>
      </c>
      <c r="BB21" s="18">
        <f>+IFERROR(VLOOKUP($BB$20,Sheet1!AH2:AK840,2,0),0)</f>
        <v>0</v>
      </c>
      <c r="BC21" s="18">
        <f>+IFERROR(VLOOKUP($BC$20,Sheet1!AH2:AK840,2,0),0)</f>
        <v>0</v>
      </c>
      <c r="BD21" s="18">
        <f>+IFERROR(VLOOKUP($BD$20,Sheet1!AH2:AK840,2,0),0)</f>
        <v>0</v>
      </c>
      <c r="BE21" s="18">
        <f>+IFERROR(VLOOKUP($BE$20,Sheet1!AH2:AK840,2,0),0)</f>
        <v>0</v>
      </c>
      <c r="BF21" s="18">
        <f>+IFERROR(VLOOKUP($BF$20,Sheet1!AH2:AK840,2,0),0)</f>
        <v>0</v>
      </c>
      <c r="BG21" s="18">
        <f>+IFERROR(VLOOKUP($BG$20,Sheet1!AH2:AK840,2,0),0)</f>
        <v>0</v>
      </c>
      <c r="BH21" s="18">
        <v>87</v>
      </c>
      <c r="BI21" s="18">
        <f>+IFERROR(VLOOKUP($BI$20,Sheet1!AH2:AK840,2,0),0)</f>
        <v>0</v>
      </c>
      <c r="BJ21" s="18">
        <f>+IFERROR(VLOOKUP($BJ$20,Sheet1!AH2:AK840,2,0),0)</f>
        <v>0</v>
      </c>
      <c r="BK21" s="18">
        <f>+IFERROR(VLOOKUP($BK$20,Sheet1!AH2:AK840,2,0),0)</f>
        <v>0</v>
      </c>
      <c r="BL21" s="18">
        <f>+IFERROR(VLOOKUP($BL$20,Sheet1!AH2:AK840,2,0),0)</f>
        <v>0</v>
      </c>
      <c r="BM21" s="18">
        <f>+IFERROR(VLOOKUP($BM$20,Sheet1!AL2:AO840,2,0),0)</f>
        <v>0</v>
      </c>
      <c r="BN21" s="18">
        <f>+IFERROR(VLOOKUP($BN$20,Sheet1!AL2:AO840,2,0),0)</f>
        <v>0</v>
      </c>
      <c r="BO21" s="18">
        <f>+IFERROR(VLOOKUP($BO$20,Sheet1!AL2:AO840,2,0),0)</f>
        <v>0</v>
      </c>
      <c r="BP21" s="18">
        <f>+IFERROR(VLOOKUP($BP$20,Sheet1!AL2:AO840,2,0),0)</f>
        <v>0</v>
      </c>
      <c r="BQ21" s="18">
        <f>+IFERROR(VLOOKUP($BQ$20,Sheet1!AL2:AO840,2,0),0)</f>
        <v>0</v>
      </c>
      <c r="BR21" s="18">
        <f>+IFERROR(VLOOKUP($BR$20,Sheet1!AL2:AO840,2,0),0)</f>
        <v>0</v>
      </c>
      <c r="BS21" s="18">
        <f>+IFERROR(VLOOKUP($BS$20,Sheet1!AL2:AO840,2,0),0)</f>
        <v>0</v>
      </c>
      <c r="BT21" s="18">
        <f>+IFERROR(VLOOKUP($BT$20,Sheet1!AL2:AO840,2,0),0)</f>
        <v>0</v>
      </c>
      <c r="BU21" s="18">
        <f>AY21+8</f>
        <v>85</v>
      </c>
      <c r="BV21" s="18">
        <f>+IFERROR(VLOOKUP($BV$20,Sheet1!AL2:AO840,2,0),0)</f>
        <v>0</v>
      </c>
      <c r="BW21" s="18">
        <f>+IFERROR(VLOOKUP($BW$20,Sheet1!AL2:AO840,2,0),0)</f>
        <v>0</v>
      </c>
      <c r="BX21" s="18">
        <f>+IFERROR(VLOOKUP($BX$20,Sheet1!AL2:AO840,2,0),0)</f>
        <v>0</v>
      </c>
      <c r="BY21" s="19">
        <v>32</v>
      </c>
      <c r="BZ21" s="19">
        <f>+IFERROR(VLOOKUP($BZ$20,Sheet1!AT2:AW840,2,0),0)</f>
        <v>0</v>
      </c>
      <c r="CA21" s="20">
        <f>+IFERROR(VLOOKUP($CA$20,Sheet1!AX2:BA840,2,0),0)</f>
        <v>0</v>
      </c>
      <c r="CB21" s="21">
        <f>+IFERROR(VLOOKUP($CB$20,Sheet1!BB2:BE840,2,0),0)</f>
        <v>0</v>
      </c>
      <c r="CC21" s="20">
        <f>+IFERROR(VLOOKUP($CC$20,Sheet1!BF2:BI840,2,0),0)</f>
        <v>0</v>
      </c>
      <c r="CD21" s="20">
        <f>+IFERROR(VLOOKUP($CD$20,Sheet1!BJ2:BM840,2,0),0)</f>
        <v>0</v>
      </c>
      <c r="CE21" s="20">
        <f>+IFERROR(VLOOKUP($CE$20,Sheet1!BN2:BQ840,2,0),0)</f>
        <v>0</v>
      </c>
      <c r="CF21" s="21">
        <f>+IFERROR(VLOOKUP($CF$20,Sheet1!BR2:BU840,2,0),0)</f>
        <v>0</v>
      </c>
      <c r="CG21" s="20">
        <f>+IFERROR(VLOOKUP($CG$20,Sheet1!BV2:BY840,2,0),0)</f>
        <v>0</v>
      </c>
      <c r="CH21" s="61"/>
      <c r="CI21" s="61"/>
      <c r="CJ21" s="61"/>
      <c r="CK21" s="61"/>
      <c r="CP21" s="3"/>
      <c r="CQ21" s="3"/>
      <c r="CR21" s="3"/>
      <c r="CS21" s="3"/>
      <c r="CT21" s="3"/>
      <c r="CU21" s="3"/>
      <c r="CV21" s="3"/>
      <c r="CW21" s="3"/>
      <c r="CX21" s="3"/>
      <c r="CY21" s="3"/>
      <c r="CZ21" s="3"/>
    </row>
    <row r="22" spans="1:105" s="22" customFormat="1" ht="30" x14ac:dyDescent="0.25">
      <c r="A22" s="6" t="str">
        <f>Sheet1!A2</f>
        <v>ENQ-19909-25-26</v>
      </c>
      <c r="B22" s="77">
        <v>46183</v>
      </c>
      <c r="C22" s="6" t="str">
        <f>Sheet1!C2</f>
        <v>FA1300010</v>
      </c>
      <c r="D22" s="6" t="str">
        <f>Sheet1!D2</f>
        <v>3 CORE X 400 SQ.MM. AL/ARM - STRIP (XLPE) - 33KV</v>
      </c>
      <c r="E22" s="23">
        <f>NORMAL!E22</f>
        <v>3032940.6719999998</v>
      </c>
      <c r="F22" s="101">
        <f>ROUNDUP(M27,0)</f>
        <v>65251</v>
      </c>
      <c r="G22" s="28">
        <f>E22+F22</f>
        <v>3098191.6719999998</v>
      </c>
      <c r="H22" s="29">
        <f>Sheet1!CR2</f>
        <v>0.18</v>
      </c>
      <c r="I22" s="28">
        <f>G22*H22</f>
        <v>557674.50095999998</v>
      </c>
      <c r="J22" s="28">
        <f>G22+I22</f>
        <v>3655866.1729599996</v>
      </c>
      <c r="K22" s="69">
        <f>Sheet1!CU2</f>
        <v>12.95</v>
      </c>
      <c r="L22" s="66" t="str">
        <f>Sheet1!CV2</f>
        <v>KMS</v>
      </c>
      <c r="M22" s="23">
        <f>J22*K22</f>
        <v>47343466.939831994</v>
      </c>
      <c r="N22" s="95" t="s">
        <v>251</v>
      </c>
      <c r="O22" s="99">
        <v>3240</v>
      </c>
      <c r="P22" s="100">
        <f>+IFERROR(VLOOKUP($P$20,Sheet1!J2:L2,3,0),0)</f>
        <v>0</v>
      </c>
      <c r="Q22" s="100">
        <f>+IFERROR(VLOOKUP($Q$20,Sheet1!J2:M2,3,0),0)</f>
        <v>0</v>
      </c>
      <c r="R22" s="100">
        <f>+IFERROR(VLOOKUP($R$20,Sheet1!J2:M2,3,0),0)</f>
        <v>0</v>
      </c>
      <c r="S22" s="100">
        <f>+IFERROR(VLOOKUP($S$20,Sheet1!J2:M2,3,0),0)</f>
        <v>0</v>
      </c>
      <c r="T22" s="100">
        <f>+IFERROR(VLOOKUP($T$20,Sheet1!J2:M2,3,0),0)</f>
        <v>0</v>
      </c>
      <c r="U22" s="100">
        <f>+IFERROR(VLOOKUP($U$20,Sheet1!J2:M2,3,0),0)</f>
        <v>0</v>
      </c>
      <c r="V22" s="100">
        <f>+IFERROR(VLOOKUP($V$20,Sheet1!J2:M2,3,0),0)</f>
        <v>0</v>
      </c>
      <c r="W22" s="100">
        <f>+IFERROR(VLOOKUP($W$20,Sheet1!N2:Q2,3,0),0)</f>
        <v>0</v>
      </c>
      <c r="X22" s="100">
        <f>+IFERROR(VLOOKUP($X$20,Sheet1!N2:Q2,3,0),0)</f>
        <v>0</v>
      </c>
      <c r="Y22" s="100">
        <f>+IFERROR(VLOOKUP($Y$20,Sheet1!F2:I2,3,0),0)</f>
        <v>0</v>
      </c>
      <c r="Z22" s="99">
        <v>129</v>
      </c>
      <c r="AA22" s="100">
        <f>+IFERROR(VLOOKUP($AA$20,Sheet1!F2:I2,3,0),0)</f>
        <v>0</v>
      </c>
      <c r="AB22" s="100">
        <f>+IFERROR(VLOOKUP($AB$20,Sheet1!F2:I2,3,0),0)</f>
        <v>0</v>
      </c>
      <c r="AC22" s="100">
        <f>+IFERROR(VLOOKUP($AC$20,Sheet1!F2:I2,3,0),0)</f>
        <v>0</v>
      </c>
      <c r="AD22" s="100">
        <f>+IFERROR(VLOOKUP($AD$20,Sheet1!F2:I2,3,0),0)</f>
        <v>0</v>
      </c>
      <c r="AE22" s="100">
        <f>+IFERROR(VLOOKUP($AE$20,Sheet1!F2:I2,3,0),0)</f>
        <v>0</v>
      </c>
      <c r="AF22" s="100">
        <f>+IFERROR(VLOOKUP($AF$20,Sheet1!F2:I2,3,0),0)</f>
        <v>0</v>
      </c>
      <c r="AG22" s="100">
        <f>+IFERROR(VLOOKUP($AG$20,Sheet1!R2:U2,3,0),0)</f>
        <v>0</v>
      </c>
      <c r="AH22" s="98">
        <v>427</v>
      </c>
      <c r="AI22" s="99">
        <v>2621</v>
      </c>
      <c r="AJ22" s="97">
        <f>+IFERROR(VLOOKUP($AJ$20,Sheet1!V2:Y2,3,0),0)</f>
        <v>0</v>
      </c>
      <c r="AK22" s="97">
        <f>+IFERROR(VLOOKUP($AK$20,Sheet1!V2:Y2,3,0),0)</f>
        <v>0</v>
      </c>
      <c r="AL22" s="97">
        <f>+IFERROR(VLOOKUP($AL$20,Sheet1!V2:Y2,3,0),0)</f>
        <v>0</v>
      </c>
      <c r="AM22" s="97">
        <f>+IFERROR(VLOOKUP($AM$20,Sheet1!V2:Y2,3,0),0)</f>
        <v>0</v>
      </c>
      <c r="AN22" s="97">
        <f>+IFERROR(VLOOKUP($AN$20,Sheet1!V2:Y2,3,0),0)</f>
        <v>0</v>
      </c>
      <c r="AO22" s="97">
        <f>+IFERROR(VLOOKUP($AO$20,Sheet1!V2:Y2,3,0),0)</f>
        <v>0</v>
      </c>
      <c r="AP22" s="97">
        <f>+IFERROR(VLOOKUP($AP$20,Sheet1!V2:Y2,3,0),0)</f>
        <v>0</v>
      </c>
      <c r="AQ22" s="97">
        <f>+IFERROR(VLOOKUP($AQ$20,Sheet1!V2:Y2,3,0),0)</f>
        <v>0</v>
      </c>
      <c r="AR22" s="97">
        <f>+IFERROR(VLOOKUP($AR$20,Sheet1!Z2:AB2,3,0),0)</f>
        <v>0</v>
      </c>
      <c r="AS22" s="97">
        <f>+IFERROR(VLOOKUP($AS$20,Sheet1!AD2:AG2,3,0),0)</f>
        <v>0</v>
      </c>
      <c r="AT22" s="97">
        <f>+IFERROR(VLOOKUP($AT$20,Sheet1!AD2:AG2,3,0),0)</f>
        <v>0</v>
      </c>
      <c r="AU22" s="97">
        <f>+IFERROR(VLOOKUP($AU$20,Sheet1!AD2:AG2,3,0),0)</f>
        <v>0</v>
      </c>
      <c r="AV22" s="97">
        <f>+IFERROR(VLOOKUP($AV$20,Sheet1!AD2:AG2,3,0),0)</f>
        <v>0</v>
      </c>
      <c r="AW22" s="97">
        <f>+IFERROR(VLOOKUP($AW$20,Sheet1!AD2:AG2,3,0),0)</f>
        <v>0</v>
      </c>
      <c r="AX22" s="97">
        <f>+IFERROR(VLOOKUP($AX$20,Sheet1!AD2:AG2,3,0),0)</f>
        <v>0</v>
      </c>
      <c r="AY22" s="98">
        <v>405</v>
      </c>
      <c r="AZ22" s="97">
        <f>+IFERROR(VLOOKUP($AZ$20,Sheet1!AD2:AG2,3,0),0)</f>
        <v>0</v>
      </c>
      <c r="BA22" s="97">
        <f>+IFERROR(VLOOKUP($BA$20,Sheet1!AD2:AG2,3,0),0)</f>
        <v>0</v>
      </c>
      <c r="BB22" s="97">
        <f>+IFERROR(VLOOKUP($BB$20,Sheet1!AH2:AK2,3,0),0)</f>
        <v>0</v>
      </c>
      <c r="BC22" s="97">
        <f>+IFERROR(VLOOKUP($BC$20,Sheet1!AH2:AK2,3,0),0)</f>
        <v>0</v>
      </c>
      <c r="BD22" s="97">
        <f>+IFERROR(VLOOKUP($BD$20,Sheet1!AH2:AK2,3,0),0)</f>
        <v>0</v>
      </c>
      <c r="BE22" s="97">
        <f>+IFERROR(VLOOKUP($BE$20,Sheet1!AH2:AK2,3,0),0)</f>
        <v>0</v>
      </c>
      <c r="BF22" s="97">
        <f>+IFERROR(VLOOKUP($BF$20,Sheet1!AH2:AK2,3,0),0)</f>
        <v>0</v>
      </c>
      <c r="BG22" s="97">
        <f>+IFERROR(VLOOKUP($BG$20,Sheet1!AH2:AK2,3,0),0)</f>
        <v>0</v>
      </c>
      <c r="BH22" s="98">
        <v>1600</v>
      </c>
      <c r="BI22" s="97">
        <f>+IFERROR(VLOOKUP($BI$20,Sheet1!AH2:AK2,3,0),0)</f>
        <v>0</v>
      </c>
      <c r="BJ22" s="97">
        <f>+IFERROR(VLOOKUP($BJ$20,Sheet1!AH2:AK2,3,0),0)</f>
        <v>0</v>
      </c>
      <c r="BK22" s="97">
        <f>+IFERROR(VLOOKUP($BK$20,Sheet1!AH2:AK2,3,0),0)</f>
        <v>0</v>
      </c>
      <c r="BL22" s="97">
        <f>+IFERROR(VLOOKUP($BL$20,Sheet1!AH2:AK2,3,0),0)</f>
        <v>0</v>
      </c>
      <c r="BM22" s="97">
        <f>+IFERROR(VLOOKUP($BM$20,Sheet1!AL2:AO2,3,0),0)</f>
        <v>0</v>
      </c>
      <c r="BN22" s="97">
        <f>+IFERROR(VLOOKUP($BN$20,Sheet1!AL2:AO2,3,0),0)</f>
        <v>0</v>
      </c>
      <c r="BO22" s="97">
        <f>+IFERROR(VLOOKUP($BO$20,Sheet1!AL2:AO2,3,0),0)</f>
        <v>0</v>
      </c>
      <c r="BP22" s="97">
        <f>+IFERROR(VLOOKUP($BP$20,Sheet1!AL2:AO2,3,0),0)</f>
        <v>0</v>
      </c>
      <c r="BQ22" s="97">
        <f>+IFERROR(VLOOKUP($BQ$20,Sheet1!AL2:AO2,3,0),0)</f>
        <v>0</v>
      </c>
      <c r="BR22" s="97">
        <f>+IFERROR(VLOOKUP($BR$20,Sheet1!AL2:AO2,3,0),0)</f>
        <v>0</v>
      </c>
      <c r="BS22" s="97">
        <f>+IFERROR(VLOOKUP($BS$20,Sheet1!AL2:AO2,3,0),0)</f>
        <v>0</v>
      </c>
      <c r="BT22" s="97">
        <f>+IFERROR(VLOOKUP($BT$20,Sheet1!AL2:AO2,3,0),0)</f>
        <v>0</v>
      </c>
      <c r="BU22" s="98">
        <v>1560</v>
      </c>
      <c r="BV22" s="97">
        <f>+IFERROR(VLOOKUP($BV$20,Sheet1!AL2:AO2,3,0),0)</f>
        <v>0</v>
      </c>
      <c r="BW22" s="97">
        <f>+IFERROR(VLOOKUP($BW$20,Sheet1!AL2:AO2,3,0),0)</f>
        <v>0</v>
      </c>
      <c r="BX22" s="97">
        <f>+IFERROR(VLOOKUP($BX$20,Sheet1!AL2:AO2,3,0),0)</f>
        <v>0</v>
      </c>
      <c r="BY22" s="98">
        <v>2704</v>
      </c>
      <c r="BZ22" s="38">
        <f>+IFERROR(VLOOKUP($BZ$20,Sheet1!AT2:AW2,3,0),0)</f>
        <v>0</v>
      </c>
      <c r="CA22" s="39">
        <f>+IFERROR(VLOOKUP($CA$20,Sheet1!AX2:BA2,3,0),0)</f>
        <v>0</v>
      </c>
      <c r="CB22" s="41">
        <f>+IFERROR(VLOOKUP($CB$20,Sheet1!BB2:BE2,3,0),0)</f>
        <v>0</v>
      </c>
      <c r="CC22" s="43">
        <f>+IFERROR(VLOOKUP($CC$20,Sheet1!BF2:BI2,3,0),0)</f>
        <v>0</v>
      </c>
      <c r="CD22" s="44">
        <f>+IFERROR(VLOOKUP($CD$20,Sheet1!BJ2:BM2,3,0),0)</f>
        <v>0</v>
      </c>
      <c r="CE22" s="45">
        <f>+IFERROR(VLOOKUP($CE$20,Sheet1!BN2:BQ2,3,0),0)</f>
        <v>0</v>
      </c>
      <c r="CF22" s="34">
        <f>+IFERROR(VLOOKUP($CF$20,Sheet1!BR2:BU2,3,0),0)</f>
        <v>0</v>
      </c>
      <c r="CG22" s="39">
        <f>+IFERROR(VLOOKUP($CG$20,Sheet1!BV2:BY2,3,0),0)</f>
        <v>0</v>
      </c>
      <c r="CH22" s="62" t="s">
        <v>246</v>
      </c>
      <c r="CI22" s="63" t="s">
        <v>247</v>
      </c>
      <c r="CJ22" s="63" t="s">
        <v>248</v>
      </c>
      <c r="CK22" s="63">
        <v>250</v>
      </c>
      <c r="CL22" s="23">
        <f>22000/0.25</f>
        <v>88000</v>
      </c>
      <c r="CM22" s="23">
        <f>SUMPRODUCT($O$21:$CG$21,O22:CG22)+CL22</f>
        <v>2610188</v>
      </c>
      <c r="CN22" s="24">
        <f>Sheet1!CB2</f>
        <v>0</v>
      </c>
      <c r="CO22" s="23">
        <f>CM22*CN22</f>
        <v>0</v>
      </c>
      <c r="CP22" s="102">
        <f>((CT22-CM22)/CM22)</f>
        <v>7.5891238485503693E-2</v>
      </c>
      <c r="CQ22" s="23">
        <f>CM22*CP22</f>
        <v>198090.39999999991</v>
      </c>
      <c r="CR22" s="85">
        <v>0</v>
      </c>
      <c r="CS22" s="23">
        <f>CM22*CR22</f>
        <v>0</v>
      </c>
      <c r="CT22" s="23">
        <f>(E22/(((CU22+CW22)*100)+100))*100</f>
        <v>2808278.4</v>
      </c>
      <c r="CU22" s="85">
        <v>0.02</v>
      </c>
      <c r="CV22" s="6">
        <f>CT22*CU22</f>
        <v>56165.567999999999</v>
      </c>
      <c r="CW22" s="85">
        <v>0.06</v>
      </c>
      <c r="CX22" s="6">
        <f>CT22*CW22</f>
        <v>168496.704</v>
      </c>
      <c r="CY22" s="85">
        <f>Sheet1!CM2</f>
        <v>0</v>
      </c>
      <c r="CZ22" s="6">
        <f>CY22*CT22</f>
        <v>0</v>
      </c>
    </row>
    <row r="26" spans="1:105" ht="60" x14ac:dyDescent="0.25">
      <c r="E26" s="1" t="s">
        <v>127</v>
      </c>
      <c r="F26" s="1" t="s">
        <v>128</v>
      </c>
      <c r="G26" s="80" t="s">
        <v>129</v>
      </c>
      <c r="H26" s="1" t="s">
        <v>130</v>
      </c>
      <c r="I26" s="1" t="s">
        <v>131</v>
      </c>
      <c r="J26" s="1" t="s">
        <v>132</v>
      </c>
      <c r="K26" s="1" t="s">
        <v>133</v>
      </c>
      <c r="L26" s="1" t="s">
        <v>134</v>
      </c>
      <c r="M26" s="81" t="s">
        <v>135</v>
      </c>
      <c r="N26" s="10"/>
      <c r="O26" s="15" t="s">
        <v>252</v>
      </c>
      <c r="Z26" s="15" t="s">
        <v>253</v>
      </c>
      <c r="AH26" s="15" t="s">
        <v>254</v>
      </c>
      <c r="AI26" s="15" t="s">
        <v>255</v>
      </c>
    </row>
    <row r="27" spans="1:105" x14ac:dyDescent="0.25">
      <c r="E27" s="82">
        <f>K22</f>
        <v>12.95</v>
      </c>
      <c r="F27" s="83">
        <f>CK22/1000</f>
        <v>0.25</v>
      </c>
      <c r="G27" s="80" t="s">
        <v>256</v>
      </c>
      <c r="H27" s="84">
        <v>65000</v>
      </c>
      <c r="I27" s="83">
        <v>4</v>
      </c>
      <c r="J27" s="80">
        <f>F27*I27</f>
        <v>1</v>
      </c>
      <c r="K27" s="80">
        <f>ROUNDUP((E27/J27),0)</f>
        <v>13</v>
      </c>
      <c r="L27" s="80">
        <f>H27*K27</f>
        <v>845000</v>
      </c>
      <c r="M27" s="86">
        <f>L27/E27</f>
        <v>65250.965250965251</v>
      </c>
      <c r="N27" s="96"/>
      <c r="O27" s="15">
        <f>SUM(O22:BY22)</f>
        <v>12686</v>
      </c>
      <c r="Z27" s="15">
        <v>400</v>
      </c>
      <c r="AH27" s="15">
        <f>((O27*F27)+Z27)</f>
        <v>3571.5</v>
      </c>
      <c r="AI27" s="15">
        <f>AH27*I27</f>
        <v>14286</v>
      </c>
    </row>
    <row r="28" spans="1:105" x14ac:dyDescent="0.25">
      <c r="M28" s="87"/>
      <c r="N28" s="87"/>
    </row>
    <row r="29" spans="1:105" x14ac:dyDescent="0.25">
      <c r="M29" s="87"/>
      <c r="N29" s="87"/>
    </row>
    <row r="30" spans="1:105" x14ac:dyDescent="0.25">
      <c r="M30" s="87"/>
      <c r="N30" s="87"/>
    </row>
    <row r="31" spans="1:105" x14ac:dyDescent="0.25">
      <c r="M31" s="87"/>
      <c r="N31" s="87"/>
    </row>
    <row r="32" spans="1:105" x14ac:dyDescent="0.25">
      <c r="M32" s="87"/>
      <c r="N32" s="87"/>
    </row>
    <row r="33" spans="13:14" x14ac:dyDescent="0.25">
      <c r="M33" s="87"/>
      <c r="N33" s="87"/>
    </row>
    <row r="34" spans="13:14" x14ac:dyDescent="0.25">
      <c r="M34" s="87"/>
      <c r="N34" s="87"/>
    </row>
    <row r="35" spans="13:14" x14ac:dyDescent="0.25">
      <c r="M35" s="87"/>
      <c r="N35" s="87"/>
    </row>
    <row r="36" spans="13:14" x14ac:dyDescent="0.25">
      <c r="M36" s="87"/>
      <c r="N36" s="87"/>
    </row>
    <row r="37" spans="13:14" x14ac:dyDescent="0.25">
      <c r="M37" s="87"/>
      <c r="N37" s="87"/>
    </row>
    <row r="38" spans="13:14" x14ac:dyDescent="0.25">
      <c r="M38" s="87"/>
      <c r="N38" s="87"/>
    </row>
    <row r="39" spans="13:14" x14ac:dyDescent="0.25">
      <c r="M39" s="87"/>
      <c r="N39" s="87"/>
    </row>
    <row r="40" spans="13:14" x14ac:dyDescent="0.25">
      <c r="M40" s="87"/>
      <c r="N40" s="87"/>
    </row>
    <row r="41" spans="13:14" x14ac:dyDescent="0.25">
      <c r="M41" s="87"/>
      <c r="N41" s="87"/>
    </row>
    <row r="42" spans="13:14" x14ac:dyDescent="0.25">
      <c r="M42" s="87"/>
      <c r="N42" s="87"/>
    </row>
    <row r="43" spans="13:14" x14ac:dyDescent="0.25">
      <c r="M43" s="87"/>
      <c r="N43" s="87"/>
    </row>
    <row r="44" spans="13:14" x14ac:dyDescent="0.25">
      <c r="M44" s="87"/>
      <c r="N44" s="87"/>
    </row>
    <row r="45" spans="13:14" x14ac:dyDescent="0.25">
      <c r="M45" s="87"/>
      <c r="N45" s="87"/>
    </row>
    <row r="46" spans="13:14" x14ac:dyDescent="0.25">
      <c r="M46" s="87"/>
      <c r="N46" s="87"/>
    </row>
    <row r="47" spans="13:14" x14ac:dyDescent="0.25">
      <c r="M47" s="87"/>
      <c r="N47" s="87"/>
    </row>
    <row r="48" spans="13:14" x14ac:dyDescent="0.25">
      <c r="M48" s="87"/>
      <c r="N48" s="87"/>
    </row>
    <row r="49" spans="13:14" x14ac:dyDescent="0.25">
      <c r="M49" s="87"/>
      <c r="N49" s="87"/>
    </row>
    <row r="50" spans="13:14" x14ac:dyDescent="0.25">
      <c r="M50" s="87"/>
      <c r="N50" s="87"/>
    </row>
    <row r="51" spans="13:14" x14ac:dyDescent="0.25">
      <c r="M51" s="87"/>
      <c r="N51" s="87"/>
    </row>
    <row r="52" spans="13:14" x14ac:dyDescent="0.25">
      <c r="M52" s="87"/>
      <c r="N52" s="87"/>
    </row>
    <row r="53" spans="13:14" x14ac:dyDescent="0.25">
      <c r="M53" s="87"/>
      <c r="N53" s="87"/>
    </row>
    <row r="54" spans="13:14" x14ac:dyDescent="0.25">
      <c r="M54" s="87"/>
      <c r="N54" s="87"/>
    </row>
    <row r="55" spans="13:14" x14ac:dyDescent="0.25">
      <c r="M55" s="87"/>
      <c r="N55" s="87"/>
    </row>
    <row r="56" spans="13:14" x14ac:dyDescent="0.25">
      <c r="M56" s="87"/>
      <c r="N56" s="87"/>
    </row>
    <row r="57" spans="13:14" x14ac:dyDescent="0.25">
      <c r="M57" s="87"/>
      <c r="N57" s="87"/>
    </row>
    <row r="58" spans="13:14" x14ac:dyDescent="0.25">
      <c r="M58" s="87"/>
      <c r="N58" s="87"/>
    </row>
    <row r="59" spans="13:14" x14ac:dyDescent="0.25">
      <c r="M59" s="87"/>
      <c r="N59" s="87"/>
    </row>
    <row r="60" spans="13:14" x14ac:dyDescent="0.25">
      <c r="M60" s="87"/>
      <c r="N60" s="87"/>
    </row>
    <row r="61" spans="13:14" x14ac:dyDescent="0.25">
      <c r="M61" s="87"/>
      <c r="N61" s="87"/>
    </row>
    <row r="62" spans="13:14" x14ac:dyDescent="0.25">
      <c r="M62" s="87"/>
      <c r="N62" s="87"/>
    </row>
    <row r="63" spans="13:14" x14ac:dyDescent="0.25">
      <c r="M63" s="87"/>
      <c r="N63" s="87"/>
    </row>
    <row r="64" spans="13:14" x14ac:dyDescent="0.25">
      <c r="M64" s="87"/>
      <c r="N64" s="87"/>
    </row>
    <row r="65" spans="13:14" x14ac:dyDescent="0.25">
      <c r="M65" s="87"/>
      <c r="N65" s="87"/>
    </row>
    <row r="66" spans="13:14" x14ac:dyDescent="0.25">
      <c r="M66" s="87"/>
      <c r="N66" s="87"/>
    </row>
    <row r="67" spans="13:14" x14ac:dyDescent="0.25">
      <c r="M67" s="87"/>
      <c r="N67" s="87"/>
    </row>
    <row r="68" spans="13:14" x14ac:dyDescent="0.25">
      <c r="M68" s="87"/>
      <c r="N68" s="87"/>
    </row>
    <row r="69" spans="13:14" x14ac:dyDescent="0.25">
      <c r="M69" s="87"/>
      <c r="N69" s="87"/>
    </row>
    <row r="70" spans="13:14" x14ac:dyDescent="0.25">
      <c r="M70" s="87"/>
      <c r="N70" s="87"/>
    </row>
    <row r="71" spans="13:14" x14ac:dyDescent="0.25">
      <c r="M71" s="87"/>
      <c r="N71" s="87"/>
    </row>
    <row r="72" spans="13:14" x14ac:dyDescent="0.25">
      <c r="M72" s="87"/>
      <c r="N72" s="87"/>
    </row>
    <row r="73" spans="13:14" x14ac:dyDescent="0.25">
      <c r="M73" s="87"/>
      <c r="N73" s="87"/>
    </row>
    <row r="74" spans="13:14" x14ac:dyDescent="0.25">
      <c r="M74" s="87"/>
      <c r="N74" s="87"/>
    </row>
  </sheetData>
  <mergeCells count="21">
    <mergeCell ref="B13:S13"/>
    <mergeCell ref="B14:S14"/>
    <mergeCell ref="B8:S8"/>
    <mergeCell ref="B9:S9"/>
    <mergeCell ref="B10:S10"/>
    <mergeCell ref="B11:S11"/>
    <mergeCell ref="B12:S12"/>
    <mergeCell ref="A2:S2"/>
    <mergeCell ref="B4:S4"/>
    <mergeCell ref="B5:S5"/>
    <mergeCell ref="B6:S6"/>
    <mergeCell ref="B7:S7"/>
    <mergeCell ref="CH19:CK19"/>
    <mergeCell ref="AS19:BA19"/>
    <mergeCell ref="BB19:BL19"/>
    <mergeCell ref="BM19:BX19"/>
    <mergeCell ref="O19:V19"/>
    <mergeCell ref="W19:X19"/>
    <mergeCell ref="Y19:AF19"/>
    <mergeCell ref="AG19:AH19"/>
    <mergeCell ref="AI19:AQ19"/>
  </mergeCell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4B36F-2483-4069-B6A6-8F04C4CA98B3}">
  <dimension ref="A1:DA74"/>
  <sheetViews>
    <sheetView showZeros="0" topLeftCell="A20" zoomScale="85" zoomScaleNormal="85" workbookViewId="0">
      <selection activeCell="J23" sqref="J23"/>
    </sheetView>
  </sheetViews>
  <sheetFormatPr defaultRowHeight="15" x14ac:dyDescent="0.25"/>
  <cols>
    <col min="1" max="1" width="14.140625" bestFit="1" customWidth="1"/>
    <col min="2" max="2" width="16.28515625" style="57" bestFit="1" customWidth="1"/>
    <col min="3" max="3" width="10.28515625" bestFit="1" customWidth="1"/>
    <col min="4" max="4" width="37.5703125" bestFit="1" customWidth="1"/>
    <col min="5" max="5" width="13.7109375" style="2" bestFit="1" customWidth="1"/>
    <col min="6" max="6" width="13.42578125" customWidth="1"/>
    <col min="7" max="7" width="15.42578125" bestFit="1" customWidth="1"/>
    <col min="8" max="8" width="13.7109375" style="5" customWidth="1"/>
    <col min="9" max="9" width="15.42578125" customWidth="1"/>
    <col min="10" max="10" width="13.140625" bestFit="1" customWidth="1"/>
    <col min="11" max="11" width="10.28515625" bestFit="1" customWidth="1"/>
    <col min="12" max="12" width="12.140625" customWidth="1"/>
    <col min="13" max="13" width="16.42578125" customWidth="1"/>
    <col min="14" max="14" width="10.7109375" customWidth="1"/>
    <col min="15" max="15" width="7.85546875" style="15" customWidth="1"/>
    <col min="16" max="16" width="9.28515625" style="15" bestFit="1" customWidth="1"/>
    <col min="17" max="22" width="7.85546875" style="15" customWidth="1"/>
    <col min="23" max="25" width="7.85546875" style="15" hidden="1" customWidth="1"/>
    <col min="26" max="26" width="10" style="15" hidden="1" customWidth="1"/>
    <col min="27" max="85" width="7.85546875" style="15" hidden="1" customWidth="1"/>
    <col min="86" max="86" width="7.85546875" style="15" customWidth="1"/>
    <col min="87" max="87" width="11" style="15" customWidth="1"/>
    <col min="88" max="88" width="25.7109375" style="15" customWidth="1"/>
    <col min="89" max="89" width="10.7109375" style="15" customWidth="1"/>
    <col min="90" max="90" width="11.28515625" style="2" customWidth="1"/>
    <col min="91" max="91" width="13.85546875" style="2" bestFit="1" customWidth="1"/>
    <col min="92" max="92" width="9.140625" style="13" customWidth="1"/>
    <col min="93" max="93" width="9.140625" style="2" customWidth="1"/>
    <col min="94" max="94" width="9.140625" style="8" customWidth="1"/>
    <col min="95" max="95" width="12" style="2" bestFit="1" customWidth="1"/>
    <col min="96" max="96" width="9.140625" style="5" customWidth="1"/>
    <col min="97" max="97" width="12.28515625" style="2" bestFit="1" customWidth="1"/>
    <col min="98" max="98" width="13.85546875" style="2" bestFit="1" customWidth="1"/>
    <col min="99" max="99" width="9.140625" style="5" customWidth="1"/>
    <col min="100" max="100" width="11.5703125" customWidth="1"/>
    <col min="101" max="101" width="9.140625" style="5" customWidth="1"/>
    <col min="102" max="102" width="9.140625" customWidth="1"/>
  </cols>
  <sheetData>
    <row r="1" spans="1:19" ht="15.75" thickBot="1" x14ac:dyDescent="0.3">
      <c r="A1" s="88"/>
      <c r="B1" s="88"/>
      <c r="C1" s="88"/>
      <c r="D1" s="88"/>
      <c r="E1" s="88"/>
      <c r="F1" s="88"/>
      <c r="G1" s="88"/>
      <c r="H1" s="88"/>
      <c r="I1" s="88"/>
      <c r="J1" s="88"/>
      <c r="K1" s="88"/>
      <c r="L1" s="88"/>
      <c r="M1" s="88"/>
      <c r="N1" s="88"/>
      <c r="O1" s="88"/>
      <c r="P1" s="88"/>
      <c r="Q1" s="88"/>
      <c r="R1" s="88"/>
      <c r="S1" s="88"/>
    </row>
    <row r="2" spans="1:19" ht="23.25" thickBot="1" x14ac:dyDescent="0.5">
      <c r="A2" s="115" t="s">
        <v>136</v>
      </c>
      <c r="B2" s="116"/>
      <c r="C2" s="116"/>
      <c r="D2" s="116"/>
      <c r="E2" s="116"/>
      <c r="F2" s="116"/>
      <c r="G2" s="116"/>
      <c r="H2" s="116"/>
      <c r="I2" s="116"/>
      <c r="J2" s="116"/>
      <c r="K2" s="116"/>
      <c r="L2" s="116"/>
      <c r="M2" s="116"/>
      <c r="N2" s="116"/>
      <c r="O2" s="116"/>
      <c r="P2" s="116"/>
      <c r="Q2" s="116"/>
      <c r="R2" s="116"/>
      <c r="S2" s="117"/>
    </row>
    <row r="3" spans="1:19" ht="15.75" thickBot="1" x14ac:dyDescent="0.3">
      <c r="B3"/>
      <c r="E3"/>
      <c r="H3"/>
      <c r="O3"/>
      <c r="P3"/>
      <c r="Q3"/>
      <c r="R3"/>
      <c r="S3"/>
    </row>
    <row r="4" spans="1:19" ht="45.75" thickBot="1" x14ac:dyDescent="0.3">
      <c r="A4" s="89" t="s">
        <v>137</v>
      </c>
      <c r="B4" s="118" t="s">
        <v>148</v>
      </c>
      <c r="C4" s="118"/>
      <c r="D4" s="118"/>
      <c r="E4" s="118"/>
      <c r="F4" s="118"/>
      <c r="G4" s="118"/>
      <c r="H4" s="118"/>
      <c r="I4" s="118"/>
      <c r="J4" s="118"/>
      <c r="K4" s="118"/>
      <c r="L4" s="118"/>
      <c r="M4" s="118"/>
      <c r="N4" s="118"/>
      <c r="O4" s="118"/>
      <c r="P4" s="118"/>
      <c r="Q4" s="118"/>
      <c r="R4" s="118"/>
      <c r="S4" s="118"/>
    </row>
    <row r="5" spans="1:19" ht="45" x14ac:dyDescent="0.25">
      <c r="A5" s="89" t="s">
        <v>138</v>
      </c>
      <c r="B5" s="118" t="s">
        <v>149</v>
      </c>
      <c r="C5" s="118"/>
      <c r="D5" s="118"/>
      <c r="E5" s="118"/>
      <c r="F5" s="118"/>
      <c r="G5" s="118"/>
      <c r="H5" s="118"/>
      <c r="I5" s="118"/>
      <c r="J5" s="118"/>
      <c r="K5" s="118"/>
      <c r="L5" s="118"/>
      <c r="M5" s="118"/>
      <c r="N5" s="118"/>
      <c r="O5" s="118"/>
      <c r="P5" s="118"/>
      <c r="Q5" s="118"/>
      <c r="R5" s="118"/>
      <c r="S5" s="118"/>
    </row>
    <row r="6" spans="1:19" ht="45" x14ac:dyDescent="0.25">
      <c r="A6" s="90" t="s">
        <v>139</v>
      </c>
      <c r="B6" s="119" t="s">
        <v>150</v>
      </c>
      <c r="C6" s="118"/>
      <c r="D6" s="118"/>
      <c r="E6" s="118"/>
      <c r="F6" s="118"/>
      <c r="G6" s="118"/>
      <c r="H6" s="118"/>
      <c r="I6" s="118"/>
      <c r="J6" s="118"/>
      <c r="K6" s="118"/>
      <c r="L6" s="118"/>
      <c r="M6" s="118"/>
      <c r="N6" s="118"/>
      <c r="O6" s="118"/>
      <c r="P6" s="118"/>
      <c r="Q6" s="118"/>
      <c r="R6" s="118"/>
      <c r="S6" s="118"/>
    </row>
    <row r="7" spans="1:19" ht="30" x14ac:dyDescent="0.25">
      <c r="A7" s="90" t="s">
        <v>140</v>
      </c>
      <c r="B7" s="119" t="s">
        <v>151</v>
      </c>
      <c r="C7" s="118"/>
      <c r="D7" s="118"/>
      <c r="E7" s="118"/>
      <c r="F7" s="118"/>
      <c r="G7" s="118"/>
      <c r="H7" s="118"/>
      <c r="I7" s="118"/>
      <c r="J7" s="118"/>
      <c r="K7" s="118"/>
      <c r="L7" s="118"/>
      <c r="M7" s="118"/>
      <c r="N7" s="118"/>
      <c r="O7" s="118"/>
      <c r="P7" s="118"/>
      <c r="Q7" s="118"/>
      <c r="R7" s="118"/>
      <c r="S7" s="118"/>
    </row>
    <row r="8" spans="1:19" x14ac:dyDescent="0.25">
      <c r="A8" s="90" t="s">
        <v>141</v>
      </c>
      <c r="B8" s="119" t="s">
        <v>153</v>
      </c>
      <c r="C8" s="119"/>
      <c r="D8" s="119"/>
      <c r="E8" s="119"/>
      <c r="F8" s="119"/>
      <c r="G8" s="119"/>
      <c r="H8" s="119"/>
      <c r="I8" s="119"/>
      <c r="J8" s="119"/>
      <c r="K8" s="119"/>
      <c r="L8" s="119"/>
      <c r="M8" s="119"/>
      <c r="N8" s="119"/>
      <c r="O8" s="119"/>
      <c r="P8" s="119"/>
      <c r="Q8" s="119"/>
      <c r="R8" s="119"/>
      <c r="S8" s="119"/>
    </row>
    <row r="9" spans="1:19" ht="21" customHeight="1" x14ac:dyDescent="0.25">
      <c r="A9" s="90" t="s">
        <v>142</v>
      </c>
      <c r="B9" s="121" t="s">
        <v>155</v>
      </c>
      <c r="C9" s="122"/>
      <c r="D9" s="122"/>
      <c r="E9" s="122"/>
      <c r="F9" s="122"/>
      <c r="G9" s="122"/>
      <c r="H9" s="122"/>
      <c r="I9" s="122"/>
      <c r="J9" s="122"/>
      <c r="K9" s="122"/>
      <c r="L9" s="122"/>
      <c r="M9" s="122"/>
      <c r="N9" s="122"/>
      <c r="O9" s="122"/>
      <c r="P9" s="122"/>
      <c r="Q9" s="122"/>
      <c r="R9" s="122"/>
      <c r="S9" s="123"/>
    </row>
    <row r="10" spans="1:19" ht="30" x14ac:dyDescent="0.25">
      <c r="A10" s="90" t="s">
        <v>143</v>
      </c>
      <c r="B10" s="119" t="s">
        <v>152</v>
      </c>
      <c r="C10" s="119"/>
      <c r="D10" s="119"/>
      <c r="E10" s="119"/>
      <c r="F10" s="119"/>
      <c r="G10" s="119"/>
      <c r="H10" s="119"/>
      <c r="I10" s="119"/>
      <c r="J10" s="119"/>
      <c r="K10" s="119"/>
      <c r="L10" s="119"/>
      <c r="M10" s="119"/>
      <c r="N10" s="119"/>
      <c r="O10" s="119"/>
      <c r="P10" s="119"/>
      <c r="Q10" s="119"/>
      <c r="R10" s="119"/>
      <c r="S10" s="119"/>
    </row>
    <row r="11" spans="1:19" ht="30" x14ac:dyDescent="0.25">
      <c r="A11" s="90" t="s">
        <v>144</v>
      </c>
      <c r="B11" s="124" t="s">
        <v>154</v>
      </c>
      <c r="C11" s="125"/>
      <c r="D11" s="125"/>
      <c r="E11" s="125"/>
      <c r="F11" s="125"/>
      <c r="G11" s="125"/>
      <c r="H11" s="125"/>
      <c r="I11" s="125"/>
      <c r="J11" s="125"/>
      <c r="K11" s="125"/>
      <c r="L11" s="125"/>
      <c r="M11" s="125"/>
      <c r="N11" s="125"/>
      <c r="O11" s="125"/>
      <c r="P11" s="125"/>
      <c r="Q11" s="125"/>
      <c r="R11" s="125"/>
      <c r="S11" s="126"/>
    </row>
    <row r="12" spans="1:19" ht="30" x14ac:dyDescent="0.25">
      <c r="A12" s="91" t="s">
        <v>145</v>
      </c>
      <c r="B12" s="120" t="s">
        <v>156</v>
      </c>
      <c r="C12" s="120"/>
      <c r="D12" s="120"/>
      <c r="E12" s="120"/>
      <c r="F12" s="120"/>
      <c r="G12" s="120"/>
      <c r="H12" s="120"/>
      <c r="I12" s="120"/>
      <c r="J12" s="120"/>
      <c r="K12" s="120"/>
      <c r="L12" s="120"/>
      <c r="M12" s="120"/>
      <c r="N12" s="120"/>
      <c r="O12" s="120"/>
      <c r="P12" s="120"/>
      <c r="Q12" s="120"/>
      <c r="R12" s="120"/>
      <c r="S12" s="120"/>
    </row>
    <row r="13" spans="1:19" ht="47.25" customHeight="1" x14ac:dyDescent="0.25">
      <c r="A13" s="91" t="s">
        <v>146</v>
      </c>
      <c r="B13" s="120" t="s">
        <v>157</v>
      </c>
      <c r="C13" s="120"/>
      <c r="D13" s="120"/>
      <c r="E13" s="120"/>
      <c r="F13" s="120"/>
      <c r="G13" s="120"/>
      <c r="H13" s="120"/>
      <c r="I13" s="120"/>
      <c r="J13" s="120"/>
      <c r="K13" s="120"/>
      <c r="L13" s="120"/>
      <c r="M13" s="120"/>
      <c r="N13" s="120"/>
      <c r="O13" s="120"/>
      <c r="P13" s="120"/>
      <c r="Q13" s="120"/>
      <c r="R13" s="120"/>
      <c r="S13" s="120"/>
    </row>
    <row r="14" spans="1:19" ht="30" x14ac:dyDescent="0.25">
      <c r="A14" s="92" t="s">
        <v>147</v>
      </c>
      <c r="B14" s="120"/>
      <c r="C14" s="120"/>
      <c r="D14" s="120"/>
      <c r="E14" s="120"/>
      <c r="F14" s="120"/>
      <c r="G14" s="120"/>
      <c r="H14" s="120"/>
      <c r="I14" s="120"/>
      <c r="J14" s="120"/>
      <c r="K14" s="120"/>
      <c r="L14" s="120"/>
      <c r="M14" s="120"/>
      <c r="N14" s="120"/>
      <c r="O14" s="120"/>
      <c r="P14" s="120"/>
      <c r="Q14" s="120"/>
      <c r="R14" s="120"/>
      <c r="S14" s="120"/>
    </row>
    <row r="15" spans="1:19" x14ac:dyDescent="0.25">
      <c r="B15"/>
    </row>
    <row r="19" spans="1:105" s="22" customFormat="1" ht="28.9" customHeight="1" x14ac:dyDescent="0.25">
      <c r="A19" s="78"/>
      <c r="B19" s="78"/>
      <c r="C19" s="79"/>
      <c r="D19" s="79"/>
      <c r="E19" s="26"/>
      <c r="H19" s="27"/>
      <c r="O19" s="110" t="s">
        <v>82</v>
      </c>
      <c r="P19" s="110"/>
      <c r="Q19" s="110"/>
      <c r="R19" s="110"/>
      <c r="S19" s="110"/>
      <c r="T19" s="110"/>
      <c r="U19" s="110"/>
      <c r="V19" s="110"/>
      <c r="W19" s="111" t="s">
        <v>4</v>
      </c>
      <c r="X19" s="111"/>
      <c r="Y19" s="112" t="s">
        <v>3</v>
      </c>
      <c r="Z19" s="112"/>
      <c r="AA19" s="112"/>
      <c r="AB19" s="112"/>
      <c r="AC19" s="112"/>
      <c r="AD19" s="112"/>
      <c r="AE19" s="112"/>
      <c r="AF19" s="112"/>
      <c r="AG19" s="113" t="s">
        <v>5</v>
      </c>
      <c r="AH19" s="113"/>
      <c r="AI19" s="114" t="s">
        <v>6</v>
      </c>
      <c r="AJ19" s="114"/>
      <c r="AK19" s="114"/>
      <c r="AL19" s="114"/>
      <c r="AM19" s="114"/>
      <c r="AN19" s="114"/>
      <c r="AO19" s="114"/>
      <c r="AP19" s="114"/>
      <c r="AQ19" s="114"/>
      <c r="AR19" s="33" t="s">
        <v>7</v>
      </c>
      <c r="AS19" s="106" t="s">
        <v>8</v>
      </c>
      <c r="AT19" s="107"/>
      <c r="AU19" s="107"/>
      <c r="AV19" s="107"/>
      <c r="AW19" s="107"/>
      <c r="AX19" s="107"/>
      <c r="AY19" s="107"/>
      <c r="AZ19" s="107"/>
      <c r="BA19" s="107"/>
      <c r="BB19" s="108" t="s">
        <v>9</v>
      </c>
      <c r="BC19" s="108"/>
      <c r="BD19" s="108"/>
      <c r="BE19" s="108"/>
      <c r="BF19" s="108"/>
      <c r="BG19" s="108"/>
      <c r="BH19" s="108"/>
      <c r="BI19" s="108"/>
      <c r="BJ19" s="108"/>
      <c r="BK19" s="108"/>
      <c r="BL19" s="108"/>
      <c r="BM19" s="109" t="s">
        <v>249</v>
      </c>
      <c r="BN19" s="109"/>
      <c r="BO19" s="109"/>
      <c r="BP19" s="109"/>
      <c r="BQ19" s="109"/>
      <c r="BR19" s="109"/>
      <c r="BS19" s="109"/>
      <c r="BT19" s="109"/>
      <c r="BU19" s="109"/>
      <c r="BV19" s="109"/>
      <c r="BW19" s="109"/>
      <c r="BX19" s="109"/>
      <c r="BY19" s="35" t="s">
        <v>11</v>
      </c>
      <c r="BZ19" s="37" t="s">
        <v>12</v>
      </c>
      <c r="CA19" s="30" t="s">
        <v>13</v>
      </c>
      <c r="CB19" s="32" t="s">
        <v>14</v>
      </c>
      <c r="CC19" s="31" t="s">
        <v>15</v>
      </c>
      <c r="CD19" s="40" t="s">
        <v>16</v>
      </c>
      <c r="CE19" s="42" t="s">
        <v>17</v>
      </c>
      <c r="CF19" s="36" t="s">
        <v>18</v>
      </c>
      <c r="CG19" s="30" t="s">
        <v>19</v>
      </c>
      <c r="CH19" s="103" t="s">
        <v>84</v>
      </c>
      <c r="CI19" s="104"/>
      <c r="CJ19" s="104"/>
      <c r="CK19" s="105"/>
      <c r="CL19" s="60" t="s">
        <v>20</v>
      </c>
      <c r="CM19" s="23" t="s">
        <v>21</v>
      </c>
      <c r="CN19" s="24" t="s">
        <v>40</v>
      </c>
      <c r="CO19" s="23" t="s">
        <v>81</v>
      </c>
      <c r="CP19" s="25"/>
      <c r="CQ19" s="26"/>
      <c r="CR19" s="27"/>
      <c r="CS19" s="26"/>
      <c r="CT19" s="26"/>
      <c r="CU19" s="27"/>
      <c r="CW19" s="27"/>
      <c r="DA19" s="22" t="s">
        <v>126</v>
      </c>
    </row>
    <row r="20" spans="1:105" s="11" customFormat="1" ht="89.25" x14ac:dyDescent="0.25">
      <c r="A20" s="70" t="s">
        <v>0</v>
      </c>
      <c r="B20" s="71" t="s">
        <v>85</v>
      </c>
      <c r="C20" s="70" t="s">
        <v>1</v>
      </c>
      <c r="D20" s="70" t="s">
        <v>2</v>
      </c>
      <c r="E20" s="3" t="s">
        <v>31</v>
      </c>
      <c r="F20" s="9" t="s">
        <v>32</v>
      </c>
      <c r="G20" s="9" t="s">
        <v>33</v>
      </c>
      <c r="H20" s="4" t="s">
        <v>34</v>
      </c>
      <c r="I20" s="9" t="s">
        <v>35</v>
      </c>
      <c r="J20" s="9" t="s">
        <v>36</v>
      </c>
      <c r="K20" s="9" t="s">
        <v>37</v>
      </c>
      <c r="L20" s="9" t="s">
        <v>38</v>
      </c>
      <c r="M20" s="9" t="s">
        <v>39</v>
      </c>
      <c r="N20" s="93" t="s">
        <v>250</v>
      </c>
      <c r="O20" s="72" t="s">
        <v>259</v>
      </c>
      <c r="P20" s="72" t="s">
        <v>261</v>
      </c>
      <c r="Q20" s="72" t="s">
        <v>263</v>
      </c>
      <c r="R20" s="72" t="s">
        <v>265</v>
      </c>
      <c r="S20" s="72" t="s">
        <v>267</v>
      </c>
      <c r="T20" s="72" t="s">
        <v>269</v>
      </c>
      <c r="U20" s="72" t="s">
        <v>271</v>
      </c>
      <c r="V20" s="72" t="s">
        <v>273</v>
      </c>
      <c r="W20" s="72" t="s">
        <v>41</v>
      </c>
      <c r="X20" s="72" t="s">
        <v>46</v>
      </c>
      <c r="Y20" s="73" t="s">
        <v>53</v>
      </c>
      <c r="Z20" s="73" t="s">
        <v>57</v>
      </c>
      <c r="AA20" s="73" t="s">
        <v>60</v>
      </c>
      <c r="AB20" s="73" t="s">
        <v>65</v>
      </c>
      <c r="AC20" s="73" t="s">
        <v>69</v>
      </c>
      <c r="AD20" s="73" t="s">
        <v>71</v>
      </c>
      <c r="AE20" s="73" t="s">
        <v>73</v>
      </c>
      <c r="AF20" s="73" t="s">
        <v>75</v>
      </c>
      <c r="AG20" s="73" t="s">
        <v>52</v>
      </c>
      <c r="AH20" s="73" t="s">
        <v>56</v>
      </c>
      <c r="AI20" s="73" t="s">
        <v>51</v>
      </c>
      <c r="AJ20" s="73" t="s">
        <v>47</v>
      </c>
      <c r="AK20" s="73" t="s">
        <v>59</v>
      </c>
      <c r="AL20" s="73" t="s">
        <v>64</v>
      </c>
      <c r="AM20" s="73" t="s">
        <v>68</v>
      </c>
      <c r="AN20" s="73" t="s">
        <v>87</v>
      </c>
      <c r="AO20" s="73" t="s">
        <v>88</v>
      </c>
      <c r="AP20" s="73" t="s">
        <v>86</v>
      </c>
      <c r="AQ20" s="73" t="s">
        <v>94</v>
      </c>
      <c r="AR20" s="74" t="s">
        <v>7</v>
      </c>
      <c r="AS20" s="73" t="s">
        <v>54</v>
      </c>
      <c r="AT20" s="73" t="s">
        <v>58</v>
      </c>
      <c r="AU20" s="73" t="s">
        <v>63</v>
      </c>
      <c r="AV20" s="73" t="s">
        <v>61</v>
      </c>
      <c r="AW20" s="73" t="s">
        <v>66</v>
      </c>
      <c r="AX20" s="73" t="s">
        <v>70</v>
      </c>
      <c r="AY20" s="73" t="s">
        <v>48</v>
      </c>
      <c r="AZ20" s="73" t="s">
        <v>122</v>
      </c>
      <c r="BA20" s="73" t="s">
        <v>74</v>
      </c>
      <c r="BB20" s="73" t="s">
        <v>55</v>
      </c>
      <c r="BC20" s="73" t="s">
        <v>42</v>
      </c>
      <c r="BD20" s="73" t="s">
        <v>62</v>
      </c>
      <c r="BE20" s="73" t="s">
        <v>67</v>
      </c>
      <c r="BF20" s="73" t="s">
        <v>89</v>
      </c>
      <c r="BG20" s="73" t="s">
        <v>72</v>
      </c>
      <c r="BH20" s="73" t="s">
        <v>49</v>
      </c>
      <c r="BI20" s="73" t="s">
        <v>76</v>
      </c>
      <c r="BJ20" s="73" t="s">
        <v>77</v>
      </c>
      <c r="BK20" s="73" t="s">
        <v>78</v>
      </c>
      <c r="BL20" s="73" t="s">
        <v>80</v>
      </c>
      <c r="BM20" s="73" t="s">
        <v>54</v>
      </c>
      <c r="BN20" s="73" t="s">
        <v>58</v>
      </c>
      <c r="BO20" s="73" t="s">
        <v>63</v>
      </c>
      <c r="BP20" s="73" t="s">
        <v>61</v>
      </c>
      <c r="BQ20" s="73" t="s">
        <v>90</v>
      </c>
      <c r="BR20" s="73" t="s">
        <v>95</v>
      </c>
      <c r="BS20" s="73" t="s">
        <v>91</v>
      </c>
      <c r="BT20" s="73" t="s">
        <v>66</v>
      </c>
      <c r="BU20" s="73" t="s">
        <v>48</v>
      </c>
      <c r="BV20" s="73" t="s">
        <v>122</v>
      </c>
      <c r="BW20" s="73" t="s">
        <v>74</v>
      </c>
      <c r="BX20" s="73" t="s">
        <v>79</v>
      </c>
      <c r="BY20" s="74" t="s">
        <v>11</v>
      </c>
      <c r="BZ20" s="74" t="s">
        <v>50</v>
      </c>
      <c r="CA20" s="75" t="s">
        <v>13</v>
      </c>
      <c r="CB20" s="76" t="s">
        <v>14</v>
      </c>
      <c r="CC20" s="75" t="s">
        <v>15</v>
      </c>
      <c r="CD20" s="75" t="s">
        <v>16</v>
      </c>
      <c r="CE20" s="75" t="s">
        <v>17</v>
      </c>
      <c r="CF20" s="76" t="s">
        <v>18</v>
      </c>
      <c r="CG20" s="75" t="s">
        <v>19</v>
      </c>
      <c r="CH20" s="64" t="s">
        <v>83</v>
      </c>
      <c r="CI20" s="64" t="s">
        <v>92</v>
      </c>
      <c r="CJ20" s="64" t="s">
        <v>93</v>
      </c>
      <c r="CK20" s="64" t="s">
        <v>96</v>
      </c>
      <c r="CL20" s="14"/>
      <c r="CM20" s="14"/>
      <c r="CN20" s="12"/>
      <c r="CO20" s="14"/>
      <c r="CP20" s="7" t="s">
        <v>22</v>
      </c>
      <c r="CQ20" s="3" t="s">
        <v>23</v>
      </c>
      <c r="CR20" s="4" t="s">
        <v>24</v>
      </c>
      <c r="CS20" s="3" t="s">
        <v>25</v>
      </c>
      <c r="CT20" s="3" t="s">
        <v>26</v>
      </c>
      <c r="CU20" s="4" t="s">
        <v>27</v>
      </c>
      <c r="CV20" s="9" t="s">
        <v>28</v>
      </c>
      <c r="CW20" s="4" t="s">
        <v>29</v>
      </c>
      <c r="CX20" s="9" t="s">
        <v>30</v>
      </c>
      <c r="CY20" s="4" t="s">
        <v>97</v>
      </c>
      <c r="CZ20" s="9" t="s">
        <v>98</v>
      </c>
    </row>
    <row r="21" spans="1:105" s="14" customFormat="1" x14ac:dyDescent="0.25">
      <c r="A21" s="16"/>
      <c r="B21" s="56"/>
      <c r="C21" s="16"/>
      <c r="D21" s="16"/>
      <c r="E21" s="3"/>
      <c r="F21" s="67"/>
      <c r="G21" s="59"/>
      <c r="H21" s="3"/>
      <c r="I21" s="3"/>
      <c r="J21" s="3"/>
      <c r="K21" s="68"/>
      <c r="L21" s="3"/>
      <c r="M21" s="3"/>
      <c r="N21" s="94"/>
      <c r="O21" s="17">
        <v>406</v>
      </c>
      <c r="P21" s="17">
        <v>1583</v>
      </c>
      <c r="Q21" s="17">
        <v>209</v>
      </c>
      <c r="R21" s="17">
        <v>199</v>
      </c>
      <c r="S21" s="17">
        <v>32</v>
      </c>
      <c r="T21" s="17">
        <v>74.7</v>
      </c>
      <c r="U21" s="17">
        <v>54</v>
      </c>
      <c r="V21" s="17">
        <v>85</v>
      </c>
      <c r="W21" s="17">
        <f>+IFERROR(VLOOKUP($W$20,Sheet1!N:Q,2,0),0)</f>
        <v>0</v>
      </c>
      <c r="X21" s="17">
        <f>+IFERROR(VLOOKUP($X$20,Sheet1!N:O,2,0),0)</f>
        <v>0</v>
      </c>
      <c r="Y21" s="18">
        <f>+IFERROR(VLOOKUP($Y$20,Sheet1!F:I,2,0),0)</f>
        <v>0</v>
      </c>
      <c r="Z21" s="18">
        <v>1567</v>
      </c>
      <c r="AA21" s="18">
        <f>+IFERROR(VLOOKUP($AA$20,Sheet1!F:I,2,0),0)</f>
        <v>0</v>
      </c>
      <c r="AB21" s="18">
        <f>+IFERROR(VLOOKUP($AB$20,Sheet1!F:I,2,0),0)</f>
        <v>0</v>
      </c>
      <c r="AC21" s="18">
        <f>+IFERROR(VLOOKUP($AC$20,Sheet1!F:I,2,0),0)</f>
        <v>0</v>
      </c>
      <c r="AD21" s="18">
        <f>+IFERROR(VLOOKUP($AD$20,Sheet1!F:I,2,0),0)</f>
        <v>0</v>
      </c>
      <c r="AE21" s="18">
        <f>+IFERROR(VLOOKUP($AE$20,Sheet1!F:I,2,0),0)</f>
        <v>0</v>
      </c>
      <c r="AF21" s="18">
        <f>+IFERROR(VLOOKUP($AF$20,Sheet1!F:I,2,0),0)</f>
        <v>0</v>
      </c>
      <c r="AG21" s="18">
        <f>+IFERROR(VLOOKUP($AG$20,Sheet1!R:U,2,0),0)</f>
        <v>0</v>
      </c>
      <c r="AH21" s="18">
        <v>219</v>
      </c>
      <c r="AI21" s="18">
        <v>199</v>
      </c>
      <c r="AJ21" s="18">
        <f>+IFERROR(VLOOKUP($AJ$20,Sheet1!V:Y,2,0),0)</f>
        <v>0</v>
      </c>
      <c r="AK21" s="18">
        <f>+IFERROR(VLOOKUP($AK$20,Sheet1!V:Y,2,0),0)</f>
        <v>0</v>
      </c>
      <c r="AL21" s="18">
        <f>+IFERROR(VLOOKUP($AL$20,Sheet1!V:Y,2,0),0)</f>
        <v>0</v>
      </c>
      <c r="AM21" s="18">
        <f>+IFERROR(VLOOKUP($AM$20,Sheet1!V:Y,2,0),0)</f>
        <v>0</v>
      </c>
      <c r="AN21" s="18">
        <f>+IFERROR(VLOOKUP($AN$20,Sheet1!V:Y,2,0),0)</f>
        <v>0</v>
      </c>
      <c r="AO21" s="18">
        <f>+IFERROR(VLOOKUP($AO$20,Sheet1!V:Y,2,0),0)</f>
        <v>0</v>
      </c>
      <c r="AP21" s="18">
        <f>+IFERROR(VLOOKUP($AP$20,Sheet1!V:Y,2,0),0)</f>
        <v>0</v>
      </c>
      <c r="AQ21" s="18">
        <f>+IFERROR(VLOOKUP($AQ$20,Sheet1!V:Y,2,0),0)</f>
        <v>0</v>
      </c>
      <c r="AR21" s="19">
        <f>+IFERROR(VLOOKUP($AR$20,Sheet1!Z2:AA840,2,0),0)</f>
        <v>0</v>
      </c>
      <c r="AS21" s="18">
        <f>+IFERROR(VLOOKUP($AS$20,Sheet1!AD2:AG840,2,0),0)</f>
        <v>0</v>
      </c>
      <c r="AT21" s="18">
        <f>+IFERROR(VLOOKUP($AT$20,Sheet1!AD2:AG840,2,0),0)</f>
        <v>0</v>
      </c>
      <c r="AU21" s="18">
        <f>+IFERROR(VLOOKUP($AU$20,Sheet1!AD2:AG840,2,0),0)</f>
        <v>0</v>
      </c>
      <c r="AV21" s="18">
        <f>+IFERROR(VLOOKUP($AV$20,Sheet1!AD2:AG840,2,0),0)</f>
        <v>0</v>
      </c>
      <c r="AW21" s="18">
        <f>+IFERROR(VLOOKUP($AW$20,Sheet1!AD2:AG840,2,0),0)</f>
        <v>0</v>
      </c>
      <c r="AX21" s="18">
        <f>+IFERROR(VLOOKUP($AX$20,Sheet1!AD2:AG840,2,0),0)</f>
        <v>0</v>
      </c>
      <c r="AY21" s="18">
        <v>77</v>
      </c>
      <c r="AZ21" s="18">
        <f>+IFERROR(VLOOKUP($AZ$20,Sheet1!AD2:AG840,2,0),0)</f>
        <v>0</v>
      </c>
      <c r="BA21" s="18">
        <f>+IFERROR(VLOOKUP($BA$20,Sheet1!AD2:AG840,2,0),0)</f>
        <v>0</v>
      </c>
      <c r="BB21" s="18">
        <f>+IFERROR(VLOOKUP($BB$20,Sheet1!AH2:AK840,2,0),0)</f>
        <v>0</v>
      </c>
      <c r="BC21" s="18">
        <f>+IFERROR(VLOOKUP($BC$20,Sheet1!AH2:AK840,2,0),0)</f>
        <v>0</v>
      </c>
      <c r="BD21" s="18">
        <f>+IFERROR(VLOOKUP($BD$20,Sheet1!AH2:AK840,2,0),0)</f>
        <v>0</v>
      </c>
      <c r="BE21" s="18">
        <f>+IFERROR(VLOOKUP($BE$20,Sheet1!AH2:AK840,2,0),0)</f>
        <v>0</v>
      </c>
      <c r="BF21" s="18">
        <f>+IFERROR(VLOOKUP($BF$20,Sheet1!AH2:AK840,2,0),0)</f>
        <v>0</v>
      </c>
      <c r="BG21" s="18">
        <f>+IFERROR(VLOOKUP($BG$20,Sheet1!AH2:AK840,2,0),0)</f>
        <v>0</v>
      </c>
      <c r="BH21" s="18">
        <v>87</v>
      </c>
      <c r="BI21" s="18">
        <f>+IFERROR(VLOOKUP($BI$20,Sheet1!AH2:AK840,2,0),0)</f>
        <v>0</v>
      </c>
      <c r="BJ21" s="18">
        <f>+IFERROR(VLOOKUP($BJ$20,Sheet1!AH2:AK840,2,0),0)</f>
        <v>0</v>
      </c>
      <c r="BK21" s="18">
        <f>+IFERROR(VLOOKUP($BK$20,Sheet1!AH2:AK840,2,0),0)</f>
        <v>0</v>
      </c>
      <c r="BL21" s="18">
        <f>+IFERROR(VLOOKUP($BL$20,Sheet1!AH2:AK840,2,0),0)</f>
        <v>0</v>
      </c>
      <c r="BM21" s="18">
        <f>+IFERROR(VLOOKUP($BM$20,Sheet1!AL2:AO840,2,0),0)</f>
        <v>0</v>
      </c>
      <c r="BN21" s="18">
        <f>+IFERROR(VLOOKUP($BN$20,Sheet1!AL2:AO840,2,0),0)</f>
        <v>0</v>
      </c>
      <c r="BO21" s="18">
        <f>+IFERROR(VLOOKUP($BO$20,Sheet1!AL2:AO840,2,0),0)</f>
        <v>0</v>
      </c>
      <c r="BP21" s="18">
        <f>+IFERROR(VLOOKUP($BP$20,Sheet1!AL2:AO840,2,0),0)</f>
        <v>0</v>
      </c>
      <c r="BQ21" s="18">
        <f>+IFERROR(VLOOKUP($BQ$20,Sheet1!AL2:AO840,2,0),0)</f>
        <v>0</v>
      </c>
      <c r="BR21" s="18">
        <f>+IFERROR(VLOOKUP($BR$20,Sheet1!AL2:AO840,2,0),0)</f>
        <v>0</v>
      </c>
      <c r="BS21" s="18">
        <f>+IFERROR(VLOOKUP($BS$20,Sheet1!AL2:AO840,2,0),0)</f>
        <v>0</v>
      </c>
      <c r="BT21" s="18">
        <f>+IFERROR(VLOOKUP($BT$20,Sheet1!AL2:AO840,2,0),0)</f>
        <v>0</v>
      </c>
      <c r="BU21" s="18">
        <f>AY21+8</f>
        <v>85</v>
      </c>
      <c r="BV21" s="18">
        <f>+IFERROR(VLOOKUP($BV$20,Sheet1!AL2:AO840,2,0),0)</f>
        <v>0</v>
      </c>
      <c r="BW21" s="18">
        <f>+IFERROR(VLOOKUP($BW$20,Sheet1!AL2:AO840,2,0),0)</f>
        <v>0</v>
      </c>
      <c r="BX21" s="18">
        <f>+IFERROR(VLOOKUP($BX$20,Sheet1!AL2:AO840,2,0),0)</f>
        <v>0</v>
      </c>
      <c r="BY21" s="19">
        <v>32</v>
      </c>
      <c r="BZ21" s="19">
        <f>+IFERROR(VLOOKUP($BZ$20,Sheet1!AT2:AW840,2,0),0)</f>
        <v>0</v>
      </c>
      <c r="CA21" s="20">
        <f>+IFERROR(VLOOKUP($CA$20,Sheet1!AX2:BA840,2,0),0)</f>
        <v>0</v>
      </c>
      <c r="CB21" s="21">
        <f>+IFERROR(VLOOKUP($CB$20,Sheet1!BB2:BE840,2,0),0)</f>
        <v>0</v>
      </c>
      <c r="CC21" s="20">
        <f>+IFERROR(VLOOKUP($CC$20,Sheet1!BF2:BI840,2,0),0)</f>
        <v>0</v>
      </c>
      <c r="CD21" s="20">
        <f>+IFERROR(VLOOKUP($CD$20,Sheet1!BJ2:BM840,2,0),0)</f>
        <v>0</v>
      </c>
      <c r="CE21" s="20">
        <f>+IFERROR(VLOOKUP($CE$20,Sheet1!BN2:BQ840,2,0),0)</f>
        <v>0</v>
      </c>
      <c r="CF21" s="21">
        <f>+IFERROR(VLOOKUP($CF$20,Sheet1!BR2:BU840,2,0),0)</f>
        <v>0</v>
      </c>
      <c r="CG21" s="20">
        <f>+IFERROR(VLOOKUP($CG$20,Sheet1!BV2:BY840,2,0),0)</f>
        <v>0</v>
      </c>
      <c r="CH21" s="61"/>
      <c r="CI21" s="61"/>
      <c r="CJ21" s="61"/>
      <c r="CK21" s="61"/>
      <c r="CP21" s="3"/>
      <c r="CQ21" s="3"/>
      <c r="CR21" s="3"/>
      <c r="CS21" s="3"/>
      <c r="CT21" s="3"/>
      <c r="CU21" s="3"/>
      <c r="CV21" s="3"/>
      <c r="CW21" s="3"/>
      <c r="CX21" s="3"/>
      <c r="CY21" s="3"/>
      <c r="CZ21" s="3"/>
    </row>
    <row r="22" spans="1:105" s="22" customFormat="1" ht="30" x14ac:dyDescent="0.25">
      <c r="A22" s="6" t="str">
        <f>Sheet1!A2</f>
        <v>ENQ-19909-25-26</v>
      </c>
      <c r="B22" s="77">
        <v>46183</v>
      </c>
      <c r="C22" s="6" t="str">
        <f>Sheet1!C2</f>
        <v>FA1300010</v>
      </c>
      <c r="D22" s="6" t="str">
        <f>Sheet1!D2</f>
        <v>3 CORE X 400 SQ.MM. AL/ARM - STRIP (XLPE) - 33KV</v>
      </c>
      <c r="E22" s="23">
        <f>CT22+CV22+CX22+CZ22</f>
        <v>3032940.6719999998</v>
      </c>
      <c r="F22" s="101">
        <f>ROUNDUP(M27,0)</f>
        <v>65251</v>
      </c>
      <c r="G22" s="28">
        <f>E22+F22</f>
        <v>3098191.6719999998</v>
      </c>
      <c r="H22" s="29">
        <f>Sheet1!CR2</f>
        <v>0.18</v>
      </c>
      <c r="I22" s="28">
        <f>G22*H22</f>
        <v>557674.50095999998</v>
      </c>
      <c r="J22" s="28">
        <f>G22+I22</f>
        <v>3655866.1729599996</v>
      </c>
      <c r="K22" s="69">
        <f>Sheet1!CU2</f>
        <v>12.95</v>
      </c>
      <c r="L22" s="66" t="str">
        <f>Sheet1!CV2</f>
        <v>KMS</v>
      </c>
      <c r="M22" s="23">
        <f>J22*K22</f>
        <v>47343466.939831994</v>
      </c>
      <c r="N22" s="95" t="s">
        <v>257</v>
      </c>
      <c r="O22" s="99">
        <v>2805</v>
      </c>
      <c r="P22" s="100">
        <v>119</v>
      </c>
      <c r="Q22" s="100">
        <v>380</v>
      </c>
      <c r="R22" s="100">
        <v>2600</v>
      </c>
      <c r="S22" s="100">
        <v>2650</v>
      </c>
      <c r="T22" s="100">
        <v>1550</v>
      </c>
      <c r="U22" s="100">
        <v>380</v>
      </c>
      <c r="V22" s="100">
        <v>1260</v>
      </c>
      <c r="W22" s="100"/>
      <c r="X22" s="100"/>
      <c r="Y22" s="100"/>
      <c r="Z22" s="99"/>
      <c r="AA22" s="100"/>
      <c r="AB22" s="100"/>
      <c r="AC22" s="100"/>
      <c r="AD22" s="100"/>
      <c r="AE22" s="100"/>
      <c r="AF22" s="100"/>
      <c r="AG22" s="100"/>
      <c r="AH22" s="98"/>
      <c r="AI22" s="99"/>
      <c r="AJ22" s="97"/>
      <c r="AK22" s="97"/>
      <c r="AL22" s="97"/>
      <c r="AM22" s="97"/>
      <c r="AN22" s="97"/>
      <c r="AO22" s="97"/>
      <c r="AP22" s="97"/>
      <c r="AQ22" s="97"/>
      <c r="AR22" s="97"/>
      <c r="AS22" s="97"/>
      <c r="AT22" s="97"/>
      <c r="AU22" s="97"/>
      <c r="AV22" s="97"/>
      <c r="AW22" s="97"/>
      <c r="AX22" s="97"/>
      <c r="AY22" s="98"/>
      <c r="AZ22" s="97"/>
      <c r="BA22" s="97"/>
      <c r="BB22" s="97"/>
      <c r="BC22" s="97"/>
      <c r="BD22" s="97"/>
      <c r="BE22" s="97"/>
      <c r="BF22" s="97"/>
      <c r="BG22" s="97"/>
      <c r="BH22" s="98"/>
      <c r="BI22" s="97"/>
      <c r="BJ22" s="97"/>
      <c r="BK22" s="97"/>
      <c r="BL22" s="97"/>
      <c r="BM22" s="97"/>
      <c r="BN22" s="97"/>
      <c r="BO22" s="97"/>
      <c r="BP22" s="97"/>
      <c r="BQ22" s="97"/>
      <c r="BR22" s="97"/>
      <c r="BS22" s="97"/>
      <c r="BT22" s="97"/>
      <c r="BU22" s="98"/>
      <c r="BV22" s="97"/>
      <c r="BW22" s="97"/>
      <c r="BX22" s="97"/>
      <c r="BY22" s="98"/>
      <c r="BZ22" s="38">
        <f>+IFERROR(VLOOKUP($BZ$20,Sheet1!AT2:AW2,3,0),0)</f>
        <v>0</v>
      </c>
      <c r="CA22" s="39">
        <f>+IFERROR(VLOOKUP($CA$20,Sheet1!AX2:BA2,3,0),0)</f>
        <v>0</v>
      </c>
      <c r="CB22" s="41">
        <f>+IFERROR(VLOOKUP($CB$20,Sheet1!BB2:BE2,3,0),0)</f>
        <v>0</v>
      </c>
      <c r="CC22" s="43">
        <f>+IFERROR(VLOOKUP($CC$20,Sheet1!BF2:BI2,3,0),0)</f>
        <v>0</v>
      </c>
      <c r="CD22" s="44">
        <f>+IFERROR(VLOOKUP($CD$20,Sheet1!BJ2:BM2,3,0),0)</f>
        <v>0</v>
      </c>
      <c r="CE22" s="45">
        <f>+IFERROR(VLOOKUP($CE$20,Sheet1!BN2:BQ2,3,0),0)</f>
        <v>0</v>
      </c>
      <c r="CF22" s="34">
        <f>+IFERROR(VLOOKUP($CF$20,Sheet1!BR2:BU2,3,0),0)</f>
        <v>0</v>
      </c>
      <c r="CG22" s="39">
        <f>+IFERROR(VLOOKUP($CG$20,Sheet1!BV2:BY2,3,0),0)</f>
        <v>0</v>
      </c>
      <c r="CH22" s="62" t="s">
        <v>246</v>
      </c>
      <c r="CI22" s="63" t="s">
        <v>247</v>
      </c>
      <c r="CJ22" s="63" t="s">
        <v>248</v>
      </c>
      <c r="CK22" s="63">
        <v>250</v>
      </c>
      <c r="CL22" s="23">
        <f>22000/0.25</f>
        <v>88000</v>
      </c>
      <c r="CM22" s="23">
        <f>SUMPRODUCT($O$21:$CG$21,O22:CG22)+CL22</f>
        <v>2340232</v>
      </c>
      <c r="CN22" s="24">
        <f>Sheet1!CB2</f>
        <v>0</v>
      </c>
      <c r="CO22" s="23">
        <f>CM22*CN22</f>
        <v>0</v>
      </c>
      <c r="CP22" s="85">
        <v>0.2</v>
      </c>
      <c r="CQ22" s="23">
        <f>CM22*CP22</f>
        <v>468046.4</v>
      </c>
      <c r="CR22" s="85">
        <v>0</v>
      </c>
      <c r="CS22" s="23">
        <f>CM22*CR22</f>
        <v>0</v>
      </c>
      <c r="CT22" s="23">
        <f>CM22+CO22+CQ22+CS22</f>
        <v>2808278.4</v>
      </c>
      <c r="CU22" s="85">
        <v>0.02</v>
      </c>
      <c r="CV22" s="6">
        <f>CT22*CU22</f>
        <v>56165.567999999999</v>
      </c>
      <c r="CW22" s="85">
        <v>0.06</v>
      </c>
      <c r="CX22" s="6">
        <f>CT22*CW22</f>
        <v>168496.704</v>
      </c>
      <c r="CY22" s="85">
        <f>Sheet1!CM2</f>
        <v>0</v>
      </c>
      <c r="CZ22" s="6">
        <f>CY22*CT22</f>
        <v>0</v>
      </c>
    </row>
    <row r="23" spans="1:105" ht="30" x14ac:dyDescent="0.25">
      <c r="O23" s="15" t="s">
        <v>258</v>
      </c>
      <c r="P23" s="15" t="s">
        <v>260</v>
      </c>
      <c r="Q23" s="15" t="s">
        <v>262</v>
      </c>
      <c r="R23" s="15" t="s">
        <v>264</v>
      </c>
      <c r="S23" s="15" t="s">
        <v>266</v>
      </c>
      <c r="T23" s="15" t="s">
        <v>268</v>
      </c>
      <c r="U23" s="15" t="s">
        <v>270</v>
      </c>
      <c r="V23" s="15" t="s">
        <v>272</v>
      </c>
    </row>
    <row r="26" spans="1:105" ht="60" x14ac:dyDescent="0.25">
      <c r="E26" s="1" t="s">
        <v>127</v>
      </c>
      <c r="F26" s="1" t="s">
        <v>128</v>
      </c>
      <c r="G26" s="80" t="s">
        <v>129</v>
      </c>
      <c r="H26" s="1" t="s">
        <v>130</v>
      </c>
      <c r="I26" s="1" t="s">
        <v>131</v>
      </c>
      <c r="J26" s="1" t="s">
        <v>132</v>
      </c>
      <c r="K26" s="1" t="s">
        <v>133</v>
      </c>
      <c r="L26" s="1" t="s">
        <v>134</v>
      </c>
      <c r="M26" s="81" t="s">
        <v>135</v>
      </c>
      <c r="N26" s="10"/>
      <c r="O26" s="15" t="s">
        <v>252</v>
      </c>
      <c r="P26" s="15" t="s">
        <v>253</v>
      </c>
      <c r="Q26" s="15" t="s">
        <v>254</v>
      </c>
      <c r="R26" s="15" t="s">
        <v>255</v>
      </c>
    </row>
    <row r="27" spans="1:105" x14ac:dyDescent="0.25">
      <c r="E27" s="82">
        <f>K22</f>
        <v>12.95</v>
      </c>
      <c r="F27" s="83">
        <f>CK22/1000</f>
        <v>0.25</v>
      </c>
      <c r="G27" s="80" t="s">
        <v>256</v>
      </c>
      <c r="H27" s="84">
        <v>65000</v>
      </c>
      <c r="I27" s="83">
        <v>4</v>
      </c>
      <c r="J27" s="80">
        <f>F27*I27</f>
        <v>1</v>
      </c>
      <c r="K27" s="80">
        <f>ROUNDUP((E27/J27),0)</f>
        <v>13</v>
      </c>
      <c r="L27" s="80">
        <f>H27*K27</f>
        <v>845000</v>
      </c>
      <c r="M27" s="86">
        <f>L27/E27</f>
        <v>65250.965250965251</v>
      </c>
      <c r="N27" s="96"/>
      <c r="O27" s="15">
        <f>SUM(O22:BY22)</f>
        <v>11744</v>
      </c>
      <c r="P27" s="15">
        <v>400</v>
      </c>
      <c r="Q27" s="15">
        <f>((O27*F27)+P27)</f>
        <v>3336</v>
      </c>
      <c r="R27" s="15">
        <f>Q27*I27</f>
        <v>13344</v>
      </c>
    </row>
    <row r="28" spans="1:105" x14ac:dyDescent="0.25">
      <c r="M28" s="87"/>
      <c r="N28" s="87"/>
    </row>
    <row r="29" spans="1:105" x14ac:dyDescent="0.25">
      <c r="M29" s="87"/>
      <c r="N29" s="87"/>
    </row>
    <row r="30" spans="1:105" x14ac:dyDescent="0.25">
      <c r="M30" s="87"/>
      <c r="N30" s="87"/>
    </row>
    <row r="31" spans="1:105" x14ac:dyDescent="0.25">
      <c r="M31" s="87"/>
      <c r="N31" s="87"/>
    </row>
    <row r="32" spans="1:105" x14ac:dyDescent="0.25">
      <c r="M32" s="87"/>
      <c r="N32" s="87"/>
    </row>
    <row r="33" spans="13:14" x14ac:dyDescent="0.25">
      <c r="M33" s="87"/>
      <c r="N33" s="87"/>
    </row>
    <row r="34" spans="13:14" x14ac:dyDescent="0.25">
      <c r="M34" s="87"/>
      <c r="N34" s="87"/>
    </row>
    <row r="35" spans="13:14" x14ac:dyDescent="0.25">
      <c r="M35" s="87"/>
      <c r="N35" s="87"/>
    </row>
    <row r="36" spans="13:14" x14ac:dyDescent="0.25">
      <c r="M36" s="87"/>
      <c r="N36" s="87"/>
    </row>
    <row r="37" spans="13:14" x14ac:dyDescent="0.25">
      <c r="M37" s="87"/>
      <c r="N37" s="87"/>
    </row>
    <row r="38" spans="13:14" x14ac:dyDescent="0.25">
      <c r="M38" s="87"/>
      <c r="N38" s="87"/>
    </row>
    <row r="39" spans="13:14" x14ac:dyDescent="0.25">
      <c r="M39" s="87"/>
      <c r="N39" s="87"/>
    </row>
    <row r="40" spans="13:14" x14ac:dyDescent="0.25">
      <c r="M40" s="87"/>
      <c r="N40" s="87"/>
    </row>
    <row r="41" spans="13:14" x14ac:dyDescent="0.25">
      <c r="M41" s="87"/>
      <c r="N41" s="87"/>
    </row>
    <row r="42" spans="13:14" x14ac:dyDescent="0.25">
      <c r="M42" s="87"/>
      <c r="N42" s="87"/>
    </row>
    <row r="43" spans="13:14" x14ac:dyDescent="0.25">
      <c r="M43" s="87"/>
      <c r="N43" s="87"/>
    </row>
    <row r="44" spans="13:14" x14ac:dyDescent="0.25">
      <c r="M44" s="87"/>
      <c r="N44" s="87"/>
    </row>
    <row r="45" spans="13:14" x14ac:dyDescent="0.25">
      <c r="M45" s="87"/>
      <c r="N45" s="87"/>
    </row>
    <row r="46" spans="13:14" x14ac:dyDescent="0.25">
      <c r="M46" s="87"/>
      <c r="N46" s="87"/>
    </row>
    <row r="47" spans="13:14" x14ac:dyDescent="0.25">
      <c r="M47" s="87"/>
      <c r="N47" s="87"/>
    </row>
    <row r="48" spans="13:14" x14ac:dyDescent="0.25">
      <c r="M48" s="87"/>
      <c r="N48" s="87"/>
    </row>
    <row r="49" spans="13:14" x14ac:dyDescent="0.25">
      <c r="M49" s="87"/>
      <c r="N49" s="87"/>
    </row>
    <row r="50" spans="13:14" x14ac:dyDescent="0.25">
      <c r="M50" s="87"/>
      <c r="N50" s="87"/>
    </row>
    <row r="51" spans="13:14" x14ac:dyDescent="0.25">
      <c r="M51" s="87"/>
      <c r="N51" s="87"/>
    </row>
    <row r="52" spans="13:14" x14ac:dyDescent="0.25">
      <c r="M52" s="87"/>
      <c r="N52" s="87"/>
    </row>
    <row r="53" spans="13:14" x14ac:dyDescent="0.25">
      <c r="M53" s="87"/>
      <c r="N53" s="87"/>
    </row>
    <row r="54" spans="13:14" x14ac:dyDescent="0.25">
      <c r="M54" s="87"/>
      <c r="N54" s="87"/>
    </row>
    <row r="55" spans="13:14" x14ac:dyDescent="0.25">
      <c r="M55" s="87"/>
      <c r="N55" s="87"/>
    </row>
    <row r="56" spans="13:14" x14ac:dyDescent="0.25">
      <c r="M56" s="87"/>
      <c r="N56" s="87"/>
    </row>
    <row r="57" spans="13:14" x14ac:dyDescent="0.25">
      <c r="M57" s="87"/>
      <c r="N57" s="87"/>
    </row>
    <row r="58" spans="13:14" x14ac:dyDescent="0.25">
      <c r="M58" s="87"/>
      <c r="N58" s="87"/>
    </row>
    <row r="59" spans="13:14" x14ac:dyDescent="0.25">
      <c r="M59" s="87"/>
      <c r="N59" s="87"/>
    </row>
    <row r="60" spans="13:14" x14ac:dyDescent="0.25">
      <c r="M60" s="87"/>
      <c r="N60" s="87"/>
    </row>
    <row r="61" spans="13:14" x14ac:dyDescent="0.25">
      <c r="M61" s="87"/>
      <c r="N61" s="87"/>
    </row>
    <row r="62" spans="13:14" x14ac:dyDescent="0.25">
      <c r="M62" s="87"/>
      <c r="N62" s="87"/>
    </row>
    <row r="63" spans="13:14" x14ac:dyDescent="0.25">
      <c r="M63" s="87"/>
      <c r="N63" s="87"/>
    </row>
    <row r="64" spans="13:14" x14ac:dyDescent="0.25">
      <c r="M64" s="87"/>
      <c r="N64" s="87"/>
    </row>
    <row r="65" spans="13:14" x14ac:dyDescent="0.25">
      <c r="M65" s="87"/>
      <c r="N65" s="87"/>
    </row>
    <row r="66" spans="13:14" x14ac:dyDescent="0.25">
      <c r="M66" s="87"/>
      <c r="N66" s="87"/>
    </row>
    <row r="67" spans="13:14" x14ac:dyDescent="0.25">
      <c r="M67" s="87"/>
      <c r="N67" s="87"/>
    </row>
    <row r="68" spans="13:14" x14ac:dyDescent="0.25">
      <c r="M68" s="87"/>
      <c r="N68" s="87"/>
    </row>
    <row r="69" spans="13:14" x14ac:dyDescent="0.25">
      <c r="M69" s="87"/>
      <c r="N69" s="87"/>
    </row>
    <row r="70" spans="13:14" x14ac:dyDescent="0.25">
      <c r="M70" s="87"/>
      <c r="N70" s="87"/>
    </row>
    <row r="71" spans="13:14" x14ac:dyDescent="0.25">
      <c r="M71" s="87"/>
      <c r="N71" s="87"/>
    </row>
    <row r="72" spans="13:14" x14ac:dyDescent="0.25">
      <c r="M72" s="87"/>
      <c r="N72" s="87"/>
    </row>
    <row r="73" spans="13:14" x14ac:dyDescent="0.25">
      <c r="M73" s="87"/>
      <c r="N73" s="87"/>
    </row>
    <row r="74" spans="13:14" x14ac:dyDescent="0.25">
      <c r="M74" s="87"/>
      <c r="N74" s="87"/>
    </row>
  </sheetData>
  <mergeCells count="21">
    <mergeCell ref="B14:S14"/>
    <mergeCell ref="A2:S2"/>
    <mergeCell ref="B4:S4"/>
    <mergeCell ref="B5:S5"/>
    <mergeCell ref="B6:S6"/>
    <mergeCell ref="B7:S7"/>
    <mergeCell ref="B8:S8"/>
    <mergeCell ref="B9:S9"/>
    <mergeCell ref="B10:S10"/>
    <mergeCell ref="B11:S11"/>
    <mergeCell ref="B12:S12"/>
    <mergeCell ref="B13:S13"/>
    <mergeCell ref="BB19:BL19"/>
    <mergeCell ref="BM19:BX19"/>
    <mergeCell ref="CH19:CK19"/>
    <mergeCell ref="O19:V19"/>
    <mergeCell ref="W19:X19"/>
    <mergeCell ref="Y19:AF19"/>
    <mergeCell ref="AG19:AH19"/>
    <mergeCell ref="AI19:AQ19"/>
    <mergeCell ref="AS19:BA19"/>
  </mergeCells>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27"/>
  <sheetViews>
    <sheetView workbookViewId="0">
      <selection activeCell="A20" sqref="A20"/>
    </sheetView>
  </sheetViews>
  <sheetFormatPr defaultRowHeight="15" x14ac:dyDescent="0.25"/>
  <cols>
    <col min="1" max="1" width="148.42578125" bestFit="1" customWidth="1"/>
  </cols>
  <sheetData>
    <row r="1" spans="1:1" x14ac:dyDescent="0.25">
      <c r="A1" t="s">
        <v>99</v>
      </c>
    </row>
    <row r="2" spans="1:1" x14ac:dyDescent="0.25">
      <c r="A2" t="s">
        <v>100</v>
      </c>
    </row>
    <row r="4" spans="1:1" x14ac:dyDescent="0.25">
      <c r="A4" t="s">
        <v>101</v>
      </c>
    </row>
    <row r="5" spans="1:1" x14ac:dyDescent="0.25">
      <c r="A5" t="s">
        <v>102</v>
      </c>
    </row>
    <row r="6" spans="1:1" x14ac:dyDescent="0.25">
      <c r="A6" t="s">
        <v>103</v>
      </c>
    </row>
    <row r="8" spans="1:1" x14ac:dyDescent="0.25">
      <c r="A8" t="s">
        <v>109</v>
      </c>
    </row>
    <row r="9" spans="1:1" x14ac:dyDescent="0.25">
      <c r="A9" t="s">
        <v>104</v>
      </c>
    </row>
    <row r="10" spans="1:1" x14ac:dyDescent="0.25">
      <c r="A10" t="s">
        <v>105</v>
      </c>
    </row>
    <row r="11" spans="1:1" x14ac:dyDescent="0.25">
      <c r="A11" t="s">
        <v>106</v>
      </c>
    </row>
    <row r="12" spans="1:1" x14ac:dyDescent="0.25">
      <c r="A12" t="s">
        <v>107</v>
      </c>
    </row>
    <row r="13" spans="1:1" x14ac:dyDescent="0.25">
      <c r="A13" t="s">
        <v>108</v>
      </c>
    </row>
    <row r="14" spans="1:1" x14ac:dyDescent="0.25">
      <c r="A14" t="s">
        <v>110</v>
      </c>
    </row>
    <row r="15" spans="1:1" x14ac:dyDescent="0.25">
      <c r="A15" t="s">
        <v>111</v>
      </c>
    </row>
    <row r="16" spans="1:1" x14ac:dyDescent="0.25">
      <c r="A16" t="s">
        <v>112</v>
      </c>
    </row>
    <row r="17" spans="1:1" x14ac:dyDescent="0.25">
      <c r="A17" t="s">
        <v>113</v>
      </c>
    </row>
    <row r="18" spans="1:1" x14ac:dyDescent="0.25">
      <c r="A18" t="s">
        <v>114</v>
      </c>
    </row>
    <row r="19" spans="1:1" x14ac:dyDescent="0.25">
      <c r="A19" t="s">
        <v>120</v>
      </c>
    </row>
    <row r="20" spans="1:1" ht="15.75" customHeight="1" x14ac:dyDescent="0.25">
      <c r="A20" t="s">
        <v>121</v>
      </c>
    </row>
    <row r="21" spans="1:1" ht="15.75" customHeight="1" x14ac:dyDescent="0.25"/>
    <row r="22" spans="1:1" x14ac:dyDescent="0.25">
      <c r="A22" t="s">
        <v>115</v>
      </c>
    </row>
    <row r="23" spans="1:1" x14ac:dyDescent="0.25">
      <c r="A23" t="s">
        <v>116</v>
      </c>
    </row>
    <row r="25" spans="1:1" x14ac:dyDescent="0.25">
      <c r="A25" t="s">
        <v>117</v>
      </c>
    </row>
    <row r="26" spans="1:1" x14ac:dyDescent="0.25">
      <c r="A26" t="s">
        <v>118</v>
      </c>
    </row>
    <row r="27" spans="1:1" x14ac:dyDescent="0.25">
      <c r="A27" t="s">
        <v>119</v>
      </c>
    </row>
  </sheetData>
  <sheetProtection algorithmName="SHA-512" hashValue="M86k5nS/yjo61AQPwdE/Nty8T/AN9qLfWsqoIU305vkuoDa9u64JZOn6Zr2QXIwaUFv/MUOmJgS88MFIK/HNAg==" saltValue="PATn231GMY/yB1MhumUIaw=="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AUTO CALCULATION SHEET (2)</vt:lpstr>
      <vt:lpstr>NORMAL</vt:lpstr>
      <vt:lpstr>terms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2026-06-10T12:17:38Z</dcterms:modified>
</cp:coreProperties>
</file>