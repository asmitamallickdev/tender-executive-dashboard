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S:\tender marketing\TENDER 2023-2024\2025\March'2026\Participated\NPCL_LT ABC &amp; LT CABLES Lot2_060_18-03-2026.........18774\REVISED PRICE-BASE MAY26\"/>
    </mc:Choice>
  </mc:AlternateContent>
  <xr:revisionPtr revIDLastSave="0" documentId="13_ncr:1_{71F1015D-0E19-4871-962F-4F2E0C9A5558}" xr6:coauthVersionLast="47" xr6:coauthVersionMax="47" xr10:uidLastSave="{00000000-0000-0000-0000-000000000000}"/>
  <bookViews>
    <workbookView xWindow="-765" yWindow="6990" windowWidth="28680" windowHeight="8385" firstSheet="1" activeTab="1" xr2:uid="{00000000-000D-0000-FFFF-FFFF00000000}"/>
  </bookViews>
  <sheets>
    <sheet name="Sheet1" sheetId="1" state="hidden" r:id="rId1"/>
    <sheet name="AUTO CALCULATION SHEET (2)" sheetId="4" r:id="rId2"/>
    <sheet name="PV AUTO CALCULATION-LTABC" sheetId="6" r:id="rId3"/>
    <sheet name="PV AUTO CALCULATION-LTPC" sheetId="7" r:id="rId4"/>
    <sheet name="terms" sheetId="5" state="hidden" r:id="rId5"/>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10" i="7" l="1"/>
  <c r="AH13" i="6"/>
  <c r="AE12" i="6"/>
  <c r="AF13" i="6"/>
  <c r="AE13" i="6"/>
  <c r="AD13" i="6"/>
  <c r="AF11" i="6"/>
  <c r="AE11" i="6"/>
  <c r="AD11" i="6"/>
  <c r="BO20" i="4"/>
  <c r="BD20" i="4"/>
  <c r="O20" i="4"/>
  <c r="AX43" i="4"/>
  <c r="CK25" i="4" l="1"/>
  <c r="AO17" i="7" l="1"/>
  <c r="AO18" i="7"/>
  <c r="AO19" i="7"/>
  <c r="AO16" i="7"/>
  <c r="CK24" i="4" l="1"/>
  <c r="AA13" i="6" l="1"/>
  <c r="Z13" i="6"/>
  <c r="Y13" i="6"/>
  <c r="X13" i="6"/>
  <c r="W13" i="6"/>
  <c r="V13" i="6"/>
  <c r="U13" i="6"/>
  <c r="T13" i="6"/>
  <c r="AB13" i="6" s="1"/>
  <c r="A13" i="6"/>
  <c r="AO13" i="7"/>
  <c r="AO14" i="7"/>
  <c r="AO15" i="7"/>
  <c r="AO12" i="7"/>
  <c r="AM17" i="7"/>
  <c r="AM18" i="7"/>
  <c r="AM19" i="7"/>
  <c r="AM16" i="7"/>
  <c r="AM13" i="7"/>
  <c r="AM14" i="7"/>
  <c r="AM15" i="7"/>
  <c r="AN16" i="7"/>
  <c r="AP16" i="7" s="1"/>
  <c r="AM12" i="7"/>
  <c r="AL17" i="7"/>
  <c r="AL18" i="7"/>
  <c r="AL19" i="7"/>
  <c r="AL16" i="7"/>
  <c r="AL13" i="7"/>
  <c r="AL14" i="7"/>
  <c r="AL15" i="7"/>
  <c r="AL12" i="7"/>
  <c r="AK17" i="7"/>
  <c r="AK18" i="7"/>
  <c r="AK19" i="7"/>
  <c r="AK16" i="7"/>
  <c r="AK13" i="7"/>
  <c r="AK14" i="7"/>
  <c r="AK15" i="7"/>
  <c r="AK12" i="7"/>
  <c r="AJ17" i="7"/>
  <c r="AJ18" i="7"/>
  <c r="AJ19" i="7"/>
  <c r="AJ16" i="7"/>
  <c r="AJ13" i="7"/>
  <c r="AJ14" i="7"/>
  <c r="AJ15" i="7"/>
  <c r="AJ12" i="7"/>
  <c r="AI17" i="7"/>
  <c r="AI18" i="7"/>
  <c r="AI19" i="7"/>
  <c r="AI16" i="7"/>
  <c r="AI13" i="7"/>
  <c r="AI14" i="7"/>
  <c r="AI15" i="7"/>
  <c r="AI12" i="7"/>
  <c r="AH17" i="7"/>
  <c r="AH18" i="7"/>
  <c r="AH19" i="7"/>
  <c r="AH16" i="7"/>
  <c r="AH13" i="7"/>
  <c r="AH14" i="7"/>
  <c r="AH15" i="7"/>
  <c r="AH12" i="7"/>
  <c r="AG17" i="7"/>
  <c r="AG18" i="7"/>
  <c r="AG19" i="7"/>
  <c r="AG16" i="7"/>
  <c r="AG13" i="7"/>
  <c r="AG14" i="7"/>
  <c r="AG15" i="7"/>
  <c r="AG12" i="7"/>
  <c r="AF17" i="7"/>
  <c r="AF18" i="7"/>
  <c r="AF19" i="7"/>
  <c r="AF16" i="7"/>
  <c r="AF13" i="7"/>
  <c r="AF14" i="7"/>
  <c r="AF15" i="7"/>
  <c r="AF12" i="7"/>
  <c r="AM9" i="7"/>
  <c r="AL9" i="7"/>
  <c r="AK9" i="7"/>
  <c r="AJ9" i="7"/>
  <c r="AI9" i="7"/>
  <c r="AH9" i="7"/>
  <c r="AG9" i="7"/>
  <c r="AF9" i="7"/>
  <c r="AC19" i="7"/>
  <c r="AC18" i="7"/>
  <c r="AC17" i="7"/>
  <c r="AC16" i="7"/>
  <c r="AC15" i="7"/>
  <c r="AC14" i="7"/>
  <c r="AC13" i="7"/>
  <c r="AC12" i="7"/>
  <c r="AB19" i="7"/>
  <c r="AB18" i="7"/>
  <c r="AB17" i="7"/>
  <c r="AB16" i="7"/>
  <c r="AB15" i="7"/>
  <c r="AB14" i="7"/>
  <c r="AB13" i="7"/>
  <c r="AB12" i="7"/>
  <c r="AA19" i="7"/>
  <c r="AA18" i="7"/>
  <c r="AA17" i="7"/>
  <c r="AA16" i="7"/>
  <c r="AA15" i="7"/>
  <c r="AA14" i="7"/>
  <c r="AA13" i="7"/>
  <c r="AA12" i="7"/>
  <c r="Z19" i="7"/>
  <c r="Z18" i="7"/>
  <c r="Z17" i="7"/>
  <c r="Z16" i="7"/>
  <c r="Z15" i="7"/>
  <c r="Z14" i="7"/>
  <c r="Z13" i="7"/>
  <c r="Z12" i="7"/>
  <c r="Y19" i="7"/>
  <c r="Y18" i="7"/>
  <c r="Y17" i="7"/>
  <c r="Y16" i="7"/>
  <c r="Y15" i="7"/>
  <c r="Y14" i="7"/>
  <c r="Y13" i="7"/>
  <c r="Y12" i="7"/>
  <c r="X19" i="7"/>
  <c r="AD19" i="7" s="1"/>
  <c r="X18" i="7"/>
  <c r="AD18" i="7" s="1"/>
  <c r="X17" i="7"/>
  <c r="AD17" i="7" s="1"/>
  <c r="X16" i="7"/>
  <c r="AD16" i="7" s="1"/>
  <c r="X15" i="7"/>
  <c r="AD15" i="7" s="1"/>
  <c r="X14" i="7"/>
  <c r="AD14" i="7" s="1"/>
  <c r="X13" i="7"/>
  <c r="AD13" i="7" s="1"/>
  <c r="X12" i="7"/>
  <c r="AD12" i="7" s="1"/>
  <c r="A17" i="7"/>
  <c r="A18" i="7"/>
  <c r="A19" i="7"/>
  <c r="A16" i="7"/>
  <c r="A13" i="7"/>
  <c r="A14" i="7"/>
  <c r="A15" i="7"/>
  <c r="A12" i="7"/>
  <c r="AN19" i="7"/>
  <c r="AP19" i="7" s="1"/>
  <c r="J19" i="7"/>
  <c r="J18" i="7"/>
  <c r="AN17" i="7"/>
  <c r="AP17" i="7" s="1"/>
  <c r="J17" i="7"/>
  <c r="J16" i="7"/>
  <c r="AN15" i="7"/>
  <c r="AP15" i="7" s="1"/>
  <c r="J15" i="7"/>
  <c r="J14" i="7"/>
  <c r="AN13" i="7"/>
  <c r="AP13" i="7" s="1"/>
  <c r="J13" i="7"/>
  <c r="J12" i="7"/>
  <c r="AG13" i="6"/>
  <c r="AI13" i="6" s="1"/>
  <c r="G13" i="6"/>
  <c r="AN12" i="7" l="1"/>
  <c r="AP12" i="7" s="1"/>
  <c r="AN18" i="7"/>
  <c r="AP18" i="7" s="1"/>
  <c r="AN14" i="7"/>
  <c r="AP14" i="7" s="1"/>
  <c r="K55" i="4" l="1"/>
  <c r="K56" i="4"/>
  <c r="K57" i="4"/>
  <c r="K58" i="4"/>
  <c r="K59" i="4"/>
  <c r="K60" i="4"/>
  <c r="K61" i="4"/>
  <c r="K62" i="4"/>
  <c r="K54" i="4"/>
  <c r="H55" i="4"/>
  <c r="H56" i="4"/>
  <c r="H57" i="4"/>
  <c r="H58" i="4"/>
  <c r="H59" i="4"/>
  <c r="H60" i="4"/>
  <c r="H61" i="4"/>
  <c r="H62" i="4"/>
  <c r="H54" i="4"/>
  <c r="F55" i="4"/>
  <c r="F56" i="4"/>
  <c r="F59" i="4"/>
  <c r="F60" i="4"/>
  <c r="F61" i="4"/>
  <c r="F62" i="4"/>
  <c r="F54" i="4"/>
  <c r="D55" i="4"/>
  <c r="D56" i="4"/>
  <c r="D57" i="4"/>
  <c r="D58" i="4"/>
  <c r="D59" i="4"/>
  <c r="D60" i="4"/>
  <c r="D61" i="4"/>
  <c r="D62" i="4"/>
  <c r="D54" i="4"/>
  <c r="C55" i="4"/>
  <c r="C56" i="4"/>
  <c r="C57" i="4"/>
  <c r="C58" i="4"/>
  <c r="C59" i="4"/>
  <c r="C60" i="4"/>
  <c r="C61" i="4"/>
  <c r="C62" i="4"/>
  <c r="C54" i="4"/>
  <c r="B55" i="4"/>
  <c r="B56" i="4"/>
  <c r="B57" i="4"/>
  <c r="B58" i="4"/>
  <c r="B59" i="4"/>
  <c r="B60" i="4"/>
  <c r="B61" i="4"/>
  <c r="B62" i="4"/>
  <c r="B54" i="4"/>
  <c r="A55" i="4"/>
  <c r="A56" i="4"/>
  <c r="A57" i="4"/>
  <c r="A58" i="4"/>
  <c r="A59" i="4"/>
  <c r="A60" i="4"/>
  <c r="A61" i="4"/>
  <c r="A62" i="4"/>
  <c r="A54" i="4"/>
  <c r="AX46" i="4" l="1"/>
  <c r="AX45" i="4"/>
  <c r="AX41" i="4" l="1"/>
  <c r="AX40" i="4"/>
  <c r="AX39" i="4"/>
  <c r="N41" i="4" l="1"/>
  <c r="N42" i="4"/>
  <c r="N43" i="4"/>
  <c r="N44" i="4"/>
  <c r="N45" i="4"/>
  <c r="N46" i="4"/>
  <c r="N47" i="4"/>
  <c r="E43" i="4"/>
  <c r="E44" i="4"/>
  <c r="F44" i="4"/>
  <c r="J44" i="4" s="1"/>
  <c r="D45" i="4"/>
  <c r="E45" i="4"/>
  <c r="CK27" i="4"/>
  <c r="CK29" i="4"/>
  <c r="CK28" i="4"/>
  <c r="CK26" i="4"/>
  <c r="CK23" i="4"/>
  <c r="CK22" i="4"/>
  <c r="CK21" i="4"/>
  <c r="K44" i="4" l="1"/>
  <c r="L44" i="4" s="1"/>
  <c r="M44" i="4" s="1"/>
  <c r="F26" i="4" s="1"/>
  <c r="CJ27" i="4"/>
  <c r="F45" i="4" s="1"/>
  <c r="J45" i="4" s="1"/>
  <c r="K45" i="4" s="1"/>
  <c r="L45" i="4" s="1"/>
  <c r="M45" i="4" s="1"/>
  <c r="F27" i="4" s="1"/>
  <c r="CJ29" i="4"/>
  <c r="F47" i="4" s="1"/>
  <c r="J47" i="4" s="1"/>
  <c r="CJ28" i="4"/>
  <c r="F46" i="4" s="1"/>
  <c r="J46" i="4" s="1"/>
  <c r="CH21" i="4"/>
  <c r="N39" i="4" s="1"/>
  <c r="CI21" i="4"/>
  <c r="CJ21" i="4"/>
  <c r="CH22" i="4"/>
  <c r="N40" i="4" s="1"/>
  <c r="CI22" i="4"/>
  <c r="CJ22" i="4"/>
  <c r="F40" i="4" s="1"/>
  <c r="J40" i="4" s="1"/>
  <c r="CJ24" i="4"/>
  <c r="F42" i="4" s="1"/>
  <c r="J42" i="4" s="1"/>
  <c r="CJ23" i="4"/>
  <c r="F41" i="4" s="1"/>
  <c r="J41" i="4" s="1"/>
  <c r="F43" i="4"/>
  <c r="J43" i="4" s="1"/>
  <c r="K43" i="4" s="1"/>
  <c r="L43" i="4" s="1"/>
  <c r="M43" i="4" s="1"/>
  <c r="F25" i="4" s="1"/>
  <c r="F58" i="4" s="1"/>
  <c r="F39" i="4"/>
  <c r="J39" i="4" s="1"/>
  <c r="CX25" i="4" l="1"/>
  <c r="CV25" i="4"/>
  <c r="CM25" i="4"/>
  <c r="CF25" i="4"/>
  <c r="CE25" i="4"/>
  <c r="CD25" i="4"/>
  <c r="CC25" i="4"/>
  <c r="CB25" i="4"/>
  <c r="CA25" i="4"/>
  <c r="BZ25" i="4"/>
  <c r="BY25" i="4"/>
  <c r="BX25" i="4"/>
  <c r="BW25" i="4"/>
  <c r="BV25" i="4"/>
  <c r="BU25" i="4"/>
  <c r="BT25" i="4"/>
  <c r="BR25" i="4"/>
  <c r="BQ25" i="4"/>
  <c r="BP25" i="4"/>
  <c r="BO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K25" i="4"/>
  <c r="AJ25" i="4"/>
  <c r="AH25" i="4"/>
  <c r="AG25" i="4"/>
  <c r="AF25" i="4"/>
  <c r="AE25" i="4"/>
  <c r="AD25" i="4"/>
  <c r="AC25" i="4"/>
  <c r="AB25" i="4"/>
  <c r="AA25" i="4"/>
  <c r="Z25" i="4"/>
  <c r="Y25" i="4"/>
  <c r="X25" i="4"/>
  <c r="W25" i="4"/>
  <c r="V25" i="4"/>
  <c r="U25" i="4"/>
  <c r="T25" i="4"/>
  <c r="S25" i="4"/>
  <c r="R25" i="4"/>
  <c r="Q25" i="4"/>
  <c r="P25" i="4"/>
  <c r="D43" i="4"/>
  <c r="C25" i="4"/>
  <c r="CX23" i="4"/>
  <c r="CV23" i="4"/>
  <c r="CM23" i="4"/>
  <c r="CF23" i="4"/>
  <c r="CD23" i="4"/>
  <c r="CC23" i="4"/>
  <c r="CB23" i="4"/>
  <c r="CA23" i="4"/>
  <c r="BZ23" i="4"/>
  <c r="BY23" i="4"/>
  <c r="BX23" i="4"/>
  <c r="BW23" i="4"/>
  <c r="BV23" i="4"/>
  <c r="BU23" i="4"/>
  <c r="BR23" i="4"/>
  <c r="BQ23" i="4"/>
  <c r="BP23" i="4"/>
  <c r="BN23" i="4"/>
  <c r="BM23" i="4"/>
  <c r="BL23" i="4"/>
  <c r="BK23" i="4"/>
  <c r="BJ23" i="4"/>
  <c r="BI23" i="4"/>
  <c r="BH23" i="4"/>
  <c r="BF23" i="4"/>
  <c r="BE23" i="4"/>
  <c r="BD23" i="4"/>
  <c r="BC23" i="4"/>
  <c r="BB23" i="4"/>
  <c r="BA23" i="4"/>
  <c r="AZ23" i="4"/>
  <c r="AY23" i="4"/>
  <c r="AW23" i="4"/>
  <c r="AV23" i="4"/>
  <c r="AU23" i="4"/>
  <c r="AT23" i="4"/>
  <c r="AS23" i="4"/>
  <c r="AR23" i="4"/>
  <c r="AQ23" i="4"/>
  <c r="AP23" i="4"/>
  <c r="AO23" i="4"/>
  <c r="AN23" i="4"/>
  <c r="AM23" i="4"/>
  <c r="AL23" i="4"/>
  <c r="AK23" i="4"/>
  <c r="AJ23" i="4"/>
  <c r="AH23" i="4"/>
  <c r="AG23" i="4"/>
  <c r="AF23" i="4"/>
  <c r="AE23" i="4"/>
  <c r="AD23" i="4"/>
  <c r="AC23" i="4"/>
  <c r="AB23" i="4"/>
  <c r="AA23" i="4"/>
  <c r="Z23" i="4"/>
  <c r="Y23" i="4"/>
  <c r="X23" i="4"/>
  <c r="W23" i="4"/>
  <c r="V23" i="4"/>
  <c r="U23" i="4"/>
  <c r="T23" i="4"/>
  <c r="S23" i="4"/>
  <c r="R23" i="4"/>
  <c r="Q23" i="4"/>
  <c r="P23" i="4"/>
  <c r="O23" i="4"/>
  <c r="L23" i="4"/>
  <c r="K23" i="4"/>
  <c r="E41" i="4" s="1"/>
  <c r="K41" i="4" s="1"/>
  <c r="L41" i="4" s="1"/>
  <c r="M41" i="4" s="1"/>
  <c r="F23" i="4" s="1"/>
  <c r="H23" i="4"/>
  <c r="D23" i="4"/>
  <c r="D41" i="4" s="1"/>
  <c r="C23" i="4"/>
  <c r="A23" i="4"/>
  <c r="CX24" i="4"/>
  <c r="CV24" i="4"/>
  <c r="CM24" i="4"/>
  <c r="CG24" i="4"/>
  <c r="CF24" i="4"/>
  <c r="CD24" i="4"/>
  <c r="CC24" i="4"/>
  <c r="CB24" i="4"/>
  <c r="CA24" i="4"/>
  <c r="BZ24" i="4"/>
  <c r="BY24" i="4"/>
  <c r="BX24" i="4"/>
  <c r="BW24" i="4"/>
  <c r="BV24" i="4"/>
  <c r="BU24" i="4"/>
  <c r="BR24" i="4"/>
  <c r="BQ24" i="4"/>
  <c r="BP24" i="4"/>
  <c r="BN24" i="4"/>
  <c r="BM24" i="4"/>
  <c r="BL24" i="4"/>
  <c r="BK24" i="4"/>
  <c r="BJ24" i="4"/>
  <c r="BI24" i="4"/>
  <c r="BH24" i="4"/>
  <c r="BF24" i="4"/>
  <c r="BE24" i="4"/>
  <c r="BD24" i="4"/>
  <c r="BC24" i="4"/>
  <c r="BB24" i="4"/>
  <c r="BA24" i="4"/>
  <c r="AZ24" i="4"/>
  <c r="AY24" i="4"/>
  <c r="AW24" i="4"/>
  <c r="AV24" i="4"/>
  <c r="AU24" i="4"/>
  <c r="AT24" i="4"/>
  <c r="AS24" i="4"/>
  <c r="AR24" i="4"/>
  <c r="AQ24" i="4"/>
  <c r="AP24" i="4"/>
  <c r="AO24" i="4"/>
  <c r="AN24" i="4"/>
  <c r="AM24" i="4"/>
  <c r="AL24" i="4"/>
  <c r="AK24" i="4"/>
  <c r="AJ24" i="4"/>
  <c r="AH24" i="4"/>
  <c r="AG24" i="4"/>
  <c r="AF24" i="4"/>
  <c r="AE24" i="4"/>
  <c r="AD24" i="4"/>
  <c r="AC24" i="4"/>
  <c r="AB24" i="4"/>
  <c r="AA24" i="4"/>
  <c r="Z24" i="4"/>
  <c r="Y24" i="4"/>
  <c r="X24" i="4"/>
  <c r="W24" i="4"/>
  <c r="V24" i="4"/>
  <c r="U24" i="4"/>
  <c r="T24" i="4"/>
  <c r="S24" i="4"/>
  <c r="R24" i="4"/>
  <c r="Q24" i="4"/>
  <c r="P24" i="4"/>
  <c r="O24" i="4"/>
  <c r="N24" i="4"/>
  <c r="L24" i="4"/>
  <c r="K24" i="4"/>
  <c r="E42" i="4" s="1"/>
  <c r="K42" i="4" s="1"/>
  <c r="L42" i="4" s="1"/>
  <c r="M42" i="4" s="1"/>
  <c r="F24" i="4" s="1"/>
  <c r="F57" i="4" s="1"/>
  <c r="H24" i="4"/>
  <c r="D24" i="4"/>
  <c r="D42" i="4" s="1"/>
  <c r="C24" i="4"/>
  <c r="A24" i="4"/>
  <c r="CX22" i="4"/>
  <c r="CV22" i="4"/>
  <c r="CM22" i="4"/>
  <c r="CG22" i="4"/>
  <c r="CF22" i="4"/>
  <c r="CD22" i="4"/>
  <c r="CC22" i="4"/>
  <c r="CB22" i="4"/>
  <c r="CA22" i="4"/>
  <c r="BZ22" i="4"/>
  <c r="BY22" i="4"/>
  <c r="BX22" i="4"/>
  <c r="BW22" i="4"/>
  <c r="BV22" i="4"/>
  <c r="BU22" i="4"/>
  <c r="BR22" i="4"/>
  <c r="BQ22" i="4"/>
  <c r="BP22" i="4"/>
  <c r="BN22" i="4"/>
  <c r="BM22" i="4"/>
  <c r="BL22" i="4"/>
  <c r="BK22" i="4"/>
  <c r="BJ22" i="4"/>
  <c r="BI22" i="4"/>
  <c r="BH22" i="4"/>
  <c r="BF22" i="4"/>
  <c r="BE22" i="4"/>
  <c r="BD22" i="4"/>
  <c r="BC22" i="4"/>
  <c r="BB22" i="4"/>
  <c r="BA22" i="4"/>
  <c r="AZ22" i="4"/>
  <c r="AY22" i="4"/>
  <c r="AW22" i="4"/>
  <c r="AV22" i="4"/>
  <c r="AU22" i="4"/>
  <c r="AT22" i="4"/>
  <c r="AS22" i="4"/>
  <c r="AR22" i="4"/>
  <c r="AQ22" i="4"/>
  <c r="AP22" i="4"/>
  <c r="AO22" i="4"/>
  <c r="AN22" i="4"/>
  <c r="AM22" i="4"/>
  <c r="AL22" i="4"/>
  <c r="AK22" i="4"/>
  <c r="AJ22" i="4"/>
  <c r="AH22" i="4"/>
  <c r="AG22" i="4"/>
  <c r="AF22" i="4"/>
  <c r="AE22" i="4"/>
  <c r="AD22" i="4"/>
  <c r="AC22" i="4"/>
  <c r="AB22" i="4"/>
  <c r="AA22" i="4"/>
  <c r="Z22" i="4"/>
  <c r="Y22" i="4"/>
  <c r="X22" i="4"/>
  <c r="W22" i="4"/>
  <c r="V22" i="4"/>
  <c r="U22" i="4"/>
  <c r="T22" i="4"/>
  <c r="S22" i="4"/>
  <c r="R22" i="4"/>
  <c r="Q22" i="4"/>
  <c r="P22" i="4"/>
  <c r="O22" i="4"/>
  <c r="N22" i="4"/>
  <c r="L22" i="4"/>
  <c r="K22" i="4"/>
  <c r="E40" i="4" s="1"/>
  <c r="K40" i="4" s="1"/>
  <c r="L40" i="4" s="1"/>
  <c r="M40" i="4" s="1"/>
  <c r="F22" i="4" s="1"/>
  <c r="H22" i="4"/>
  <c r="D22" i="4"/>
  <c r="D40" i="4" s="1"/>
  <c r="C22" i="4"/>
  <c r="A22" i="4"/>
  <c r="CX21" i="4"/>
  <c r="CV21" i="4"/>
  <c r="CM21" i="4"/>
  <c r="CG21" i="4"/>
  <c r="CF21" i="4"/>
  <c r="CD21" i="4"/>
  <c r="CC21" i="4"/>
  <c r="CB21" i="4"/>
  <c r="CA21" i="4"/>
  <c r="BZ21" i="4"/>
  <c r="BY21" i="4"/>
  <c r="BX21" i="4"/>
  <c r="BW21" i="4"/>
  <c r="BV21" i="4"/>
  <c r="BU21" i="4"/>
  <c r="BR21" i="4"/>
  <c r="BQ21" i="4"/>
  <c r="BP21" i="4"/>
  <c r="BN21" i="4"/>
  <c r="BM21" i="4"/>
  <c r="BL21" i="4"/>
  <c r="BK21" i="4"/>
  <c r="BJ21" i="4"/>
  <c r="BI21" i="4"/>
  <c r="BH21" i="4"/>
  <c r="BF21" i="4"/>
  <c r="BE21" i="4"/>
  <c r="BD21" i="4"/>
  <c r="BC21" i="4"/>
  <c r="BB21" i="4"/>
  <c r="BA21" i="4"/>
  <c r="AZ21" i="4"/>
  <c r="AY21" i="4"/>
  <c r="AW21" i="4"/>
  <c r="AV21" i="4"/>
  <c r="AU21" i="4"/>
  <c r="AT21" i="4"/>
  <c r="AS21" i="4"/>
  <c r="AR21" i="4"/>
  <c r="AQ21" i="4"/>
  <c r="AP21" i="4"/>
  <c r="AO21" i="4"/>
  <c r="AN21" i="4"/>
  <c r="AM21" i="4"/>
  <c r="AL21" i="4"/>
  <c r="AK21" i="4"/>
  <c r="AJ21" i="4"/>
  <c r="AH21" i="4"/>
  <c r="AG21" i="4"/>
  <c r="AF21" i="4"/>
  <c r="AE21" i="4"/>
  <c r="AD21" i="4"/>
  <c r="AC21" i="4"/>
  <c r="AB21" i="4"/>
  <c r="AA21" i="4"/>
  <c r="Z21" i="4"/>
  <c r="Y21" i="4"/>
  <c r="X21" i="4"/>
  <c r="W21" i="4"/>
  <c r="V21" i="4"/>
  <c r="U21" i="4"/>
  <c r="T21" i="4"/>
  <c r="S21" i="4"/>
  <c r="R21" i="4"/>
  <c r="Q21" i="4"/>
  <c r="P21" i="4"/>
  <c r="O21" i="4"/>
  <c r="N21" i="4"/>
  <c r="L21" i="4"/>
  <c r="K21" i="4"/>
  <c r="E39" i="4" s="1"/>
  <c r="K39" i="4" s="1"/>
  <c r="L39" i="4" s="1"/>
  <c r="M39" i="4" s="1"/>
  <c r="F21" i="4" s="1"/>
  <c r="H21" i="4"/>
  <c r="D21" i="4"/>
  <c r="D39" i="4" s="1"/>
  <c r="C21" i="4"/>
  <c r="A21" i="4"/>
  <c r="CX28" i="4"/>
  <c r="CV28" i="4"/>
  <c r="CM28" i="4"/>
  <c r="CG28" i="4"/>
  <c r="CF28" i="4"/>
  <c r="CD28" i="4"/>
  <c r="CC28" i="4"/>
  <c r="CB28" i="4"/>
  <c r="CA28" i="4"/>
  <c r="BZ28" i="4"/>
  <c r="BY28" i="4"/>
  <c r="BX28" i="4"/>
  <c r="BW28" i="4"/>
  <c r="BV28" i="4"/>
  <c r="BU28" i="4"/>
  <c r="BR28" i="4"/>
  <c r="BQ28" i="4"/>
  <c r="BP28" i="4"/>
  <c r="BO28" i="4"/>
  <c r="BN28" i="4"/>
  <c r="BM28" i="4"/>
  <c r="BL28" i="4"/>
  <c r="BK28" i="4"/>
  <c r="BJ28" i="4"/>
  <c r="BI28" i="4"/>
  <c r="BH28" i="4"/>
  <c r="BG28" i="4"/>
  <c r="BF28" i="4"/>
  <c r="BE28" i="4"/>
  <c r="BC28" i="4"/>
  <c r="BB28" i="4"/>
  <c r="BA28" i="4"/>
  <c r="AZ28" i="4"/>
  <c r="AY28" i="4"/>
  <c r="AX28" i="4"/>
  <c r="AW28" i="4"/>
  <c r="AV28" i="4"/>
  <c r="AU28" i="4"/>
  <c r="AT28" i="4"/>
  <c r="AS28" i="4"/>
  <c r="AR28" i="4"/>
  <c r="AQ28" i="4"/>
  <c r="AP28" i="4"/>
  <c r="AO28" i="4"/>
  <c r="AN28" i="4"/>
  <c r="AM28" i="4"/>
  <c r="AL28" i="4"/>
  <c r="AK28" i="4"/>
  <c r="AJ28" i="4"/>
  <c r="AH28" i="4"/>
  <c r="AG28" i="4"/>
  <c r="AF28" i="4"/>
  <c r="AE28" i="4"/>
  <c r="AD28" i="4"/>
  <c r="AC28" i="4"/>
  <c r="AB28" i="4"/>
  <c r="AA28" i="4"/>
  <c r="Z28" i="4"/>
  <c r="Y28" i="4"/>
  <c r="X28" i="4"/>
  <c r="W28" i="4"/>
  <c r="V28" i="4"/>
  <c r="U28" i="4"/>
  <c r="T28" i="4"/>
  <c r="S28" i="4"/>
  <c r="R28" i="4"/>
  <c r="Q28" i="4"/>
  <c r="P28" i="4"/>
  <c r="O28" i="4"/>
  <c r="N28" i="4"/>
  <c r="L28" i="4"/>
  <c r="K28" i="4"/>
  <c r="E46" i="4" s="1"/>
  <c r="K46" i="4" s="1"/>
  <c r="L46" i="4" s="1"/>
  <c r="M46" i="4" s="1"/>
  <c r="F28" i="4" s="1"/>
  <c r="H28" i="4"/>
  <c r="D28" i="4"/>
  <c r="D46" i="4" s="1"/>
  <c r="C28" i="4"/>
  <c r="A28" i="4"/>
  <c r="CX29" i="4"/>
  <c r="CV29" i="4"/>
  <c r="CM29" i="4"/>
  <c r="CG29" i="4"/>
  <c r="CF29" i="4"/>
  <c r="CD29" i="4"/>
  <c r="CC29" i="4"/>
  <c r="CB29" i="4"/>
  <c r="CA29" i="4"/>
  <c r="BZ29" i="4"/>
  <c r="BY29" i="4"/>
  <c r="BX29" i="4"/>
  <c r="BW29" i="4"/>
  <c r="BV29" i="4"/>
  <c r="BU29" i="4"/>
  <c r="BR29" i="4"/>
  <c r="BQ29" i="4"/>
  <c r="BP29" i="4"/>
  <c r="BO29" i="4"/>
  <c r="BN29" i="4"/>
  <c r="BM29" i="4"/>
  <c r="BL29" i="4"/>
  <c r="BK29" i="4"/>
  <c r="BJ29" i="4"/>
  <c r="BI29" i="4"/>
  <c r="BH29" i="4"/>
  <c r="BG29" i="4"/>
  <c r="BF29" i="4"/>
  <c r="BE29" i="4"/>
  <c r="BC29" i="4"/>
  <c r="BB29" i="4"/>
  <c r="BA29" i="4"/>
  <c r="AZ29" i="4"/>
  <c r="AY29" i="4"/>
  <c r="AX29"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L29" i="4"/>
  <c r="K29" i="4"/>
  <c r="E47" i="4" s="1"/>
  <c r="K47" i="4" s="1"/>
  <c r="L47" i="4" s="1"/>
  <c r="M47" i="4" s="1"/>
  <c r="F29" i="4" s="1"/>
  <c r="H29" i="4"/>
  <c r="D29" i="4"/>
  <c r="D47" i="4" s="1"/>
  <c r="C29" i="4"/>
  <c r="A29" i="4"/>
  <c r="CX27" i="4"/>
  <c r="CV27" i="4"/>
  <c r="CM27" i="4"/>
  <c r="CF27" i="4"/>
  <c r="CE27" i="4"/>
  <c r="CD27" i="4"/>
  <c r="CC27" i="4"/>
  <c r="CB27" i="4"/>
  <c r="CA27" i="4"/>
  <c r="BZ27" i="4"/>
  <c r="BY27" i="4"/>
  <c r="BX27" i="4"/>
  <c r="BW27" i="4"/>
  <c r="BV27" i="4"/>
  <c r="BU27" i="4"/>
  <c r="BR27" i="4"/>
  <c r="BQ27" i="4"/>
  <c r="BP27" i="4"/>
  <c r="BO27" i="4"/>
  <c r="BN27" i="4"/>
  <c r="BM27" i="4"/>
  <c r="BL27" i="4"/>
  <c r="BK27" i="4"/>
  <c r="BJ27" i="4"/>
  <c r="BI27" i="4"/>
  <c r="BH27" i="4"/>
  <c r="BG27" i="4"/>
  <c r="BF27" i="4"/>
  <c r="BE27" i="4"/>
  <c r="BC27" i="4"/>
  <c r="BB27" i="4"/>
  <c r="BA27" i="4"/>
  <c r="AZ27" i="4"/>
  <c r="AY27" i="4"/>
  <c r="AX27" i="4"/>
  <c r="AW27" i="4"/>
  <c r="AV27" i="4"/>
  <c r="AU27" i="4"/>
  <c r="AT27" i="4"/>
  <c r="AS27" i="4"/>
  <c r="AR27" i="4"/>
  <c r="AQ27" i="4"/>
  <c r="AP27" i="4"/>
  <c r="AO27" i="4"/>
  <c r="AN27" i="4"/>
  <c r="AM27" i="4"/>
  <c r="AL27" i="4"/>
  <c r="AK27" i="4"/>
  <c r="AJ27" i="4"/>
  <c r="AH27" i="4"/>
  <c r="AG27" i="4"/>
  <c r="AF27" i="4"/>
  <c r="AE27" i="4"/>
  <c r="AD27" i="4"/>
  <c r="AC27" i="4"/>
  <c r="AB27" i="4"/>
  <c r="AA27" i="4"/>
  <c r="Z27" i="4"/>
  <c r="Y27" i="4"/>
  <c r="X27" i="4"/>
  <c r="W27" i="4"/>
  <c r="V27" i="4"/>
  <c r="U27" i="4"/>
  <c r="T27" i="4"/>
  <c r="S27" i="4"/>
  <c r="R27" i="4"/>
  <c r="Q27" i="4"/>
  <c r="P27" i="4"/>
  <c r="O27" i="4"/>
  <c r="N27" i="4"/>
  <c r="L27" i="4"/>
  <c r="H27" i="4"/>
  <c r="A27" i="4"/>
  <c r="S26" i="4"/>
  <c r="S20" i="4"/>
  <c r="R26" i="4"/>
  <c r="R20" i="4"/>
  <c r="AT26" i="4"/>
  <c r="AT20" i="4"/>
  <c r="Q26" i="4"/>
  <c r="Q20" i="4"/>
  <c r="BU26" i="4"/>
  <c r="BU20" i="4"/>
  <c r="AY26" i="4"/>
  <c r="AY20" i="4"/>
  <c r="L26" i="4"/>
  <c r="H26" i="4"/>
  <c r="CX26" i="4"/>
  <c r="AI45" i="4" l="1"/>
  <c r="BD45" i="4" s="1"/>
  <c r="BG45" i="4" s="1"/>
  <c r="AI39" i="4"/>
  <c r="BD39" i="4" s="1"/>
  <c r="BG39" i="4" s="1"/>
  <c r="AI42" i="4"/>
  <c r="BD42" i="4" s="1"/>
  <c r="BG42" i="4" s="1"/>
  <c r="AI41" i="4"/>
  <c r="BD41" i="4" s="1"/>
  <c r="BG41" i="4" s="1"/>
  <c r="AI47" i="4"/>
  <c r="BD47" i="4" s="1"/>
  <c r="BG47" i="4" s="1"/>
  <c r="AI46" i="4"/>
  <c r="BD46" i="4" s="1"/>
  <c r="BG46" i="4" s="1"/>
  <c r="AI40" i="4"/>
  <c r="BD40" i="4" s="1"/>
  <c r="BG40" i="4" s="1"/>
  <c r="AI43" i="4"/>
  <c r="BD43" i="4" s="1"/>
  <c r="BG43" i="4" s="1"/>
  <c r="BP26" i="4"/>
  <c r="BP20" i="4"/>
  <c r="BE26" i="4" l="1"/>
  <c r="BE20" i="4"/>
  <c r="AN26" i="4" l="1"/>
  <c r="AN20" i="4"/>
  <c r="AM26" i="4"/>
  <c r="AM20" i="4"/>
  <c r="AO26" i="4"/>
  <c r="AO20" i="4"/>
  <c r="CG26" i="4" l="1"/>
  <c r="AG26" i="4" l="1"/>
  <c r="CM26" i="4" l="1"/>
  <c r="A26" i="4" l="1"/>
  <c r="W20" i="4" l="1"/>
  <c r="V20" i="4"/>
  <c r="AE26" i="4" l="1"/>
  <c r="AD26" i="4"/>
  <c r="AC26" i="4"/>
  <c r="AB26" i="4"/>
  <c r="AA26" i="4"/>
  <c r="Z26" i="4"/>
  <c r="Y26" i="4"/>
  <c r="X26" i="4"/>
  <c r="W26" i="4"/>
  <c r="V26" i="4"/>
  <c r="CF26" i="4"/>
  <c r="CD26" i="4"/>
  <c r="CC26" i="4"/>
  <c r="CB26" i="4"/>
  <c r="CA26" i="4"/>
  <c r="BZ26" i="4"/>
  <c r="BY26" i="4"/>
  <c r="CD20" i="4"/>
  <c r="CF20" i="4"/>
  <c r="CC20" i="4"/>
  <c r="CB20" i="4"/>
  <c r="CA20" i="4"/>
  <c r="BY20" i="4"/>
  <c r="BZ20" i="4"/>
  <c r="BX20" i="4"/>
  <c r="BX26" i="4"/>
  <c r="BW26" i="4"/>
  <c r="BV26" i="4"/>
  <c r="BR26" i="4"/>
  <c r="BQ26" i="4"/>
  <c r="BO26" i="4"/>
  <c r="BN26" i="4"/>
  <c r="BM26" i="4"/>
  <c r="BL26" i="4"/>
  <c r="BW20" i="4"/>
  <c r="BV20" i="4"/>
  <c r="BR20" i="4"/>
  <c r="BQ20" i="4"/>
  <c r="BN20" i="4"/>
  <c r="BM20" i="4"/>
  <c r="BL20" i="4"/>
  <c r="BK26" i="4"/>
  <c r="BJ26" i="4"/>
  <c r="BI26" i="4"/>
  <c r="BH26" i="4"/>
  <c r="BG26" i="4"/>
  <c r="BF26" i="4"/>
  <c r="BC26" i="4"/>
  <c r="BB26" i="4"/>
  <c r="BA26" i="4"/>
  <c r="BK20" i="4"/>
  <c r="BJ20" i="4"/>
  <c r="BI20" i="4"/>
  <c r="BH20" i="4"/>
  <c r="BF20" i="4"/>
  <c r="BC20" i="4"/>
  <c r="BB20" i="4"/>
  <c r="BA20" i="4"/>
  <c r="AZ20" i="4"/>
  <c r="AZ26" i="4"/>
  <c r="AX26" i="4"/>
  <c r="AW26" i="4"/>
  <c r="AV26" i="4"/>
  <c r="AU26" i="4"/>
  <c r="AS26" i="4"/>
  <c r="AR26" i="4"/>
  <c r="AW20" i="4"/>
  <c r="AV20" i="4"/>
  <c r="AU20" i="4"/>
  <c r="AS20" i="4"/>
  <c r="AR20" i="4"/>
  <c r="AQ20" i="4"/>
  <c r="CV26" i="4"/>
  <c r="AQ26" i="4"/>
  <c r="AP26" i="4"/>
  <c r="AL26" i="4"/>
  <c r="AK26" i="4"/>
  <c r="AJ26" i="4"/>
  <c r="AI26" i="4"/>
  <c r="AH26" i="4"/>
  <c r="AP20" i="4"/>
  <c r="AL20" i="4"/>
  <c r="AK20" i="4"/>
  <c r="AH20" i="4"/>
  <c r="AJ20" i="4"/>
  <c r="AG20" i="4"/>
  <c r="AF26" i="4"/>
  <c r="AF20" i="4"/>
  <c r="AE20" i="4" l="1"/>
  <c r="AD20" i="4"/>
  <c r="AC20" i="4"/>
  <c r="AB20" i="4"/>
  <c r="AA20" i="4"/>
  <c r="Z20" i="4"/>
  <c r="Y20" i="4"/>
  <c r="X20" i="4"/>
  <c r="U20" i="4" l="1"/>
  <c r="T20" i="4"/>
  <c r="P20" i="4"/>
  <c r="N26" i="4"/>
  <c r="U26" i="4"/>
  <c r="T26" i="4"/>
  <c r="P26" i="4"/>
  <c r="O26" i="4"/>
  <c r="D26" i="4"/>
  <c r="D44" i="4" s="1"/>
  <c r="C26" i="4"/>
  <c r="AI44" i="4" l="1"/>
  <c r="BD44" i="4" s="1"/>
  <c r="BG44" i="4" s="1"/>
  <c r="CL28" i="4"/>
  <c r="CL25" i="4"/>
  <c r="CL22" i="4"/>
  <c r="CL21" i="4"/>
  <c r="CL24" i="4"/>
  <c r="CL23" i="4"/>
  <c r="CL27" i="4"/>
  <c r="CL29" i="4"/>
  <c r="CL26" i="4"/>
  <c r="CN22" i="4" l="1"/>
  <c r="CP22" i="4"/>
  <c r="CR22" i="4"/>
  <c r="CN23" i="4"/>
  <c r="CP23" i="4"/>
  <c r="CR23" i="4"/>
  <c r="CP24" i="4"/>
  <c r="CN24" i="4"/>
  <c r="CR24" i="4"/>
  <c r="CN28" i="4"/>
  <c r="CR28" i="4"/>
  <c r="CP28" i="4"/>
  <c r="CN25" i="4"/>
  <c r="CR25" i="4"/>
  <c r="CP25" i="4"/>
  <c r="CN21" i="4"/>
  <c r="CP21" i="4"/>
  <c r="CR21" i="4"/>
  <c r="CN29" i="4"/>
  <c r="CR29" i="4"/>
  <c r="CP29" i="4"/>
  <c r="CP27" i="4"/>
  <c r="CN27" i="4"/>
  <c r="CR27" i="4"/>
  <c r="CN26" i="4"/>
  <c r="CP26" i="4"/>
  <c r="CR26" i="4"/>
  <c r="CS28" i="4" l="1"/>
  <c r="CY28" i="4" s="1"/>
  <c r="CS24" i="4"/>
  <c r="CW24" i="4" s="1"/>
  <c r="CS23" i="4"/>
  <c r="CY23" i="4" s="1"/>
  <c r="CS22" i="4"/>
  <c r="CY22" i="4" s="1"/>
  <c r="CS21" i="4"/>
  <c r="CY21" i="4" s="1"/>
  <c r="CS25" i="4"/>
  <c r="CY25" i="4" s="1"/>
  <c r="CW21" i="4"/>
  <c r="CU25" i="4"/>
  <c r="CW28" i="4"/>
  <c r="CW23" i="4"/>
  <c r="CS29" i="4"/>
  <c r="CY29" i="4" s="1"/>
  <c r="CS27" i="4"/>
  <c r="CY27" i="4" s="1"/>
  <c r="CS26" i="4"/>
  <c r="CU28" i="4" l="1"/>
  <c r="CW22" i="4"/>
  <c r="CY24" i="4"/>
  <c r="CU24" i="4"/>
  <c r="CU23" i="4"/>
  <c r="CU21" i="4"/>
  <c r="E21" i="4" s="1"/>
  <c r="E23" i="4"/>
  <c r="E56" i="4" s="1"/>
  <c r="CU22" i="4"/>
  <c r="E22" i="4" s="1"/>
  <c r="CW25" i="4"/>
  <c r="E25" i="4" s="1"/>
  <c r="E58" i="4" s="1"/>
  <c r="E28" i="4"/>
  <c r="E61" i="4" s="1"/>
  <c r="CW29" i="4"/>
  <c r="CW27" i="4"/>
  <c r="CU29" i="4"/>
  <c r="CU27" i="4"/>
  <c r="CY26" i="4"/>
  <c r="CU26" i="4"/>
  <c r="CW26" i="4"/>
  <c r="W18" i="7" l="1"/>
  <c r="AE18" i="7" s="1"/>
  <c r="AQ18" i="7" s="1"/>
  <c r="AR18" i="7" s="1"/>
  <c r="AV18" i="7" s="1"/>
  <c r="G61" i="4"/>
  <c r="G22" i="4"/>
  <c r="I22" i="4" s="1"/>
  <c r="J22" i="4" s="1"/>
  <c r="M22" i="4" s="1"/>
  <c r="E55" i="4"/>
  <c r="G21" i="4"/>
  <c r="E54" i="4"/>
  <c r="S13" i="6"/>
  <c r="AC13" i="6" s="1"/>
  <c r="AJ13" i="6" s="1"/>
  <c r="AK13" i="6" s="1"/>
  <c r="AO13" i="6" s="1"/>
  <c r="G58" i="4"/>
  <c r="G23" i="4"/>
  <c r="I23" i="4" s="1"/>
  <c r="J23" i="4" s="1"/>
  <c r="M23" i="4" s="1"/>
  <c r="W14" i="7"/>
  <c r="AE14" i="7" s="1"/>
  <c r="AQ14" i="7" s="1"/>
  <c r="AR14" i="7" s="1"/>
  <c r="AV14" i="7" s="1"/>
  <c r="G56" i="4"/>
  <c r="E24" i="4"/>
  <c r="E57" i="4" s="1"/>
  <c r="G28" i="4"/>
  <c r="I28" i="4" s="1"/>
  <c r="J28" i="4" s="1"/>
  <c r="M28" i="4" s="1"/>
  <c r="G25" i="4"/>
  <c r="I25" i="4" s="1"/>
  <c r="J25" i="4" s="1"/>
  <c r="M25" i="4" s="1"/>
  <c r="I21" i="4"/>
  <c r="J21" i="4" s="1"/>
  <c r="M21" i="4" s="1"/>
  <c r="E27" i="4"/>
  <c r="E60" i="4" s="1"/>
  <c r="E29" i="4"/>
  <c r="E62" i="4" s="1"/>
  <c r="E26" i="4"/>
  <c r="N58" i="4" l="1"/>
  <c r="I58" i="4"/>
  <c r="J58" i="4" s="1"/>
  <c r="M58" i="4" s="1"/>
  <c r="N61" i="4"/>
  <c r="I61" i="4"/>
  <c r="J61" i="4" s="1"/>
  <c r="M61" i="4" s="1"/>
  <c r="I56" i="4"/>
  <c r="N56" i="4"/>
  <c r="G26" i="4"/>
  <c r="E59" i="4"/>
  <c r="W17" i="7"/>
  <c r="AE17" i="7" s="1"/>
  <c r="AQ17" i="7" s="1"/>
  <c r="AR17" i="7" s="1"/>
  <c r="AV17" i="7" s="1"/>
  <c r="G60" i="4"/>
  <c r="W12" i="7"/>
  <c r="AE12" i="7" s="1"/>
  <c r="AQ12" i="7" s="1"/>
  <c r="AR12" i="7" s="1"/>
  <c r="AV12" i="7" s="1"/>
  <c r="G54" i="4"/>
  <c r="W13" i="7"/>
  <c r="AE13" i="7" s="1"/>
  <c r="AQ13" i="7" s="1"/>
  <c r="AR13" i="7" s="1"/>
  <c r="AV13" i="7" s="1"/>
  <c r="G55" i="4"/>
  <c r="W19" i="7"/>
  <c r="AE19" i="7" s="1"/>
  <c r="AQ19" i="7" s="1"/>
  <c r="AR19" i="7" s="1"/>
  <c r="AV19" i="7" s="1"/>
  <c r="G62" i="4"/>
  <c r="W15" i="7"/>
  <c r="AE15" i="7" s="1"/>
  <c r="AQ15" i="7" s="1"/>
  <c r="AR15" i="7" s="1"/>
  <c r="AV15" i="7" s="1"/>
  <c r="G57" i="4"/>
  <c r="G24" i="4"/>
  <c r="I24" i="4" s="1"/>
  <c r="J24" i="4" s="1"/>
  <c r="M24" i="4" s="1"/>
  <c r="J56" i="4"/>
  <c r="M56" i="4" s="1"/>
  <c r="G27" i="4"/>
  <c r="I27" i="4" s="1"/>
  <c r="J27" i="4" s="1"/>
  <c r="M27" i="4" s="1"/>
  <c r="G29" i="4"/>
  <c r="I29" i="4" s="1"/>
  <c r="J29" i="4" s="1"/>
  <c r="M29" i="4" s="1"/>
  <c r="I26" i="4"/>
  <c r="J26" i="4" s="1"/>
  <c r="M26" i="4" s="1"/>
  <c r="M30" i="4" l="1"/>
  <c r="N57" i="4"/>
  <c r="I57" i="4"/>
  <c r="J57" i="4" s="1"/>
  <c r="M57" i="4" s="1"/>
  <c r="N55" i="4"/>
  <c r="I55" i="4"/>
  <c r="J55" i="4" s="1"/>
  <c r="M55" i="4" s="1"/>
  <c r="N54" i="4"/>
  <c r="I54" i="4"/>
  <c r="J54" i="4" s="1"/>
  <c r="M54" i="4" s="1"/>
  <c r="I60" i="4"/>
  <c r="N60" i="4"/>
  <c r="N62" i="4"/>
  <c r="I62" i="4"/>
  <c r="J62" i="4" s="1"/>
  <c r="M62" i="4" s="1"/>
  <c r="J60" i="4"/>
  <c r="M60" i="4" s="1"/>
  <c r="W16" i="7"/>
  <c r="AE16" i="7" s="1"/>
  <c r="AQ16" i="7" s="1"/>
  <c r="AR16" i="7" s="1"/>
  <c r="AV16" i="7" s="1"/>
  <c r="G59" i="4"/>
  <c r="N59" i="4" l="1"/>
  <c r="I59" i="4"/>
  <c r="N63" i="4"/>
  <c r="J59" i="4"/>
  <c r="M59" i="4" s="1"/>
  <c r="M63" i="4" s="1"/>
  <c r="M6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38"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<sst xmlns="http://schemas.openxmlformats.org/spreadsheetml/2006/main" count="537" uniqueCount="367">
  <si>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</si>
  <si>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</si>
  <si>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</si>
  <si>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</si>
  <si>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</si>
  <si>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</si>
  <si>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</si>
  <si>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</si>
  <si>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</si>
  <si>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</si>
  <si>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</si>
  <si>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</si>
  <si>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</si>
  <si>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</si>
  <si>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</si>
  <si>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</si>
  <si>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</si>
  <si>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</si>
  <si>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</si>
  <si>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</si>
  <si>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</si>
  <si>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</si>
  <si>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</si>
  <si>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</si>
  <si>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</si>
  <si>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</si>
  <si>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</si>
  <si>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</si>
  <si>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</si>
  <si>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</si>
  <si>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</si>
  <si>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</si>
  <si>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</si>
  <si>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</si>
  <si>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</si>
  <si>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</si>
  <si>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</si>
  <si>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</si>
  <si>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</si>
  <si>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</si>
  <si>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</si>
  <si>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</si>
  <si>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</si>
  <si>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</si>
  <si>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</si>
  <si>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</si>
  <si>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</si>
  <si>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</si>
  <si>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</si>
  <si>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</si>
  <si>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</si>
  <si>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</si>
  <si>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</si>
  <si>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</si>
  <si>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</si>
  <si>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</si>
  <si>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</si>
  <si>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</si>
  <si>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</si>
  <si>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</si>
  <si>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</si>
  <si>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</si>
  <si>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</si>
  <si>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</si>
  <si>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</si>
  <si>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</si>
  <si>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</si>
  <si>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</si>
  <si>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</si>
  <si>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</si>
  <si>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</si>
  <si>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</si>
  <si>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</si>
  <si>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</si>
  <si>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</si>
  <si>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</si>
  <si>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</si>
  <si>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</si>
  <si>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</si>
  <si>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</si>
  <si>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</si>
  <si>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</si>
  <si>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</si>
  <si>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</si>
  <si>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</si>
  <si>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</si>
  <si>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</si>
  <si>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</si>
  <si>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</si>
  <si>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</si>
  <si>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</si>
  <si>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</si>
  <si>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</si>
  <si>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</si>
  <si>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</si>
  <si>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</si>
  <si>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</si>
  <si>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</si>
  <si>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</si>
  <si>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</si>
  <si>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</si>
  <si>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</si>
  <si>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</si>
  <si>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</si>
  <si>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</si>
  <si>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</si>
  <si>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</si>
  <si>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</si>
  <si>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</si>
  <si>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</si>
  <si>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</si>
  <si>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</si>
  <si>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</si>
  <si>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</si>
  <si>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</si>
  <si>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</si>
  <si>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</si>
  <si>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</si>
  <si>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</si>
  <si>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</si>
  <si>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</si>
  <si>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</si>
  <si>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</si>
  <si>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</si>
  <si>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</si>
  <si>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</si>
  <si>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</si>
  <si>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</si>
  <si>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</si>
  <si>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</si>
  <si>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</si>
  <si>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</si>
  <si>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</si>
  <si>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</si>
  <si>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</si>
  <si>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</si>
  <si>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</si>
  <si>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</si>
  <si>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</si>
  <si>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</si>
  <si>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</si>
  <si>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</si>
  <si>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</si>
  <si>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</si>
  <si>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</si>
  <si>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</si>
  <si>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</si>
  <si>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</si>
  <si>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</si>
  <si>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</si>
  <si>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</si>
  <si>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</si>
  <si>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</si>
  <si>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</si>
  <si>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</si>
  <si>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</si>
  <si>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</si>
  <si>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</si>
  <si>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</si>
  <si>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</si>
  <si>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</si>
  <si>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</si>
  <si>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</si>
  <si>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</si>
  <si>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</si>
  <si>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</si>
  <si>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</si>
  <si>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</si>
  <si>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</si>
  <si>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</si>
  <si>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</si>
  <si>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</si>
  <si>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</si>
  <si>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</si>
  <si>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</si>
  <si>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</si>
  <si>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</si>
  <si>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</si>
  <si>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</si>
  <si>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</si>
  <si>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</si>
  <si>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</si>
  <si>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</si>
  <si>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</si>
  <si>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</si>
  <si>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</si>
  <si>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</si>
  <si>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</si>
  <si>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</si>
  <si>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</si>
  <si>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</si>
  <si>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</si>
  <si>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</si>
  <si>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</si>
  <si>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</si>
  <si>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</si>
  <si>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</si>
  <si>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</si>
  <si>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</si>
  <si>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</si>
  <si>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</si>
  <si>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</si>
  <si>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</si>
  <si>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</si>
  <si>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</si>
  <si>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</si>
  <si>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</si>
  <si>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</si>
  <si>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</si>
  <si>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</si>
  <si>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</si>
  <si>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</si>
  <si>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</si>
  <si>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</si>
  <si>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</si>
  <si>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</si>
  <si>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</si>
  <si>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</si>
  <si>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</si>
  <si>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</si>
  <si>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ENQ-18774-25-26</t>
  </si>
  <si>
    <t>FA0700001</t>
  </si>
  <si>
    <t>1 CORE X 120 SQ. MM. AL/ARD (XLPE)</t>
  </si>
  <si>
    <t>STEEL</t>
  </si>
  <si>
    <t>KMS</t>
  </si>
  <si>
    <t>FA0700002</t>
  </si>
  <si>
    <t>1 CORE X 630 SQ. MM. AL/ARD (XLPE)</t>
  </si>
  <si>
    <t>FA0700008</t>
  </si>
  <si>
    <t>1 CORE X 300 SQ. MM. AL/ARD. (XLPE)</t>
  </si>
  <si>
    <t>FA0900036</t>
  </si>
  <si>
    <t>4 CORE X 50 SQ. MM. ALU/ARD - STRIP (XLPE)</t>
  </si>
  <si>
    <t>WOOD</t>
  </si>
  <si>
    <t>MD0100015</t>
  </si>
  <si>
    <t>DRUM - 48 X 20 X 28 X 2.25 - RDSO</t>
  </si>
  <si>
    <t>FA1100012</t>
  </si>
  <si>
    <t>4 CORE X 95 SQ. MM. AL/ARD - STRIP (XLPE)</t>
  </si>
  <si>
    <t>MD0100061</t>
  </si>
  <si>
    <t>DRUM - 56 X 24 X 32 X 3</t>
  </si>
  <si>
    <t>FA1100025</t>
  </si>
  <si>
    <t>4 CORE X 300 SQ. MM. AL/ARD - STRIP (XLPE)</t>
  </si>
  <si>
    <t>FA1100067</t>
  </si>
  <si>
    <t>4 CORE X 150 SQ. MM. AL/ARD - STRIP (XLPE)</t>
  </si>
  <si>
    <t>FA0600003</t>
  </si>
  <si>
    <t>1 CORE X 120 SQ. MM. ALU/UNARD (XLPE)</t>
  </si>
  <si>
    <t>NOTE for sl no 1,2,3,4</t>
  </si>
  <si>
    <t>1) Rate of Al- BALCO / HINDALCO / NALCO / VEDANTA.</t>
  </si>
  <si>
    <t>2) Rate of XLPE- DOW / BOREALIS / HANWHA/ KALPANA INDUSTRIES/KLJ POLYMERS AND CHEMICALS</t>
  </si>
  <si>
    <t>3) Rate of PVC- SHAKUN / KALPANA / KLJ / DCM SHRIRAM/ UNIVERSAL/ SCJ PLASTIC</t>
  </si>
  <si>
    <t>4) Rate of Armour- TATA STEEL / JINDAL STEEL / SAIL / JSW</t>
  </si>
  <si>
    <t xml:space="preserve">5) Please consider the extra Rs.5/KG of outer sheath for UV resistance for all items </t>
  </si>
  <si>
    <t>FRLSH PVC Type ST-2 + UV resistance</t>
  </si>
  <si>
    <t>MD0200017</t>
  </si>
  <si>
    <t>STEEL DRUM 42" X 18 X 23</t>
  </si>
  <si>
    <t>MD0200018</t>
  </si>
  <si>
    <t>STEEL DRUM - 48" X 24 X 38</t>
  </si>
  <si>
    <t>SP0400125</t>
  </si>
  <si>
    <t>CORRUGATED DISPATCH STEEL DRUM 1600 X 700 X 915 MM</t>
  </si>
  <si>
    <t>MD0100070</t>
  </si>
  <si>
    <t>DRUM - 68 X 24 X 32 X 3</t>
  </si>
  <si>
    <t>MD0100066</t>
  </si>
  <si>
    <t>DRUM - 40 X 15 X 23 X 2</t>
  </si>
  <si>
    <t>Please consider FRLSH on outer sheath for all items</t>
  </si>
  <si>
    <t>NOTE single core</t>
  </si>
  <si>
    <t>CABLE WEIGHT KG/KM</t>
  </si>
  <si>
    <t>DRUM WEIGHT</t>
  </si>
  <si>
    <t>CABLE+DRUM WEIGHT</t>
  </si>
  <si>
    <t>TRUCK WEIGHT</t>
  </si>
  <si>
    <t>16 MT</t>
  </si>
  <si>
    <t>Noida Power Company Ltd.</t>
  </si>
  <si>
    <t>TENDER SPECIFICATION NO ()</t>
  </si>
  <si>
    <t>TENDER DESCRIPTION  ()</t>
  </si>
  <si>
    <t>Last Date &amp; Time of Submission ()</t>
  </si>
  <si>
    <t>REVERSE AUCTION</t>
  </si>
  <si>
    <t>Price ()</t>
  </si>
  <si>
    <t>Validity  ()</t>
  </si>
  <si>
    <t>Bids shall remain valid for 120 days from the due date of submission of the Bid &amp; subsequent corrigendum / amendment / extension of due date of submission.</t>
  </si>
  <si>
    <t>Delivery Period  ()</t>
  </si>
  <si>
    <t>Payment Terms ()</t>
  </si>
  <si>
    <t>Standard length ()</t>
  </si>
  <si>
    <t>Packing  ()</t>
  </si>
  <si>
    <t>Technical Specification</t>
  </si>
  <si>
    <t>NPCL/FY25-26/LTCAB/060</t>
  </si>
  <si>
    <t>TENDER NOTIFICATION FOR TWO YEAR RATE CONTRACT OF SUPPLY OF LT ABC &amp; LT CABLES LOT 2</t>
  </si>
  <si>
    <t>18.03.2026 (up to 15:00 hours)
OPENING ON '18.03.2026 up to 15:00 Hours</t>
  </si>
  <si>
    <t>Prices are As per latest IEEMA Price Variation Clause.
The prices shall variable be as per Latest IEEMA Price Variation formula as mentioned below;
P=Po+AIF(Al-Alo)+XLFAL(Cc-Cco)+CCFAl(PVCc-PVCco)+FeF(Fe-Feo)
All #0# denoted input prices in the formula (Al0, CC0, PVCc0, Fe0, etc.) shall be as per IEEMA Circulars of January 2026 (Published in February 2026).
The prices shall variable be as per Latest IEEMA Price Variation formula as mentioned below;
Formula for LV Aerial Bunch Cables
P = P0 + Alph * n* (Al-Al0) + Alm(Al-Al0) + Alsl(Al-Al0) + Aln(Al-Al0) + CCFAlph *n* (CC-Cco)+CCFAlm(CC- Cco)+CCFAlsl (CC-Cco) + CCFAln(CC-Cco)
This price shall be as per IEEMA Circulars of January 2026 (Published in February 2026).</t>
  </si>
  <si>
    <t>Purchaser reserves the right to use Reverse Auction through SAP-SRM as an optional tool as an integral part of the entire tendering process. All techno-commercially qualified bidders shall participate in this event.</t>
  </si>
  <si>
    <t>60 Days from the date of issuance of LOI / Order; however, firm delivery dates will be mentioned in the LOI / Order.</t>
  </si>
  <si>
    <t>15% Basic value of Release Order payment shall be paid as interest free advance against submission of Advance Bank Guarantee (ABG) of a nationalized/scheduled bank(s) located at State Capital/Delhi NCR, payable at Delhi/Noida / Corporate Guarantee as may be acceptable to the NPCL, for the equal amount valid up to the PO supply completion period plus 3 months claim period. In case of delay, the BG shall be extended suitably by the bidder. Bidder can request to submit Corporate guarantee in place of ABG, Same request can be considered with
discretion of NPCL management only.
80% payment shall be released on pro-rata basic within 45 days from the receipt of material at NPCL site with complete set of documents as mentioned in order. Your invoices complete in all respect along with all required documents should reach our office within 3 days. Any delay in submission of any of these documents will be to your account. It may please be noted that for payment purposes the date of receipt of documents will be considered on the basis of the date of receipt of last document, in case partial documents were received earlier.
Balance 5% payment shall be released against submission of the Performance Bank Guarantee (PBG) of 5% of PO/Contract value valid till 12 months from the date of commissioning or 18 months from the date of dispatch, whichever is earlier Plus 3 months towards the Claim Period.</t>
  </si>
  <si>
    <t>1cx120 = 500mtr+/-2%
3cx120+120+95 = 500mtr+/-2%
The cable shall be supplied in continuous standard length of 500 running meters with +2% to tolerance</t>
  </si>
  <si>
    <t>1cx120 =  Good Quality Wood
3cx120+120+95 = the cable shall be supplied on suitable sized wooden non-returnable drum of robust construction for each length of cables as per IS 10418.
The cable shall be wound on non-returnable wooden drum of good quality, heavy standard construction conforming to IS:10418:1982</t>
  </si>
  <si>
    <t>EX-WORKS (PER MTR)</t>
  </si>
  <si>
    <t>FREIGHT PER MTR</t>
  </si>
  <si>
    <t>PRICE INCLUDING FREIGHT (PER MTR)</t>
  </si>
  <si>
    <t>PRICE INCLUDING GST &amp; FREIGHT (PER MTR)</t>
  </si>
  <si>
    <t>MTR</t>
  </si>
  <si>
    <t>PV Terms (IEEMA CIRCULAR)</t>
  </si>
  <si>
    <t>PV FORMULA (IEEMA)</t>
  </si>
  <si>
    <t>Item</t>
  </si>
  <si>
    <t>Calculation part</t>
  </si>
  <si>
    <t>Date of Inspection</t>
  </si>
  <si>
    <t>Applicable Date</t>
  </si>
  <si>
    <t>FACTORS</t>
  </si>
  <si>
    <t>Ex-Work
Po</t>
  </si>
  <si>
    <t>PVC of Al</t>
  </si>
  <si>
    <t>PVC of AlM</t>
  </si>
  <si>
    <t>PVC of Alsl</t>
  </si>
  <si>
    <t xml:space="preserve">PVC of CCFAIph </t>
  </si>
  <si>
    <t>PVC of CCFAIm</t>
  </si>
  <si>
    <t>PVC of CCFAIsl</t>
  </si>
  <si>
    <t>PV/PKM</t>
  </si>
  <si>
    <t>Billing Price/PKM</t>
  </si>
  <si>
    <r>
      <t>VALUE ADDITION CALCULATION</t>
    </r>
    <r>
      <rPr>
        <b/>
        <sz val="10"/>
        <color indexed="10"/>
        <rFont val="Arial"/>
        <family val="2"/>
      </rPr>
      <t xml:space="preserve"> WITH RESPECT TO PERCENTAGE</t>
    </r>
  </si>
  <si>
    <t>Date</t>
  </si>
  <si>
    <t>Al</t>
  </si>
  <si>
    <t>CC</t>
  </si>
  <si>
    <t>Alo</t>
  </si>
  <si>
    <t>Cco</t>
  </si>
  <si>
    <t>n</t>
  </si>
  <si>
    <t xml:space="preserve">Alph </t>
  </si>
  <si>
    <t>Alm</t>
  </si>
  <si>
    <t>Alsl</t>
  </si>
  <si>
    <t>CCFAIph</t>
  </si>
  <si>
    <t>CCFAIm</t>
  </si>
  <si>
    <t>CCFAIsl</t>
  </si>
  <si>
    <t>RMC</t>
  </si>
  <si>
    <t>Drum</t>
  </si>
  <si>
    <t>RMC+Drum</t>
  </si>
  <si>
    <t>VA</t>
  </si>
  <si>
    <t>Groos VA%</t>
  </si>
  <si>
    <t>Mfg %</t>
  </si>
  <si>
    <t>Int %</t>
  </si>
  <si>
    <t>Ins%</t>
  </si>
  <si>
    <t>Net VA %</t>
  </si>
  <si>
    <t>PROVISIONAL</t>
  </si>
  <si>
    <t>PV FORMULA</t>
  </si>
  <si>
    <t>VALUE ADDITION CALCULATION</t>
  </si>
  <si>
    <t>PVC of al</t>
  </si>
  <si>
    <t>PVC of Cu</t>
  </si>
  <si>
    <t>PVC of XLPE</t>
  </si>
  <si>
    <t>PVC OF PVC</t>
  </si>
  <si>
    <t>PVC OF FE</t>
  </si>
  <si>
    <t>PVC OF CU TAPE</t>
  </si>
  <si>
    <t>Cu</t>
  </si>
  <si>
    <t>Cc</t>
  </si>
  <si>
    <t>PVCc</t>
  </si>
  <si>
    <t>Fe</t>
  </si>
  <si>
    <t>Cuo</t>
  </si>
  <si>
    <t>PVCco</t>
  </si>
  <si>
    <t>Feo</t>
  </si>
  <si>
    <t>Net VA</t>
  </si>
  <si>
    <t>Alf</t>
  </si>
  <si>
    <t>XLFAL</t>
  </si>
  <si>
    <t>CCFAI</t>
  </si>
  <si>
    <t>CCFCu</t>
  </si>
  <si>
    <t>FeF</t>
  </si>
  <si>
    <t>Smif</t>
  </si>
  <si>
    <t>Kg/Km</t>
  </si>
  <si>
    <t xml:space="preserve">
P=Po+AIF(Al-Alo)+XLFAL(Cc-Cco)+CCFAl(PVCc-PVCco)+FeF(Fe-Feo)
This price shall be as per IEEMA Circulars of January 2026 (Published in February 2026).
</t>
  </si>
  <si>
    <t xml:space="preserve">P = P0 + Alph * n* (Al-Al0) + Alm(Al-Al0) + Alsl(Al-Al0) + Aln(Al-Al0) + CCFAlph *n* (CC-Cco)+CCFAlm(CC- Cco)+CCFAlsl (CC-Cco) + CCFAln(CC-Cco)
This price shall be as per IEEMA Circulars of January 2026 (Published in February 2026).
</t>
  </si>
  <si>
    <t>Aln</t>
  </si>
  <si>
    <t>CCFAIn</t>
  </si>
  <si>
    <t>PVC of Aln</t>
  </si>
  <si>
    <t>PVC of CCFAIn</t>
  </si>
  <si>
    <t>SP0400123</t>
  </si>
  <si>
    <t>CORRUGATED DISPATCH STEEL DRUM 2000 X 1000 X 1200 MM</t>
  </si>
  <si>
    <t>25 MT TRALOR</t>
  </si>
  <si>
    <t>3 CORE X 120 SQ MM + 1 CORE X 120 SQ MM + 1 CORE X 95 SQ MM (AB CABLES) (Insulated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</si>
</sst>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quot;#,##0"/>
    <numFmt numFmtId="171" formatCode="0.0"/>
    <numFmt numFmtId="172" formatCode="0.000"/>
    <numFmt numFmtId="173" formatCode="0.0000"/>
    <numFmt numFmtId="174" formatCode="0.00000"/>
  </numFmts>
  <fonts count="6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2"/>
      <name val="Calibri"/>
      <family val="2"/>
      <scheme val="minor"/>
    </font>
    <font>
      <b/>
      <sz val="10"/>
      <name val="Calibri"/>
      <family val="2"/>
      <scheme val="minor"/>
    </font>
    <font>
      <sz val="10"/>
      <name val="Arial"/>
      <family val="2"/>
    </font>
    <font>
      <sz val="10"/>
      <name val="Calibri"/>
      <family val="2"/>
      <scheme val="minor"/>
    </font>
    <font>
      <b/>
      <sz val="10"/>
      <name val="Verdana"/>
      <family val="2"/>
    </font>
    <font>
      <b/>
      <sz val="11"/>
      <name val="Calibri"/>
      <family val="2"/>
      <scheme val="minor"/>
    </font>
    <font>
      <b/>
      <sz val="10"/>
      <name val="Arial"/>
      <family val="2"/>
    </font>
    <font>
      <b/>
      <sz val="10"/>
      <color indexed="10"/>
      <name val="Arial"/>
      <family val="2"/>
    </font>
    <font>
      <sz val="10"/>
      <color rgb="FFFF0000"/>
      <name val="Calibri"/>
      <family val="2"/>
      <scheme val="minor"/>
    </font>
    <font>
      <sz val="10"/>
      <color rgb="FF000000"/>
      <name val="Calibri"/>
      <family val="2"/>
      <scheme val="minor"/>
    </font>
    <font>
      <b/>
      <sz val="12"/>
      <color theme="1"/>
      <name val="Times New Roman"/>
      <family val="1"/>
    </font>
    <font>
      <sz val="11"/>
      <color theme="1"/>
      <name val="Times New Roman"/>
      <family val="1"/>
    </font>
    <font>
      <sz val="12"/>
      <color theme="1"/>
      <name val="Times New Roman"/>
      <family val="1"/>
    </font>
  </fonts>
  <fills count="14">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style="thin">
        <color indexed="64"/>
      </left>
      <right/>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4" fillId="0" borderId="0"/>
  </cellStyleXfs>
  <cellXfs count="337">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0" fillId="0" borderId="1" xfId="0" applyBorder="1" applyAlignment="1">
      <alignment vertical="center" wrapText="1"/>
    </xf>
    <xf numFmtId="0" fontId="13" fillId="8"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2" fillId="0" borderId="1" xfId="0" applyFont="1" applyBorder="1" applyAlignment="1">
      <alignment vertical="center"/>
    </xf>
    <xf numFmtId="0" fontId="0" fillId="8" borderId="1" xfId="0" applyFill="1" applyBorder="1"/>
    <xf numFmtId="0" fontId="0" fillId="0" borderId="1" xfId="0" applyBorder="1" applyAlignment="1">
      <alignment vertical="center"/>
    </xf>
    <xf numFmtId="3" fontId="0" fillId="0" borderId="0" xfId="0" applyNumberFormat="1" applyAlignment="1">
      <alignment wrapText="1"/>
    </xf>
    <xf numFmtId="164" fontId="0" fillId="0" borderId="1" xfId="1" applyFont="1" applyBorder="1" applyAlignment="1">
      <alignment vertical="center" wrapText="1"/>
    </xf>
    <xf numFmtId="164" fontId="0" fillId="0" borderId="0" xfId="0" applyNumberFormat="1"/>
    <xf numFmtId="0" fontId="0" fillId="0" borderId="0" xfId="0" applyAlignment="1">
      <alignment vertical="top"/>
    </xf>
    <xf numFmtId="0" fontId="2" fillId="9" borderId="12" xfId="0" applyFont="1" applyFill="1" applyBorder="1" applyAlignment="1">
      <alignment vertical="top" wrapText="1"/>
    </xf>
    <xf numFmtId="0" fontId="2" fillId="9" borderId="13" xfId="0" applyFont="1" applyFill="1" applyBorder="1" applyAlignment="1">
      <alignment vertical="top" wrapText="1"/>
    </xf>
    <xf numFmtId="0" fontId="2" fillId="9" borderId="1" xfId="0" applyFont="1" applyFill="1" applyBorder="1" applyAlignment="1">
      <alignment vertical="top" wrapText="1"/>
    </xf>
    <xf numFmtId="0" fontId="2" fillId="0" borderId="0" xfId="0" applyFont="1" applyAlignment="1">
      <alignment vertical="top" wrapText="1"/>
    </xf>
    <xf numFmtId="164" fontId="0" fillId="0" borderId="0" xfId="1" applyFont="1" applyAlignment="1">
      <alignment vertical="top"/>
    </xf>
    <xf numFmtId="9" fontId="0" fillId="0" borderId="0" xfId="2" applyFont="1" applyAlignment="1">
      <alignment vertical="top"/>
    </xf>
    <xf numFmtId="0" fontId="0" fillId="0" borderId="0" xfId="0" applyAlignment="1">
      <alignment vertical="top" wrapText="1"/>
    </xf>
    <xf numFmtId="0" fontId="53" fillId="0" borderId="0" xfId="6" applyFont="1"/>
    <xf numFmtId="0" fontId="55" fillId="0" borderId="0" xfId="7" applyFont="1"/>
    <xf numFmtId="0" fontId="47" fillId="0" borderId="0" xfId="6"/>
    <xf numFmtId="0" fontId="56" fillId="0" borderId="9" xfId="6" applyFont="1" applyBorder="1" applyAlignment="1">
      <alignment horizontal="center" vertical="center"/>
    </xf>
    <xf numFmtId="0" fontId="57" fillId="0" borderId="17" xfId="6" applyFont="1" applyBorder="1" applyAlignment="1">
      <alignment horizontal="center" vertical="center" wrapText="1"/>
    </xf>
    <xf numFmtId="0" fontId="53" fillId="0" borderId="0" xfId="6" applyFont="1" applyAlignment="1">
      <alignment horizontal="center"/>
    </xf>
    <xf numFmtId="0" fontId="55" fillId="0" borderId="0" xfId="7" applyFont="1" applyAlignment="1">
      <alignment horizontal="center"/>
    </xf>
    <xf numFmtId="0" fontId="47" fillId="0" borderId="0" xfId="6" applyAlignment="1">
      <alignment horizontal="center"/>
    </xf>
    <xf numFmtId="0" fontId="53" fillId="0" borderId="0" xfId="6" applyFont="1" applyAlignment="1">
      <alignment horizontal="center" vertical="center"/>
    </xf>
    <xf numFmtId="0" fontId="53" fillId="0" borderId="0" xfId="6" applyFont="1" applyAlignment="1">
      <alignment vertical="center"/>
    </xf>
    <xf numFmtId="0" fontId="55" fillId="0" borderId="0" xfId="6" applyFont="1" applyAlignment="1">
      <alignment horizontal="center"/>
    </xf>
    <xf numFmtId="14" fontId="55" fillId="0" borderId="0" xfId="6" applyNumberFormat="1" applyFont="1" applyAlignment="1">
      <alignment horizontal="center"/>
    </xf>
    <xf numFmtId="0" fontId="53" fillId="0" borderId="13" xfId="7" applyFont="1" applyBorder="1" applyAlignment="1">
      <alignment horizontal="center" vertical="center" wrapText="1"/>
    </xf>
    <xf numFmtId="0" fontId="53" fillId="0" borderId="1" xfId="7" applyFont="1" applyBorder="1" applyAlignment="1">
      <alignment horizontal="center" vertical="center" wrapText="1"/>
    </xf>
    <xf numFmtId="0" fontId="53" fillId="0" borderId="2" xfId="7" applyFont="1" applyBorder="1" applyAlignment="1">
      <alignment horizontal="center" vertical="center" wrapText="1"/>
    </xf>
    <xf numFmtId="0" fontId="53" fillId="0" borderId="33" xfId="7" applyFont="1" applyBorder="1" applyAlignment="1">
      <alignment horizontal="center" vertical="center" wrapText="1"/>
    </xf>
    <xf numFmtId="0" fontId="58" fillId="0" borderId="13" xfId="7" applyFont="1" applyBorder="1" applyAlignment="1">
      <alignment horizontal="center" vertical="center" wrapText="1"/>
    </xf>
    <xf numFmtId="0" fontId="58" fillId="0" borderId="1" xfId="7" applyFont="1" applyBorder="1" applyAlignment="1">
      <alignment horizontal="center" vertical="center" wrapText="1"/>
    </xf>
    <xf numFmtId="0" fontId="54" fillId="0" borderId="1" xfId="7" applyBorder="1" applyAlignment="1">
      <alignment horizontal="center" vertical="center" wrapText="1"/>
    </xf>
    <xf numFmtId="0" fontId="58" fillId="0" borderId="33" xfId="7" applyFont="1" applyBorder="1" applyAlignment="1">
      <alignment horizontal="center" vertical="center" wrapText="1"/>
    </xf>
    <xf numFmtId="0" fontId="47" fillId="0" borderId="27" xfId="6" applyBorder="1"/>
    <xf numFmtId="0" fontId="55" fillId="0" borderId="28" xfId="7" applyFont="1" applyBorder="1"/>
    <xf numFmtId="0" fontId="55" fillId="0" borderId="13" xfId="7" applyFont="1" applyBorder="1" applyAlignment="1">
      <alignment horizontal="left" vertical="center" wrapText="1"/>
    </xf>
    <xf numFmtId="14" fontId="55" fillId="0" borderId="1" xfId="7" applyNumberFormat="1" applyFont="1" applyBorder="1" applyAlignment="1">
      <alignment horizontal="center" vertical="center" wrapText="1"/>
    </xf>
    <xf numFmtId="17" fontId="55" fillId="0" borderId="2" xfId="7" applyNumberFormat="1" applyFont="1" applyBorder="1" applyAlignment="1">
      <alignment horizontal="center" vertical="center" wrapText="1"/>
    </xf>
    <xf numFmtId="14" fontId="55" fillId="0" borderId="13" xfId="7" applyNumberFormat="1" applyFont="1" applyBorder="1" applyAlignment="1">
      <alignment horizontal="center" vertical="center" wrapText="1"/>
    </xf>
    <xf numFmtId="2" fontId="53" fillId="0" borderId="13" xfId="7" applyNumberFormat="1" applyFont="1" applyBorder="1" applyAlignment="1">
      <alignment horizontal="center" vertical="center" wrapText="1"/>
    </xf>
    <xf numFmtId="2" fontId="53" fillId="0" borderId="2" xfId="7" applyNumberFormat="1" applyFont="1" applyBorder="1" applyAlignment="1">
      <alignment horizontal="center" vertical="center" wrapText="1"/>
    </xf>
    <xf numFmtId="2" fontId="53" fillId="0" borderId="33" xfId="7" applyNumberFormat="1" applyFont="1" applyBorder="1" applyAlignment="1">
      <alignment horizontal="center" vertical="center" wrapText="1"/>
    </xf>
    <xf numFmtId="2" fontId="53" fillId="0" borderId="31" xfId="7" applyNumberFormat="1" applyFont="1" applyBorder="1" applyAlignment="1">
      <alignment horizontal="center" vertical="center" wrapText="1"/>
    </xf>
    <xf numFmtId="0" fontId="53" fillId="0" borderId="35" xfId="7" applyFont="1" applyBorder="1" applyAlignment="1">
      <alignment horizontal="center" vertical="center" wrapText="1"/>
    </xf>
    <xf numFmtId="0" fontId="55" fillId="0" borderId="27" xfId="7" applyFont="1" applyBorder="1" applyAlignment="1">
      <alignment horizontal="center" vertical="center" wrapText="1"/>
    </xf>
    <xf numFmtId="170" fontId="58" fillId="0" borderId="3" xfId="7" applyNumberFormat="1" applyFont="1" applyBorder="1" applyAlignment="1">
      <alignment horizontal="center" vertical="center" wrapText="1"/>
    </xf>
    <xf numFmtId="170" fontId="58" fillId="0" borderId="13" xfId="7" applyNumberFormat="1" applyFont="1" applyBorder="1" applyAlignment="1">
      <alignment horizontal="center"/>
    </xf>
    <xf numFmtId="170" fontId="58" fillId="0" borderId="1" xfId="7" applyNumberFormat="1" applyFont="1" applyBorder="1" applyAlignment="1">
      <alignment horizontal="center"/>
    </xf>
    <xf numFmtId="1" fontId="54" fillId="0" borderId="1" xfId="7" applyNumberFormat="1" applyBorder="1"/>
    <xf numFmtId="1" fontId="58" fillId="0" borderId="1" xfId="7" applyNumberFormat="1" applyFont="1" applyBorder="1"/>
    <xf numFmtId="1" fontId="54" fillId="0" borderId="1" xfId="7" applyNumberFormat="1" applyBorder="1" applyAlignment="1">
      <alignment horizontal="center"/>
    </xf>
    <xf numFmtId="0" fontId="54" fillId="0" borderId="1" xfId="7" applyBorder="1"/>
    <xf numFmtId="0" fontId="47" fillId="0" borderId="33" xfId="6" applyBorder="1"/>
    <xf numFmtId="0" fontId="47" fillId="0" borderId="2" xfId="6" applyBorder="1" applyAlignment="1">
      <alignment horizontal="center" wrapText="1"/>
    </xf>
    <xf numFmtId="0" fontId="47" fillId="0" borderId="27" xfId="6" applyBorder="1" applyAlignment="1">
      <alignment wrapText="1"/>
    </xf>
    <xf numFmtId="14" fontId="60" fillId="0" borderId="36" xfId="7" applyNumberFormat="1" applyFont="1" applyBorder="1" applyAlignment="1">
      <alignment horizontal="center" vertical="center" wrapText="1"/>
    </xf>
    <xf numFmtId="14" fontId="60" fillId="10" borderId="13" xfId="7" applyNumberFormat="1" applyFont="1" applyFill="1" applyBorder="1" applyAlignment="1">
      <alignment horizontal="center" vertical="center" wrapText="1"/>
    </xf>
    <xf numFmtId="14" fontId="53" fillId="10" borderId="13" xfId="7" applyNumberFormat="1" applyFont="1" applyFill="1" applyBorder="1" applyAlignment="1">
      <alignment horizontal="center" vertical="center" wrapText="1"/>
    </xf>
    <xf numFmtId="172" fontId="55" fillId="0" borderId="13" xfId="7" applyNumberFormat="1" applyFont="1" applyBorder="1" applyAlignment="1">
      <alignment horizontal="center" vertical="center" wrapText="1"/>
    </xf>
    <xf numFmtId="172" fontId="55" fillId="0" borderId="2" xfId="7" applyNumberFormat="1" applyFont="1" applyBorder="1" applyAlignment="1">
      <alignment horizontal="center" vertical="center" wrapText="1"/>
    </xf>
    <xf numFmtId="172" fontId="55" fillId="0" borderId="33" xfId="7" applyNumberFormat="1" applyFont="1" applyBorder="1" applyAlignment="1">
      <alignment horizontal="center" vertical="center" wrapText="1"/>
    </xf>
    <xf numFmtId="0" fontId="5" fillId="0" borderId="13" xfId="0" applyFont="1" applyBorder="1" applyAlignment="1">
      <alignment horizontal="center" vertical="center" wrapText="1"/>
    </xf>
    <xf numFmtId="0" fontId="5" fillId="0" borderId="1" xfId="0" applyFont="1" applyBorder="1" applyAlignment="1">
      <alignment horizontal="center" vertical="center" wrapText="1"/>
    </xf>
    <xf numFmtId="0" fontId="61" fillId="0" borderId="1" xfId="0" applyFont="1" applyBorder="1" applyAlignment="1">
      <alignment horizontal="center" vertical="center" wrapText="1"/>
    </xf>
    <xf numFmtId="2" fontId="58" fillId="0" borderId="1" xfId="7" applyNumberFormat="1" applyFont="1" applyBorder="1" applyAlignment="1">
      <alignment vertical="center" wrapText="1"/>
    </xf>
    <xf numFmtId="2" fontId="54" fillId="0" borderId="1" xfId="7" applyNumberFormat="1" applyBorder="1" applyAlignment="1">
      <alignment vertical="center" wrapText="1"/>
    </xf>
    <xf numFmtId="10" fontId="58" fillId="13" borderId="1" xfId="2" applyNumberFormat="1" applyFont="1" applyFill="1" applyBorder="1" applyAlignment="1">
      <alignment vertical="center" wrapText="1"/>
    </xf>
    <xf numFmtId="10" fontId="54" fillId="0" borderId="1" xfId="2" applyNumberFormat="1" applyFont="1" applyFill="1" applyBorder="1" applyAlignment="1">
      <alignment vertical="center" wrapText="1"/>
    </xf>
    <xf numFmtId="10" fontId="56" fillId="0" borderId="33" xfId="2" applyNumberFormat="1" applyFont="1" applyBorder="1" applyAlignment="1">
      <alignment vertical="center" wrapText="1"/>
    </xf>
    <xf numFmtId="164" fontId="47" fillId="0" borderId="0" xfId="1" applyFont="1" applyAlignment="1">
      <alignment wrapText="1"/>
    </xf>
    <xf numFmtId="0" fontId="47" fillId="0" borderId="0" xfId="6" applyAlignment="1">
      <alignment wrapText="1"/>
    </xf>
    <xf numFmtId="0" fontId="47" fillId="0" borderId="37" xfId="6" applyBorder="1" applyAlignment="1">
      <alignment wrapText="1"/>
    </xf>
    <xf numFmtId="14" fontId="55" fillId="0" borderId="38" xfId="7" applyNumberFormat="1" applyFont="1" applyBorder="1" applyAlignment="1">
      <alignment horizontal="center" vertical="center" wrapText="1"/>
    </xf>
    <xf numFmtId="14" fontId="55" fillId="0" borderId="39" xfId="7" applyNumberFormat="1" applyFont="1" applyBorder="1" applyAlignment="1">
      <alignment horizontal="center" vertical="center" wrapText="1"/>
    </xf>
    <xf numFmtId="2" fontId="55" fillId="0" borderId="40" xfId="7" applyNumberFormat="1" applyFont="1" applyBorder="1" applyAlignment="1">
      <alignment horizontal="center" vertical="center" wrapText="1"/>
    </xf>
    <xf numFmtId="2" fontId="55" fillId="0" borderId="39" xfId="7" applyNumberFormat="1" applyFont="1" applyBorder="1" applyAlignment="1">
      <alignment horizontal="center" vertical="center" wrapText="1"/>
    </xf>
    <xf numFmtId="171" fontId="55" fillId="0" borderId="40" xfId="7" applyNumberFormat="1" applyFont="1" applyBorder="1" applyAlignment="1">
      <alignment horizontal="center" vertical="center" wrapText="1"/>
    </xf>
    <xf numFmtId="171" fontId="55" fillId="0" borderId="41" xfId="7" applyNumberFormat="1" applyFont="1" applyBorder="1" applyAlignment="1">
      <alignment horizontal="center" vertical="center" wrapText="1"/>
    </xf>
    <xf numFmtId="2" fontId="55" fillId="0" borderId="41" xfId="7" applyNumberFormat="1" applyFont="1" applyBorder="1" applyAlignment="1">
      <alignment horizontal="center" vertical="center" wrapText="1"/>
    </xf>
    <xf numFmtId="2" fontId="55" fillId="0" borderId="42" xfId="7" applyNumberFormat="1" applyFont="1" applyBorder="1" applyAlignment="1">
      <alignment horizontal="center" vertical="center" wrapText="1"/>
    </xf>
    <xf numFmtId="2" fontId="55" fillId="0" borderId="43" xfId="7" applyNumberFormat="1" applyFont="1" applyBorder="1" applyAlignment="1">
      <alignment horizontal="center" vertical="center" wrapText="1"/>
    </xf>
    <xf numFmtId="174" fontId="55" fillId="0" borderId="44" xfId="7" applyNumberFormat="1" applyFont="1" applyBorder="1" applyAlignment="1">
      <alignment vertical="center" wrapText="1"/>
    </xf>
    <xf numFmtId="174" fontId="55" fillId="0" borderId="45" xfId="7" applyNumberFormat="1" applyFont="1" applyBorder="1" applyAlignment="1">
      <alignment vertical="center" wrapText="1"/>
    </xf>
    <xf numFmtId="2" fontId="55" fillId="0" borderId="37" xfId="7" applyNumberFormat="1" applyFont="1" applyBorder="1" applyAlignment="1">
      <alignment horizontal="center" vertical="center" wrapText="1"/>
    </xf>
    <xf numFmtId="0" fontId="47" fillId="0" borderId="46" xfId="6" applyBorder="1" applyAlignment="1">
      <alignment wrapText="1"/>
    </xf>
    <xf numFmtId="0" fontId="47" fillId="0" borderId="39" xfId="6" applyBorder="1" applyAlignment="1">
      <alignment wrapText="1"/>
    </xf>
    <xf numFmtId="0" fontId="47" fillId="0" borderId="40" xfId="6" applyBorder="1" applyAlignment="1">
      <alignment wrapText="1"/>
    </xf>
    <xf numFmtId="0" fontId="47" fillId="0" borderId="42" xfId="6" applyBorder="1" applyAlignment="1">
      <alignment wrapText="1"/>
    </xf>
    <xf numFmtId="0" fontId="56" fillId="0" borderId="0" xfId="6" applyFont="1"/>
    <xf numFmtId="0" fontId="47" fillId="0" borderId="1" xfId="6" applyBorder="1" applyAlignment="1">
      <alignment horizontal="center" vertical="center"/>
    </xf>
    <xf numFmtId="0" fontId="55" fillId="0" borderId="0" xfId="7" applyFont="1" applyAlignment="1">
      <alignment horizontal="center" vertical="center"/>
    </xf>
    <xf numFmtId="0" fontId="47" fillId="0" borderId="0" xfId="6" applyAlignment="1">
      <alignment horizontal="center" vertical="center"/>
    </xf>
    <xf numFmtId="0" fontId="62" fillId="0" borderId="47" xfId="0" applyFont="1" applyBorder="1" applyAlignment="1">
      <alignment vertical="center"/>
    </xf>
    <xf numFmtId="0" fontId="62" fillId="0" borderId="0" xfId="0" applyFont="1" applyAlignment="1">
      <alignment vertical="center"/>
    </xf>
    <xf numFmtId="0" fontId="62" fillId="0" borderId="0" xfId="0" applyFont="1" applyAlignment="1">
      <alignment horizontal="center" vertical="center"/>
    </xf>
    <xf numFmtId="0" fontId="63" fillId="0" borderId="47" xfId="0" applyFont="1" applyBorder="1" applyAlignment="1">
      <alignment horizontal="justify" vertical="center"/>
    </xf>
    <xf numFmtId="0" fontId="64" fillId="0" borderId="0" xfId="0" applyFont="1" applyAlignment="1">
      <alignment vertical="center"/>
    </xf>
    <xf numFmtId="173" fontId="53" fillId="0" borderId="0" xfId="6" applyNumberFormat="1" applyFont="1" applyAlignment="1">
      <alignment vertical="center"/>
    </xf>
    <xf numFmtId="0" fontId="58" fillId="0" borderId="4" xfId="7" applyFont="1" applyBorder="1" applyAlignment="1">
      <alignment horizontal="center" vertical="center" wrapText="1"/>
    </xf>
    <xf numFmtId="170" fontId="58" fillId="0" borderId="4" xfId="7" applyNumberFormat="1" applyFont="1" applyBorder="1" applyAlignment="1">
      <alignment horizontal="center" vertical="center" wrapText="1"/>
    </xf>
    <xf numFmtId="0" fontId="47" fillId="0" borderId="18" xfId="6" applyBorder="1"/>
    <xf numFmtId="14" fontId="55" fillId="0" borderId="33" xfId="7" applyNumberFormat="1" applyFont="1" applyBorder="1" applyAlignment="1">
      <alignment horizontal="center" vertical="center" wrapText="1"/>
    </xf>
    <xf numFmtId="14" fontId="55" fillId="0" borderId="2" xfId="7" applyNumberFormat="1" applyFont="1" applyBorder="1" applyAlignment="1">
      <alignment horizontal="center" vertical="center" wrapText="1"/>
    </xf>
    <xf numFmtId="2" fontId="53" fillId="0" borderId="1" xfId="7" applyNumberFormat="1" applyFont="1" applyBorder="1" applyAlignment="1">
      <alignment horizontal="center" vertical="center" wrapText="1"/>
    </xf>
    <xf numFmtId="0" fontId="55" fillId="0" borderId="31" xfId="7" applyFont="1" applyBorder="1" applyAlignment="1">
      <alignment horizontal="center" vertical="center" wrapText="1"/>
    </xf>
    <xf numFmtId="0" fontId="47" fillId="0" borderId="31" xfId="6" applyBorder="1" applyAlignment="1">
      <alignment wrapText="1"/>
    </xf>
    <xf numFmtId="0" fontId="47" fillId="0" borderId="31" xfId="6" applyBorder="1"/>
    <xf numFmtId="173" fontId="55" fillId="0" borderId="33" xfId="7" applyNumberFormat="1" applyFont="1" applyBorder="1" applyAlignment="1">
      <alignment horizontal="center" vertical="center" wrapText="1"/>
    </xf>
    <xf numFmtId="172" fontId="54" fillId="0" borderId="4" xfId="7" applyNumberFormat="1" applyBorder="1" applyAlignment="1">
      <alignment vertical="center"/>
    </xf>
    <xf numFmtId="172" fontId="54" fillId="0" borderId="1" xfId="7" applyNumberFormat="1" applyBorder="1" applyAlignment="1">
      <alignment vertical="center"/>
    </xf>
    <xf numFmtId="2" fontId="58" fillId="0" borderId="1" xfId="7" applyNumberFormat="1" applyFont="1" applyBorder="1" applyAlignment="1">
      <alignment vertical="center"/>
    </xf>
    <xf numFmtId="2" fontId="54" fillId="0" borderId="1" xfId="7" applyNumberFormat="1" applyBorder="1" applyAlignment="1">
      <alignment vertical="center"/>
    </xf>
    <xf numFmtId="2" fontId="58" fillId="0" borderId="33" xfId="7" applyNumberFormat="1" applyFont="1" applyBorder="1" applyAlignment="1">
      <alignment vertical="center"/>
    </xf>
    <xf numFmtId="14" fontId="55" fillId="0" borderId="45" xfId="7" applyNumberFormat="1" applyFont="1" applyBorder="1" applyAlignment="1">
      <alignment horizontal="center" vertical="center" wrapText="1"/>
    </xf>
    <xf numFmtId="174" fontId="55" fillId="0" borderId="39" xfId="7" applyNumberFormat="1" applyFont="1" applyBorder="1" applyAlignment="1">
      <alignment vertical="center" wrapText="1"/>
    </xf>
    <xf numFmtId="174" fontId="55" fillId="0" borderId="40" xfId="7" applyNumberFormat="1" applyFont="1" applyBorder="1" applyAlignment="1">
      <alignment vertical="center" wrapText="1"/>
    </xf>
    <xf numFmtId="174" fontId="55" fillId="0" borderId="42" xfId="7" applyNumberFormat="1" applyFont="1" applyBorder="1" applyAlignment="1">
      <alignment vertical="center" wrapText="1"/>
    </xf>
    <xf numFmtId="173" fontId="55" fillId="0" borderId="43" xfId="7" applyNumberFormat="1" applyFont="1" applyBorder="1" applyAlignment="1">
      <alignment horizontal="center" vertical="center" wrapText="1"/>
    </xf>
    <xf numFmtId="0" fontId="47" fillId="0" borderId="46" xfId="6" applyBorder="1"/>
    <xf numFmtId="0" fontId="47" fillId="0" borderId="53" xfId="6" applyBorder="1"/>
    <xf numFmtId="14" fontId="47" fillId="0" borderId="0" xfId="6" applyNumberFormat="1"/>
    <xf numFmtId="164" fontId="60" fillId="0" borderId="4" xfId="1" applyFont="1" applyBorder="1" applyAlignment="1">
      <alignment horizontal="center" vertical="center" wrapText="1"/>
    </xf>
    <xf numFmtId="164" fontId="60" fillId="0" borderId="1" xfId="1" applyFont="1" applyBorder="1" applyAlignment="1">
      <alignment horizontal="center" vertical="center" wrapText="1"/>
    </xf>
    <xf numFmtId="164" fontId="55" fillId="0" borderId="1" xfId="1" applyFont="1" applyBorder="1" applyAlignment="1">
      <alignment horizontal="center" vertical="center" wrapText="1"/>
    </xf>
    <xf numFmtId="164" fontId="55" fillId="0" borderId="2" xfId="1" applyFont="1" applyBorder="1" applyAlignment="1">
      <alignment horizontal="center" vertical="center" wrapText="1"/>
    </xf>
    <xf numFmtId="164" fontId="55" fillId="0" borderId="31" xfId="1" applyFont="1" applyBorder="1" applyAlignment="1">
      <alignment horizontal="center" vertical="center" wrapText="1"/>
    </xf>
    <xf numFmtId="164" fontId="55" fillId="0" borderId="13" xfId="1" applyFont="1" applyBorder="1" applyAlignment="1">
      <alignment vertical="center" wrapText="1"/>
    </xf>
    <xf numFmtId="164" fontId="55" fillId="0" borderId="1" xfId="1" applyFont="1" applyBorder="1" applyAlignment="1">
      <alignment vertical="center" wrapText="1"/>
    </xf>
    <xf numFmtId="164" fontId="55" fillId="0" borderId="33" xfId="1" applyFont="1" applyBorder="1" applyAlignment="1">
      <alignment horizontal="center" vertical="center" wrapText="1"/>
    </xf>
    <xf numFmtId="164" fontId="55" fillId="11" borderId="31" xfId="1" applyFont="1" applyFill="1" applyBorder="1" applyAlignment="1">
      <alignment horizontal="center" vertical="center" wrapText="1"/>
    </xf>
    <xf numFmtId="173" fontId="55" fillId="0" borderId="13" xfId="7" applyNumberFormat="1" applyFont="1" applyBorder="1" applyAlignment="1">
      <alignment horizontal="center" vertical="center" wrapText="1"/>
    </xf>
    <xf numFmtId="173" fontId="55" fillId="0" borderId="1" xfId="7" applyNumberFormat="1" applyFont="1" applyBorder="1" applyAlignment="1">
      <alignment horizontal="center" vertical="center" wrapText="1"/>
    </xf>
    <xf numFmtId="164" fontId="58" fillId="0" borderId="1" xfId="1" applyFont="1" applyBorder="1" applyAlignment="1">
      <alignment vertical="center"/>
    </xf>
    <xf numFmtId="164" fontId="54" fillId="0" borderId="1" xfId="1" applyFont="1" applyBorder="1" applyAlignment="1">
      <alignment vertical="center"/>
    </xf>
    <xf numFmtId="164" fontId="55" fillId="0" borderId="4" xfId="1" applyFont="1" applyBorder="1" applyAlignment="1">
      <alignment vertical="center" wrapText="1"/>
    </xf>
    <xf numFmtId="164" fontId="55" fillId="12" borderId="1" xfId="1" applyFont="1" applyFill="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0" fillId="8" borderId="1" xfId="0" applyFill="1" applyBorder="1" applyAlignment="1">
      <alignment vertical="center" wrapText="1"/>
    </xf>
    <xf numFmtId="164" fontId="0" fillId="0" borderId="0" xfId="0" applyNumberFormat="1" applyAlignment="1">
      <alignment wrapText="1"/>
    </xf>
    <xf numFmtId="0" fontId="2" fillId="8" borderId="6"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0" fillId="0" borderId="9" xfId="0" applyFont="1" applyBorder="1" applyAlignment="1">
      <alignment horizontal="center" vertical="top"/>
    </xf>
    <xf numFmtId="0" fontId="50" fillId="0" borderId="10" xfId="0" applyFont="1" applyBorder="1" applyAlignment="1">
      <alignment horizontal="center" vertical="top"/>
    </xf>
    <xf numFmtId="0" fontId="50" fillId="0" borderId="11" xfId="0" applyFont="1" applyBorder="1" applyAlignment="1">
      <alignment horizontal="center" vertical="top"/>
    </xf>
    <xf numFmtId="0" fontId="51" fillId="0" borderId="1" xfId="0" applyFont="1" applyBorder="1" applyAlignment="1">
      <alignment horizontal="left" vertical="top"/>
    </xf>
    <xf numFmtId="0" fontId="51" fillId="0" borderId="1" xfId="0" applyFont="1" applyBorder="1" applyAlignment="1">
      <alignment horizontal="left" vertical="top" wrapText="1"/>
    </xf>
    <xf numFmtId="0" fontId="51" fillId="0" borderId="1" xfId="0" quotePrefix="1" applyFont="1" applyBorder="1" applyAlignment="1">
      <alignment horizontal="left" vertical="top" wrapText="1"/>
    </xf>
    <xf numFmtId="0" fontId="0" fillId="0" borderId="1" xfId="0" applyBorder="1" applyAlignment="1">
      <alignment vertical="top"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52" fillId="0" borderId="14" xfId="6" applyFont="1" applyBorder="1" applyAlignment="1">
      <alignment horizontal="center" vertical="center" wrapText="1"/>
    </xf>
    <xf numFmtId="0" fontId="52" fillId="0" borderId="15" xfId="6" applyFont="1" applyBorder="1" applyAlignment="1">
      <alignment horizontal="center" vertical="center"/>
    </xf>
    <xf numFmtId="0" fontId="52" fillId="0" borderId="16" xfId="6" applyFont="1" applyBorder="1" applyAlignment="1">
      <alignment horizontal="center" vertical="center"/>
    </xf>
    <xf numFmtId="14" fontId="56" fillId="0" borderId="9" xfId="6" applyNumberFormat="1" applyFont="1" applyBorder="1" applyAlignment="1">
      <alignment horizontal="center" vertical="center"/>
    </xf>
    <xf numFmtId="0" fontId="56" fillId="0" borderId="10" xfId="6" applyFont="1" applyBorder="1" applyAlignment="1">
      <alignment horizontal="center" vertical="center"/>
    </xf>
    <xf numFmtId="0" fontId="56" fillId="0" borderId="11" xfId="6" applyFont="1" applyBorder="1" applyAlignment="1">
      <alignment horizontal="center" vertical="center"/>
    </xf>
    <xf numFmtId="0" fontId="51" fillId="0" borderId="9" xfId="6" applyFont="1" applyBorder="1" applyAlignment="1">
      <alignment horizontal="left" vertical="center" wrapText="1"/>
    </xf>
    <xf numFmtId="0" fontId="51" fillId="0" borderId="10" xfId="6" applyFont="1" applyBorder="1" applyAlignment="1">
      <alignment horizontal="left" vertical="center" wrapText="1"/>
    </xf>
    <xf numFmtId="0" fontId="51" fillId="0" borderId="11" xfId="6" applyFont="1" applyBorder="1" applyAlignment="1">
      <alignment horizontal="left" vertical="center" wrapText="1"/>
    </xf>
    <xf numFmtId="0" fontId="53" fillId="0" borderId="1" xfId="6" applyFont="1" applyBorder="1" applyAlignment="1">
      <alignment horizontal="center"/>
    </xf>
    <xf numFmtId="0" fontId="9" fillId="0" borderId="0" xfId="6" applyFont="1" applyAlignment="1">
      <alignment horizontal="left" vertical="center" wrapText="1"/>
    </xf>
    <xf numFmtId="0" fontId="53" fillId="0" borderId="1" xfId="6" applyFont="1" applyBorder="1" applyAlignment="1">
      <alignment horizontal="center" wrapText="1"/>
    </xf>
    <xf numFmtId="0" fontId="47" fillId="0" borderId="0" xfId="6" applyAlignment="1">
      <alignment horizontal="center"/>
    </xf>
    <xf numFmtId="0" fontId="56" fillId="0" borderId="18" xfId="6" applyFont="1" applyBorder="1" applyAlignment="1">
      <alignment horizontal="center" vertical="center"/>
    </xf>
    <xf numFmtId="0" fontId="56" fillId="0" borderId="27" xfId="6" applyFont="1" applyBorder="1" applyAlignment="1">
      <alignment horizontal="center" vertical="center"/>
    </xf>
    <xf numFmtId="0" fontId="56" fillId="0" borderId="34" xfId="6" applyFont="1" applyBorder="1" applyAlignment="1">
      <alignment horizontal="center" vertical="center"/>
    </xf>
    <xf numFmtId="0" fontId="56" fillId="0" borderId="18" xfId="6" applyFont="1" applyBorder="1" applyAlignment="1">
      <alignment horizontal="center" vertical="center" wrapText="1"/>
    </xf>
    <xf numFmtId="0" fontId="56" fillId="0" borderId="27" xfId="6" applyFont="1" applyBorder="1" applyAlignment="1">
      <alignment horizontal="center" vertical="center" wrapText="1"/>
    </xf>
    <xf numFmtId="0" fontId="56" fillId="0" borderId="34" xfId="6" applyFont="1" applyBorder="1" applyAlignment="1">
      <alignment horizontal="center" vertical="center" wrapText="1"/>
    </xf>
    <xf numFmtId="0" fontId="53" fillId="0" borderId="19" xfId="7" applyFont="1" applyBorder="1" applyAlignment="1">
      <alignment horizontal="center" vertical="center" wrapText="1"/>
    </xf>
    <xf numFmtId="0" fontId="53" fillId="0" borderId="28" xfId="7" applyFont="1" applyBorder="1" applyAlignment="1">
      <alignment horizontal="center" vertical="center" wrapText="1"/>
    </xf>
    <xf numFmtId="0" fontId="53" fillId="0" borderId="30" xfId="7" applyFont="1" applyBorder="1" applyAlignment="1">
      <alignment horizontal="center" vertical="center" wrapText="1"/>
    </xf>
    <xf numFmtId="0" fontId="53" fillId="0" borderId="12" xfId="7" applyFont="1" applyBorder="1" applyAlignment="1">
      <alignment horizontal="center" vertical="center" wrapText="1"/>
    </xf>
    <xf numFmtId="0" fontId="53" fillId="0" borderId="20" xfId="7" applyFont="1" applyBorder="1" applyAlignment="1">
      <alignment horizontal="center" vertical="center" wrapText="1"/>
    </xf>
    <xf numFmtId="0" fontId="53" fillId="0" borderId="21" xfId="7" applyFont="1" applyBorder="1" applyAlignment="1">
      <alignment horizontal="center" vertical="center" wrapText="1"/>
    </xf>
    <xf numFmtId="0" fontId="53" fillId="0" borderId="22" xfId="7" applyFont="1" applyBorder="1" applyAlignment="1">
      <alignment horizontal="center" vertical="center" wrapText="1"/>
    </xf>
    <xf numFmtId="0" fontId="53" fillId="0" borderId="23" xfId="7" applyFont="1" applyBorder="1" applyAlignment="1">
      <alignment horizontal="center" vertical="center" wrapText="1"/>
    </xf>
    <xf numFmtId="0" fontId="53" fillId="0" borderId="29" xfId="7" applyFont="1" applyBorder="1" applyAlignment="1">
      <alignment horizontal="center" vertical="center" wrapText="1"/>
    </xf>
    <xf numFmtId="0" fontId="53" fillId="0" borderId="5" xfId="7" applyFont="1" applyBorder="1" applyAlignment="1">
      <alignment horizontal="center" vertical="center" wrapText="1"/>
    </xf>
    <xf numFmtId="0" fontId="53" fillId="0" borderId="24" xfId="7" applyFont="1" applyBorder="1" applyAlignment="1">
      <alignment horizontal="center" vertical="center" wrapText="1"/>
    </xf>
    <xf numFmtId="0" fontId="53" fillId="0" borderId="31" xfId="7" applyFont="1" applyBorder="1" applyAlignment="1">
      <alignment horizontal="center" vertical="center" wrapText="1"/>
    </xf>
    <xf numFmtId="0" fontId="53" fillId="0" borderId="25" xfId="7" applyFont="1" applyBorder="1" applyAlignment="1">
      <alignment horizontal="center" vertical="center" wrapText="1"/>
    </xf>
    <xf numFmtId="0" fontId="53" fillId="0" borderId="4" xfId="7" applyFont="1" applyBorder="1" applyAlignment="1">
      <alignment horizontal="center" vertical="center" wrapText="1"/>
    </xf>
    <xf numFmtId="0" fontId="53" fillId="0" borderId="1" xfId="7" applyFont="1" applyBorder="1" applyAlignment="1">
      <alignment horizontal="center" vertical="center" wrapText="1"/>
    </xf>
    <xf numFmtId="0" fontId="58" fillId="0" borderId="12" xfId="7" applyFont="1" applyBorder="1" applyAlignment="1">
      <alignment horizontal="center" vertical="center"/>
    </xf>
    <xf numFmtId="0" fontId="58" fillId="0" borderId="20" xfId="7" applyFont="1" applyBorder="1" applyAlignment="1">
      <alignment horizontal="center" vertical="center"/>
    </xf>
    <xf numFmtId="0" fontId="58" fillId="0" borderId="26" xfId="7" applyFont="1" applyBorder="1" applyAlignment="1">
      <alignment horizontal="center" vertical="center"/>
    </xf>
    <xf numFmtId="0" fontId="58" fillId="0" borderId="13" xfId="7" applyFont="1" applyBorder="1" applyAlignment="1">
      <alignment horizontal="center" vertical="center"/>
    </xf>
    <xf numFmtId="0" fontId="58" fillId="0" borderId="1" xfId="7" applyFont="1" applyBorder="1" applyAlignment="1">
      <alignment horizontal="center" vertical="center"/>
    </xf>
    <xf numFmtId="0" fontId="58" fillId="0" borderId="33" xfId="7" applyFont="1" applyBorder="1" applyAlignment="1">
      <alignment horizontal="center" vertical="center"/>
    </xf>
    <xf numFmtId="0" fontId="53" fillId="0" borderId="13" xfId="7" applyFont="1" applyBorder="1" applyAlignment="1">
      <alignment horizontal="center" vertical="center" wrapText="1"/>
    </xf>
    <xf numFmtId="0" fontId="53" fillId="0" borderId="2" xfId="7" applyFont="1" applyBorder="1" applyAlignment="1">
      <alignment horizontal="center" vertical="center" wrapText="1"/>
    </xf>
    <xf numFmtId="0" fontId="53" fillId="0" borderId="32" xfId="7" applyFont="1" applyBorder="1" applyAlignment="1">
      <alignment horizontal="center" vertical="center" wrapText="1"/>
    </xf>
    <xf numFmtId="14" fontId="56" fillId="9" borderId="2" xfId="6" applyNumberFormat="1" applyFont="1" applyFill="1" applyBorder="1" applyAlignment="1">
      <alignment horizontal="center" vertical="center"/>
    </xf>
    <xf numFmtId="0" fontId="56" fillId="9" borderId="3" xfId="6" applyFont="1" applyFill="1" applyBorder="1" applyAlignment="1">
      <alignment horizontal="center" vertical="center"/>
    </xf>
    <xf numFmtId="0" fontId="56" fillId="9" borderId="4" xfId="6" applyFont="1" applyFill="1" applyBorder="1" applyAlignment="1">
      <alignment horizontal="center" vertical="center"/>
    </xf>
    <xf numFmtId="0" fontId="53" fillId="0" borderId="1" xfId="6" applyFont="1" applyBorder="1" applyAlignment="1">
      <alignment horizontal="center" vertical="center"/>
    </xf>
    <xf numFmtId="0" fontId="53" fillId="0" borderId="2" xfId="6" applyFont="1" applyBorder="1" applyAlignment="1">
      <alignment horizontal="center" vertical="center"/>
    </xf>
    <xf numFmtId="0" fontId="53" fillId="0" borderId="1" xfId="6" applyFont="1" applyBorder="1" applyAlignment="1">
      <alignment horizontal="center" vertical="center" wrapText="1"/>
    </xf>
    <xf numFmtId="0" fontId="58" fillId="0" borderId="4" xfId="7" applyFont="1" applyBorder="1" applyAlignment="1">
      <alignment horizontal="center" vertical="center"/>
    </xf>
    <xf numFmtId="0" fontId="53" fillId="0" borderId="0" xfId="7" applyFont="1" applyAlignment="1">
      <alignment horizontal="center" vertical="center" wrapText="1"/>
    </xf>
    <xf numFmtId="0" fontId="53" fillId="0" borderId="26" xfId="7" applyFont="1" applyBorder="1" applyAlignment="1">
      <alignment horizontal="center" vertical="center" wrapText="1"/>
    </xf>
    <xf numFmtId="0" fontId="53" fillId="0" borderId="33" xfId="7" applyFont="1" applyBorder="1" applyAlignment="1">
      <alignment horizontal="center" vertical="center" wrapText="1"/>
    </xf>
    <xf numFmtId="0" fontId="53" fillId="0" borderId="48" xfId="7" applyFont="1" applyBorder="1" applyAlignment="1">
      <alignment horizontal="center" vertical="center" wrapText="1"/>
    </xf>
    <xf numFmtId="0" fontId="53" fillId="0" borderId="50" xfId="7" applyFont="1" applyBorder="1" applyAlignment="1">
      <alignment horizontal="center" vertical="center" wrapText="1"/>
    </xf>
    <xf numFmtId="0" fontId="53" fillId="0" borderId="6" xfId="7" applyFont="1" applyBorder="1" applyAlignment="1">
      <alignment horizontal="center" vertical="center" wrapText="1"/>
    </xf>
    <xf numFmtId="0" fontId="53" fillId="0" borderId="8" xfId="7" applyFont="1" applyBorder="1" applyAlignment="1">
      <alignment horizontal="center" vertical="center" wrapText="1"/>
    </xf>
    <xf numFmtId="0" fontId="58" fillId="0" borderId="6" xfId="7" applyFont="1" applyBorder="1" applyAlignment="1">
      <alignment horizontal="center" vertical="center" wrapText="1"/>
    </xf>
    <xf numFmtId="0" fontId="58" fillId="0" borderId="7" xfId="7" applyFont="1" applyBorder="1" applyAlignment="1">
      <alignment horizontal="center" vertical="center" wrapText="1"/>
    </xf>
    <xf numFmtId="0" fontId="58" fillId="0" borderId="8" xfId="7" applyFont="1" applyBorder="1" applyAlignment="1">
      <alignment horizontal="center" vertical="center" wrapText="1"/>
    </xf>
    <xf numFmtId="0" fontId="58" fillId="0" borderId="49" xfId="7" applyFont="1" applyBorder="1" applyAlignment="1">
      <alignment horizontal="center" vertical="center" wrapText="1"/>
    </xf>
    <xf numFmtId="0" fontId="58" fillId="0" borderId="51" xfId="7" applyFont="1" applyBorder="1" applyAlignment="1">
      <alignment horizontal="center" vertical="center" wrapText="1"/>
    </xf>
    <xf numFmtId="0" fontId="58" fillId="0" borderId="52" xfId="7" applyFont="1" applyBorder="1" applyAlignment="1">
      <alignment horizontal="center" vertical="center" wrapText="1"/>
    </xf>
  </cellXfs>
  <cellStyles count="8">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026B3078-71DE-4D59-A514-4B105656E603}"/>
    <cellStyle name="Normal 6 2" xfId="6" xr:uid="{CE2F9236-6E22-456D-A621-CEA743C544F4}"/>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D2" sqref="D2:D3"/>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3"/>
      <c r="C2" s="1" t="s">
        <v>221</v>
      </c>
      <c r="D2" s="1" t="s">
        <v>222</v>
      </c>
      <c r="E2" s="1" t="s">
        <v>223</v>
      </c>
      <c r="F2" s="58"/>
      <c r="G2" s="58"/>
      <c r="H2" s="58">
        <v>0</v>
      </c>
      <c r="I2" s="58"/>
      <c r="J2" s="53" t="s">
        <v>41</v>
      </c>
      <c r="K2" s="53"/>
      <c r="L2" s="53">
        <v>324</v>
      </c>
      <c r="M2" s="53"/>
      <c r="N2" s="52"/>
      <c r="O2" s="52"/>
      <c r="P2" s="52">
        <v>0</v>
      </c>
      <c r="Q2" s="52"/>
      <c r="R2" s="56"/>
      <c r="S2" s="56"/>
      <c r="T2" s="56">
        <v>0</v>
      </c>
      <c r="U2" s="56"/>
      <c r="V2" s="55" t="s">
        <v>47</v>
      </c>
      <c r="W2" s="55"/>
      <c r="X2" s="55">
        <v>75</v>
      </c>
      <c r="Y2" s="55"/>
      <c r="Z2" s="1"/>
      <c r="AA2" s="1"/>
      <c r="AB2" s="1">
        <v>0</v>
      </c>
      <c r="AC2" s="1"/>
      <c r="AD2" s="54"/>
      <c r="AE2" s="54"/>
      <c r="AF2" s="54">
        <v>0</v>
      </c>
      <c r="AG2" s="54"/>
      <c r="AH2" s="55" t="s">
        <v>67</v>
      </c>
      <c r="AI2" s="55"/>
      <c r="AJ2" s="55">
        <v>157</v>
      </c>
      <c r="AK2" s="55"/>
      <c r="AL2" s="1" t="s">
        <v>61</v>
      </c>
      <c r="AM2" s="1"/>
      <c r="AN2" s="1">
        <v>165</v>
      </c>
      <c r="AO2" s="1"/>
      <c r="AP2" s="57"/>
      <c r="AQ2" s="57"/>
      <c r="AR2" s="57">
        <v>0</v>
      </c>
      <c r="AS2" s="57"/>
      <c r="AT2" s="1"/>
      <c r="AU2" s="1"/>
      <c r="AV2" s="1">
        <v>0</v>
      </c>
      <c r="AW2" s="1"/>
      <c r="AX2" s="1"/>
      <c r="AY2" s="1"/>
      <c r="AZ2" s="1">
        <v>0</v>
      </c>
      <c r="BA2" s="1"/>
      <c r="BB2" s="1"/>
      <c r="BC2" s="1"/>
      <c r="BD2" s="1">
        <v>0</v>
      </c>
      <c r="BE2" s="1"/>
      <c r="BF2" s="1"/>
      <c r="BG2" s="1"/>
      <c r="BH2" s="1">
        <v>0</v>
      </c>
      <c r="BI2" s="1"/>
      <c r="BJ2" s="1"/>
      <c r="BK2" s="1"/>
      <c r="BL2" s="1">
        <v>0</v>
      </c>
      <c r="BM2" s="70"/>
      <c r="BN2" s="1"/>
      <c r="BO2" s="1"/>
      <c r="BP2" s="1">
        <v>0</v>
      </c>
      <c r="BQ2" s="1"/>
      <c r="BR2" s="1" t="s">
        <v>18</v>
      </c>
      <c r="BS2" s="1"/>
      <c r="BT2" s="1">
        <v>0</v>
      </c>
      <c r="BU2" s="1"/>
      <c r="BV2" s="1"/>
      <c r="BW2" s="1"/>
      <c r="BX2" s="1">
        <v>0</v>
      </c>
      <c r="BY2" s="1"/>
      <c r="BZ2" s="1"/>
      <c r="CA2" s="1"/>
      <c r="CB2" s="60"/>
      <c r="CC2" s="1"/>
      <c r="CD2" s="60"/>
      <c r="CE2" s="1"/>
      <c r="CF2" s="60"/>
      <c r="CG2" s="1"/>
      <c r="CH2" s="1"/>
      <c r="CI2" s="60"/>
      <c r="CJ2" s="1"/>
      <c r="CK2" s="60"/>
      <c r="CL2" s="1"/>
      <c r="CM2" s="1"/>
      <c r="CN2" s="1"/>
      <c r="CO2" s="1"/>
      <c r="CP2" s="60"/>
      <c r="CQ2" s="1"/>
      <c r="CR2" s="60">
        <v>0.18</v>
      </c>
      <c r="CS2" s="1"/>
      <c r="CT2" s="1"/>
      <c r="CU2" s="59">
        <v>10</v>
      </c>
      <c r="CV2" s="59" t="s">
        <v>224</v>
      </c>
      <c r="CW2" s="59"/>
      <c r="CX2" s="1"/>
    </row>
    <row r="3" spans="1:104" s="10" customFormat="1" ht="18" customHeight="1" x14ac:dyDescent="0.25">
      <c r="A3" s="6" t="s">
        <v>220</v>
      </c>
      <c r="B3" s="63"/>
      <c r="C3" s="1" t="s">
        <v>221</v>
      </c>
      <c r="D3" s="1" t="s">
        <v>222</v>
      </c>
      <c r="E3" s="1" t="s">
        <v>223</v>
      </c>
      <c r="F3" s="58"/>
      <c r="G3" s="58"/>
      <c r="H3" s="58">
        <v>0</v>
      </c>
      <c r="I3" s="58"/>
      <c r="J3" s="53" t="s">
        <v>41</v>
      </c>
      <c r="K3" s="53"/>
      <c r="L3" s="53">
        <v>324</v>
      </c>
      <c r="M3" s="53"/>
      <c r="N3" s="52"/>
      <c r="O3" s="52"/>
      <c r="P3" s="52">
        <v>0</v>
      </c>
      <c r="Q3" s="52"/>
      <c r="R3" s="56"/>
      <c r="S3" s="56"/>
      <c r="T3" s="56">
        <v>0</v>
      </c>
      <c r="U3" s="56"/>
      <c r="V3" s="55" t="s">
        <v>47</v>
      </c>
      <c r="W3" s="55"/>
      <c r="X3" s="55">
        <v>75</v>
      </c>
      <c r="Y3" s="55"/>
      <c r="Z3" s="1"/>
      <c r="AA3" s="1"/>
      <c r="AB3" s="1">
        <v>0</v>
      </c>
      <c r="AC3" s="1"/>
      <c r="AD3" s="54"/>
      <c r="AE3" s="54"/>
      <c r="AF3" s="54">
        <v>0</v>
      </c>
      <c r="AG3" s="54"/>
      <c r="AH3" s="55" t="s">
        <v>67</v>
      </c>
      <c r="AI3" s="55"/>
      <c r="AJ3" s="55">
        <v>157</v>
      </c>
      <c r="AK3" s="55"/>
      <c r="AL3" s="1" t="s">
        <v>61</v>
      </c>
      <c r="AM3" s="1"/>
      <c r="AN3" s="1">
        <v>165</v>
      </c>
      <c r="AO3" s="1"/>
      <c r="AP3" s="57"/>
      <c r="AQ3" s="57"/>
      <c r="AR3" s="57">
        <v>0</v>
      </c>
      <c r="AS3" s="57"/>
      <c r="AT3" s="1"/>
      <c r="AU3" s="1"/>
      <c r="AV3" s="1">
        <v>0</v>
      </c>
      <c r="AW3" s="1"/>
      <c r="AX3" s="1"/>
      <c r="AY3" s="1"/>
      <c r="AZ3" s="1">
        <v>0</v>
      </c>
      <c r="BA3" s="1"/>
      <c r="BB3" s="1"/>
      <c r="BC3" s="1"/>
      <c r="BD3" s="1">
        <v>0</v>
      </c>
      <c r="BE3" s="1"/>
      <c r="BF3" s="1"/>
      <c r="BG3" s="1"/>
      <c r="BH3" s="1">
        <v>0</v>
      </c>
      <c r="BI3" s="1"/>
      <c r="BJ3" s="1"/>
      <c r="BK3" s="1"/>
      <c r="BL3" s="1">
        <v>0</v>
      </c>
      <c r="BM3" s="70"/>
      <c r="BN3" s="1"/>
      <c r="BO3" s="1"/>
      <c r="BP3" s="1">
        <v>0</v>
      </c>
      <c r="BQ3" s="1"/>
      <c r="BR3" s="1" t="s">
        <v>18</v>
      </c>
      <c r="BS3" s="1"/>
      <c r="BT3" s="1">
        <v>0</v>
      </c>
      <c r="BU3" s="1"/>
      <c r="BV3" s="1"/>
      <c r="BW3" s="1"/>
      <c r="BX3" s="1">
        <v>0</v>
      </c>
      <c r="BY3" s="1"/>
      <c r="BZ3" s="1"/>
      <c r="CA3" s="1"/>
      <c r="CB3" s="60"/>
      <c r="CC3" s="1"/>
      <c r="CD3" s="60"/>
      <c r="CE3" s="1"/>
      <c r="CF3" s="60"/>
      <c r="CG3" s="1"/>
      <c r="CH3" s="1"/>
      <c r="CI3" s="60"/>
      <c r="CJ3" s="1"/>
      <c r="CK3" s="60"/>
      <c r="CL3" s="1"/>
      <c r="CM3" s="1"/>
      <c r="CN3" s="1"/>
      <c r="CO3" s="1"/>
      <c r="CP3" s="60"/>
      <c r="CQ3" s="1"/>
      <c r="CR3" s="60">
        <v>0.18</v>
      </c>
      <c r="CS3" s="1"/>
      <c r="CT3" s="1"/>
      <c r="CU3" s="59">
        <v>14</v>
      </c>
      <c r="CV3" s="59" t="s">
        <v>224</v>
      </c>
      <c r="CW3" s="59"/>
      <c r="CX3" s="1">
        <v>500</v>
      </c>
    </row>
    <row r="4" spans="1:104" s="10" customFormat="1" ht="18" customHeight="1" x14ac:dyDescent="0.25">
      <c r="A4" s="6" t="s">
        <v>220</v>
      </c>
      <c r="B4" s="63"/>
      <c r="C4" s="1" t="s">
        <v>225</v>
      </c>
      <c r="D4" s="1" t="s">
        <v>226</v>
      </c>
      <c r="E4" s="1" t="s">
        <v>223</v>
      </c>
      <c r="F4" s="58"/>
      <c r="G4" s="58"/>
      <c r="H4" s="58">
        <v>0</v>
      </c>
      <c r="I4" s="58"/>
      <c r="J4" s="53" t="s">
        <v>41</v>
      </c>
      <c r="K4" s="53"/>
      <c r="L4" s="53">
        <v>1701</v>
      </c>
      <c r="M4" s="53"/>
      <c r="N4" s="52"/>
      <c r="O4" s="52"/>
      <c r="P4" s="52">
        <v>0</v>
      </c>
      <c r="Q4" s="52"/>
      <c r="R4" s="56"/>
      <c r="S4" s="56"/>
      <c r="T4" s="56">
        <v>0</v>
      </c>
      <c r="U4" s="56"/>
      <c r="V4" s="55" t="s">
        <v>47</v>
      </c>
      <c r="W4" s="55"/>
      <c r="X4" s="55">
        <v>295</v>
      </c>
      <c r="Y4" s="55"/>
      <c r="Z4" s="1"/>
      <c r="AA4" s="1"/>
      <c r="AB4" s="1">
        <v>0</v>
      </c>
      <c r="AC4" s="1"/>
      <c r="AD4" s="54"/>
      <c r="AE4" s="54"/>
      <c r="AF4" s="54">
        <v>0</v>
      </c>
      <c r="AG4" s="54"/>
      <c r="AH4" s="55" t="s">
        <v>67</v>
      </c>
      <c r="AI4" s="55"/>
      <c r="AJ4" s="55">
        <v>431</v>
      </c>
      <c r="AK4" s="55"/>
      <c r="AL4" s="1" t="s">
        <v>61</v>
      </c>
      <c r="AM4" s="1"/>
      <c r="AN4" s="1">
        <v>443</v>
      </c>
      <c r="AO4" s="1"/>
      <c r="AP4" s="57"/>
      <c r="AQ4" s="57"/>
      <c r="AR4" s="57">
        <v>0</v>
      </c>
      <c r="AS4" s="57"/>
      <c r="AT4" s="1"/>
      <c r="AU4" s="1"/>
      <c r="AV4" s="1">
        <v>0</v>
      </c>
      <c r="AW4" s="1"/>
      <c r="AX4" s="1"/>
      <c r="AY4" s="1"/>
      <c r="AZ4" s="1">
        <v>0</v>
      </c>
      <c r="BA4" s="1"/>
      <c r="BB4" s="1"/>
      <c r="BC4" s="1"/>
      <c r="BD4" s="1">
        <v>0</v>
      </c>
      <c r="BE4" s="1"/>
      <c r="BF4" s="1"/>
      <c r="BG4" s="1"/>
      <c r="BH4" s="1">
        <v>0</v>
      </c>
      <c r="BI4" s="1"/>
      <c r="BJ4" s="1"/>
      <c r="BK4" s="1"/>
      <c r="BL4" s="1">
        <v>0</v>
      </c>
      <c r="BM4" s="70"/>
      <c r="BN4" s="1"/>
      <c r="BO4" s="1"/>
      <c r="BP4" s="1">
        <v>0</v>
      </c>
      <c r="BQ4" s="1"/>
      <c r="BR4" s="1" t="s">
        <v>18</v>
      </c>
      <c r="BS4" s="1"/>
      <c r="BT4" s="1">
        <v>0</v>
      </c>
      <c r="BU4" s="1"/>
      <c r="BV4" s="1"/>
      <c r="BW4" s="1"/>
      <c r="BX4" s="1">
        <v>0</v>
      </c>
      <c r="BY4" s="1"/>
      <c r="BZ4" s="1"/>
      <c r="CA4" s="1"/>
      <c r="CB4" s="60"/>
      <c r="CC4" s="1"/>
      <c r="CD4" s="60"/>
      <c r="CE4" s="1"/>
      <c r="CF4" s="60"/>
      <c r="CG4" s="1"/>
      <c r="CH4" s="1"/>
      <c r="CI4" s="60"/>
      <c r="CJ4" s="1"/>
      <c r="CK4" s="60"/>
      <c r="CL4" s="1"/>
      <c r="CM4" s="1"/>
      <c r="CN4" s="1"/>
      <c r="CO4" s="1"/>
      <c r="CP4" s="60"/>
      <c r="CQ4" s="1"/>
      <c r="CR4" s="60">
        <v>0.18</v>
      </c>
      <c r="CS4" s="1"/>
      <c r="CT4" s="1"/>
      <c r="CU4" s="59">
        <v>10</v>
      </c>
      <c r="CV4" s="59" t="s">
        <v>224</v>
      </c>
      <c r="CW4" s="59"/>
      <c r="CX4" s="1">
        <v>500</v>
      </c>
    </row>
    <row r="5" spans="1:104" s="10" customFormat="1" ht="18" customHeight="1" x14ac:dyDescent="0.25">
      <c r="A5" s="6" t="s">
        <v>220</v>
      </c>
      <c r="B5" s="63"/>
      <c r="C5" s="1" t="s">
        <v>227</v>
      </c>
      <c r="D5" s="1" t="s">
        <v>228</v>
      </c>
      <c r="E5" s="1" t="s">
        <v>223</v>
      </c>
      <c r="F5" s="58"/>
      <c r="G5" s="58"/>
      <c r="H5" s="58">
        <v>0</v>
      </c>
      <c r="I5" s="58"/>
      <c r="J5" s="53" t="s">
        <v>41</v>
      </c>
      <c r="K5" s="53"/>
      <c r="L5" s="53">
        <v>810</v>
      </c>
      <c r="M5" s="53"/>
      <c r="N5" s="52"/>
      <c r="O5" s="52"/>
      <c r="P5" s="52">
        <v>0</v>
      </c>
      <c r="Q5" s="52"/>
      <c r="R5" s="56"/>
      <c r="S5" s="56"/>
      <c r="T5" s="56">
        <v>0</v>
      </c>
      <c r="U5" s="56"/>
      <c r="V5" s="55" t="s">
        <v>47</v>
      </c>
      <c r="W5" s="55"/>
      <c r="X5" s="55">
        <v>154</v>
      </c>
      <c r="Y5" s="55"/>
      <c r="Z5" s="1"/>
      <c r="AA5" s="1"/>
      <c r="AB5" s="1">
        <v>0</v>
      </c>
      <c r="AC5" s="1"/>
      <c r="AD5" s="54"/>
      <c r="AE5" s="54"/>
      <c r="AF5" s="54">
        <v>0</v>
      </c>
      <c r="AG5" s="54"/>
      <c r="AH5" s="55" t="s">
        <v>67</v>
      </c>
      <c r="AI5" s="55"/>
      <c r="AJ5" s="55">
        <v>238</v>
      </c>
      <c r="AK5" s="55"/>
      <c r="AL5" s="1" t="s">
        <v>61</v>
      </c>
      <c r="AM5" s="1"/>
      <c r="AN5" s="1">
        <v>259</v>
      </c>
      <c r="AO5" s="1"/>
      <c r="AP5" s="57"/>
      <c r="AQ5" s="57"/>
      <c r="AR5" s="57">
        <v>0</v>
      </c>
      <c r="AS5" s="57"/>
      <c r="AT5" s="1"/>
      <c r="AU5" s="1"/>
      <c r="AV5" s="1">
        <v>0</v>
      </c>
      <c r="AW5" s="1"/>
      <c r="AX5" s="1"/>
      <c r="AY5" s="1"/>
      <c r="AZ5" s="1">
        <v>0</v>
      </c>
      <c r="BA5" s="1"/>
      <c r="BB5" s="1"/>
      <c r="BC5" s="1"/>
      <c r="BD5" s="1">
        <v>0</v>
      </c>
      <c r="BE5" s="1"/>
      <c r="BF5" s="1"/>
      <c r="BG5" s="1"/>
      <c r="BH5" s="1">
        <v>0</v>
      </c>
      <c r="BI5" s="1"/>
      <c r="BJ5" s="1"/>
      <c r="BK5" s="1"/>
      <c r="BL5" s="1">
        <v>0</v>
      </c>
      <c r="BM5" s="1"/>
      <c r="BN5" s="1"/>
      <c r="BO5" s="1"/>
      <c r="BP5" s="1">
        <v>0</v>
      </c>
      <c r="BQ5" s="1"/>
      <c r="BR5" s="1" t="s">
        <v>18</v>
      </c>
      <c r="BS5" s="1"/>
      <c r="BT5" s="1">
        <v>0</v>
      </c>
      <c r="BU5" s="1"/>
      <c r="BV5" s="1"/>
      <c r="BW5" s="1"/>
      <c r="BX5" s="1">
        <v>0</v>
      </c>
      <c r="BY5" s="1"/>
      <c r="BZ5" s="1"/>
      <c r="CA5" s="1"/>
      <c r="CB5" s="60"/>
      <c r="CC5" s="1"/>
      <c r="CD5" s="60"/>
      <c r="CE5" s="1"/>
      <c r="CF5" s="60"/>
      <c r="CG5" s="1"/>
      <c r="CH5" s="1"/>
      <c r="CI5" s="60"/>
      <c r="CJ5" s="1"/>
      <c r="CK5" s="60"/>
      <c r="CL5" s="1"/>
      <c r="CM5" s="1"/>
      <c r="CN5" s="1"/>
      <c r="CO5" s="1"/>
      <c r="CP5" s="60"/>
      <c r="CQ5" s="1"/>
      <c r="CR5" s="60">
        <v>0.18</v>
      </c>
      <c r="CS5" s="1"/>
      <c r="CT5" s="1"/>
      <c r="CU5" s="59">
        <v>12</v>
      </c>
      <c r="CV5" s="59" t="s">
        <v>224</v>
      </c>
      <c r="CW5" s="59"/>
      <c r="CX5" s="1">
        <v>500</v>
      </c>
    </row>
    <row r="6" spans="1:104" s="10" customFormat="1" ht="18" customHeight="1" x14ac:dyDescent="0.25">
      <c r="A6" s="6" t="s">
        <v>220</v>
      </c>
      <c r="B6" s="63"/>
      <c r="C6" s="1" t="s">
        <v>229</v>
      </c>
      <c r="D6" s="1" t="s">
        <v>230</v>
      </c>
      <c r="E6" s="1" t="s">
        <v>231</v>
      </c>
      <c r="F6" s="58"/>
      <c r="G6" s="58"/>
      <c r="H6" s="58">
        <v>0</v>
      </c>
      <c r="I6" s="58"/>
      <c r="J6" s="53" t="s">
        <v>41</v>
      </c>
      <c r="K6" s="53"/>
      <c r="L6" s="53">
        <v>540</v>
      </c>
      <c r="M6" s="53"/>
      <c r="N6" s="52"/>
      <c r="O6" s="52"/>
      <c r="P6" s="52">
        <v>0</v>
      </c>
      <c r="Q6" s="52"/>
      <c r="R6" s="56"/>
      <c r="S6" s="56"/>
      <c r="T6" s="56">
        <v>0</v>
      </c>
      <c r="U6" s="56"/>
      <c r="V6" s="55" t="s">
        <v>47</v>
      </c>
      <c r="W6" s="55"/>
      <c r="X6" s="55">
        <v>128</v>
      </c>
      <c r="Y6" s="55"/>
      <c r="Z6" s="1"/>
      <c r="AA6" s="1"/>
      <c r="AB6" s="1">
        <v>0</v>
      </c>
      <c r="AC6" s="1"/>
      <c r="AD6" s="54" t="s">
        <v>48</v>
      </c>
      <c r="AE6" s="54"/>
      <c r="AF6" s="54">
        <v>58</v>
      </c>
      <c r="AG6" s="54"/>
      <c r="AH6" s="55" t="s">
        <v>49</v>
      </c>
      <c r="AI6" s="55"/>
      <c r="AJ6" s="55">
        <v>425</v>
      </c>
      <c r="AK6" s="55"/>
      <c r="AL6" s="1" t="s">
        <v>48</v>
      </c>
      <c r="AM6" s="1"/>
      <c r="AN6" s="1">
        <v>226</v>
      </c>
      <c r="AO6" s="1"/>
      <c r="AP6" s="57"/>
      <c r="AQ6" s="57"/>
      <c r="AR6" s="57">
        <v>0</v>
      </c>
      <c r="AS6" s="57"/>
      <c r="AT6" s="1"/>
      <c r="AU6" s="1"/>
      <c r="AV6" s="1">
        <v>0</v>
      </c>
      <c r="AW6" s="1"/>
      <c r="AX6" s="1"/>
      <c r="AY6" s="1"/>
      <c r="AZ6" s="1">
        <v>0</v>
      </c>
      <c r="BA6" s="1"/>
      <c r="BB6" s="1"/>
      <c r="BC6" s="1"/>
      <c r="BD6" s="1">
        <v>0</v>
      </c>
      <c r="BE6" s="1"/>
      <c r="BF6" s="1"/>
      <c r="BG6" s="1"/>
      <c r="BH6" s="1">
        <v>0</v>
      </c>
      <c r="BI6" s="1"/>
      <c r="BJ6" s="1"/>
      <c r="BK6" s="1"/>
      <c r="BL6" s="1">
        <v>0</v>
      </c>
      <c r="BM6" s="1"/>
      <c r="BN6" s="1"/>
      <c r="BO6" s="1"/>
      <c r="BP6" s="1">
        <v>0</v>
      </c>
      <c r="BQ6" s="1"/>
      <c r="BR6" s="1" t="s">
        <v>18</v>
      </c>
      <c r="BS6" s="1"/>
      <c r="BT6" s="1">
        <v>0</v>
      </c>
      <c r="BU6" s="1"/>
      <c r="BV6" s="1"/>
      <c r="BW6" s="1"/>
      <c r="BX6" s="1">
        <v>0</v>
      </c>
      <c r="BY6" s="1"/>
      <c r="BZ6" s="1">
        <v>8874</v>
      </c>
      <c r="CA6" s="1">
        <v>8874</v>
      </c>
      <c r="CB6" s="60"/>
      <c r="CC6" s="1"/>
      <c r="CD6" s="60"/>
      <c r="CE6" s="1"/>
      <c r="CF6" s="60"/>
      <c r="CG6" s="1"/>
      <c r="CH6" s="1">
        <v>8874</v>
      </c>
      <c r="CI6" s="60"/>
      <c r="CJ6" s="1"/>
      <c r="CK6" s="60"/>
      <c r="CL6" s="1"/>
      <c r="CM6" s="1"/>
      <c r="CN6" s="1"/>
      <c r="CO6" s="1">
        <v>8874</v>
      </c>
      <c r="CP6" s="60"/>
      <c r="CQ6" s="1">
        <v>8874</v>
      </c>
      <c r="CR6" s="60">
        <v>0.18</v>
      </c>
      <c r="CS6" s="1">
        <v>1597.32</v>
      </c>
      <c r="CT6" s="1">
        <v>10471.32</v>
      </c>
      <c r="CU6" s="59">
        <v>140</v>
      </c>
      <c r="CV6" s="59" t="s">
        <v>224</v>
      </c>
      <c r="CW6" s="59">
        <v>1465985</v>
      </c>
      <c r="CX6" s="1">
        <v>500</v>
      </c>
      <c r="CY6" s="10" t="s">
        <v>232</v>
      </c>
      <c r="CZ6" s="10" t="s">
        <v>233</v>
      </c>
    </row>
    <row r="7" spans="1:104" s="10" customFormat="1" ht="18" customHeight="1" x14ac:dyDescent="0.25">
      <c r="A7" s="6" t="s">
        <v>220</v>
      </c>
      <c r="B7" s="63"/>
      <c r="C7" s="1" t="s">
        <v>234</v>
      </c>
      <c r="D7" s="1" t="s">
        <v>235</v>
      </c>
      <c r="E7" s="1" t="s">
        <v>231</v>
      </c>
      <c r="F7" s="58"/>
      <c r="G7" s="58"/>
      <c r="H7" s="58">
        <v>0</v>
      </c>
      <c r="I7" s="58"/>
      <c r="J7" s="53" t="s">
        <v>41</v>
      </c>
      <c r="K7" s="53"/>
      <c r="L7" s="53">
        <v>1026</v>
      </c>
      <c r="M7" s="53"/>
      <c r="N7" s="52"/>
      <c r="O7" s="52"/>
      <c r="P7" s="52">
        <v>0</v>
      </c>
      <c r="Q7" s="52"/>
      <c r="R7" s="56"/>
      <c r="S7" s="56"/>
      <c r="T7" s="56">
        <v>0</v>
      </c>
      <c r="U7" s="56"/>
      <c r="V7" s="55" t="s">
        <v>47</v>
      </c>
      <c r="W7" s="55"/>
      <c r="X7" s="55">
        <v>187</v>
      </c>
      <c r="Y7" s="55"/>
      <c r="Z7" s="1"/>
      <c r="AA7" s="1"/>
      <c r="AB7" s="1">
        <v>0</v>
      </c>
      <c r="AC7" s="1"/>
      <c r="AD7" s="54" t="s">
        <v>48</v>
      </c>
      <c r="AE7" s="54"/>
      <c r="AF7" s="54">
        <v>93</v>
      </c>
      <c r="AG7" s="54"/>
      <c r="AH7" s="55" t="s">
        <v>49</v>
      </c>
      <c r="AI7" s="55"/>
      <c r="AJ7" s="55">
        <v>611</v>
      </c>
      <c r="AK7" s="55"/>
      <c r="AL7" s="1" t="s">
        <v>48</v>
      </c>
      <c r="AM7" s="1"/>
      <c r="AN7" s="1">
        <v>348</v>
      </c>
      <c r="AO7" s="1"/>
      <c r="AP7" s="57"/>
      <c r="AQ7" s="57"/>
      <c r="AR7" s="57">
        <v>0</v>
      </c>
      <c r="AS7" s="57"/>
      <c r="AT7" s="1"/>
      <c r="AU7" s="1"/>
      <c r="AV7" s="1">
        <v>0</v>
      </c>
      <c r="AW7" s="1"/>
      <c r="AX7" s="1"/>
      <c r="AY7" s="1"/>
      <c r="AZ7" s="1">
        <v>0</v>
      </c>
      <c r="BA7" s="1"/>
      <c r="BB7" s="1"/>
      <c r="BC7" s="1"/>
      <c r="BD7" s="1">
        <v>0</v>
      </c>
      <c r="BE7" s="1"/>
      <c r="BF7" s="1"/>
      <c r="BG7" s="1"/>
      <c r="BH7" s="1">
        <v>0</v>
      </c>
      <c r="BI7" s="1"/>
      <c r="BJ7" s="1"/>
      <c r="BK7" s="1"/>
      <c r="BL7" s="1">
        <v>0</v>
      </c>
      <c r="BM7" s="1"/>
      <c r="BN7" s="1"/>
      <c r="BO7" s="1"/>
      <c r="BP7" s="1">
        <v>0</v>
      </c>
      <c r="BQ7" s="1"/>
      <c r="BR7" s="1" t="s">
        <v>18</v>
      </c>
      <c r="BS7" s="1"/>
      <c r="BT7" s="1">
        <v>0</v>
      </c>
      <c r="BU7" s="1"/>
      <c r="BV7" s="1"/>
      <c r="BW7" s="1"/>
      <c r="BX7" s="1">
        <v>0</v>
      </c>
      <c r="BY7" s="1"/>
      <c r="BZ7" s="1">
        <v>15824</v>
      </c>
      <c r="CA7" s="1">
        <v>15824</v>
      </c>
      <c r="CB7" s="60"/>
      <c r="CC7" s="1"/>
      <c r="CD7" s="60"/>
      <c r="CE7" s="1"/>
      <c r="CF7" s="60"/>
      <c r="CG7" s="1"/>
      <c r="CH7" s="1">
        <v>15824</v>
      </c>
      <c r="CI7" s="60"/>
      <c r="CJ7" s="1"/>
      <c r="CK7" s="60"/>
      <c r="CL7" s="1"/>
      <c r="CM7" s="1"/>
      <c r="CN7" s="1"/>
      <c r="CO7" s="1">
        <v>15824</v>
      </c>
      <c r="CP7" s="60"/>
      <c r="CQ7" s="1">
        <v>15824</v>
      </c>
      <c r="CR7" s="60">
        <v>0.18</v>
      </c>
      <c r="CS7" s="1">
        <v>2848.32</v>
      </c>
      <c r="CT7" s="1">
        <v>18672.32</v>
      </c>
      <c r="CU7" s="59">
        <v>600</v>
      </c>
      <c r="CV7" s="59" t="s">
        <v>224</v>
      </c>
      <c r="CW7" s="59">
        <v>11203392</v>
      </c>
      <c r="CX7" s="1">
        <v>500</v>
      </c>
      <c r="CY7" s="10" t="s">
        <v>236</v>
      </c>
      <c r="CZ7" s="10" t="s">
        <v>237</v>
      </c>
    </row>
    <row r="8" spans="1:104" s="10" customFormat="1" ht="18" customHeight="1" x14ac:dyDescent="0.25">
      <c r="A8" s="6" t="s">
        <v>220</v>
      </c>
      <c r="B8" s="63"/>
      <c r="C8" s="1" t="s">
        <v>238</v>
      </c>
      <c r="D8" s="1" t="s">
        <v>239</v>
      </c>
      <c r="E8" s="1" t="s">
        <v>223</v>
      </c>
      <c r="F8" s="58"/>
      <c r="G8" s="58"/>
      <c r="H8" s="58">
        <v>0</v>
      </c>
      <c r="I8" s="58"/>
      <c r="J8" s="53" t="s">
        <v>41</v>
      </c>
      <c r="K8" s="53"/>
      <c r="L8" s="53">
        <v>3240</v>
      </c>
      <c r="M8" s="53"/>
      <c r="N8" s="52"/>
      <c r="O8" s="52"/>
      <c r="P8" s="52">
        <v>0</v>
      </c>
      <c r="Q8" s="52"/>
      <c r="R8" s="56"/>
      <c r="S8" s="56"/>
      <c r="T8" s="56">
        <v>0</v>
      </c>
      <c r="U8" s="56"/>
      <c r="V8" s="55" t="s">
        <v>47</v>
      </c>
      <c r="W8" s="55"/>
      <c r="X8" s="55">
        <v>518</v>
      </c>
      <c r="Y8" s="55"/>
      <c r="Z8" s="1"/>
      <c r="AA8" s="1"/>
      <c r="AB8" s="1">
        <v>0</v>
      </c>
      <c r="AC8" s="1"/>
      <c r="AD8" s="54" t="s">
        <v>48</v>
      </c>
      <c r="AE8" s="54"/>
      <c r="AF8" s="54">
        <v>271</v>
      </c>
      <c r="AG8" s="54"/>
      <c r="AH8" s="55" t="s">
        <v>49</v>
      </c>
      <c r="AI8" s="55"/>
      <c r="AJ8" s="55">
        <v>1070</v>
      </c>
      <c r="AK8" s="55"/>
      <c r="AL8" s="1" t="s">
        <v>48</v>
      </c>
      <c r="AM8" s="1"/>
      <c r="AN8" s="1">
        <v>767</v>
      </c>
      <c r="AO8" s="1"/>
      <c r="AP8" s="57"/>
      <c r="AQ8" s="57"/>
      <c r="AR8" s="57">
        <v>0</v>
      </c>
      <c r="AS8" s="57"/>
      <c r="AT8" s="1"/>
      <c r="AU8" s="1"/>
      <c r="AV8" s="1">
        <v>0</v>
      </c>
      <c r="AW8" s="1"/>
      <c r="AX8" s="1"/>
      <c r="AY8" s="1"/>
      <c r="AZ8" s="1">
        <v>0</v>
      </c>
      <c r="BA8" s="1"/>
      <c r="BB8" s="1"/>
      <c r="BC8" s="1"/>
      <c r="BD8" s="1">
        <v>0</v>
      </c>
      <c r="BE8" s="1"/>
      <c r="BF8" s="1"/>
      <c r="BG8" s="1"/>
      <c r="BH8" s="1">
        <v>0</v>
      </c>
      <c r="BI8" s="1"/>
      <c r="BJ8" s="1"/>
      <c r="BK8" s="1"/>
      <c r="BL8" s="1">
        <v>0</v>
      </c>
      <c r="BM8" s="1"/>
      <c r="BN8" s="1"/>
      <c r="BO8" s="1"/>
      <c r="BP8" s="1">
        <v>0</v>
      </c>
      <c r="BQ8" s="1"/>
      <c r="BR8" s="1" t="s">
        <v>18</v>
      </c>
      <c r="BS8" s="1"/>
      <c r="BT8" s="1">
        <v>0</v>
      </c>
      <c r="BU8" s="1"/>
      <c r="BV8" s="1"/>
      <c r="BW8" s="1"/>
      <c r="BX8" s="1">
        <v>0</v>
      </c>
      <c r="BY8" s="1"/>
      <c r="BZ8" s="1"/>
      <c r="CA8" s="1"/>
      <c r="CB8" s="60"/>
      <c r="CC8" s="1"/>
      <c r="CD8" s="60"/>
      <c r="CE8" s="1"/>
      <c r="CF8" s="60"/>
      <c r="CG8" s="1"/>
      <c r="CH8" s="1"/>
      <c r="CI8" s="60"/>
      <c r="CJ8" s="1"/>
      <c r="CK8" s="60"/>
      <c r="CL8" s="1"/>
      <c r="CM8" s="1"/>
      <c r="CN8" s="1"/>
      <c r="CO8" s="1"/>
      <c r="CP8" s="60"/>
      <c r="CQ8" s="1"/>
      <c r="CR8" s="60">
        <v>0.18</v>
      </c>
      <c r="CS8" s="1"/>
      <c r="CT8" s="1"/>
      <c r="CU8" s="59">
        <v>50</v>
      </c>
      <c r="CV8" s="59" t="s">
        <v>224</v>
      </c>
      <c r="CW8" s="59"/>
      <c r="CX8" s="1">
        <v>500</v>
      </c>
    </row>
    <row r="9" spans="1:104" s="10" customFormat="1" ht="18" customHeight="1" x14ac:dyDescent="0.25">
      <c r="A9" s="6" t="s">
        <v>220</v>
      </c>
      <c r="B9" s="63"/>
      <c r="C9" s="1" t="s">
        <v>240</v>
      </c>
      <c r="D9" s="1" t="s">
        <v>241</v>
      </c>
      <c r="E9" s="1"/>
      <c r="F9" s="58"/>
      <c r="G9" s="58"/>
      <c r="H9" s="58">
        <v>0</v>
      </c>
      <c r="I9" s="58"/>
      <c r="J9" s="53"/>
      <c r="K9" s="53"/>
      <c r="L9" s="53">
        <v>1620</v>
      </c>
      <c r="M9" s="53"/>
      <c r="N9" s="52"/>
      <c r="O9" s="52"/>
      <c r="P9" s="52">
        <v>0</v>
      </c>
      <c r="Q9" s="52"/>
      <c r="R9" s="56"/>
      <c r="S9" s="56"/>
      <c r="T9" s="56">
        <v>0</v>
      </c>
      <c r="U9" s="56"/>
      <c r="V9" s="55"/>
      <c r="W9" s="55"/>
      <c r="X9" s="55">
        <v>297</v>
      </c>
      <c r="Y9" s="55"/>
      <c r="Z9" s="1"/>
      <c r="AA9" s="1"/>
      <c r="AB9" s="1">
        <v>0</v>
      </c>
      <c r="AC9" s="1"/>
      <c r="AD9" s="54"/>
      <c r="AE9" s="54"/>
      <c r="AF9" s="54">
        <v>138</v>
      </c>
      <c r="AG9" s="54"/>
      <c r="AH9" s="55"/>
      <c r="AI9" s="55"/>
      <c r="AJ9" s="55">
        <v>777</v>
      </c>
      <c r="AK9" s="55"/>
      <c r="AL9" s="1"/>
      <c r="AM9" s="1"/>
      <c r="AN9" s="1">
        <v>479</v>
      </c>
      <c r="AO9" s="1"/>
      <c r="AP9" s="57"/>
      <c r="AQ9" s="57"/>
      <c r="AR9" s="57">
        <v>0</v>
      </c>
      <c r="AS9" s="57"/>
      <c r="AT9" s="1"/>
      <c r="AU9" s="1"/>
      <c r="AV9" s="1">
        <v>0</v>
      </c>
      <c r="AW9" s="1"/>
      <c r="AX9" s="1"/>
      <c r="AY9" s="1"/>
      <c r="AZ9" s="1">
        <v>0</v>
      </c>
      <c r="BA9" s="1"/>
      <c r="BB9" s="1"/>
      <c r="BC9" s="1"/>
      <c r="BD9" s="1">
        <v>0</v>
      </c>
      <c r="BE9" s="1"/>
      <c r="BF9" s="1"/>
      <c r="BG9" s="1"/>
      <c r="BH9" s="1">
        <v>0</v>
      </c>
      <c r="BI9" s="1"/>
      <c r="BJ9" s="1"/>
      <c r="BK9" s="1"/>
      <c r="BL9" s="1">
        <v>0</v>
      </c>
      <c r="BM9" s="1"/>
      <c r="BN9" s="1"/>
      <c r="BO9" s="1"/>
      <c r="BP9" s="1">
        <v>0</v>
      </c>
      <c r="BQ9" s="1"/>
      <c r="BR9" s="1"/>
      <c r="BS9" s="1"/>
      <c r="BT9" s="1">
        <v>0</v>
      </c>
      <c r="BU9" s="1"/>
      <c r="BV9" s="1"/>
      <c r="BW9" s="1"/>
      <c r="BX9" s="1">
        <v>0</v>
      </c>
      <c r="BY9" s="1"/>
      <c r="BZ9" s="1"/>
      <c r="CA9" s="1"/>
      <c r="CB9" s="60"/>
      <c r="CC9" s="1"/>
      <c r="CD9" s="60"/>
      <c r="CE9" s="1"/>
      <c r="CF9" s="60"/>
      <c r="CG9" s="1"/>
      <c r="CH9" s="1"/>
      <c r="CI9" s="60"/>
      <c r="CJ9" s="1"/>
      <c r="CK9" s="60"/>
      <c r="CL9" s="1"/>
      <c r="CM9" s="1"/>
      <c r="CN9" s="1"/>
      <c r="CO9" s="1"/>
      <c r="CP9" s="60"/>
      <c r="CQ9" s="1"/>
      <c r="CR9" s="60">
        <v>0.18</v>
      </c>
      <c r="CS9" s="1"/>
      <c r="CT9" s="1"/>
      <c r="CU9" s="59">
        <v>100</v>
      </c>
      <c r="CV9" s="59" t="s">
        <v>224</v>
      </c>
      <c r="CW9" s="59"/>
      <c r="CX9" s="1">
        <v>500</v>
      </c>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81"/>
  <sheetViews>
    <sheetView showZeros="0" tabSelected="1" topLeftCell="A19" zoomScale="85" zoomScaleNormal="85" workbookViewId="0">
      <selection activeCell="CE20" sqref="CE20"/>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3.7109375" style="2" bestFit="1" customWidth="1"/>
    <col min="6" max="6" width="10.28515625" bestFit="1" customWidth="1"/>
    <col min="7" max="7" width="15.5703125" customWidth="1"/>
    <col min="8" max="8" width="14.5703125" style="5" customWidth="1"/>
    <col min="9" max="9" width="11.7109375" bestFit="1" customWidth="1"/>
    <col min="10" max="10" width="13.140625" bestFit="1" customWidth="1"/>
    <col min="11" max="11" width="12.7109375" bestFit="1" customWidth="1"/>
    <col min="12" max="12" width="12.85546875" customWidth="1"/>
    <col min="13" max="13" width="17.140625" customWidth="1"/>
    <col min="14" max="14" width="15.42578125" style="15" bestFit="1" customWidth="1"/>
    <col min="15" max="15" width="7.85546875" style="15" customWidth="1"/>
    <col min="16" max="34" width="7.85546875" style="15" hidden="1" customWidth="1"/>
    <col min="35" max="35" width="7.85546875" style="15" customWidth="1"/>
    <col min="36" max="49" width="7.85546875" style="15" hidden="1" customWidth="1"/>
    <col min="50" max="50" width="7.85546875" style="15" customWidth="1"/>
    <col min="51" max="55" width="7.85546875" style="15" hidden="1" customWidth="1"/>
    <col min="56" max="56" width="7.85546875" style="15" customWidth="1"/>
    <col min="57" max="58" width="7.85546875" style="15" hidden="1" customWidth="1"/>
    <col min="59" max="59" width="7.85546875" style="15" customWidth="1"/>
    <col min="60" max="66" width="7.85546875" style="15" hidden="1" customWidth="1"/>
    <col min="67" max="67" width="7.85546875" style="15" customWidth="1"/>
    <col min="68" max="70" width="7.85546875" style="15" hidden="1" customWidth="1"/>
    <col min="71" max="72" width="7.85546875" style="15" customWidth="1"/>
    <col min="73" max="82" width="7.85546875" style="15" hidden="1" customWidth="1"/>
    <col min="83" max="83" width="7.85546875" style="15" customWidth="1"/>
    <col min="84" max="84" width="7.85546875" style="15" hidden="1" customWidth="1"/>
    <col min="85" max="85" width="7.85546875" style="15" customWidth="1"/>
    <col min="86" max="86" width="11" style="15" customWidth="1"/>
    <col min="87" max="87" width="24.2851562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9" ht="15.75" thickBot="1" x14ac:dyDescent="0.3">
      <c r="A1" s="111"/>
      <c r="B1" s="111"/>
      <c r="C1" s="111"/>
      <c r="D1" s="111"/>
      <c r="E1" s="111"/>
      <c r="F1" s="111"/>
      <c r="G1" s="111"/>
      <c r="H1" s="111"/>
      <c r="I1" s="111"/>
      <c r="J1" s="111"/>
      <c r="K1" s="111"/>
      <c r="L1" s="111"/>
      <c r="M1" s="111"/>
      <c r="N1" s="111"/>
      <c r="O1" s="111"/>
      <c r="P1" s="111"/>
      <c r="Q1" s="111"/>
      <c r="R1" s="111"/>
      <c r="S1" s="111"/>
    </row>
    <row r="2" spans="1:19" ht="23.25" thickBot="1" x14ac:dyDescent="0.3">
      <c r="A2" s="261" t="s">
        <v>268</v>
      </c>
      <c r="B2" s="262"/>
      <c r="C2" s="262"/>
      <c r="D2" s="262"/>
      <c r="E2" s="262"/>
      <c r="F2" s="262"/>
      <c r="G2" s="262"/>
      <c r="H2" s="262"/>
      <c r="I2" s="262"/>
      <c r="J2" s="262"/>
      <c r="K2" s="262"/>
      <c r="L2" s="262"/>
      <c r="M2" s="262"/>
      <c r="N2" s="262"/>
      <c r="O2" s="262"/>
      <c r="P2" s="262"/>
      <c r="Q2" s="262"/>
      <c r="R2" s="262"/>
      <c r="S2" s="263"/>
    </row>
    <row r="3" spans="1:19" ht="15.75" thickBot="1" x14ac:dyDescent="0.3">
      <c r="A3" s="111"/>
      <c r="B3" s="111"/>
      <c r="C3" s="111"/>
      <c r="D3" s="111"/>
      <c r="E3" s="111"/>
      <c r="F3" s="111"/>
      <c r="G3" s="111"/>
      <c r="H3" s="111"/>
      <c r="I3" s="111"/>
      <c r="J3" s="111"/>
      <c r="K3" s="111"/>
      <c r="L3" s="111"/>
      <c r="M3" s="111"/>
      <c r="N3" s="111"/>
      <c r="O3" s="111"/>
      <c r="P3" s="111"/>
      <c r="Q3" s="111"/>
      <c r="R3" s="111"/>
      <c r="S3" s="111"/>
    </row>
    <row r="4" spans="1:19" ht="45.75" thickBot="1" x14ac:dyDescent="0.3">
      <c r="A4" s="112" t="s">
        <v>269</v>
      </c>
      <c r="B4" s="264" t="s">
        <v>281</v>
      </c>
      <c r="C4" s="264"/>
      <c r="D4" s="264"/>
      <c r="E4" s="264"/>
      <c r="F4" s="264"/>
      <c r="G4" s="264"/>
      <c r="H4" s="264"/>
      <c r="I4" s="264"/>
      <c r="J4" s="264"/>
      <c r="K4" s="264"/>
      <c r="L4" s="264"/>
      <c r="M4" s="264"/>
      <c r="N4" s="264"/>
      <c r="O4" s="264"/>
      <c r="P4" s="264"/>
      <c r="Q4" s="264"/>
      <c r="R4" s="264"/>
      <c r="S4" s="264"/>
    </row>
    <row r="5" spans="1:19" ht="45" x14ac:dyDescent="0.25">
      <c r="A5" s="112" t="s">
        <v>270</v>
      </c>
      <c r="B5" s="265" t="s">
        <v>282</v>
      </c>
      <c r="C5" s="264"/>
      <c r="D5" s="264"/>
      <c r="E5" s="264"/>
      <c r="F5" s="264"/>
      <c r="G5" s="264"/>
      <c r="H5" s="264"/>
      <c r="I5" s="264"/>
      <c r="J5" s="264"/>
      <c r="K5" s="264"/>
      <c r="L5" s="264"/>
      <c r="M5" s="264"/>
      <c r="N5" s="264"/>
      <c r="O5" s="264"/>
      <c r="P5" s="264"/>
      <c r="Q5" s="264"/>
      <c r="R5" s="264"/>
      <c r="S5" s="264"/>
    </row>
    <row r="6" spans="1:19" ht="45" x14ac:dyDescent="0.25">
      <c r="A6" s="113" t="s">
        <v>271</v>
      </c>
      <c r="B6" s="266" t="s">
        <v>283</v>
      </c>
      <c r="C6" s="265"/>
      <c r="D6" s="264"/>
      <c r="E6" s="264"/>
      <c r="F6" s="264"/>
      <c r="G6" s="264"/>
      <c r="H6" s="264"/>
      <c r="I6" s="264"/>
      <c r="J6" s="264"/>
      <c r="K6" s="264"/>
      <c r="L6" s="264"/>
      <c r="M6" s="264"/>
      <c r="N6" s="264"/>
      <c r="O6" s="264"/>
      <c r="P6" s="264"/>
      <c r="Q6" s="264"/>
      <c r="R6" s="264"/>
      <c r="S6" s="264"/>
    </row>
    <row r="7" spans="1:19" ht="35.25" customHeight="1" x14ac:dyDescent="0.25">
      <c r="A7" s="113" t="s">
        <v>272</v>
      </c>
      <c r="B7" s="265" t="s">
        <v>285</v>
      </c>
      <c r="C7" s="265"/>
      <c r="D7" s="264"/>
      <c r="E7" s="264"/>
      <c r="F7" s="264"/>
      <c r="G7" s="264"/>
      <c r="H7" s="264"/>
      <c r="I7" s="264"/>
      <c r="J7" s="264"/>
      <c r="K7" s="264"/>
      <c r="L7" s="264"/>
      <c r="M7" s="264"/>
      <c r="N7" s="264"/>
      <c r="O7" s="264"/>
      <c r="P7" s="264"/>
      <c r="Q7" s="264"/>
      <c r="R7" s="264"/>
      <c r="S7" s="264"/>
    </row>
    <row r="8" spans="1:19" ht="126.75" customHeight="1" x14ac:dyDescent="0.25">
      <c r="A8" s="113" t="s">
        <v>273</v>
      </c>
      <c r="B8" s="268" t="s">
        <v>284</v>
      </c>
      <c r="C8" s="269"/>
      <c r="D8" s="269"/>
      <c r="E8" s="269"/>
      <c r="F8" s="269"/>
      <c r="G8" s="269"/>
      <c r="H8" s="269"/>
      <c r="I8" s="269"/>
      <c r="J8" s="269"/>
      <c r="K8" s="269"/>
      <c r="L8" s="269"/>
      <c r="M8" s="269"/>
      <c r="N8" s="269"/>
      <c r="O8" s="269"/>
      <c r="P8" s="269"/>
      <c r="Q8" s="269"/>
      <c r="R8" s="269"/>
      <c r="S8" s="270"/>
    </row>
    <row r="9" spans="1:19" x14ac:dyDescent="0.25">
      <c r="A9" s="113" t="s">
        <v>274</v>
      </c>
      <c r="B9" s="268" t="s">
        <v>275</v>
      </c>
      <c r="C9" s="269"/>
      <c r="D9" s="269"/>
      <c r="E9" s="269"/>
      <c r="F9" s="269"/>
      <c r="G9" s="269"/>
      <c r="H9" s="269"/>
      <c r="I9" s="269"/>
      <c r="J9" s="269"/>
      <c r="K9" s="269"/>
      <c r="L9" s="269"/>
      <c r="M9" s="269"/>
      <c r="N9" s="269"/>
      <c r="O9" s="269"/>
      <c r="P9" s="269"/>
      <c r="Q9" s="269"/>
      <c r="R9" s="269"/>
      <c r="S9" s="270"/>
    </row>
    <row r="10" spans="1:19" ht="30" x14ac:dyDescent="0.25">
      <c r="A10" s="113" t="s">
        <v>276</v>
      </c>
      <c r="B10" s="265" t="s">
        <v>286</v>
      </c>
      <c r="C10" s="265"/>
      <c r="D10" s="265"/>
      <c r="E10" s="265"/>
      <c r="F10" s="265"/>
      <c r="G10" s="265"/>
      <c r="H10" s="265"/>
      <c r="I10" s="265"/>
      <c r="J10" s="265"/>
      <c r="K10" s="265"/>
      <c r="L10" s="265"/>
      <c r="M10" s="265"/>
      <c r="N10" s="265"/>
      <c r="O10" s="265"/>
      <c r="P10" s="265"/>
      <c r="Q10" s="265"/>
      <c r="R10" s="265"/>
      <c r="S10" s="265"/>
    </row>
    <row r="11" spans="1:19" ht="141" customHeight="1" x14ac:dyDescent="0.25">
      <c r="A11" s="113" t="s">
        <v>277</v>
      </c>
      <c r="B11" s="271" t="s">
        <v>287</v>
      </c>
      <c r="C11" s="272"/>
      <c r="D11" s="272"/>
      <c r="E11" s="272"/>
      <c r="F11" s="272"/>
      <c r="G11" s="272"/>
      <c r="H11" s="272"/>
      <c r="I11" s="272"/>
      <c r="J11" s="272"/>
      <c r="K11" s="272"/>
      <c r="L11" s="272"/>
      <c r="M11" s="272"/>
      <c r="N11" s="272"/>
      <c r="O11" s="272"/>
      <c r="P11" s="272"/>
      <c r="Q11" s="272"/>
      <c r="R11" s="272"/>
      <c r="S11" s="273"/>
    </row>
    <row r="12" spans="1:19" ht="51" customHeight="1" x14ac:dyDescent="0.25">
      <c r="A12" s="114" t="s">
        <v>278</v>
      </c>
      <c r="B12" s="267" t="s">
        <v>288</v>
      </c>
      <c r="C12" s="267"/>
      <c r="D12" s="267"/>
      <c r="E12" s="267"/>
      <c r="F12" s="267"/>
      <c r="G12" s="267"/>
      <c r="H12" s="267"/>
      <c r="I12" s="267"/>
      <c r="J12" s="267"/>
      <c r="K12" s="267"/>
      <c r="L12" s="267"/>
      <c r="M12" s="267"/>
      <c r="N12" s="267"/>
      <c r="O12" s="267"/>
      <c r="P12" s="267"/>
      <c r="Q12" s="267"/>
      <c r="R12" s="267"/>
      <c r="S12" s="267"/>
    </row>
    <row r="13" spans="1:19" ht="51.75" customHeight="1" x14ac:dyDescent="0.25">
      <c r="A13" s="114" t="s">
        <v>279</v>
      </c>
      <c r="B13" s="267" t="s">
        <v>289</v>
      </c>
      <c r="C13" s="267"/>
      <c r="D13" s="267"/>
      <c r="E13" s="267"/>
      <c r="F13" s="267"/>
      <c r="G13" s="267"/>
      <c r="H13" s="267"/>
      <c r="I13" s="267"/>
      <c r="J13" s="267"/>
      <c r="K13" s="267"/>
      <c r="L13" s="267"/>
      <c r="M13" s="267"/>
      <c r="N13" s="267"/>
      <c r="O13" s="267"/>
      <c r="P13" s="267"/>
      <c r="Q13" s="267"/>
      <c r="R13" s="267"/>
      <c r="S13" s="267"/>
    </row>
    <row r="14" spans="1:19" ht="30" x14ac:dyDescent="0.25">
      <c r="A14" s="115" t="s">
        <v>280</v>
      </c>
      <c r="B14" s="267"/>
      <c r="C14" s="267"/>
      <c r="D14" s="267"/>
      <c r="E14" s="267"/>
      <c r="F14" s="267"/>
      <c r="G14" s="267"/>
      <c r="H14" s="267"/>
      <c r="I14" s="267"/>
      <c r="J14" s="267"/>
      <c r="K14" s="267"/>
      <c r="L14" s="267"/>
      <c r="M14" s="267"/>
      <c r="N14" s="267"/>
      <c r="O14" s="267"/>
      <c r="P14" s="267"/>
      <c r="Q14" s="267"/>
      <c r="R14" s="267"/>
      <c r="S14" s="267"/>
    </row>
    <row r="15" spans="1:19" x14ac:dyDescent="0.25">
      <c r="A15" s="111"/>
      <c r="B15" s="111"/>
      <c r="C15" s="111"/>
      <c r="D15" s="111"/>
      <c r="E15" s="111"/>
      <c r="F15" s="116"/>
      <c r="G15" s="111"/>
      <c r="H15" s="111"/>
      <c r="I15" s="117"/>
      <c r="J15" s="111"/>
      <c r="K15" s="111"/>
      <c r="L15" s="111"/>
      <c r="M15" s="111"/>
      <c r="N15" s="111"/>
      <c r="O15" s="118"/>
      <c r="P15" s="118"/>
      <c r="Q15" s="118"/>
      <c r="R15" s="118"/>
      <c r="S15" s="118"/>
    </row>
    <row r="18" spans="1:104" s="22" customFormat="1" ht="28.9" customHeight="1" x14ac:dyDescent="0.25">
      <c r="A18" s="88"/>
      <c r="B18" s="88"/>
      <c r="C18" s="89"/>
      <c r="D18" s="89"/>
      <c r="E18" s="26"/>
      <c r="H18" s="27"/>
      <c r="N18" s="256" t="s">
        <v>82</v>
      </c>
      <c r="O18" s="256"/>
      <c r="P18" s="256"/>
      <c r="Q18" s="256"/>
      <c r="R18" s="256"/>
      <c r="S18" s="256"/>
      <c r="T18" s="256"/>
      <c r="U18" s="256"/>
      <c r="V18" s="257" t="s">
        <v>4</v>
      </c>
      <c r="W18" s="257"/>
      <c r="X18" s="258" t="s">
        <v>3</v>
      </c>
      <c r="Y18" s="258"/>
      <c r="Z18" s="258"/>
      <c r="AA18" s="258"/>
      <c r="AB18" s="258"/>
      <c r="AC18" s="258"/>
      <c r="AD18" s="258"/>
      <c r="AE18" s="258"/>
      <c r="AF18" s="259" t="s">
        <v>5</v>
      </c>
      <c r="AG18" s="259"/>
      <c r="AH18" s="260" t="s">
        <v>6</v>
      </c>
      <c r="AI18" s="260"/>
      <c r="AJ18" s="260"/>
      <c r="AK18" s="260"/>
      <c r="AL18" s="260"/>
      <c r="AM18" s="260"/>
      <c r="AN18" s="260"/>
      <c r="AO18" s="260"/>
      <c r="AP18" s="260"/>
      <c r="AQ18" s="35" t="s">
        <v>7</v>
      </c>
      <c r="AR18" s="252" t="s">
        <v>8</v>
      </c>
      <c r="AS18" s="253"/>
      <c r="AT18" s="253"/>
      <c r="AU18" s="253"/>
      <c r="AV18" s="253"/>
      <c r="AW18" s="253"/>
      <c r="AX18" s="253"/>
      <c r="AY18" s="253"/>
      <c r="AZ18" s="253"/>
      <c r="BA18" s="254" t="s">
        <v>9</v>
      </c>
      <c r="BB18" s="254"/>
      <c r="BC18" s="254"/>
      <c r="BD18" s="254"/>
      <c r="BE18" s="254"/>
      <c r="BF18" s="254"/>
      <c r="BG18" s="254"/>
      <c r="BH18" s="254"/>
      <c r="BI18" s="254"/>
      <c r="BJ18" s="254"/>
      <c r="BK18" s="254"/>
      <c r="BL18" s="255" t="s">
        <v>10</v>
      </c>
      <c r="BM18" s="255"/>
      <c r="BN18" s="255"/>
      <c r="BO18" s="255"/>
      <c r="BP18" s="255"/>
      <c r="BQ18" s="255"/>
      <c r="BR18" s="255"/>
      <c r="BS18" s="255"/>
      <c r="BT18" s="255"/>
      <c r="BU18" s="255"/>
      <c r="BV18" s="255"/>
      <c r="BW18" s="255"/>
      <c r="BX18" s="39" t="s">
        <v>11</v>
      </c>
      <c r="BY18" s="42" t="s">
        <v>12</v>
      </c>
      <c r="BZ18" s="30" t="s">
        <v>13</v>
      </c>
      <c r="CA18" s="34" t="s">
        <v>14</v>
      </c>
      <c r="CB18" s="31" t="s">
        <v>15</v>
      </c>
      <c r="CC18" s="45" t="s">
        <v>16</v>
      </c>
      <c r="CD18" s="47" t="s">
        <v>17</v>
      </c>
      <c r="CE18" s="41" t="s">
        <v>18</v>
      </c>
      <c r="CF18" s="30" t="s">
        <v>19</v>
      </c>
      <c r="CG18" s="249" t="s">
        <v>84</v>
      </c>
      <c r="CH18" s="250"/>
      <c r="CI18" s="250"/>
      <c r="CJ18" s="251"/>
      <c r="CK18" s="65" t="s">
        <v>20</v>
      </c>
      <c r="CL18" s="23" t="s">
        <v>21</v>
      </c>
      <c r="CM18" s="24" t="s">
        <v>40</v>
      </c>
      <c r="CN18" s="23" t="s">
        <v>81</v>
      </c>
      <c r="CO18" s="25"/>
      <c r="CP18" s="26"/>
      <c r="CQ18" s="27"/>
      <c r="CR18" s="26"/>
      <c r="CS18" s="26"/>
      <c r="CT18" s="27"/>
      <c r="CV18" s="27"/>
      <c r="CZ18" s="22" t="s">
        <v>126</v>
      </c>
    </row>
    <row r="19" spans="1:104" s="11" customFormat="1" ht="89.25" x14ac:dyDescent="0.25">
      <c r="A19" s="80" t="s">
        <v>0</v>
      </c>
      <c r="B19" s="81" t="s">
        <v>85</v>
      </c>
      <c r="C19" s="80" t="s">
        <v>1</v>
      </c>
      <c r="D19" s="80" t="s">
        <v>2</v>
      </c>
      <c r="E19" s="3" t="s">
        <v>31</v>
      </c>
      <c r="F19" s="9" t="s">
        <v>32</v>
      </c>
      <c r="G19" s="9" t="s">
        <v>33</v>
      </c>
      <c r="H19" s="4" t="s">
        <v>34</v>
      </c>
      <c r="I19" s="9" t="s">
        <v>35</v>
      </c>
      <c r="J19" s="9" t="s">
        <v>36</v>
      </c>
      <c r="K19" s="9" t="s">
        <v>37</v>
      </c>
      <c r="L19" s="9" t="s">
        <v>38</v>
      </c>
      <c r="M19" s="9" t="s">
        <v>39</v>
      </c>
      <c r="N19" s="82" t="s">
        <v>41</v>
      </c>
      <c r="O19" s="82" t="s">
        <v>46</v>
      </c>
      <c r="P19" s="82" t="s">
        <v>43</v>
      </c>
      <c r="Q19" s="82" t="s">
        <v>123</v>
      </c>
      <c r="R19" s="82" t="s">
        <v>124</v>
      </c>
      <c r="S19" s="82" t="s">
        <v>125</v>
      </c>
      <c r="T19" s="82" t="s">
        <v>44</v>
      </c>
      <c r="U19" s="82" t="s">
        <v>45</v>
      </c>
      <c r="V19" s="82" t="s">
        <v>41</v>
      </c>
      <c r="W19" s="82" t="s">
        <v>46</v>
      </c>
      <c r="X19" s="83" t="s">
        <v>53</v>
      </c>
      <c r="Y19" s="83" t="s">
        <v>57</v>
      </c>
      <c r="Z19" s="83" t="s">
        <v>60</v>
      </c>
      <c r="AA19" s="83" t="s">
        <v>65</v>
      </c>
      <c r="AB19" s="83" t="s">
        <v>69</v>
      </c>
      <c r="AC19" s="83" t="s">
        <v>71</v>
      </c>
      <c r="AD19" s="83" t="s">
        <v>73</v>
      </c>
      <c r="AE19" s="83" t="s">
        <v>75</v>
      </c>
      <c r="AF19" s="83" t="s">
        <v>52</v>
      </c>
      <c r="AG19" s="83" t="s">
        <v>56</v>
      </c>
      <c r="AH19" s="83" t="s">
        <v>51</v>
      </c>
      <c r="AI19" s="83" t="s">
        <v>47</v>
      </c>
      <c r="AJ19" s="83" t="s">
        <v>59</v>
      </c>
      <c r="AK19" s="83" t="s">
        <v>64</v>
      </c>
      <c r="AL19" s="83" t="s">
        <v>68</v>
      </c>
      <c r="AM19" s="83" t="s">
        <v>87</v>
      </c>
      <c r="AN19" s="83" t="s">
        <v>88</v>
      </c>
      <c r="AO19" s="83" t="s">
        <v>86</v>
      </c>
      <c r="AP19" s="83" t="s">
        <v>94</v>
      </c>
      <c r="AQ19" s="84" t="s">
        <v>7</v>
      </c>
      <c r="AR19" s="83" t="s">
        <v>54</v>
      </c>
      <c r="AS19" s="83" t="s">
        <v>58</v>
      </c>
      <c r="AT19" s="83" t="s">
        <v>63</v>
      </c>
      <c r="AU19" s="83" t="s">
        <v>61</v>
      </c>
      <c r="AV19" s="83" t="s">
        <v>66</v>
      </c>
      <c r="AW19" s="83" t="s">
        <v>70</v>
      </c>
      <c r="AX19" s="83" t="s">
        <v>48</v>
      </c>
      <c r="AY19" s="83" t="s">
        <v>122</v>
      </c>
      <c r="AZ19" s="83" t="s">
        <v>74</v>
      </c>
      <c r="BA19" s="83" t="s">
        <v>55</v>
      </c>
      <c r="BB19" s="83" t="s">
        <v>42</v>
      </c>
      <c r="BC19" s="83" t="s">
        <v>62</v>
      </c>
      <c r="BD19" s="83" t="s">
        <v>67</v>
      </c>
      <c r="BE19" s="83" t="s">
        <v>89</v>
      </c>
      <c r="BF19" s="83" t="s">
        <v>72</v>
      </c>
      <c r="BG19" s="83" t="s">
        <v>49</v>
      </c>
      <c r="BH19" s="83" t="s">
        <v>76</v>
      </c>
      <c r="BI19" s="83" t="s">
        <v>77</v>
      </c>
      <c r="BJ19" s="83" t="s">
        <v>78</v>
      </c>
      <c r="BK19" s="83" t="s">
        <v>80</v>
      </c>
      <c r="BL19" s="83" t="s">
        <v>54</v>
      </c>
      <c r="BM19" s="83" t="s">
        <v>58</v>
      </c>
      <c r="BN19" s="83" t="s">
        <v>63</v>
      </c>
      <c r="BO19" s="83" t="s">
        <v>250</v>
      </c>
      <c r="BP19" s="83" t="s">
        <v>90</v>
      </c>
      <c r="BQ19" s="83" t="s">
        <v>95</v>
      </c>
      <c r="BR19" s="83" t="s">
        <v>91</v>
      </c>
      <c r="BS19" s="83" t="s">
        <v>48</v>
      </c>
      <c r="BT19" s="83" t="s">
        <v>61</v>
      </c>
      <c r="BU19" s="83" t="s">
        <v>122</v>
      </c>
      <c r="BV19" s="83" t="s">
        <v>74</v>
      </c>
      <c r="BW19" s="83" t="s">
        <v>79</v>
      </c>
      <c r="BX19" s="84" t="s">
        <v>11</v>
      </c>
      <c r="BY19" s="84" t="s">
        <v>50</v>
      </c>
      <c r="BZ19" s="85" t="s">
        <v>13</v>
      </c>
      <c r="CA19" s="86" t="s">
        <v>14</v>
      </c>
      <c r="CB19" s="85" t="s">
        <v>15</v>
      </c>
      <c r="CC19" s="85" t="s">
        <v>16</v>
      </c>
      <c r="CD19" s="85" t="s">
        <v>17</v>
      </c>
      <c r="CE19" s="86" t="s">
        <v>18</v>
      </c>
      <c r="CF19" s="85" t="s">
        <v>19</v>
      </c>
      <c r="CG19" s="69" t="s">
        <v>83</v>
      </c>
      <c r="CH19" s="69" t="s">
        <v>92</v>
      </c>
      <c r="CI19" s="69" t="s">
        <v>93</v>
      </c>
      <c r="CJ19" s="69" t="s">
        <v>96</v>
      </c>
      <c r="CK19" s="14"/>
      <c r="CL19" s="14"/>
      <c r="CM19" s="12"/>
      <c r="CN19" s="14"/>
      <c r="CO19" s="7" t="s">
        <v>22</v>
      </c>
      <c r="CP19" s="3" t="s">
        <v>23</v>
      </c>
      <c r="CQ19" s="4" t="s">
        <v>24</v>
      </c>
      <c r="CR19" s="3" t="s">
        <v>25</v>
      </c>
      <c r="CS19" s="3" t="s">
        <v>26</v>
      </c>
      <c r="CT19" s="4" t="s">
        <v>27</v>
      </c>
      <c r="CU19" s="9" t="s">
        <v>28</v>
      </c>
      <c r="CV19" s="4" t="s">
        <v>29</v>
      </c>
      <c r="CW19" s="9" t="s">
        <v>30</v>
      </c>
      <c r="CX19" s="4" t="s">
        <v>97</v>
      </c>
      <c r="CY19" s="9" t="s">
        <v>98</v>
      </c>
    </row>
    <row r="20" spans="1:104" s="14" customFormat="1" x14ac:dyDescent="0.25">
      <c r="A20" s="16"/>
      <c r="B20" s="61"/>
      <c r="C20" s="16"/>
      <c r="D20" s="16"/>
      <c r="E20" s="3"/>
      <c r="F20" s="77"/>
      <c r="G20" s="64"/>
      <c r="H20" s="3"/>
      <c r="I20" s="3"/>
      <c r="J20" s="3"/>
      <c r="K20" s="78"/>
      <c r="L20" s="3"/>
      <c r="M20" s="3"/>
      <c r="N20" s="17">
        <v>418</v>
      </c>
      <c r="O20" s="17">
        <f>N20+5</f>
        <v>423</v>
      </c>
      <c r="P20" s="17">
        <f>+IFERROR(VLOOKUP($P$19,Sheet1!J:M,2,0),0)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+IFERROR(VLOOKUP($V$19,Sheet1!N:Q,2,0),0)</f>
        <v>0</v>
      </c>
      <c r="W20" s="17">
        <f>+IFERROR(VLOOKUP($W$19,Sheet1!N:O,2,0),0)</f>
        <v>0</v>
      </c>
      <c r="X20" s="18">
        <f>+IFERROR(VLOOKUP($X$19,Sheet1!F:I,2,0),0)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+IFERROR(VLOOKUP($AF$19,Sheet1!R:U,2,0),0)</f>
        <v>0</v>
      </c>
      <c r="AG20" s="18">
        <f>+IFERROR(VLOOKUP($AG$19,Sheet1!R:U,2,0),0)</f>
        <v>0</v>
      </c>
      <c r="AH20" s="18">
        <f>+IFERROR(VLOOKUP($AH$19,Sheet1!V:Y,2,0),0)</f>
        <v>0</v>
      </c>
      <c r="AI20" s="18">
        <v>150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9">
        <f>+IFERROR(VLOOKUP($AQ$19,Sheet1!Z2:AA840,2,0),0)</f>
        <v>0</v>
      </c>
      <c r="AR20" s="18">
        <f>+IFERROR(VLOOKUP($AR$19,Sheet1!AD2:AG840,2,0),0)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v>59</v>
      </c>
      <c r="AY20" s="18">
        <f>+IFERROR(VLOOKUP($AY$19,Sheet1!AD2:AG840,2,0),0)</f>
        <v>0</v>
      </c>
      <c r="AZ20" s="18">
        <f>+IFERROR(VLOOKUP($AZ$19,Sheet1!AD2:AG840,2,0),0)</f>
        <v>0</v>
      </c>
      <c r="BA20" s="18">
        <f>+IFERROR(VLOOKUP($BA$19,Sheet1!AH2:AK840,2,0),0)</f>
        <v>0</v>
      </c>
      <c r="BB20" s="18">
        <f>+IFERROR(VLOOKUP($BB$19,Sheet1!AH2:AK840,2,0),0)</f>
        <v>0</v>
      </c>
      <c r="BC20" s="18">
        <f>+IFERROR(VLOOKUP($BC$19,Sheet1!AH2:AK840,2,0),0)</f>
        <v>0</v>
      </c>
      <c r="BD20" s="18">
        <f>N20+5</f>
        <v>423</v>
      </c>
      <c r="BE20" s="18">
        <f>+IFERROR(VLOOKUP($BE$19,Sheet1!AH2:AK840,2,0),0)</f>
        <v>0</v>
      </c>
      <c r="BF20" s="18">
        <f>+IFERROR(VLOOKUP($BF$19,Sheet1!AH2:AK840,2,0),0)</f>
        <v>0</v>
      </c>
      <c r="BG20" s="18">
        <v>87</v>
      </c>
      <c r="BH20" s="18">
        <f>+IFERROR(VLOOKUP($BH$19,Sheet1!AH2:AK840,2,0),0)</f>
        <v>0</v>
      </c>
      <c r="BI20" s="18">
        <f>+IFERROR(VLOOKUP($BI$19,Sheet1!AH2:AK840,2,0),0)</f>
        <v>0</v>
      </c>
      <c r="BJ20" s="18">
        <f>+IFERROR(VLOOKUP($BJ$19,Sheet1!AH2:AK840,2,0),0)</f>
        <v>0</v>
      </c>
      <c r="BK20" s="18">
        <f>+IFERROR(VLOOKUP($BK$19,Sheet1!AH2:AK840,2,0),0)</f>
        <v>0</v>
      </c>
      <c r="BL20" s="18">
        <f>+IFERROR(VLOOKUP($BL$19,Sheet1!AL2:AO840,2,0),0)</f>
        <v>0</v>
      </c>
      <c r="BM20" s="18">
        <f>+IFERROR(VLOOKUP($BM$19,Sheet1!AL2:AO840,2,0),0)</f>
        <v>0</v>
      </c>
      <c r="BN20" s="18">
        <f>+IFERROR(VLOOKUP($BN$19,Sheet1!AL2:AO840,2,0),0)</f>
        <v>0</v>
      </c>
      <c r="BO20" s="18">
        <f>98+5</f>
        <v>103</v>
      </c>
      <c r="BP20" s="18">
        <f>+IFERROR(VLOOKUP($BP$19,Sheet1!AL2:AO840,2,0),0)</f>
        <v>0</v>
      </c>
      <c r="BQ20" s="18">
        <f>+IFERROR(VLOOKUP($BQ$19,Sheet1!AL2:AO840,2,0),0)</f>
        <v>0</v>
      </c>
      <c r="BR20" s="18">
        <f>+IFERROR(VLOOKUP($BR$19,Sheet1!AL2:AO840,2,0),0)</f>
        <v>0</v>
      </c>
      <c r="BS20" s="18">
        <v>79</v>
      </c>
      <c r="BT20" s="18">
        <v>98</v>
      </c>
      <c r="BU20" s="18">
        <f>+IFERROR(VLOOKUP($BU$19,Sheet1!AL2:AO840,2,0),0)</f>
        <v>0</v>
      </c>
      <c r="BV20" s="18">
        <f>+IFERROR(VLOOKUP($BV$19,Sheet1!AL2:AO840,2,0),0)</f>
        <v>0</v>
      </c>
      <c r="BW20" s="18">
        <f>+IFERROR(VLOOKUP($BW$19,Sheet1!AL2:AO840,2,0),0)</f>
        <v>0</v>
      </c>
      <c r="BX20" s="19">
        <f>+IFERROR(VLOOKUP($BX$19,Sheet1!AP2:AS840,2,0),0)</f>
        <v>0</v>
      </c>
      <c r="BY20" s="19">
        <f>+IFERROR(VLOOKUP($BY$19,Sheet1!AT2:AW840,2,0),0)</f>
        <v>0</v>
      </c>
      <c r="BZ20" s="20">
        <f>+IFERROR(VLOOKUP($BZ$19,Sheet1!AX2:BA840,2,0),0)</f>
        <v>0</v>
      </c>
      <c r="CA20" s="21">
        <f>+IFERROR(VLOOKUP($CA$19,Sheet1!BB2:BE840,2,0),0)</f>
        <v>0</v>
      </c>
      <c r="CB20" s="20">
        <f>+IFERROR(VLOOKUP($CB$19,Sheet1!BF2:BI840,2,0),0)</f>
        <v>0</v>
      </c>
      <c r="CC20" s="20">
        <f>+IFERROR(VLOOKUP($CC$19,Sheet1!BJ2:BM840,2,0),0)</f>
        <v>0</v>
      </c>
      <c r="CD20" s="20">
        <f>+IFERROR(VLOOKUP($CD$19,Sheet1!BN2:BQ840,2,0),0)</f>
        <v>0</v>
      </c>
      <c r="CE20" s="21">
        <v>294</v>
      </c>
      <c r="CF20" s="20">
        <f>+IFERROR(VLOOKUP($CF$19,Sheet1!BV2:BY840,2,0),0)</f>
        <v>0</v>
      </c>
      <c r="CG20" s="66"/>
      <c r="CH20" s="66"/>
      <c r="CI20" s="66"/>
      <c r="CJ20" s="66"/>
      <c r="CO20" s="3"/>
      <c r="CP20" s="3"/>
      <c r="CQ20" s="3"/>
      <c r="CR20" s="3"/>
      <c r="CS20" s="3"/>
      <c r="CT20" s="3"/>
      <c r="CU20" s="3"/>
      <c r="CV20" s="3"/>
      <c r="CW20" s="3"/>
      <c r="CX20" s="3"/>
      <c r="CY20" s="3"/>
    </row>
    <row r="21" spans="1:104" s="22" customFormat="1" ht="30" x14ac:dyDescent="0.25">
      <c r="A21" s="6" t="str">
        <f>Sheet1!A6</f>
        <v>ENQ-18774-25-26</v>
      </c>
      <c r="B21" s="87">
        <v>46143</v>
      </c>
      <c r="C21" s="6" t="str">
        <f>Sheet1!C6</f>
        <v>FA0900036</v>
      </c>
      <c r="D21" s="98" t="str">
        <f>Sheet1!D6</f>
        <v>4 CORE X 50 SQ. MM. ALU/ARD - STRIP (XLPE)</v>
      </c>
      <c r="E21" s="23">
        <f t="shared" ref="E21:E29" si="0">CS21+CU21+CW21+CY21</f>
        <v>438368.97</v>
      </c>
      <c r="F21" s="109">
        <f>ROUNDUP(M39,0)</f>
        <v>9643</v>
      </c>
      <c r="G21" s="28">
        <f t="shared" ref="G21:G29" si="1">E21+F21</f>
        <v>448011.97</v>
      </c>
      <c r="H21" s="29">
        <f>Sheet1!CR6</f>
        <v>0.18</v>
      </c>
      <c r="I21" s="28">
        <f t="shared" ref="I21:I29" si="2">G21*H21</f>
        <v>80642.154599999994</v>
      </c>
      <c r="J21" s="28">
        <f t="shared" ref="J21:J29" si="3">G21+I21</f>
        <v>528654.12459999998</v>
      </c>
      <c r="K21" s="79">
        <f>Sheet1!CU6</f>
        <v>140</v>
      </c>
      <c r="L21" s="76" t="str">
        <f>Sheet1!CV6</f>
        <v>KMS</v>
      </c>
      <c r="M21" s="23">
        <f t="shared" ref="M21:M29" si="4">J21*K21</f>
        <v>74011577.443999991</v>
      </c>
      <c r="N21" s="99">
        <f>+IFERROR(VLOOKUP($N$19,Sheet1!J6:L6,3,0),0)</f>
        <v>540</v>
      </c>
      <c r="O21" s="71">
        <f>+IFERROR(VLOOKUP($O$19,Sheet1!J6:L6,3,0),0)</f>
        <v>0</v>
      </c>
      <c r="P21" s="71">
        <f>+IFERROR(VLOOKUP($P$19,Sheet1!J6:M6,3,0),0)</f>
        <v>0</v>
      </c>
      <c r="Q21" s="71">
        <f>+IFERROR(VLOOKUP($Q$19,Sheet1!J6:M6,3,0),0)</f>
        <v>0</v>
      </c>
      <c r="R21" s="71">
        <f>+IFERROR(VLOOKUP($R$19,Sheet1!J6:M6,3,0),0)</f>
        <v>0</v>
      </c>
      <c r="S21" s="71">
        <f>+IFERROR(VLOOKUP($S$19,Sheet1!J6:M6,3,0),0)</f>
        <v>0</v>
      </c>
      <c r="T21" s="71">
        <f>+IFERROR(VLOOKUP($T$19,Sheet1!J6:M6,3,0),0)</f>
        <v>0</v>
      </c>
      <c r="U21" s="71">
        <f>+IFERROR(VLOOKUP($U$19,Sheet1!J6:M6,3,0),0)</f>
        <v>0</v>
      </c>
      <c r="V21" s="72">
        <f>+IFERROR(VLOOKUP($V$19,Sheet1!N6:Q6,3,0),0)</f>
        <v>0</v>
      </c>
      <c r="W21" s="72">
        <f>+IFERROR(VLOOKUP($W$19,Sheet1!N6:Q6,3,0),0)</f>
        <v>0</v>
      </c>
      <c r="X21" s="73">
        <f>+IFERROR(VLOOKUP($X$19,Sheet1!F6:I6,3,0),0)</f>
        <v>0</v>
      </c>
      <c r="Y21" s="73">
        <f>+IFERROR(VLOOKUP($Y$19,Sheet1!F6:I6,3,0),0)</f>
        <v>0</v>
      </c>
      <c r="Z21" s="73">
        <f>+IFERROR(VLOOKUP($Z$19,Sheet1!F6:I6,3,0),0)</f>
        <v>0</v>
      </c>
      <c r="AA21" s="73">
        <f>+IFERROR(VLOOKUP($AA$19,Sheet1!F6:I6,3,0),0)</f>
        <v>0</v>
      </c>
      <c r="AB21" s="73">
        <f>+IFERROR(VLOOKUP($AB$19,Sheet1!F6:I6,3,0),0)</f>
        <v>0</v>
      </c>
      <c r="AC21" s="73">
        <f>+IFERROR(VLOOKUP($AC$19,Sheet1!F6:I6,3,0),0)</f>
        <v>0</v>
      </c>
      <c r="AD21" s="73">
        <f>+IFERROR(VLOOKUP($AD$19,Sheet1!F6:I6,3,0),0)</f>
        <v>0</v>
      </c>
      <c r="AE21" s="73">
        <f>+IFERROR(VLOOKUP($AE$19,Sheet1!F6:I6,3,0),0)</f>
        <v>0</v>
      </c>
      <c r="AF21" s="74">
        <f>+IFERROR(VLOOKUP($AF$19,Sheet1!R6:U6,3,0),0)</f>
        <v>0</v>
      </c>
      <c r="AG21" s="32">
        <f>+IFERROR(VLOOKUP($AG$19,Sheet1!R6:U6,3,0),0)</f>
        <v>0</v>
      </c>
      <c r="AH21" s="75">
        <f>+IFERROR(VLOOKUP($AH$19,Sheet1!V6:Y6,3,0),0)</f>
        <v>0</v>
      </c>
      <c r="AI21" s="100">
        <v>144</v>
      </c>
      <c r="AJ21" s="33">
        <f>+IFERROR(VLOOKUP($AJ$19,Sheet1!V6:Y6,3,0),0)</f>
        <v>0</v>
      </c>
      <c r="AK21" s="33">
        <f>+IFERROR(VLOOKUP($AK$19,Sheet1!V6:Y6,3,0),0)</f>
        <v>0</v>
      </c>
      <c r="AL21" s="33">
        <f>+IFERROR(VLOOKUP($AL$19,Sheet1!V6:Y6,3,0),0)</f>
        <v>0</v>
      </c>
      <c r="AM21" s="33">
        <f>+IFERROR(VLOOKUP($AM$19,Sheet1!V6:Y6,3,0),0)</f>
        <v>0</v>
      </c>
      <c r="AN21" s="33">
        <f>+IFERROR(VLOOKUP($AN$19,Sheet1!V6:Y6,3,0),0)</f>
        <v>0</v>
      </c>
      <c r="AO21" s="33">
        <f>+IFERROR(VLOOKUP($AO$19,Sheet1!V6:Y6,3,0),0)</f>
        <v>0</v>
      </c>
      <c r="AP21" s="33">
        <f>+IFERROR(VLOOKUP($AP$19,Sheet1!V6:Y6,3,0),0)</f>
        <v>0</v>
      </c>
      <c r="AQ21" s="36">
        <f>+IFERROR(VLOOKUP($AQ$19,Sheet1!Z6:AB6,3,0),0)</f>
        <v>0</v>
      </c>
      <c r="AR21" s="37">
        <f>+IFERROR(VLOOKUP($AR$19,Sheet1!AD6:AG6,3,0),0)</f>
        <v>0</v>
      </c>
      <c r="AS21" s="37">
        <f>+IFERROR(VLOOKUP($AS$19,Sheet1!AD6:AG6,3,0),0)</f>
        <v>0</v>
      </c>
      <c r="AT21" s="37">
        <f>+IFERROR(VLOOKUP($AT$19,Sheet1!AD6:AG6,3,0),0)</f>
        <v>0</v>
      </c>
      <c r="AU21" s="37">
        <f>+IFERROR(VLOOKUP($AU$19,Sheet1!AD6:AG6,3,0),0)</f>
        <v>0</v>
      </c>
      <c r="AV21" s="37">
        <f>+IFERROR(VLOOKUP($AV$19,Sheet1!AD6:AG6,3,0),0)</f>
        <v>0</v>
      </c>
      <c r="AW21" s="37">
        <f>+IFERROR(VLOOKUP($AW$19,Sheet1!AD6:AG6,3,0),0)</f>
        <v>0</v>
      </c>
      <c r="AX21" s="101">
        <v>60</v>
      </c>
      <c r="AY21" s="37">
        <f>+IFERROR(VLOOKUP($AY$19,Sheet1!AD6:AG6,3,0),0)</f>
        <v>0</v>
      </c>
      <c r="AZ21" s="37">
        <f>+IFERROR(VLOOKUP($AZ$19,Sheet1!AD6:AG6,3,0),0)</f>
        <v>0</v>
      </c>
      <c r="BA21" s="36">
        <f>+IFERROR(VLOOKUP($BA$19,Sheet1!AH6:AK6,3,0),0)</f>
        <v>0</v>
      </c>
      <c r="BB21" s="36">
        <f>+IFERROR(VLOOKUP($BB$19,Sheet1!AH6:AK6,3,0),0)</f>
        <v>0</v>
      </c>
      <c r="BC21" s="36">
        <f>+IFERROR(VLOOKUP($BC$19,Sheet1!AH6:AK6,3,0),0)</f>
        <v>0</v>
      </c>
      <c r="BD21" s="36">
        <f>+IFERROR(VLOOKUP($BD$19,Sheet1!AH6:AK6,3,0),0)</f>
        <v>0</v>
      </c>
      <c r="BE21" s="36">
        <f>+IFERROR(VLOOKUP($BE$19,Sheet1!AH6:AK6,3,0),0)</f>
        <v>0</v>
      </c>
      <c r="BF21" s="36">
        <f>+IFERROR(VLOOKUP($BF$19,Sheet1!AH6:AK6,3,0),0)</f>
        <v>0</v>
      </c>
      <c r="BG21" s="102">
        <v>446</v>
      </c>
      <c r="BH21" s="36">
        <f>+IFERROR(VLOOKUP($BH$19,Sheet1!AH6:AK6,3,0),0)</f>
        <v>0</v>
      </c>
      <c r="BI21" s="36">
        <f>+IFERROR(VLOOKUP($BI$19,Sheet1!AH6:AK6,3,0),0)</f>
        <v>0</v>
      </c>
      <c r="BJ21" s="36">
        <f>+IFERROR(VLOOKUP($BJ$19,Sheet1!AH6:AK6,3,0),0)</f>
        <v>0</v>
      </c>
      <c r="BK21" s="36">
        <f>+IFERROR(VLOOKUP($BK$19,Sheet1!AH6:AK6,3,0),0)</f>
        <v>0</v>
      </c>
      <c r="BL21" s="9">
        <f>+IFERROR(VLOOKUP($BL$19,Sheet1!AL6:AO6,3,0),0)</f>
        <v>0</v>
      </c>
      <c r="BM21" s="9">
        <f>+IFERROR(VLOOKUP($BM$19,Sheet1!AL6:AO6,3,0),0)</f>
        <v>0</v>
      </c>
      <c r="BN21" s="9">
        <f>+IFERROR(VLOOKUP($BN$19,Sheet1!AL6:AO6,3,0),0)</f>
        <v>0</v>
      </c>
      <c r="BO21" s="103">
        <v>245</v>
      </c>
      <c r="BP21" s="9">
        <f>+IFERROR(VLOOKUP($BP$19,Sheet1!AL6:AO6,3,0),0)</f>
        <v>0</v>
      </c>
      <c r="BQ21" s="9">
        <f>+IFERROR(VLOOKUP($BQ$19,Sheet1!AL6:AO6,3,0),0)</f>
        <v>0</v>
      </c>
      <c r="BR21" s="9">
        <f>+IFERROR(VLOOKUP($BR$19,Sheet1!AL6:AO6,3,0),0)</f>
        <v>0</v>
      </c>
      <c r="BS21" s="9"/>
      <c r="BT21" s="9"/>
      <c r="BU21" s="9">
        <f>+IFERROR(VLOOKUP($BU$19,Sheet1!AL6:AO6,3,0),0)</f>
        <v>0</v>
      </c>
      <c r="BV21" s="9">
        <f>+IFERROR(VLOOKUP($BV$19,Sheet1!AL6:AO6,3,0),0)</f>
        <v>0</v>
      </c>
      <c r="BW21" s="9">
        <f>+IFERROR(VLOOKUP($BW$19,Sheet1!AL6:AO6,3,0),0)</f>
        <v>0</v>
      </c>
      <c r="BX21" s="40">
        <f>+IFERROR(VLOOKUP($BX$19,Sheet1!AP6:AS6,3,0),0)</f>
        <v>0</v>
      </c>
      <c r="BY21" s="43">
        <f>+IFERROR(VLOOKUP($BY$19,Sheet1!AT6:AW6,3,0),0)</f>
        <v>0</v>
      </c>
      <c r="BZ21" s="44">
        <f>+IFERROR(VLOOKUP($BZ$19,Sheet1!AX6:BA6,3,0),0)</f>
        <v>0</v>
      </c>
      <c r="CA21" s="46">
        <f>+IFERROR(VLOOKUP($CA$19,Sheet1!BB6:BE6,3,0),0)</f>
        <v>0</v>
      </c>
      <c r="CB21" s="48">
        <f>+IFERROR(VLOOKUP($CB$19,Sheet1!BF6:BI6,3,0),0)</f>
        <v>0</v>
      </c>
      <c r="CC21" s="49">
        <f>+IFERROR(VLOOKUP($CC$19,Sheet1!BJ6:BM6,3,0),0)</f>
        <v>0</v>
      </c>
      <c r="CD21" s="50">
        <f>+IFERROR(VLOOKUP($CD$19,Sheet1!BN6:BQ6,3,0),0)</f>
        <v>0</v>
      </c>
      <c r="CE21" s="104">
        <v>36</v>
      </c>
      <c r="CF21" s="44">
        <f>+IFERROR(VLOOKUP($CF$19,Sheet1!BV6:BY6,3,0),0)</f>
        <v>0</v>
      </c>
      <c r="CG21" s="67" t="str">
        <f>Sheet1!E6</f>
        <v>WOOD</v>
      </c>
      <c r="CH21" s="68" t="str">
        <f>Sheet1!CY6</f>
        <v>MD0100015</v>
      </c>
      <c r="CI21" s="68" t="str">
        <f>Sheet1!CZ6</f>
        <v>DRUM - 48 X 20 X 28 X 2.25 - RDSO</v>
      </c>
      <c r="CJ21" s="68">
        <f>Sheet1!CX6</f>
        <v>500</v>
      </c>
      <c r="CK21" s="23">
        <f>2557/0.5</f>
        <v>5114</v>
      </c>
      <c r="CL21" s="23">
        <f t="shared" ref="CL21:CL29" si="5">SUMPRODUCT($N$20:$CF$20,N21:CF21)+CK21</f>
        <v>330595</v>
      </c>
      <c r="CM21" s="24">
        <f>Sheet1!CB6</f>
        <v>0</v>
      </c>
      <c r="CN21" s="23">
        <f t="shared" ref="CN21:CN29" si="6">CL21*CM21</f>
        <v>0</v>
      </c>
      <c r="CO21" s="95">
        <v>0.3</v>
      </c>
      <c r="CP21" s="23">
        <f t="shared" ref="CP21:CP29" si="7">CL21*CO21</f>
        <v>99178.5</v>
      </c>
      <c r="CQ21" s="95">
        <v>0</v>
      </c>
      <c r="CR21" s="23">
        <f t="shared" ref="CR21:CR29" si="8">CL21*CQ21</f>
        <v>0</v>
      </c>
      <c r="CS21" s="23">
        <f t="shared" ref="CS21:CS29" si="9">CL21+CN21+CP21+CR21</f>
        <v>429773.5</v>
      </c>
      <c r="CT21" s="95">
        <v>0.02</v>
      </c>
      <c r="CU21" s="6">
        <f t="shared" ref="CU21:CU29" si="10">CS21*CT21</f>
        <v>8595.4699999999993</v>
      </c>
      <c r="CV21" s="95">
        <f>Sheet1!CK6</f>
        <v>0</v>
      </c>
      <c r="CW21" s="6">
        <f t="shared" ref="CW21:CW29" si="11">CS21*CV21</f>
        <v>0</v>
      </c>
      <c r="CX21" s="95">
        <f>Sheet1!CM6</f>
        <v>0</v>
      </c>
      <c r="CY21" s="6">
        <f t="shared" ref="CY21:CY29" si="12">CX21*CS21</f>
        <v>0</v>
      </c>
    </row>
    <row r="22" spans="1:104" s="22" customFormat="1" ht="30" x14ac:dyDescent="0.25">
      <c r="A22" s="6" t="str">
        <f>Sheet1!A7</f>
        <v>ENQ-18774-25-26</v>
      </c>
      <c r="B22" s="87">
        <v>46143</v>
      </c>
      <c r="C22" s="6" t="str">
        <f>Sheet1!C7</f>
        <v>FA1100012</v>
      </c>
      <c r="D22" s="98" t="str">
        <f>Sheet1!D7</f>
        <v>4 CORE X 95 SQ. MM. AL/ARD - STRIP (XLPE)</v>
      </c>
      <c r="E22" s="23">
        <f t="shared" si="0"/>
        <v>761698.15800000005</v>
      </c>
      <c r="F22" s="109">
        <f t="shared" ref="F22:F29" si="13">ROUNDUP(M40,0)</f>
        <v>18750</v>
      </c>
      <c r="G22" s="28">
        <f t="shared" si="1"/>
        <v>780448.15800000005</v>
      </c>
      <c r="H22" s="29">
        <f>Sheet1!CR7</f>
        <v>0.18</v>
      </c>
      <c r="I22" s="28">
        <f t="shared" si="2"/>
        <v>140480.66844000001</v>
      </c>
      <c r="J22" s="28">
        <f t="shared" si="3"/>
        <v>920928.82644000009</v>
      </c>
      <c r="K22" s="79">
        <f>Sheet1!CU7</f>
        <v>600</v>
      </c>
      <c r="L22" s="76" t="str">
        <f>Sheet1!CV7</f>
        <v>KMS</v>
      </c>
      <c r="M22" s="23">
        <f t="shared" si="4"/>
        <v>552557295.86400008</v>
      </c>
      <c r="N22" s="99">
        <f>+IFERROR(VLOOKUP($N$19,Sheet1!J7:L7,3,0),0)</f>
        <v>1026</v>
      </c>
      <c r="O22" s="71">
        <f>+IFERROR(VLOOKUP($O$19,Sheet1!J7:L7,3,0),0)</f>
        <v>0</v>
      </c>
      <c r="P22" s="71">
        <f>+IFERROR(VLOOKUP($P$19,Sheet1!J7:M7,3,0),0)</f>
        <v>0</v>
      </c>
      <c r="Q22" s="71">
        <f>+IFERROR(VLOOKUP($Q$19,Sheet1!J7:M7,3,0),0)</f>
        <v>0</v>
      </c>
      <c r="R22" s="71">
        <f>+IFERROR(VLOOKUP($R$19,Sheet1!J7:M7,3,0),0)</f>
        <v>0</v>
      </c>
      <c r="S22" s="71">
        <f>+IFERROR(VLOOKUP($S$19,Sheet1!J7:M7,3,0),0)</f>
        <v>0</v>
      </c>
      <c r="T22" s="71">
        <f>+IFERROR(VLOOKUP($T$19,Sheet1!J7:M7,3,0),0)</f>
        <v>0</v>
      </c>
      <c r="U22" s="71">
        <f>+IFERROR(VLOOKUP($U$19,Sheet1!J7:M7,3,0),0)</f>
        <v>0</v>
      </c>
      <c r="V22" s="72">
        <f>+IFERROR(VLOOKUP($V$19,Sheet1!N7:Q7,3,0),0)</f>
        <v>0</v>
      </c>
      <c r="W22" s="72">
        <f>+IFERROR(VLOOKUP($W$19,Sheet1!N7:Q7,3,0),0)</f>
        <v>0</v>
      </c>
      <c r="X22" s="73">
        <f>+IFERROR(VLOOKUP($X$19,Sheet1!F7:I7,3,0),0)</f>
        <v>0</v>
      </c>
      <c r="Y22" s="73">
        <f>+IFERROR(VLOOKUP($Y$19,Sheet1!F7:I7,3,0),0)</f>
        <v>0</v>
      </c>
      <c r="Z22" s="73">
        <f>+IFERROR(VLOOKUP($Z$19,Sheet1!F7:I7,3,0),0)</f>
        <v>0</v>
      </c>
      <c r="AA22" s="73">
        <f>+IFERROR(VLOOKUP($AA$19,Sheet1!F7:I7,3,0),0)</f>
        <v>0</v>
      </c>
      <c r="AB22" s="73">
        <f>+IFERROR(VLOOKUP($AB$19,Sheet1!F7:I7,3,0),0)</f>
        <v>0</v>
      </c>
      <c r="AC22" s="73">
        <f>+IFERROR(VLOOKUP($AC$19,Sheet1!F7:I7,3,0),0)</f>
        <v>0</v>
      </c>
      <c r="AD22" s="73">
        <f>+IFERROR(VLOOKUP($AD$19,Sheet1!F7:I7,3,0),0)</f>
        <v>0</v>
      </c>
      <c r="AE22" s="73">
        <f>+IFERROR(VLOOKUP($AE$19,Sheet1!F7:I7,3,0),0)</f>
        <v>0</v>
      </c>
      <c r="AF22" s="74">
        <f>+IFERROR(VLOOKUP($AF$19,Sheet1!R7:U7,3,0),0)</f>
        <v>0</v>
      </c>
      <c r="AG22" s="32">
        <f>+IFERROR(VLOOKUP($AG$19,Sheet1!R7:U7,3,0),0)</f>
        <v>0</v>
      </c>
      <c r="AH22" s="75">
        <f>+IFERROR(VLOOKUP($AH$19,Sheet1!V7:Y7,3,0),0)</f>
        <v>0</v>
      </c>
      <c r="AI22" s="100">
        <v>204</v>
      </c>
      <c r="AJ22" s="33">
        <f>+IFERROR(VLOOKUP($AJ$19,Sheet1!V7:Y7,3,0),0)</f>
        <v>0</v>
      </c>
      <c r="AK22" s="33">
        <f>+IFERROR(VLOOKUP($AK$19,Sheet1!V7:Y7,3,0),0)</f>
        <v>0</v>
      </c>
      <c r="AL22" s="33">
        <f>+IFERROR(VLOOKUP($AL$19,Sheet1!V7:Y7,3,0),0)</f>
        <v>0</v>
      </c>
      <c r="AM22" s="33">
        <f>+IFERROR(VLOOKUP($AM$19,Sheet1!V7:Y7,3,0),0)</f>
        <v>0</v>
      </c>
      <c r="AN22" s="33">
        <f>+IFERROR(VLOOKUP($AN$19,Sheet1!V7:Y7,3,0),0)</f>
        <v>0</v>
      </c>
      <c r="AO22" s="33">
        <f>+IFERROR(VLOOKUP($AO$19,Sheet1!V7:Y7,3,0),0)</f>
        <v>0</v>
      </c>
      <c r="AP22" s="33">
        <f>+IFERROR(VLOOKUP($AP$19,Sheet1!V7:Y7,3,0),0)</f>
        <v>0</v>
      </c>
      <c r="AQ22" s="36">
        <f>+IFERROR(VLOOKUP($AQ$19,Sheet1!Z7:AB7,3,0),0)</f>
        <v>0</v>
      </c>
      <c r="AR22" s="37">
        <f>+IFERROR(VLOOKUP($AR$19,Sheet1!AD7:AG7,3,0),0)</f>
        <v>0</v>
      </c>
      <c r="AS22" s="37">
        <f>+IFERROR(VLOOKUP($AS$19,Sheet1!AD7:AG7,3,0),0)</f>
        <v>0</v>
      </c>
      <c r="AT22" s="37">
        <f>+IFERROR(VLOOKUP($AT$19,Sheet1!AD7:AG7,3,0),0)</f>
        <v>0</v>
      </c>
      <c r="AU22" s="37">
        <f>+IFERROR(VLOOKUP($AU$19,Sheet1!AD7:AG7,3,0),0)</f>
        <v>0</v>
      </c>
      <c r="AV22" s="37">
        <f>+IFERROR(VLOOKUP($AV$19,Sheet1!AD7:AG7,3,0),0)</f>
        <v>0</v>
      </c>
      <c r="AW22" s="37">
        <f>+IFERROR(VLOOKUP($AW$19,Sheet1!AD7:AG7,3,0),0)</f>
        <v>0</v>
      </c>
      <c r="AX22" s="101">
        <v>96</v>
      </c>
      <c r="AY22" s="37">
        <f>+IFERROR(VLOOKUP($AY$19,Sheet1!AD7:AG7,3,0),0)</f>
        <v>0</v>
      </c>
      <c r="AZ22" s="37">
        <f>+IFERROR(VLOOKUP($AZ$19,Sheet1!AD7:AG7,3,0),0)</f>
        <v>0</v>
      </c>
      <c r="BA22" s="36">
        <f>+IFERROR(VLOOKUP($BA$19,Sheet1!AH7:AK7,3,0),0)</f>
        <v>0</v>
      </c>
      <c r="BB22" s="36">
        <f>+IFERROR(VLOOKUP($BB$19,Sheet1!AH7:AK7,3,0),0)</f>
        <v>0</v>
      </c>
      <c r="BC22" s="36">
        <f>+IFERROR(VLOOKUP($BC$19,Sheet1!AH7:AK7,3,0),0)</f>
        <v>0</v>
      </c>
      <c r="BD22" s="36">
        <f>+IFERROR(VLOOKUP($BD$19,Sheet1!AH7:AK7,3,0),0)</f>
        <v>0</v>
      </c>
      <c r="BE22" s="36">
        <f>+IFERROR(VLOOKUP($BE$19,Sheet1!AH7:AK7,3,0),0)</f>
        <v>0</v>
      </c>
      <c r="BF22" s="36">
        <f>+IFERROR(VLOOKUP($BF$19,Sheet1!AH7:AK7,3,0),0)</f>
        <v>0</v>
      </c>
      <c r="BG22" s="102">
        <v>577</v>
      </c>
      <c r="BH22" s="36">
        <f>+IFERROR(VLOOKUP($BH$19,Sheet1!AH7:AK7,3,0),0)</f>
        <v>0</v>
      </c>
      <c r="BI22" s="36">
        <f>+IFERROR(VLOOKUP($BI$19,Sheet1!AH7:AK7,3,0),0)</f>
        <v>0</v>
      </c>
      <c r="BJ22" s="36">
        <f>+IFERROR(VLOOKUP($BJ$19,Sheet1!AH7:AK7,3,0),0)</f>
        <v>0</v>
      </c>
      <c r="BK22" s="36">
        <f>+IFERROR(VLOOKUP($BK$19,Sheet1!AH7:AK7,3,0),0)</f>
        <v>0</v>
      </c>
      <c r="BL22" s="9">
        <f>+IFERROR(VLOOKUP($BL$19,Sheet1!AL7:AO7,3,0),0)</f>
        <v>0</v>
      </c>
      <c r="BM22" s="9">
        <f>+IFERROR(VLOOKUP($BM$19,Sheet1!AL7:AO7,3,0),0)</f>
        <v>0</v>
      </c>
      <c r="BN22" s="9">
        <f>+IFERROR(VLOOKUP($BN$19,Sheet1!AL7:AO7,3,0),0)</f>
        <v>0</v>
      </c>
      <c r="BO22" s="103">
        <v>310</v>
      </c>
      <c r="BP22" s="9">
        <f>+IFERROR(VLOOKUP($BP$19,Sheet1!AL7:AO7,3,0),0)</f>
        <v>0</v>
      </c>
      <c r="BQ22" s="9">
        <f>+IFERROR(VLOOKUP($BQ$19,Sheet1!AL7:AO7,3,0),0)</f>
        <v>0</v>
      </c>
      <c r="BR22" s="9">
        <f>+IFERROR(VLOOKUP($BR$19,Sheet1!AL7:AO7,3,0),0)</f>
        <v>0</v>
      </c>
      <c r="BS22" s="9"/>
      <c r="BT22" s="9"/>
      <c r="BU22" s="9">
        <f>+IFERROR(VLOOKUP($BU$19,Sheet1!AL7:AO7,3,0),0)</f>
        <v>0</v>
      </c>
      <c r="BV22" s="9">
        <f>+IFERROR(VLOOKUP($BV$19,Sheet1!AL7:AO7,3,0),0)</f>
        <v>0</v>
      </c>
      <c r="BW22" s="9">
        <f>+IFERROR(VLOOKUP($BW$19,Sheet1!AL7:AO7,3,0),0)</f>
        <v>0</v>
      </c>
      <c r="BX22" s="40">
        <f>+IFERROR(VLOOKUP($BX$19,Sheet1!AP7:AS7,3,0),0)</f>
        <v>0</v>
      </c>
      <c r="BY22" s="43">
        <f>+IFERROR(VLOOKUP($BY$19,Sheet1!AT7:AW7,3,0),0)</f>
        <v>0</v>
      </c>
      <c r="BZ22" s="44">
        <f>+IFERROR(VLOOKUP($BZ$19,Sheet1!AX7:BA7,3,0),0)</f>
        <v>0</v>
      </c>
      <c r="CA22" s="46">
        <f>+IFERROR(VLOOKUP($CA$19,Sheet1!BB7:BE7,3,0),0)</f>
        <v>0</v>
      </c>
      <c r="CB22" s="48">
        <f>+IFERROR(VLOOKUP($CB$19,Sheet1!BF7:BI7,3,0),0)</f>
        <v>0</v>
      </c>
      <c r="CC22" s="49">
        <f>+IFERROR(VLOOKUP($CC$19,Sheet1!BJ7:BM7,3,0),0)</f>
        <v>0</v>
      </c>
      <c r="CD22" s="50">
        <f>+IFERROR(VLOOKUP($CD$19,Sheet1!BN7:BQ7,3,0),0)</f>
        <v>0</v>
      </c>
      <c r="CE22" s="104">
        <v>47</v>
      </c>
      <c r="CF22" s="44">
        <f>+IFERROR(VLOOKUP($CF$19,Sheet1!BV7:BY7,3,0),0)</f>
        <v>0</v>
      </c>
      <c r="CG22" s="67" t="str">
        <f>Sheet1!E7</f>
        <v>WOOD</v>
      </c>
      <c r="CH22" s="68" t="str">
        <f>Sheet1!CY7</f>
        <v>MD0100061</v>
      </c>
      <c r="CI22" s="68" t="str">
        <f>Sheet1!CZ7</f>
        <v>DRUM - 56 X 24 X 32 X 3</v>
      </c>
      <c r="CJ22" s="68">
        <f>Sheet1!CX7</f>
        <v>500</v>
      </c>
      <c r="CK22" s="23">
        <f>6677/0.5</f>
        <v>13354</v>
      </c>
      <c r="CL22" s="23">
        <f t="shared" si="5"/>
        <v>574433</v>
      </c>
      <c r="CM22" s="24">
        <f>Sheet1!CB7</f>
        <v>0</v>
      </c>
      <c r="CN22" s="23">
        <f t="shared" si="6"/>
        <v>0</v>
      </c>
      <c r="CO22" s="95">
        <v>0.3</v>
      </c>
      <c r="CP22" s="23">
        <f t="shared" si="7"/>
        <v>172329.9</v>
      </c>
      <c r="CQ22" s="95">
        <v>0</v>
      </c>
      <c r="CR22" s="23">
        <f t="shared" si="8"/>
        <v>0</v>
      </c>
      <c r="CS22" s="23">
        <f t="shared" si="9"/>
        <v>746762.9</v>
      </c>
      <c r="CT22" s="95">
        <v>0.02</v>
      </c>
      <c r="CU22" s="6">
        <f t="shared" si="10"/>
        <v>14935.258000000002</v>
      </c>
      <c r="CV22" s="95">
        <f>Sheet1!CK7</f>
        <v>0</v>
      </c>
      <c r="CW22" s="6">
        <f t="shared" si="11"/>
        <v>0</v>
      </c>
      <c r="CX22" s="95">
        <f>Sheet1!CM7</f>
        <v>0</v>
      </c>
      <c r="CY22" s="6">
        <f t="shared" si="12"/>
        <v>0</v>
      </c>
    </row>
    <row r="23" spans="1:104" s="22" customFormat="1" ht="30" x14ac:dyDescent="0.25">
      <c r="A23" s="6" t="str">
        <f>Sheet1!A9</f>
        <v>ENQ-18774-25-26</v>
      </c>
      <c r="B23" s="87">
        <v>46143</v>
      </c>
      <c r="C23" s="6" t="str">
        <f>Sheet1!C9</f>
        <v>FA1100067</v>
      </c>
      <c r="D23" s="98" t="str">
        <f>Sheet1!D9</f>
        <v>4 CORE X 150 SQ. MM. AL/ARD - STRIP (XLPE)</v>
      </c>
      <c r="E23" s="23">
        <f t="shared" si="0"/>
        <v>1166321.754</v>
      </c>
      <c r="F23" s="109">
        <f t="shared" si="13"/>
        <v>25500</v>
      </c>
      <c r="G23" s="28">
        <f t="shared" si="1"/>
        <v>1191821.754</v>
      </c>
      <c r="H23" s="29">
        <f>Sheet1!CR9</f>
        <v>0.18</v>
      </c>
      <c r="I23" s="28">
        <f t="shared" si="2"/>
        <v>214527.91571999999</v>
      </c>
      <c r="J23" s="28">
        <f t="shared" si="3"/>
        <v>1406349.6697199999</v>
      </c>
      <c r="K23" s="79">
        <f>Sheet1!CU9</f>
        <v>100</v>
      </c>
      <c r="L23" s="76" t="str">
        <f>Sheet1!CV9</f>
        <v>KMS</v>
      </c>
      <c r="M23" s="23">
        <f t="shared" si="4"/>
        <v>140634966.972</v>
      </c>
      <c r="N23" s="99">
        <v>1620</v>
      </c>
      <c r="O23" s="71">
        <f>+IFERROR(VLOOKUP($O$19,Sheet1!J9:L9,3,0),0)</f>
        <v>0</v>
      </c>
      <c r="P23" s="71">
        <f>+IFERROR(VLOOKUP($P$19,Sheet1!J9:M9,3,0),0)</f>
        <v>0</v>
      </c>
      <c r="Q23" s="71">
        <f>+IFERROR(VLOOKUP($Q$19,Sheet1!J9:M9,3,0),0)</f>
        <v>0</v>
      </c>
      <c r="R23" s="71">
        <f>+IFERROR(VLOOKUP($R$19,Sheet1!J9:M9,3,0),0)</f>
        <v>0</v>
      </c>
      <c r="S23" s="71">
        <f>+IFERROR(VLOOKUP($S$19,Sheet1!J9:M9,3,0),0)</f>
        <v>0</v>
      </c>
      <c r="T23" s="71">
        <f>+IFERROR(VLOOKUP($T$19,Sheet1!J9:M9,3,0),0)</f>
        <v>0</v>
      </c>
      <c r="U23" s="71">
        <f>+IFERROR(VLOOKUP($U$19,Sheet1!J9:M9,3,0),0)</f>
        <v>0</v>
      </c>
      <c r="V23" s="72">
        <f>+IFERROR(VLOOKUP($V$19,Sheet1!N9:Q9,3,0),0)</f>
        <v>0</v>
      </c>
      <c r="W23" s="72">
        <f>+IFERROR(VLOOKUP($W$19,Sheet1!N9:Q9,3,0),0)</f>
        <v>0</v>
      </c>
      <c r="X23" s="73">
        <f>+IFERROR(VLOOKUP($X$19,Sheet1!F9:I9,3,0),0)</f>
        <v>0</v>
      </c>
      <c r="Y23" s="73">
        <f>+IFERROR(VLOOKUP($Y$19,Sheet1!F9:I9,3,0),0)</f>
        <v>0</v>
      </c>
      <c r="Z23" s="73">
        <f>+IFERROR(VLOOKUP($Z$19,Sheet1!F9:I9,3,0),0)</f>
        <v>0</v>
      </c>
      <c r="AA23" s="73">
        <f>+IFERROR(VLOOKUP($AA$19,Sheet1!F9:I9,3,0),0)</f>
        <v>0</v>
      </c>
      <c r="AB23" s="73">
        <f>+IFERROR(VLOOKUP($AB$19,Sheet1!F9:I9,3,0),0)</f>
        <v>0</v>
      </c>
      <c r="AC23" s="73">
        <f>+IFERROR(VLOOKUP($AC$19,Sheet1!F9:I9,3,0),0)</f>
        <v>0</v>
      </c>
      <c r="AD23" s="73">
        <f>+IFERROR(VLOOKUP($AD$19,Sheet1!F9:I9,3,0),0)</f>
        <v>0</v>
      </c>
      <c r="AE23" s="73">
        <f>+IFERROR(VLOOKUP($AE$19,Sheet1!F9:I9,3,0),0)</f>
        <v>0</v>
      </c>
      <c r="AF23" s="74">
        <f>+IFERROR(VLOOKUP($AF$19,Sheet1!R9:U9,3,0),0)</f>
        <v>0</v>
      </c>
      <c r="AG23" s="32">
        <f>+IFERROR(VLOOKUP($AG$19,Sheet1!R9:U9,3,0),0)</f>
        <v>0</v>
      </c>
      <c r="AH23" s="75">
        <f>+IFERROR(VLOOKUP($AH$19,Sheet1!V9:Y9,3,0),0)</f>
        <v>0</v>
      </c>
      <c r="AI23" s="100">
        <v>315</v>
      </c>
      <c r="AJ23" s="33">
        <f>+IFERROR(VLOOKUP($AJ$19,Sheet1!V9:Y9,3,0),0)</f>
        <v>0</v>
      </c>
      <c r="AK23" s="33">
        <f>+IFERROR(VLOOKUP($AK$19,Sheet1!V9:Y9,3,0),0)</f>
        <v>0</v>
      </c>
      <c r="AL23" s="33">
        <f>+IFERROR(VLOOKUP($AL$19,Sheet1!V9:Y9,3,0),0)</f>
        <v>0</v>
      </c>
      <c r="AM23" s="33">
        <f>+IFERROR(VLOOKUP($AM$19,Sheet1!V9:Y9,3,0),0)</f>
        <v>0</v>
      </c>
      <c r="AN23" s="33">
        <f>+IFERROR(VLOOKUP($AN$19,Sheet1!V9:Y9,3,0),0)</f>
        <v>0</v>
      </c>
      <c r="AO23" s="33">
        <f>+IFERROR(VLOOKUP($AO$19,Sheet1!V9:Y9,3,0),0)</f>
        <v>0</v>
      </c>
      <c r="AP23" s="33">
        <f>+IFERROR(VLOOKUP($AP$19,Sheet1!V9:Y9,3,0),0)</f>
        <v>0</v>
      </c>
      <c r="AQ23" s="36">
        <f>+IFERROR(VLOOKUP($AQ$19,Sheet1!Z9:AB9,3,0),0)</f>
        <v>0</v>
      </c>
      <c r="AR23" s="37">
        <f>+IFERROR(VLOOKUP($AR$19,Sheet1!AD9:AG9,3,0),0)</f>
        <v>0</v>
      </c>
      <c r="AS23" s="37">
        <f>+IFERROR(VLOOKUP($AS$19,Sheet1!AD9:AG9,3,0),0)</f>
        <v>0</v>
      </c>
      <c r="AT23" s="37">
        <f>+IFERROR(VLOOKUP($AT$19,Sheet1!AD9:AG9,3,0),0)</f>
        <v>0</v>
      </c>
      <c r="AU23" s="37">
        <f>+IFERROR(VLOOKUP($AU$19,Sheet1!AD9:AG9,3,0),0)</f>
        <v>0</v>
      </c>
      <c r="AV23" s="37">
        <f>+IFERROR(VLOOKUP($AV$19,Sheet1!AD9:AG9,3,0),0)</f>
        <v>0</v>
      </c>
      <c r="AW23" s="37">
        <f>+IFERROR(VLOOKUP($AW$19,Sheet1!AD9:AG9,3,0),0)</f>
        <v>0</v>
      </c>
      <c r="AX23" s="101">
        <v>165</v>
      </c>
      <c r="AY23" s="37">
        <f>+IFERROR(VLOOKUP($AY$19,Sheet1!AD9:AG9,3,0),0)</f>
        <v>0</v>
      </c>
      <c r="AZ23" s="37">
        <f>+IFERROR(VLOOKUP($AZ$19,Sheet1!AD9:AG9,3,0),0)</f>
        <v>0</v>
      </c>
      <c r="BA23" s="36">
        <f>+IFERROR(VLOOKUP($BA$19,Sheet1!AH9:AK9,3,0),0)</f>
        <v>0</v>
      </c>
      <c r="BB23" s="36">
        <f>+IFERROR(VLOOKUP($BB$19,Sheet1!AH9:AK9,3,0),0)</f>
        <v>0</v>
      </c>
      <c r="BC23" s="36">
        <f>+IFERROR(VLOOKUP($BC$19,Sheet1!AH9:AK9,3,0),0)</f>
        <v>0</v>
      </c>
      <c r="BD23" s="36">
        <f>+IFERROR(VLOOKUP($BD$19,Sheet1!AH9:AK9,3,0),0)</f>
        <v>0</v>
      </c>
      <c r="BE23" s="36">
        <f>+IFERROR(VLOOKUP($BE$19,Sheet1!AH9:AK9,3,0),0)</f>
        <v>0</v>
      </c>
      <c r="BF23" s="36">
        <f>+IFERROR(VLOOKUP($BF$19,Sheet1!AH9:AK9,3,0),0)</f>
        <v>0</v>
      </c>
      <c r="BG23" s="102">
        <v>735</v>
      </c>
      <c r="BH23" s="36">
        <f>+IFERROR(VLOOKUP($BH$19,Sheet1!AH9:AK9,3,0),0)</f>
        <v>0</v>
      </c>
      <c r="BI23" s="36">
        <f>+IFERROR(VLOOKUP($BI$19,Sheet1!AH9:AK9,3,0),0)</f>
        <v>0</v>
      </c>
      <c r="BJ23" s="36">
        <f>+IFERROR(VLOOKUP($BJ$19,Sheet1!AH9:AK9,3,0),0)</f>
        <v>0</v>
      </c>
      <c r="BK23" s="36">
        <f>+IFERROR(VLOOKUP($BK$19,Sheet1!AH9:AK9,3,0),0)</f>
        <v>0</v>
      </c>
      <c r="BL23" s="9">
        <f>+IFERROR(VLOOKUP($BL$19,Sheet1!AL9:AO9,3,0),0)</f>
        <v>0</v>
      </c>
      <c r="BM23" s="9">
        <f>+IFERROR(VLOOKUP($BM$19,Sheet1!AL9:AO9,3,0),0)</f>
        <v>0</v>
      </c>
      <c r="BN23" s="9">
        <f>+IFERROR(VLOOKUP($BN$19,Sheet1!AL9:AO9,3,0),0)</f>
        <v>0</v>
      </c>
      <c r="BO23" s="103">
        <v>453</v>
      </c>
      <c r="BP23" s="9">
        <f>+IFERROR(VLOOKUP($BP$19,Sheet1!AL9:AO9,3,0),0)</f>
        <v>0</v>
      </c>
      <c r="BQ23" s="9">
        <f>+IFERROR(VLOOKUP($BQ$19,Sheet1!AL9:AO9,3,0),0)</f>
        <v>0</v>
      </c>
      <c r="BR23" s="9">
        <f>+IFERROR(VLOOKUP($BR$19,Sheet1!AL9:AO9,3,0),0)</f>
        <v>0</v>
      </c>
      <c r="BS23" s="9"/>
      <c r="BT23" s="9"/>
      <c r="BU23" s="9">
        <f>+IFERROR(VLOOKUP($BU$19,Sheet1!AL9:AO9,3,0),0)</f>
        <v>0</v>
      </c>
      <c r="BV23" s="9">
        <f>+IFERROR(VLOOKUP($BV$19,Sheet1!AL9:AO9,3,0),0)</f>
        <v>0</v>
      </c>
      <c r="BW23" s="9">
        <f>+IFERROR(VLOOKUP($BW$19,Sheet1!AL9:AO9,3,0),0)</f>
        <v>0</v>
      </c>
      <c r="BX23" s="40">
        <f>+IFERROR(VLOOKUP($BX$19,Sheet1!AP9:AS9,3,0),0)</f>
        <v>0</v>
      </c>
      <c r="BY23" s="43">
        <f>+IFERROR(VLOOKUP($BY$19,Sheet1!AT9:AW9,3,0),0)</f>
        <v>0</v>
      </c>
      <c r="BZ23" s="44">
        <f>+IFERROR(VLOOKUP($BZ$19,Sheet1!AX9:BA9,3,0),0)</f>
        <v>0</v>
      </c>
      <c r="CA23" s="46">
        <f>+IFERROR(VLOOKUP($CA$19,Sheet1!BB9:BE9,3,0),0)</f>
        <v>0</v>
      </c>
      <c r="CB23" s="48">
        <f>+IFERROR(VLOOKUP($CB$19,Sheet1!BF9:BI9,3,0),0)</f>
        <v>0</v>
      </c>
      <c r="CC23" s="49">
        <f>+IFERROR(VLOOKUP($CC$19,Sheet1!BJ9:BM9,3,0),0)</f>
        <v>0</v>
      </c>
      <c r="CD23" s="50">
        <f>+IFERROR(VLOOKUP($CD$19,Sheet1!BN9:BQ9,3,0),0)</f>
        <v>0</v>
      </c>
      <c r="CE23" s="104">
        <v>58</v>
      </c>
      <c r="CF23" s="44">
        <f>+IFERROR(VLOOKUP($CF$19,Sheet1!BV9:BY9,3,0),0)</f>
        <v>0</v>
      </c>
      <c r="CG23" s="67" t="s">
        <v>231</v>
      </c>
      <c r="CH23" s="68" t="s">
        <v>257</v>
      </c>
      <c r="CI23" s="68" t="s">
        <v>258</v>
      </c>
      <c r="CJ23" s="68">
        <f>Sheet1!CX9</f>
        <v>500</v>
      </c>
      <c r="CK23" s="23">
        <f>8889/0.5</f>
        <v>17778</v>
      </c>
      <c r="CL23" s="23">
        <f t="shared" si="5"/>
        <v>879579</v>
      </c>
      <c r="CM23" s="24">
        <f>Sheet1!CB9</f>
        <v>0</v>
      </c>
      <c r="CN23" s="23">
        <f t="shared" si="6"/>
        <v>0</v>
      </c>
      <c r="CO23" s="95">
        <v>0.3</v>
      </c>
      <c r="CP23" s="23">
        <f t="shared" si="7"/>
        <v>263873.7</v>
      </c>
      <c r="CQ23" s="95">
        <v>0</v>
      </c>
      <c r="CR23" s="23">
        <f t="shared" si="8"/>
        <v>0</v>
      </c>
      <c r="CS23" s="23">
        <f t="shared" si="9"/>
        <v>1143452.7</v>
      </c>
      <c r="CT23" s="95">
        <v>0.02</v>
      </c>
      <c r="CU23" s="6">
        <f t="shared" si="10"/>
        <v>22869.054</v>
      </c>
      <c r="CV23" s="95">
        <f>Sheet1!CK9</f>
        <v>0</v>
      </c>
      <c r="CW23" s="6">
        <f t="shared" si="11"/>
        <v>0</v>
      </c>
      <c r="CX23" s="95">
        <f>Sheet1!CM9</f>
        <v>0</v>
      </c>
      <c r="CY23" s="6">
        <f t="shared" si="12"/>
        <v>0</v>
      </c>
    </row>
    <row r="24" spans="1:104" s="22" customFormat="1" ht="38.25" x14ac:dyDescent="0.25">
      <c r="A24" s="6" t="str">
        <f>Sheet1!A8</f>
        <v>ENQ-18774-25-26</v>
      </c>
      <c r="B24" s="87">
        <v>46143</v>
      </c>
      <c r="C24" s="6" t="str">
        <f>Sheet1!C8</f>
        <v>FA1100025</v>
      </c>
      <c r="D24" s="98" t="str">
        <f>Sheet1!D8</f>
        <v>4 CORE X 300 SQ. MM. AL/ARD - STRIP (XLPE)</v>
      </c>
      <c r="E24" s="23">
        <f t="shared" si="0"/>
        <v>2214018.2220000001</v>
      </c>
      <c r="F24" s="109">
        <f t="shared" si="13"/>
        <v>45900</v>
      </c>
      <c r="G24" s="28">
        <f t="shared" si="1"/>
        <v>2259918.2220000001</v>
      </c>
      <c r="H24" s="29">
        <f>Sheet1!CR8</f>
        <v>0.18</v>
      </c>
      <c r="I24" s="28">
        <f t="shared" si="2"/>
        <v>406785.27996000001</v>
      </c>
      <c r="J24" s="28">
        <f t="shared" si="3"/>
        <v>2666703.50196</v>
      </c>
      <c r="K24" s="79">
        <f>Sheet1!CU8</f>
        <v>50</v>
      </c>
      <c r="L24" s="76" t="str">
        <f>Sheet1!CV8</f>
        <v>KMS</v>
      </c>
      <c r="M24" s="23">
        <f t="shared" si="4"/>
        <v>133335175.098</v>
      </c>
      <c r="N24" s="99">
        <f>+IFERROR(VLOOKUP($N$19,Sheet1!J8:L8,3,0),0)</f>
        <v>3240</v>
      </c>
      <c r="O24" s="71">
        <f>+IFERROR(VLOOKUP($O$19,Sheet1!J8:L8,3,0),0)</f>
        <v>0</v>
      </c>
      <c r="P24" s="71">
        <f>+IFERROR(VLOOKUP($P$19,Sheet1!J8:M8,3,0),0)</f>
        <v>0</v>
      </c>
      <c r="Q24" s="71">
        <f>+IFERROR(VLOOKUP($Q$19,Sheet1!J8:M8,3,0),0)</f>
        <v>0</v>
      </c>
      <c r="R24" s="71">
        <f>+IFERROR(VLOOKUP($R$19,Sheet1!J8:M8,3,0),0)</f>
        <v>0</v>
      </c>
      <c r="S24" s="71">
        <f>+IFERROR(VLOOKUP($S$19,Sheet1!J8:M8,3,0),0)</f>
        <v>0</v>
      </c>
      <c r="T24" s="71">
        <f>+IFERROR(VLOOKUP($T$19,Sheet1!J8:M8,3,0),0)</f>
        <v>0</v>
      </c>
      <c r="U24" s="71">
        <f>+IFERROR(VLOOKUP($U$19,Sheet1!J8:M8,3,0),0)</f>
        <v>0</v>
      </c>
      <c r="V24" s="72">
        <f>+IFERROR(VLOOKUP($V$19,Sheet1!N8:Q8,3,0),0)</f>
        <v>0</v>
      </c>
      <c r="W24" s="72">
        <f>+IFERROR(VLOOKUP($W$19,Sheet1!N8:Q8,3,0),0)</f>
        <v>0</v>
      </c>
      <c r="X24" s="73">
        <f>+IFERROR(VLOOKUP($X$19,Sheet1!F8:I8,3,0),0)</f>
        <v>0</v>
      </c>
      <c r="Y24" s="73">
        <f>+IFERROR(VLOOKUP($Y$19,Sheet1!F8:I8,3,0),0)</f>
        <v>0</v>
      </c>
      <c r="Z24" s="73">
        <f>+IFERROR(VLOOKUP($Z$19,Sheet1!F8:I8,3,0),0)</f>
        <v>0</v>
      </c>
      <c r="AA24" s="73">
        <f>+IFERROR(VLOOKUP($AA$19,Sheet1!F8:I8,3,0),0)</f>
        <v>0</v>
      </c>
      <c r="AB24" s="73">
        <f>+IFERROR(VLOOKUP($AB$19,Sheet1!F8:I8,3,0),0)</f>
        <v>0</v>
      </c>
      <c r="AC24" s="73">
        <f>+IFERROR(VLOOKUP($AC$19,Sheet1!F8:I8,3,0),0)</f>
        <v>0</v>
      </c>
      <c r="AD24" s="73">
        <f>+IFERROR(VLOOKUP($AD$19,Sheet1!F8:I8,3,0),0)</f>
        <v>0</v>
      </c>
      <c r="AE24" s="73">
        <f>+IFERROR(VLOOKUP($AE$19,Sheet1!F8:I8,3,0),0)</f>
        <v>0</v>
      </c>
      <c r="AF24" s="74">
        <f>+IFERROR(VLOOKUP($AF$19,Sheet1!R8:U8,3,0),0)</f>
        <v>0</v>
      </c>
      <c r="AG24" s="32">
        <f>+IFERROR(VLOOKUP($AG$19,Sheet1!R8:U8,3,0),0)</f>
        <v>0</v>
      </c>
      <c r="AH24" s="75">
        <f>+IFERROR(VLOOKUP($AH$19,Sheet1!V8:Y8,3,0),0)</f>
        <v>0</v>
      </c>
      <c r="AI24" s="100">
        <v>560</v>
      </c>
      <c r="AJ24" s="33">
        <f>+IFERROR(VLOOKUP($AJ$19,Sheet1!V8:Y8,3,0),0)</f>
        <v>0</v>
      </c>
      <c r="AK24" s="33">
        <f>+IFERROR(VLOOKUP($AK$19,Sheet1!V8:Y8,3,0),0)</f>
        <v>0</v>
      </c>
      <c r="AL24" s="33">
        <f>+IFERROR(VLOOKUP($AL$19,Sheet1!V8:Y8,3,0),0)</f>
        <v>0</v>
      </c>
      <c r="AM24" s="33">
        <f>+IFERROR(VLOOKUP($AM$19,Sheet1!V8:Y8,3,0),0)</f>
        <v>0</v>
      </c>
      <c r="AN24" s="33">
        <f>+IFERROR(VLOOKUP($AN$19,Sheet1!V8:Y8,3,0),0)</f>
        <v>0</v>
      </c>
      <c r="AO24" s="33">
        <f>+IFERROR(VLOOKUP($AO$19,Sheet1!V8:Y8,3,0),0)</f>
        <v>0</v>
      </c>
      <c r="AP24" s="33">
        <f>+IFERROR(VLOOKUP($AP$19,Sheet1!V8:Y8,3,0),0)</f>
        <v>0</v>
      </c>
      <c r="AQ24" s="36">
        <f>+IFERROR(VLOOKUP($AQ$19,Sheet1!Z8:AB8,3,0),0)</f>
        <v>0</v>
      </c>
      <c r="AR24" s="37">
        <f>+IFERROR(VLOOKUP($AR$19,Sheet1!AD8:AG8,3,0),0)</f>
        <v>0</v>
      </c>
      <c r="AS24" s="37">
        <f>+IFERROR(VLOOKUP($AS$19,Sheet1!AD8:AG8,3,0),0)</f>
        <v>0</v>
      </c>
      <c r="AT24" s="37">
        <f>+IFERROR(VLOOKUP($AT$19,Sheet1!AD8:AG8,3,0),0)</f>
        <v>0</v>
      </c>
      <c r="AU24" s="37">
        <f>+IFERROR(VLOOKUP($AU$19,Sheet1!AD8:AG8,3,0),0)</f>
        <v>0</v>
      </c>
      <c r="AV24" s="37">
        <f>+IFERROR(VLOOKUP($AV$19,Sheet1!AD8:AG8,3,0),0)</f>
        <v>0</v>
      </c>
      <c r="AW24" s="37">
        <f>+IFERROR(VLOOKUP($AW$19,Sheet1!AD8:AG8,3,0),0)</f>
        <v>0</v>
      </c>
      <c r="AX24" s="101">
        <v>240</v>
      </c>
      <c r="AY24" s="37">
        <f>+IFERROR(VLOOKUP($AY$19,Sheet1!AD8:AG8,3,0),0)</f>
        <v>0</v>
      </c>
      <c r="AZ24" s="37">
        <f>+IFERROR(VLOOKUP($AZ$19,Sheet1!AD8:AG8,3,0),0)</f>
        <v>0</v>
      </c>
      <c r="BA24" s="36">
        <f>+IFERROR(VLOOKUP($BA$19,Sheet1!AH8:AK8,3,0),0)</f>
        <v>0</v>
      </c>
      <c r="BB24" s="36">
        <f>+IFERROR(VLOOKUP($BB$19,Sheet1!AH8:AK8,3,0),0)</f>
        <v>0</v>
      </c>
      <c r="BC24" s="36">
        <f>+IFERROR(VLOOKUP($BC$19,Sheet1!AH8:AK8,3,0),0)</f>
        <v>0</v>
      </c>
      <c r="BD24" s="36">
        <f>+IFERROR(VLOOKUP($BD$19,Sheet1!AH8:AK8,3,0),0)</f>
        <v>0</v>
      </c>
      <c r="BE24" s="36">
        <f>+IFERROR(VLOOKUP($BE$19,Sheet1!AH8:AK8,3,0),0)</f>
        <v>0</v>
      </c>
      <c r="BF24" s="36">
        <f>+IFERROR(VLOOKUP($BF$19,Sheet1!AH8:AK8,3,0),0)</f>
        <v>0</v>
      </c>
      <c r="BG24" s="102">
        <v>971</v>
      </c>
      <c r="BH24" s="36">
        <f>+IFERROR(VLOOKUP($BH$19,Sheet1!AH8:AK8,3,0),0)</f>
        <v>0</v>
      </c>
      <c r="BI24" s="36">
        <f>+IFERROR(VLOOKUP($BI$19,Sheet1!AH8:AK8,3,0),0)</f>
        <v>0</v>
      </c>
      <c r="BJ24" s="36">
        <f>+IFERROR(VLOOKUP($BJ$19,Sheet1!AH8:AK8,3,0),0)</f>
        <v>0</v>
      </c>
      <c r="BK24" s="36">
        <f>+IFERROR(VLOOKUP($BK$19,Sheet1!AH8:AK8,3,0),0)</f>
        <v>0</v>
      </c>
      <c r="BL24" s="9">
        <f>+IFERROR(VLOOKUP($BL$19,Sheet1!AL8:AO8,3,0),0)</f>
        <v>0</v>
      </c>
      <c r="BM24" s="9">
        <f>+IFERROR(VLOOKUP($BM$19,Sheet1!AL8:AO8,3,0),0)</f>
        <v>0</v>
      </c>
      <c r="BN24" s="9">
        <f>+IFERROR(VLOOKUP($BN$19,Sheet1!AL8:AO8,3,0),0)</f>
        <v>0</v>
      </c>
      <c r="BO24" s="103">
        <v>740</v>
      </c>
      <c r="BP24" s="9">
        <f>+IFERROR(VLOOKUP($BP$19,Sheet1!AL8:AO8,3,0),0)</f>
        <v>0</v>
      </c>
      <c r="BQ24" s="9">
        <f>+IFERROR(VLOOKUP($BQ$19,Sheet1!AL8:AO8,3,0),0)</f>
        <v>0</v>
      </c>
      <c r="BR24" s="9">
        <f>+IFERROR(VLOOKUP($BR$19,Sheet1!AL8:AO8,3,0),0)</f>
        <v>0</v>
      </c>
      <c r="BS24" s="9"/>
      <c r="BT24" s="9"/>
      <c r="BU24" s="9">
        <f>+IFERROR(VLOOKUP($BU$19,Sheet1!AL8:AO8,3,0),0)</f>
        <v>0</v>
      </c>
      <c r="BV24" s="9">
        <f>+IFERROR(VLOOKUP($BV$19,Sheet1!AL8:AO8,3,0),0)</f>
        <v>0</v>
      </c>
      <c r="BW24" s="9">
        <f>+IFERROR(VLOOKUP($BW$19,Sheet1!AL8:AO8,3,0),0)</f>
        <v>0</v>
      </c>
      <c r="BX24" s="40">
        <f>+IFERROR(VLOOKUP($BX$19,Sheet1!AP8:AS8,3,0),0)</f>
        <v>0</v>
      </c>
      <c r="BY24" s="43">
        <f>+IFERROR(VLOOKUP($BY$19,Sheet1!AT8:AW8,3,0),0)</f>
        <v>0</v>
      </c>
      <c r="BZ24" s="44">
        <f>+IFERROR(VLOOKUP($BZ$19,Sheet1!AX8:BA8,3,0),0)</f>
        <v>0</v>
      </c>
      <c r="CA24" s="46">
        <f>+IFERROR(VLOOKUP($CA$19,Sheet1!BB8:BE8,3,0),0)</f>
        <v>0</v>
      </c>
      <c r="CB24" s="48">
        <f>+IFERROR(VLOOKUP($CB$19,Sheet1!BF8:BI8,3,0),0)</f>
        <v>0</v>
      </c>
      <c r="CC24" s="49">
        <f>+IFERROR(VLOOKUP($CC$19,Sheet1!BJ8:BM8,3,0),0)</f>
        <v>0</v>
      </c>
      <c r="CD24" s="50">
        <f>+IFERROR(VLOOKUP($CD$19,Sheet1!BN8:BQ8,3,0),0)</f>
        <v>0</v>
      </c>
      <c r="CE24" s="104">
        <v>80</v>
      </c>
      <c r="CF24" s="44">
        <f>+IFERROR(VLOOKUP($CF$19,Sheet1!BV8:BY8,3,0),0)</f>
        <v>0</v>
      </c>
      <c r="CG24" s="67" t="str">
        <f>Sheet1!E8</f>
        <v>STEEL</v>
      </c>
      <c r="CH24" s="68" t="s">
        <v>363</v>
      </c>
      <c r="CI24" s="68" t="s">
        <v>364</v>
      </c>
      <c r="CJ24" s="68">
        <f>Sheet1!CX8</f>
        <v>500</v>
      </c>
      <c r="CK24" s="23">
        <f>16500/0.5</f>
        <v>33000</v>
      </c>
      <c r="CL24" s="23">
        <f t="shared" si="5"/>
        <v>1669697</v>
      </c>
      <c r="CM24" s="24">
        <f>Sheet1!CB8</f>
        <v>0</v>
      </c>
      <c r="CN24" s="23">
        <f t="shared" si="6"/>
        <v>0</v>
      </c>
      <c r="CO24" s="95">
        <v>0.3</v>
      </c>
      <c r="CP24" s="23">
        <f t="shared" si="7"/>
        <v>500909.1</v>
      </c>
      <c r="CQ24" s="95">
        <v>0</v>
      </c>
      <c r="CR24" s="23">
        <f t="shared" si="8"/>
        <v>0</v>
      </c>
      <c r="CS24" s="23">
        <f t="shared" si="9"/>
        <v>2170606.1</v>
      </c>
      <c r="CT24" s="95">
        <v>0.02</v>
      </c>
      <c r="CU24" s="6">
        <f t="shared" si="10"/>
        <v>43412.122000000003</v>
      </c>
      <c r="CV24" s="95">
        <f>Sheet1!CK8</f>
        <v>0</v>
      </c>
      <c r="CW24" s="6">
        <f t="shared" si="11"/>
        <v>0</v>
      </c>
      <c r="CX24" s="95">
        <f>Sheet1!CM8</f>
        <v>0</v>
      </c>
      <c r="CY24" s="6">
        <f t="shared" si="12"/>
        <v>0</v>
      </c>
    </row>
    <row r="25" spans="1:104" s="22" customFormat="1" ht="45" x14ac:dyDescent="0.25">
      <c r="A25" s="6" t="s">
        <v>220</v>
      </c>
      <c r="B25" s="87">
        <v>46143</v>
      </c>
      <c r="C25" s="6">
        <f>Sheet1!C10</f>
        <v>0</v>
      </c>
      <c r="D25" s="98" t="s">
        <v>366</v>
      </c>
      <c r="E25" s="23">
        <f t="shared" si="0"/>
        <v>1013619.5939999999</v>
      </c>
      <c r="F25" s="109">
        <f t="shared" si="13"/>
        <v>18750</v>
      </c>
      <c r="G25" s="28">
        <f t="shared" si="1"/>
        <v>1032369.5939999999</v>
      </c>
      <c r="H25" s="29">
        <v>0.18</v>
      </c>
      <c r="I25" s="28">
        <f t="shared" si="2"/>
        <v>185826.52691999997</v>
      </c>
      <c r="J25" s="28">
        <f t="shared" si="3"/>
        <v>1218196.1209199999</v>
      </c>
      <c r="K25" s="79">
        <v>48</v>
      </c>
      <c r="L25" s="76" t="s">
        <v>224</v>
      </c>
      <c r="M25" s="23">
        <f t="shared" si="4"/>
        <v>58473413.804159999</v>
      </c>
      <c r="N25" s="99">
        <v>1296</v>
      </c>
      <c r="O25" s="99">
        <v>270</v>
      </c>
      <c r="P25" s="71">
        <f>+IFERROR(VLOOKUP($P$19,Sheet1!J10:M10,3,0),0)</f>
        <v>0</v>
      </c>
      <c r="Q25" s="71">
        <f>+IFERROR(VLOOKUP($Q$19,Sheet1!J10:M10,3,0),0)</f>
        <v>0</v>
      </c>
      <c r="R25" s="71">
        <f>+IFERROR(VLOOKUP($R$19,Sheet1!J10:M10,3,0),0)</f>
        <v>0</v>
      </c>
      <c r="S25" s="71">
        <f>+IFERROR(VLOOKUP($S$19,Sheet1!J10:M10,3,0),0)</f>
        <v>0</v>
      </c>
      <c r="T25" s="71">
        <f>+IFERROR(VLOOKUP($T$19,Sheet1!J10:M10,3,0),0)</f>
        <v>0</v>
      </c>
      <c r="U25" s="71">
        <f>+IFERROR(VLOOKUP($U$19,Sheet1!J10:M10,3,0),0)</f>
        <v>0</v>
      </c>
      <c r="V25" s="72">
        <f>+IFERROR(VLOOKUP($V$19,Sheet1!N10:Q10,3,0),0)</f>
        <v>0</v>
      </c>
      <c r="W25" s="72">
        <f>+IFERROR(VLOOKUP($W$19,Sheet1!N10:Q10,3,0),0)</f>
        <v>0</v>
      </c>
      <c r="X25" s="73">
        <f>+IFERROR(VLOOKUP($X$19,Sheet1!F10:I10,3,0),0)</f>
        <v>0</v>
      </c>
      <c r="Y25" s="73">
        <f>+IFERROR(VLOOKUP($Y$19,Sheet1!F10:I10,3,0),0)</f>
        <v>0</v>
      </c>
      <c r="Z25" s="73">
        <f>+IFERROR(VLOOKUP($Z$19,Sheet1!F10:I10,3,0),0)</f>
        <v>0</v>
      </c>
      <c r="AA25" s="73">
        <f>+IFERROR(VLOOKUP($AA$19,Sheet1!F10:I10,3,0),0)</f>
        <v>0</v>
      </c>
      <c r="AB25" s="73">
        <f>+IFERROR(VLOOKUP($AB$19,Sheet1!F10:I10,3,0),0)</f>
        <v>0</v>
      </c>
      <c r="AC25" s="73">
        <f>+IFERROR(VLOOKUP($AC$19,Sheet1!F10:I10,3,0),0)</f>
        <v>0</v>
      </c>
      <c r="AD25" s="73">
        <f>+IFERROR(VLOOKUP($AD$19,Sheet1!F10:I10,3,0),0)</f>
        <v>0</v>
      </c>
      <c r="AE25" s="73">
        <f>+IFERROR(VLOOKUP($AE$19,Sheet1!F10:I10,3,0),0)</f>
        <v>0</v>
      </c>
      <c r="AF25" s="74">
        <f>+IFERROR(VLOOKUP($AF$19,Sheet1!R10:U10,3,0),0)</f>
        <v>0</v>
      </c>
      <c r="AG25" s="32">
        <f>+IFERROR(VLOOKUP($AG$19,Sheet1!R10:U10,3,0),0)</f>
        <v>0</v>
      </c>
      <c r="AH25" s="75">
        <f>+IFERROR(VLOOKUP($AH$19,Sheet1!V10:Y10,3,0),0)</f>
        <v>0</v>
      </c>
      <c r="AI25" s="100">
        <v>364</v>
      </c>
      <c r="AJ25" s="33">
        <f>+IFERROR(VLOOKUP($AJ$19,Sheet1!V10:Y10,3,0),0)</f>
        <v>0</v>
      </c>
      <c r="AK25" s="33">
        <f>+IFERROR(VLOOKUP($AK$19,Sheet1!V10:Y10,3,0),0)</f>
        <v>0</v>
      </c>
      <c r="AL25" s="33">
        <f>+IFERROR(VLOOKUP($AL$19,Sheet1!V10:Y10,3,0),0)</f>
        <v>0</v>
      </c>
      <c r="AM25" s="33">
        <f>+IFERROR(VLOOKUP($AM$19,Sheet1!V10:Y10,3,0),0)</f>
        <v>0</v>
      </c>
      <c r="AN25" s="33">
        <f>+IFERROR(VLOOKUP($AN$19,Sheet1!V10:Y10,3,0),0)</f>
        <v>0</v>
      </c>
      <c r="AO25" s="33">
        <f>+IFERROR(VLOOKUP($AO$19,Sheet1!V10:Y10,3,0),0)</f>
        <v>0</v>
      </c>
      <c r="AP25" s="33">
        <f>+IFERROR(VLOOKUP($AP$19,Sheet1!V10:Y10,3,0),0)</f>
        <v>0</v>
      </c>
      <c r="AQ25" s="36">
        <f>+IFERROR(VLOOKUP($AQ$19,Sheet1!Z10:AB10,3,0),0)</f>
        <v>0</v>
      </c>
      <c r="AR25" s="37">
        <f>+IFERROR(VLOOKUP($AR$19,Sheet1!AD10:AG10,3,0),0)</f>
        <v>0</v>
      </c>
      <c r="AS25" s="37">
        <f>+IFERROR(VLOOKUP($AS$19,Sheet1!AD10:AG10,3,0),0)</f>
        <v>0</v>
      </c>
      <c r="AT25" s="37">
        <f>+IFERROR(VLOOKUP($AT$19,Sheet1!AD10:AG10,3,0),0)</f>
        <v>0</v>
      </c>
      <c r="AU25" s="37">
        <f>+IFERROR(VLOOKUP($AU$19,Sheet1!AD10:AG10,3,0),0)</f>
        <v>0</v>
      </c>
      <c r="AV25" s="37">
        <f>+IFERROR(VLOOKUP($AV$19,Sheet1!AD10:AG10,3,0),0)</f>
        <v>0</v>
      </c>
      <c r="AW25" s="37">
        <f>+IFERROR(VLOOKUP($AW$19,Sheet1!AD10:AG10,3,0),0)</f>
        <v>0</v>
      </c>
      <c r="AX25" s="37">
        <f>+IFERROR(VLOOKUP($AX$19,Sheet1!AD10:AG10,3,0),0)</f>
        <v>0</v>
      </c>
      <c r="AY25" s="37">
        <f>+IFERROR(VLOOKUP($AY$19,Sheet1!AD10:AG10,3,0),0)</f>
        <v>0</v>
      </c>
      <c r="AZ25" s="37">
        <f>+IFERROR(VLOOKUP($AZ$19,Sheet1!AD10:AG10,3,0),0)</f>
        <v>0</v>
      </c>
      <c r="BA25" s="36">
        <f>+IFERROR(VLOOKUP($BA$19,Sheet1!AH10:AK10,3,0),0)</f>
        <v>0</v>
      </c>
      <c r="BB25" s="36">
        <f>+IFERROR(VLOOKUP($BB$19,Sheet1!AH10:AK10,3,0),0)</f>
        <v>0</v>
      </c>
      <c r="BC25" s="36">
        <f>+IFERROR(VLOOKUP($BC$19,Sheet1!AH10:AK10,3,0),0)</f>
        <v>0</v>
      </c>
      <c r="BD25" s="36">
        <f>+IFERROR(VLOOKUP($BD$19,Sheet1!AH10:AK10,3,0),0)</f>
        <v>0</v>
      </c>
      <c r="BE25" s="36">
        <f>+IFERROR(VLOOKUP($BE$19,Sheet1!AH10:AK10,3,0),0)</f>
        <v>0</v>
      </c>
      <c r="BF25" s="36">
        <f>+IFERROR(VLOOKUP($BF$19,Sheet1!AH10:AK10,3,0),0)</f>
        <v>0</v>
      </c>
      <c r="BG25" s="36">
        <f>+IFERROR(VLOOKUP($BG$19,Sheet1!AH10:AK10,3,0),0)</f>
        <v>0</v>
      </c>
      <c r="BH25" s="36">
        <f>+IFERROR(VLOOKUP($BH$19,Sheet1!AH10:AK10,3,0),0)</f>
        <v>0</v>
      </c>
      <c r="BI25" s="36">
        <f>+IFERROR(VLOOKUP($BI$19,Sheet1!AH10:AK10,3,0),0)</f>
        <v>0</v>
      </c>
      <c r="BJ25" s="36">
        <f>+IFERROR(VLOOKUP($BJ$19,Sheet1!AH10:AK10,3,0),0)</f>
        <v>0</v>
      </c>
      <c r="BK25" s="36">
        <f>+IFERROR(VLOOKUP($BK$19,Sheet1!AH10:AK10,3,0),0)</f>
        <v>0</v>
      </c>
      <c r="BL25" s="9">
        <f>+IFERROR(VLOOKUP($BL$19,Sheet1!AL10:AO10,3,0),0)</f>
        <v>0</v>
      </c>
      <c r="BM25" s="9">
        <f>+IFERROR(VLOOKUP($BM$19,Sheet1!AL10:AO10,3,0),0)</f>
        <v>0</v>
      </c>
      <c r="BN25" s="9">
        <f>+IFERROR(VLOOKUP($BN$19,Sheet1!AL10:AO10,3,0),0)</f>
        <v>0</v>
      </c>
      <c r="BO25" s="9">
        <f>+IFERROR(VLOOKUP($BO$19,Sheet1!AL10:AO10,3,0),0)</f>
        <v>0</v>
      </c>
      <c r="BP25" s="9">
        <f>+IFERROR(VLOOKUP($BP$19,Sheet1!AL10:AO10,3,0),0)</f>
        <v>0</v>
      </c>
      <c r="BQ25" s="9">
        <f>+IFERROR(VLOOKUP($BQ$19,Sheet1!AL10:AO10,3,0),0)</f>
        <v>0</v>
      </c>
      <c r="BR25" s="9">
        <f>+IFERROR(VLOOKUP($BR$19,Sheet1!AL10:AO10,3,0),0)</f>
        <v>0</v>
      </c>
      <c r="BS25" s="103">
        <v>457</v>
      </c>
      <c r="BT25" s="9">
        <f>+IFERROR(VLOOKUP($BT$19,Sheet1!AL10:AO10,3,0),0)</f>
        <v>0</v>
      </c>
      <c r="BU25" s="9">
        <f>+IFERROR(VLOOKUP($BU$19,Sheet1!AL10:AO10,3,0),0)</f>
        <v>0</v>
      </c>
      <c r="BV25" s="9">
        <f>+IFERROR(VLOOKUP($BV$19,Sheet1!AL10:AO10,3,0),0)</f>
        <v>0</v>
      </c>
      <c r="BW25" s="9">
        <f>+IFERROR(VLOOKUP($BW$19,Sheet1!AL10:AO10,3,0),0)</f>
        <v>0</v>
      </c>
      <c r="BX25" s="40">
        <f>+IFERROR(VLOOKUP($BX$19,Sheet1!AP10:AS10,3,0),0)</f>
        <v>0</v>
      </c>
      <c r="BY25" s="43">
        <f>+IFERROR(VLOOKUP($BY$19,Sheet1!AT10:AW10,3,0),0)</f>
        <v>0</v>
      </c>
      <c r="BZ25" s="44">
        <f>+IFERROR(VLOOKUP($BZ$19,Sheet1!AX10:BA10,3,0),0)</f>
        <v>0</v>
      </c>
      <c r="CA25" s="46">
        <f>+IFERROR(VLOOKUP($CA$19,Sheet1!BB10:BE10,3,0),0)</f>
        <v>0</v>
      </c>
      <c r="CB25" s="48">
        <f>+IFERROR(VLOOKUP($CB$19,Sheet1!BF10:BI10,3,0),0)</f>
        <v>0</v>
      </c>
      <c r="CC25" s="49">
        <f>+IFERROR(VLOOKUP($CC$19,Sheet1!BJ10:BM10,3,0),0)</f>
        <v>0</v>
      </c>
      <c r="CD25" s="50">
        <f>+IFERROR(VLOOKUP($CD$19,Sheet1!BN10:BQ10,3,0),0)</f>
        <v>0</v>
      </c>
      <c r="CE25" s="38">
        <f>+IFERROR(VLOOKUP($CE$19,Sheet1!BR10:BU10,3,0),0)</f>
        <v>0</v>
      </c>
      <c r="CF25" s="44">
        <f>+IFERROR(VLOOKUP($CF$19,Sheet1!BV10:BY10,3,0),0)</f>
        <v>0</v>
      </c>
      <c r="CG25" s="67" t="s">
        <v>231</v>
      </c>
      <c r="CH25" s="68" t="s">
        <v>257</v>
      </c>
      <c r="CI25" s="68" t="s">
        <v>258</v>
      </c>
      <c r="CJ25" s="68">
        <v>500</v>
      </c>
      <c r="CK25" s="23">
        <f>8889/0.5</f>
        <v>17778</v>
      </c>
      <c r="CL25" s="23">
        <f t="shared" si="5"/>
        <v>764419</v>
      </c>
      <c r="CM25" s="24">
        <f>Sheet1!CB10</f>
        <v>0</v>
      </c>
      <c r="CN25" s="23">
        <f t="shared" si="6"/>
        <v>0</v>
      </c>
      <c r="CO25" s="95">
        <v>0.3</v>
      </c>
      <c r="CP25" s="23">
        <f t="shared" si="7"/>
        <v>229325.69999999998</v>
      </c>
      <c r="CQ25" s="95">
        <v>0</v>
      </c>
      <c r="CR25" s="23">
        <f t="shared" si="8"/>
        <v>0</v>
      </c>
      <c r="CS25" s="23">
        <f t="shared" si="9"/>
        <v>993744.7</v>
      </c>
      <c r="CT25" s="95">
        <v>0.02</v>
      </c>
      <c r="CU25" s="6">
        <f t="shared" si="10"/>
        <v>19874.894</v>
      </c>
      <c r="CV25" s="95">
        <f>Sheet1!CK10</f>
        <v>0</v>
      </c>
      <c r="CW25" s="6">
        <f t="shared" si="11"/>
        <v>0</v>
      </c>
      <c r="CX25" s="95">
        <f>Sheet1!CM10</f>
        <v>0</v>
      </c>
      <c r="CY25" s="6">
        <f t="shared" si="12"/>
        <v>0</v>
      </c>
    </row>
    <row r="26" spans="1:104" s="22" customFormat="1" ht="30" x14ac:dyDescent="0.25">
      <c r="A26" s="6" t="str">
        <f>Sheet1!A2</f>
        <v>ENQ-18774-25-26</v>
      </c>
      <c r="B26" s="87">
        <v>46143</v>
      </c>
      <c r="C26" s="6" t="str">
        <f>Sheet1!C2</f>
        <v>FA0700001</v>
      </c>
      <c r="D26" s="98" t="str">
        <f>Sheet1!D2</f>
        <v>1 CORE X 120 SQ. MM. AL/ARD (XLPE)</v>
      </c>
      <c r="E26" s="23">
        <f t="shared" si="0"/>
        <v>329829.24</v>
      </c>
      <c r="F26" s="109">
        <f t="shared" si="13"/>
        <v>10715</v>
      </c>
      <c r="G26" s="28">
        <f t="shared" si="1"/>
        <v>340544.24</v>
      </c>
      <c r="H26" s="29">
        <f>Sheet1!CR2</f>
        <v>0.18</v>
      </c>
      <c r="I26" s="28">
        <f t="shared" si="2"/>
        <v>61297.963199999998</v>
      </c>
      <c r="J26" s="28">
        <f t="shared" si="3"/>
        <v>401842.20319999999</v>
      </c>
      <c r="K26" s="79">
        <v>14</v>
      </c>
      <c r="L26" s="76" t="str">
        <f>Sheet1!CV2</f>
        <v>KMS</v>
      </c>
      <c r="M26" s="23">
        <f t="shared" si="4"/>
        <v>5625790.8448000001</v>
      </c>
      <c r="N26" s="71">
        <f>+IFERROR(VLOOKUP($N$19,Sheet1!J2:L2,3,0),0)</f>
        <v>324</v>
      </c>
      <c r="O26" s="71">
        <f>+IFERROR(VLOOKUP($O$19,Sheet1!J2:L2,3,0),0)</f>
        <v>0</v>
      </c>
      <c r="P26" s="71">
        <f>+IFERROR(VLOOKUP($P$19,Sheet1!J2:M2,3,0),0)</f>
        <v>0</v>
      </c>
      <c r="Q26" s="71">
        <f>+IFERROR(VLOOKUP($Q$19,Sheet1!J2:M2,3,0),0)</f>
        <v>0</v>
      </c>
      <c r="R26" s="71">
        <f>+IFERROR(VLOOKUP($R$19,Sheet1!J2:M2,3,0),0)</f>
        <v>0</v>
      </c>
      <c r="S26" s="71">
        <f>+IFERROR(VLOOKUP($S$19,Sheet1!J2:M2,3,0),0)</f>
        <v>0</v>
      </c>
      <c r="T26" s="71">
        <f>+IFERROR(VLOOKUP($T$19,Sheet1!J2:M2,3,0),0)</f>
        <v>0</v>
      </c>
      <c r="U26" s="71">
        <f>+IFERROR(VLOOKUP($U$19,Sheet1!J2:M2,3,0),0)</f>
        <v>0</v>
      </c>
      <c r="V26" s="72">
        <f>+IFERROR(VLOOKUP($V$19,Sheet1!N2:Q2,3,0),0)</f>
        <v>0</v>
      </c>
      <c r="W26" s="72">
        <f>+IFERROR(VLOOKUP($W$19,Sheet1!N2:Q2,3,0),0)</f>
        <v>0</v>
      </c>
      <c r="X26" s="73">
        <f>+IFERROR(VLOOKUP($X$19,Sheet1!F2:I2,3,0),0)</f>
        <v>0</v>
      </c>
      <c r="Y26" s="73">
        <f>+IFERROR(VLOOKUP($Y$19,Sheet1!F2:I2,3,0),0)</f>
        <v>0</v>
      </c>
      <c r="Z26" s="73">
        <f>+IFERROR(VLOOKUP($Z$19,Sheet1!F2:I2,3,0),0)</f>
        <v>0</v>
      </c>
      <c r="AA26" s="73">
        <f>+IFERROR(VLOOKUP($AA$19,Sheet1!F2:I2,3,0),0)</f>
        <v>0</v>
      </c>
      <c r="AB26" s="73">
        <f>+IFERROR(VLOOKUP($AB$19,Sheet1!F2:I2,3,0),0)</f>
        <v>0</v>
      </c>
      <c r="AC26" s="73">
        <f>+IFERROR(VLOOKUP($AC$19,Sheet1!F2:I2,3,0),0)</f>
        <v>0</v>
      </c>
      <c r="AD26" s="73">
        <f>+IFERROR(VLOOKUP($AD$19,Sheet1!F2:I2,3,0),0)</f>
        <v>0</v>
      </c>
      <c r="AE26" s="73">
        <f>+IFERROR(VLOOKUP($AE$19,Sheet1!F2:I2,3,0),0)</f>
        <v>0</v>
      </c>
      <c r="AF26" s="74">
        <f>+IFERROR(VLOOKUP($AF$19,Sheet1!R2:U2,3,0),0)</f>
        <v>0</v>
      </c>
      <c r="AG26" s="32">
        <f>+IFERROR(VLOOKUP($AG$19,Sheet1!R2:U2,3,0),0)</f>
        <v>0</v>
      </c>
      <c r="AH26" s="75">
        <f>+IFERROR(VLOOKUP($AH$19,Sheet1!V2:Y2,3,0),0)</f>
        <v>0</v>
      </c>
      <c r="AI26" s="33">
        <f>+IFERROR(VLOOKUP($AI$19,Sheet1!V2:Y2,3,0),0)</f>
        <v>75</v>
      </c>
      <c r="AJ26" s="33">
        <f>+IFERROR(VLOOKUP($AJ$19,Sheet1!V2:Y2,3,0),0)</f>
        <v>0</v>
      </c>
      <c r="AK26" s="33">
        <f>+IFERROR(VLOOKUP($AK$19,Sheet1!V2:Y2,3,0),0)</f>
        <v>0</v>
      </c>
      <c r="AL26" s="33">
        <f>+IFERROR(VLOOKUP($AL$19,Sheet1!V2:Y2,3,0),0)</f>
        <v>0</v>
      </c>
      <c r="AM26" s="33">
        <f>+IFERROR(VLOOKUP($AM$19,Sheet1!V2:Y2,3,0),0)</f>
        <v>0</v>
      </c>
      <c r="AN26" s="33">
        <f>+IFERROR(VLOOKUP($AN$19,Sheet1!V2:Y2,3,0),0)</f>
        <v>0</v>
      </c>
      <c r="AO26" s="33">
        <f>+IFERROR(VLOOKUP($AO$19,Sheet1!V2:Y2,3,0),0)</f>
        <v>0</v>
      </c>
      <c r="AP26" s="33">
        <f>+IFERROR(VLOOKUP($AP$19,Sheet1!V2:Y2,3,0),0)</f>
        <v>0</v>
      </c>
      <c r="AQ26" s="36">
        <f>+IFERROR(VLOOKUP($AQ$19,Sheet1!Z2:AB2,3,0),0)</f>
        <v>0</v>
      </c>
      <c r="AR26" s="37">
        <f>+IFERROR(VLOOKUP($AR$19,Sheet1!AD2:AG2,3,0),0)</f>
        <v>0</v>
      </c>
      <c r="AS26" s="37">
        <f>+IFERROR(VLOOKUP($AS$19,Sheet1!AD2:AG2,3,0),0)</f>
        <v>0</v>
      </c>
      <c r="AT26" s="37">
        <f>+IFERROR(VLOOKUP($AT$19,Sheet1!AD2:AG2,3,0),0)</f>
        <v>0</v>
      </c>
      <c r="AU26" s="37">
        <f>+IFERROR(VLOOKUP($AU$19,Sheet1!AD2:AG2,3,0),0)</f>
        <v>0</v>
      </c>
      <c r="AV26" s="37">
        <f>+IFERROR(VLOOKUP($AV$19,Sheet1!AD2:AG2,3,0),0)</f>
        <v>0</v>
      </c>
      <c r="AW26" s="37">
        <f>+IFERROR(VLOOKUP($AW$19,Sheet1!AD2:AG2,3,0),0)</f>
        <v>0</v>
      </c>
      <c r="AX26" s="37">
        <f>+IFERROR(VLOOKUP($AX$19,Sheet1!AD2:AG2,3,0),0)</f>
        <v>0</v>
      </c>
      <c r="AY26" s="37">
        <f>+IFERROR(VLOOKUP($AY$19,Sheet1!AD2:AG2,3,0),0)</f>
        <v>0</v>
      </c>
      <c r="AZ26" s="37">
        <f>+IFERROR(VLOOKUP($AZ$19,Sheet1!AD2:AG2,3,0),0)</f>
        <v>0</v>
      </c>
      <c r="BA26" s="36">
        <f>+IFERROR(VLOOKUP($BA$19,Sheet1!AH2:AK2,3,0),0)</f>
        <v>0</v>
      </c>
      <c r="BB26" s="36">
        <f>+IFERROR(VLOOKUP($BB$19,Sheet1!AH2:AK2,3,0),0)</f>
        <v>0</v>
      </c>
      <c r="BC26" s="36">
        <f>+IFERROR(VLOOKUP($BC$19,Sheet1!AH2:AK2,3,0),0)</f>
        <v>0</v>
      </c>
      <c r="BD26" s="102">
        <v>176</v>
      </c>
      <c r="BE26" s="36">
        <f>+IFERROR(VLOOKUP($BE$19,Sheet1!AH2:AK2,3,0),0)</f>
        <v>0</v>
      </c>
      <c r="BF26" s="36">
        <f>+IFERROR(VLOOKUP($BF$19,Sheet1!AH2:AK2,3,0),0)</f>
        <v>0</v>
      </c>
      <c r="BG26" s="36">
        <f>+IFERROR(VLOOKUP($BG$19,Sheet1!AH2:AK2,3,0),0)</f>
        <v>0</v>
      </c>
      <c r="BH26" s="36">
        <f>+IFERROR(VLOOKUP($BH$19,Sheet1!AH2:AK2,3,0),0)</f>
        <v>0</v>
      </c>
      <c r="BI26" s="36">
        <f>+IFERROR(VLOOKUP($BI$19,Sheet1!AH2:AK2,3,0),0)</f>
        <v>0</v>
      </c>
      <c r="BJ26" s="36">
        <f>+IFERROR(VLOOKUP($BJ$19,Sheet1!AH2:AK2,3,0),0)</f>
        <v>0</v>
      </c>
      <c r="BK26" s="36">
        <f>+IFERROR(VLOOKUP($BK$19,Sheet1!AH2:AK2,3,0),0)</f>
        <v>0</v>
      </c>
      <c r="BL26" s="9">
        <f>+IFERROR(VLOOKUP($BL$19,Sheet1!AL2:AO2,3,0),0)</f>
        <v>0</v>
      </c>
      <c r="BM26" s="9">
        <f>+IFERROR(VLOOKUP($BM$19,Sheet1!AL2:AO2,3,0),0)</f>
        <v>0</v>
      </c>
      <c r="BN26" s="9">
        <f>+IFERROR(VLOOKUP($BN$19,Sheet1!AL2:AO2,3,0),0)</f>
        <v>0</v>
      </c>
      <c r="BO26" s="9">
        <f>+IFERROR(VLOOKUP($BO$19,Sheet1!AL2:AO2,3,0),0)</f>
        <v>0</v>
      </c>
      <c r="BP26" s="9">
        <f>+IFERROR(VLOOKUP($BP$19,Sheet1!AL2:AO2,3,0),0)</f>
        <v>0</v>
      </c>
      <c r="BQ26" s="9">
        <f>+IFERROR(VLOOKUP($BQ$19,Sheet1!AL2:AO2,3,0),0)</f>
        <v>0</v>
      </c>
      <c r="BR26" s="9">
        <f>+IFERROR(VLOOKUP($BR$19,Sheet1!AL2:AO2,3,0),0)</f>
        <v>0</v>
      </c>
      <c r="BS26" s="9"/>
      <c r="BT26" s="103">
        <v>175</v>
      </c>
      <c r="BU26" s="9">
        <f>+IFERROR(VLOOKUP($BU$19,Sheet1!AL2:AO2,3,0),0)</f>
        <v>0</v>
      </c>
      <c r="BV26" s="9">
        <f>+IFERROR(VLOOKUP($BV$19,Sheet1!AL2:AO2,3,0),0)</f>
        <v>0</v>
      </c>
      <c r="BW26" s="9">
        <f>+IFERROR(VLOOKUP($BW$19,Sheet1!AL2:AO2,3,0),0)</f>
        <v>0</v>
      </c>
      <c r="BX26" s="40">
        <f>+IFERROR(VLOOKUP($BX$19,Sheet1!AP2:AS2,3,0),0)</f>
        <v>0</v>
      </c>
      <c r="BY26" s="43">
        <f>+IFERROR(VLOOKUP($BY$19,Sheet1!AT2:AW2,3,0),0)</f>
        <v>0</v>
      </c>
      <c r="BZ26" s="44">
        <f>+IFERROR(VLOOKUP($BZ$19,Sheet1!AX2:BA2,3,0),0)</f>
        <v>0</v>
      </c>
      <c r="CA26" s="46">
        <f>+IFERROR(VLOOKUP($CA$19,Sheet1!BB2:BE2,3,0),0)</f>
        <v>0</v>
      </c>
      <c r="CB26" s="48">
        <f>+IFERROR(VLOOKUP($CB$19,Sheet1!BF2:BI2,3,0),0)</f>
        <v>0</v>
      </c>
      <c r="CC26" s="49">
        <f>+IFERROR(VLOOKUP($CC$19,Sheet1!BJ2:BM2,3,0),0)</f>
        <v>0</v>
      </c>
      <c r="CD26" s="50">
        <f>+IFERROR(VLOOKUP($CD$19,Sheet1!BN2:BQ2,3,0),0)</f>
        <v>0</v>
      </c>
      <c r="CE26" s="104">
        <v>15</v>
      </c>
      <c r="CF26" s="44">
        <f>+IFERROR(VLOOKUP($CF$19,Sheet1!BV2:BY2,3,0),0)</f>
        <v>0</v>
      </c>
      <c r="CG26" s="67" t="str">
        <f>Sheet1!E2</f>
        <v>STEEL</v>
      </c>
      <c r="CH26" s="68" t="s">
        <v>251</v>
      </c>
      <c r="CI26" s="68" t="s">
        <v>252</v>
      </c>
      <c r="CJ26" s="68">
        <v>500</v>
      </c>
      <c r="CK26" s="23">
        <f>3025/0.5</f>
        <v>6050</v>
      </c>
      <c r="CL26" s="23">
        <f t="shared" si="5"/>
        <v>248740</v>
      </c>
      <c r="CM26" s="24">
        <f>Sheet1!CB2</f>
        <v>0</v>
      </c>
      <c r="CN26" s="23">
        <f t="shared" si="6"/>
        <v>0</v>
      </c>
      <c r="CO26" s="95">
        <v>0.3</v>
      </c>
      <c r="CP26" s="23">
        <f t="shared" si="7"/>
        <v>74622</v>
      </c>
      <c r="CQ26" s="95">
        <v>0</v>
      </c>
      <c r="CR26" s="23">
        <f t="shared" si="8"/>
        <v>0</v>
      </c>
      <c r="CS26" s="23">
        <f t="shared" si="9"/>
        <v>323362</v>
      </c>
      <c r="CT26" s="95">
        <v>0.02</v>
      </c>
      <c r="CU26" s="6">
        <f t="shared" si="10"/>
        <v>6467.24</v>
      </c>
      <c r="CV26" s="95">
        <f>Sheet1!CK2</f>
        <v>0</v>
      </c>
      <c r="CW26" s="6">
        <f t="shared" si="11"/>
        <v>0</v>
      </c>
      <c r="CX26" s="95">
        <f>Sheet1!CM2</f>
        <v>0</v>
      </c>
      <c r="CY26" s="6">
        <f t="shared" si="12"/>
        <v>0</v>
      </c>
    </row>
    <row r="27" spans="1:104" s="22" customFormat="1" ht="30" x14ac:dyDescent="0.25">
      <c r="A27" s="6" t="str">
        <f>Sheet1!A3</f>
        <v>ENQ-18774-25-26</v>
      </c>
      <c r="B27" s="87">
        <v>46143</v>
      </c>
      <c r="C27" s="6" t="s">
        <v>242</v>
      </c>
      <c r="D27" s="98" t="s">
        <v>243</v>
      </c>
      <c r="E27" s="23">
        <f t="shared" si="0"/>
        <v>219442.39199999999</v>
      </c>
      <c r="F27" s="109">
        <f t="shared" si="13"/>
        <v>7500</v>
      </c>
      <c r="G27" s="28">
        <f t="shared" si="1"/>
        <v>226942.39199999999</v>
      </c>
      <c r="H27" s="29">
        <f>Sheet1!CR3</f>
        <v>0.18</v>
      </c>
      <c r="I27" s="28">
        <f t="shared" si="2"/>
        <v>40849.630559999998</v>
      </c>
      <c r="J27" s="28">
        <f t="shared" si="3"/>
        <v>267792.02256000001</v>
      </c>
      <c r="K27" s="79">
        <v>10</v>
      </c>
      <c r="L27" s="76" t="str">
        <f>Sheet1!CV3</f>
        <v>KMS</v>
      </c>
      <c r="M27" s="23">
        <f t="shared" si="4"/>
        <v>2677920.2256</v>
      </c>
      <c r="N27" s="71">
        <f>+IFERROR(VLOOKUP($N$19,Sheet1!J3:L3,3,0),0)</f>
        <v>324</v>
      </c>
      <c r="O27" s="71">
        <f>+IFERROR(VLOOKUP($O$19,Sheet1!J3:L3,3,0),0)</f>
        <v>0</v>
      </c>
      <c r="P27" s="71">
        <f>+IFERROR(VLOOKUP($P$19,Sheet1!J3:M3,3,0),0)</f>
        <v>0</v>
      </c>
      <c r="Q27" s="71">
        <f>+IFERROR(VLOOKUP($Q$19,Sheet1!J3:M3,3,0),0)</f>
        <v>0</v>
      </c>
      <c r="R27" s="71">
        <f>+IFERROR(VLOOKUP($R$19,Sheet1!J3:M3,3,0),0)</f>
        <v>0</v>
      </c>
      <c r="S27" s="71">
        <f>+IFERROR(VLOOKUP($S$19,Sheet1!J3:M3,3,0),0)</f>
        <v>0</v>
      </c>
      <c r="T27" s="71">
        <f>+IFERROR(VLOOKUP($T$19,Sheet1!J3:M3,3,0),0)</f>
        <v>0</v>
      </c>
      <c r="U27" s="71">
        <f>+IFERROR(VLOOKUP($U$19,Sheet1!J3:M3,3,0),0)</f>
        <v>0</v>
      </c>
      <c r="V27" s="72">
        <f>+IFERROR(VLOOKUP($V$19,Sheet1!N3:Q3,3,0),0)</f>
        <v>0</v>
      </c>
      <c r="W27" s="72">
        <f>+IFERROR(VLOOKUP($W$19,Sheet1!N3:Q3,3,0),0)</f>
        <v>0</v>
      </c>
      <c r="X27" s="73">
        <f>+IFERROR(VLOOKUP($X$19,Sheet1!F3:I3,3,0),0)</f>
        <v>0</v>
      </c>
      <c r="Y27" s="73">
        <f>+IFERROR(VLOOKUP($Y$19,Sheet1!F3:I3,3,0),0)</f>
        <v>0</v>
      </c>
      <c r="Z27" s="73">
        <f>+IFERROR(VLOOKUP($Z$19,Sheet1!F3:I3,3,0),0)</f>
        <v>0</v>
      </c>
      <c r="AA27" s="73">
        <f>+IFERROR(VLOOKUP($AA$19,Sheet1!F3:I3,3,0),0)</f>
        <v>0</v>
      </c>
      <c r="AB27" s="73">
        <f>+IFERROR(VLOOKUP($AB$19,Sheet1!F3:I3,3,0),0)</f>
        <v>0</v>
      </c>
      <c r="AC27" s="73">
        <f>+IFERROR(VLOOKUP($AC$19,Sheet1!F3:I3,3,0),0)</f>
        <v>0</v>
      </c>
      <c r="AD27" s="73">
        <f>+IFERROR(VLOOKUP($AD$19,Sheet1!F3:I3,3,0),0)</f>
        <v>0</v>
      </c>
      <c r="AE27" s="73">
        <f>+IFERROR(VLOOKUP($AE$19,Sheet1!F3:I3,3,0),0)</f>
        <v>0</v>
      </c>
      <c r="AF27" s="74">
        <f>+IFERROR(VLOOKUP($AF$19,Sheet1!R3:U3,3,0),0)</f>
        <v>0</v>
      </c>
      <c r="AG27" s="32">
        <f>+IFERROR(VLOOKUP($AG$19,Sheet1!R3:U3,3,0),0)</f>
        <v>0</v>
      </c>
      <c r="AH27" s="75">
        <f>+IFERROR(VLOOKUP($AH$19,Sheet1!V3:Y3,3,0),0)</f>
        <v>0</v>
      </c>
      <c r="AI27" s="100">
        <v>60</v>
      </c>
      <c r="AJ27" s="33">
        <f>+IFERROR(VLOOKUP($AJ$19,Sheet1!V3:Y3,3,0),0)</f>
        <v>0</v>
      </c>
      <c r="AK27" s="33">
        <f>+IFERROR(VLOOKUP($AK$19,Sheet1!V3:Y3,3,0),0)</f>
        <v>0</v>
      </c>
      <c r="AL27" s="33">
        <f>+IFERROR(VLOOKUP($AL$19,Sheet1!V3:Y3,3,0),0)</f>
        <v>0</v>
      </c>
      <c r="AM27" s="33">
        <f>+IFERROR(VLOOKUP($AM$19,Sheet1!V3:Y3,3,0),0)</f>
        <v>0</v>
      </c>
      <c r="AN27" s="33">
        <f>+IFERROR(VLOOKUP($AN$19,Sheet1!V3:Y3,3,0),0)</f>
        <v>0</v>
      </c>
      <c r="AO27" s="33">
        <f>+IFERROR(VLOOKUP($AO$19,Sheet1!V3:Y3,3,0),0)</f>
        <v>0</v>
      </c>
      <c r="AP27" s="33">
        <f>+IFERROR(VLOOKUP($AP$19,Sheet1!V3:Y3,3,0),0)</f>
        <v>0</v>
      </c>
      <c r="AQ27" s="36">
        <f>+IFERROR(VLOOKUP($AQ$19,Sheet1!Z3:AB3,3,0),0)</f>
        <v>0</v>
      </c>
      <c r="AR27" s="37">
        <f>+IFERROR(VLOOKUP($AR$19,Sheet1!AD3:AG3,3,0),0)</f>
        <v>0</v>
      </c>
      <c r="AS27" s="37">
        <f>+IFERROR(VLOOKUP($AS$19,Sheet1!AD3:AG3,3,0),0)</f>
        <v>0</v>
      </c>
      <c r="AT27" s="37">
        <f>+IFERROR(VLOOKUP($AT$19,Sheet1!AD3:AG3,3,0),0)</f>
        <v>0</v>
      </c>
      <c r="AU27" s="37">
        <f>+IFERROR(VLOOKUP($AU$19,Sheet1!AD3:AG3,3,0),0)</f>
        <v>0</v>
      </c>
      <c r="AV27" s="37">
        <f>+IFERROR(VLOOKUP($AV$19,Sheet1!AD3:AG3,3,0),0)</f>
        <v>0</v>
      </c>
      <c r="AW27" s="37">
        <f>+IFERROR(VLOOKUP($AW$19,Sheet1!AD3:AG3,3,0),0)</f>
        <v>0</v>
      </c>
      <c r="AX27" s="37">
        <f>+IFERROR(VLOOKUP($AX$19,Sheet1!AD3:AG3,3,0),0)</f>
        <v>0</v>
      </c>
      <c r="AY27" s="37">
        <f>+IFERROR(VLOOKUP($AY$19,Sheet1!AD3:AG3,3,0),0)</f>
        <v>0</v>
      </c>
      <c r="AZ27" s="37">
        <f>+IFERROR(VLOOKUP($AZ$19,Sheet1!AD3:AG3,3,0),0)</f>
        <v>0</v>
      </c>
      <c r="BA27" s="36">
        <f>+IFERROR(VLOOKUP($BA$19,Sheet1!AH3:AK3,3,0),0)</f>
        <v>0</v>
      </c>
      <c r="BB27" s="36">
        <f>+IFERROR(VLOOKUP($BB$19,Sheet1!AH3:AK3,3,0),0)</f>
        <v>0</v>
      </c>
      <c r="BC27" s="36">
        <f>+IFERROR(VLOOKUP($BC$19,Sheet1!AH3:AK3,3,0),0)</f>
        <v>0</v>
      </c>
      <c r="BD27" s="36"/>
      <c r="BE27" s="36">
        <f>+IFERROR(VLOOKUP($BE$19,Sheet1!AH3:AK3,3,0),0)</f>
        <v>0</v>
      </c>
      <c r="BF27" s="36">
        <f>+IFERROR(VLOOKUP($BF$19,Sheet1!AH3:AK3,3,0),0)</f>
        <v>0</v>
      </c>
      <c r="BG27" s="36">
        <f>+IFERROR(VLOOKUP($BG$19,Sheet1!AH3:AK3,3,0),0)</f>
        <v>0</v>
      </c>
      <c r="BH27" s="36">
        <f>+IFERROR(VLOOKUP($BH$19,Sheet1!AH3:AK3,3,0),0)</f>
        <v>0</v>
      </c>
      <c r="BI27" s="36">
        <f>+IFERROR(VLOOKUP($BI$19,Sheet1!AH3:AK3,3,0),0)</f>
        <v>0</v>
      </c>
      <c r="BJ27" s="36">
        <f>+IFERROR(VLOOKUP($BJ$19,Sheet1!AH3:AK3,3,0),0)</f>
        <v>0</v>
      </c>
      <c r="BK27" s="36">
        <f>+IFERROR(VLOOKUP($BK$19,Sheet1!AH3:AK3,3,0),0)</f>
        <v>0</v>
      </c>
      <c r="BL27" s="9">
        <f>+IFERROR(VLOOKUP($BL$19,Sheet1!AL3:AO3,3,0),0)</f>
        <v>0</v>
      </c>
      <c r="BM27" s="9">
        <f>+IFERROR(VLOOKUP($BM$19,Sheet1!AL3:AO3,3,0),0)</f>
        <v>0</v>
      </c>
      <c r="BN27" s="9">
        <f>+IFERROR(VLOOKUP($BN$19,Sheet1!AL3:AO3,3,0),0)</f>
        <v>0</v>
      </c>
      <c r="BO27" s="9">
        <f>+IFERROR(VLOOKUP($BO$19,Sheet1!AL3:AO3,3,0),0)</f>
        <v>0</v>
      </c>
      <c r="BP27" s="9">
        <f>+IFERROR(VLOOKUP($BP$19,Sheet1!AL3:AO3,3,0),0)</f>
        <v>0</v>
      </c>
      <c r="BQ27" s="9">
        <f>+IFERROR(VLOOKUP($BQ$19,Sheet1!AL3:AO3,3,0),0)</f>
        <v>0</v>
      </c>
      <c r="BR27" s="9">
        <f>+IFERROR(VLOOKUP($BR$19,Sheet1!AL3:AO3,3,0),0)</f>
        <v>0</v>
      </c>
      <c r="BS27" s="9"/>
      <c r="BT27" s="103">
        <v>170</v>
      </c>
      <c r="BU27" s="9">
        <f>+IFERROR(VLOOKUP($BU$19,Sheet1!AL3:AO3,3,0),0)</f>
        <v>0</v>
      </c>
      <c r="BV27" s="9">
        <f>+IFERROR(VLOOKUP($BV$19,Sheet1!AL3:AO3,3,0),0)</f>
        <v>0</v>
      </c>
      <c r="BW27" s="9">
        <f>+IFERROR(VLOOKUP($BW$19,Sheet1!AL3:AO3,3,0),0)</f>
        <v>0</v>
      </c>
      <c r="BX27" s="40">
        <f>+IFERROR(VLOOKUP($BX$19,Sheet1!AP3:AS3,3,0),0)</f>
        <v>0</v>
      </c>
      <c r="BY27" s="43">
        <f>+IFERROR(VLOOKUP($BY$19,Sheet1!AT3:AW3,3,0),0)</f>
        <v>0</v>
      </c>
      <c r="BZ27" s="44">
        <f>+IFERROR(VLOOKUP($BZ$19,Sheet1!AX3:BA3,3,0),0)</f>
        <v>0</v>
      </c>
      <c r="CA27" s="46">
        <f>+IFERROR(VLOOKUP($CA$19,Sheet1!BB3:BE3,3,0),0)</f>
        <v>0</v>
      </c>
      <c r="CB27" s="48">
        <f>+IFERROR(VLOOKUP($CB$19,Sheet1!BF3:BI3,3,0),0)</f>
        <v>0</v>
      </c>
      <c r="CC27" s="49">
        <f>+IFERROR(VLOOKUP($CC$19,Sheet1!BJ3:BM3,3,0),0)</f>
        <v>0</v>
      </c>
      <c r="CD27" s="50">
        <f>+IFERROR(VLOOKUP($CD$19,Sheet1!BN3:BQ3,3,0),0)</f>
        <v>0</v>
      </c>
      <c r="CE27" s="38">
        <f>+IFERROR(VLOOKUP($CE$19,Sheet1!BR3:BU3,3,0),0)</f>
        <v>0</v>
      </c>
      <c r="CF27" s="44">
        <f>+IFERROR(VLOOKUP($CF$19,Sheet1!BV3:BY3,3,0),0)</f>
        <v>0</v>
      </c>
      <c r="CG27" s="67" t="s">
        <v>231</v>
      </c>
      <c r="CH27" s="68" t="s">
        <v>259</v>
      </c>
      <c r="CI27" s="68" t="s">
        <v>260</v>
      </c>
      <c r="CJ27" s="68">
        <f>Sheet1!CX3</f>
        <v>500</v>
      </c>
      <c r="CK27" s="23">
        <f>2200/0.5</f>
        <v>4400</v>
      </c>
      <c r="CL27" s="23">
        <f t="shared" si="5"/>
        <v>165492</v>
      </c>
      <c r="CM27" s="24">
        <f>Sheet1!CB3</f>
        <v>0</v>
      </c>
      <c r="CN27" s="23">
        <f t="shared" si="6"/>
        <v>0</v>
      </c>
      <c r="CO27" s="95">
        <v>0.3</v>
      </c>
      <c r="CP27" s="23">
        <f t="shared" si="7"/>
        <v>49647.6</v>
      </c>
      <c r="CQ27" s="95">
        <v>0</v>
      </c>
      <c r="CR27" s="23">
        <f t="shared" si="8"/>
        <v>0</v>
      </c>
      <c r="CS27" s="23">
        <f t="shared" si="9"/>
        <v>215139.6</v>
      </c>
      <c r="CT27" s="95">
        <v>0.02</v>
      </c>
      <c r="CU27" s="6">
        <f t="shared" si="10"/>
        <v>4302.7920000000004</v>
      </c>
      <c r="CV27" s="95">
        <f>Sheet1!CK3</f>
        <v>0</v>
      </c>
      <c r="CW27" s="6">
        <f t="shared" si="11"/>
        <v>0</v>
      </c>
      <c r="CX27" s="95">
        <f>Sheet1!CM3</f>
        <v>0</v>
      </c>
      <c r="CY27" s="6">
        <f t="shared" si="12"/>
        <v>0</v>
      </c>
    </row>
    <row r="28" spans="1:104" s="22" customFormat="1" ht="30" x14ac:dyDescent="0.25">
      <c r="A28" s="6" t="str">
        <f>Sheet1!A5</f>
        <v>ENQ-18774-25-26</v>
      </c>
      <c r="B28" s="87">
        <v>46143</v>
      </c>
      <c r="C28" s="6" t="str">
        <f>Sheet1!C5</f>
        <v>FA0700008</v>
      </c>
      <c r="D28" s="98" t="str">
        <f>Sheet1!D5</f>
        <v>1 CORE X 300 SQ. MM. AL/ARD. (XLPE)</v>
      </c>
      <c r="E28" s="23">
        <f t="shared" si="0"/>
        <v>683481.39600000007</v>
      </c>
      <c r="F28" s="109">
        <f t="shared" si="13"/>
        <v>12500</v>
      </c>
      <c r="G28" s="28">
        <f t="shared" si="1"/>
        <v>695981.39600000007</v>
      </c>
      <c r="H28" s="29">
        <f>Sheet1!CR5</f>
        <v>0.18</v>
      </c>
      <c r="I28" s="28">
        <f t="shared" si="2"/>
        <v>125276.65128000001</v>
      </c>
      <c r="J28" s="28">
        <f t="shared" si="3"/>
        <v>821258.04728000006</v>
      </c>
      <c r="K28" s="79">
        <f>Sheet1!CU5</f>
        <v>12</v>
      </c>
      <c r="L28" s="76" t="str">
        <f>Sheet1!CV5</f>
        <v>KMS</v>
      </c>
      <c r="M28" s="23">
        <f t="shared" si="4"/>
        <v>9855096.5673600007</v>
      </c>
      <c r="N28" s="71">
        <f>+IFERROR(VLOOKUP($N$19,Sheet1!J5:L5,3,0),0)</f>
        <v>810</v>
      </c>
      <c r="O28" s="71">
        <f>+IFERROR(VLOOKUP($O$19,Sheet1!J5:L5,3,0),0)</f>
        <v>0</v>
      </c>
      <c r="P28" s="71">
        <f>+IFERROR(VLOOKUP($P$19,Sheet1!J5:M5,3,0),0)</f>
        <v>0</v>
      </c>
      <c r="Q28" s="71">
        <f>+IFERROR(VLOOKUP($Q$19,Sheet1!J5:M5,3,0),0)</f>
        <v>0</v>
      </c>
      <c r="R28" s="71">
        <f>+IFERROR(VLOOKUP($R$19,Sheet1!J5:M5,3,0),0)</f>
        <v>0</v>
      </c>
      <c r="S28" s="71">
        <f>+IFERROR(VLOOKUP($S$19,Sheet1!J5:M5,3,0),0)</f>
        <v>0</v>
      </c>
      <c r="T28" s="71">
        <f>+IFERROR(VLOOKUP($T$19,Sheet1!J5:M5,3,0),0)</f>
        <v>0</v>
      </c>
      <c r="U28" s="71">
        <f>+IFERROR(VLOOKUP($U$19,Sheet1!J5:M5,3,0),0)</f>
        <v>0</v>
      </c>
      <c r="V28" s="72">
        <f>+IFERROR(VLOOKUP($V$19,Sheet1!N5:Q5,3,0),0)</f>
        <v>0</v>
      </c>
      <c r="W28" s="72">
        <f>+IFERROR(VLOOKUP($W$19,Sheet1!N5:Q5,3,0),0)</f>
        <v>0</v>
      </c>
      <c r="X28" s="73">
        <f>+IFERROR(VLOOKUP($X$19,Sheet1!F5:I5,3,0),0)</f>
        <v>0</v>
      </c>
      <c r="Y28" s="73">
        <f>+IFERROR(VLOOKUP($Y$19,Sheet1!F5:I5,3,0),0)</f>
        <v>0</v>
      </c>
      <c r="Z28" s="73">
        <f>+IFERROR(VLOOKUP($Z$19,Sheet1!F5:I5,3,0),0)</f>
        <v>0</v>
      </c>
      <c r="AA28" s="73">
        <f>+IFERROR(VLOOKUP($AA$19,Sheet1!F5:I5,3,0),0)</f>
        <v>0</v>
      </c>
      <c r="AB28" s="73">
        <f>+IFERROR(VLOOKUP($AB$19,Sheet1!F5:I5,3,0),0)</f>
        <v>0</v>
      </c>
      <c r="AC28" s="73">
        <f>+IFERROR(VLOOKUP($AC$19,Sheet1!F5:I5,3,0),0)</f>
        <v>0</v>
      </c>
      <c r="AD28" s="73">
        <f>+IFERROR(VLOOKUP($AD$19,Sheet1!F5:I5,3,0),0)</f>
        <v>0</v>
      </c>
      <c r="AE28" s="73">
        <f>+IFERROR(VLOOKUP($AE$19,Sheet1!F5:I5,3,0),0)</f>
        <v>0</v>
      </c>
      <c r="AF28" s="74">
        <f>+IFERROR(VLOOKUP($AF$19,Sheet1!R5:U5,3,0),0)</f>
        <v>0</v>
      </c>
      <c r="AG28" s="32">
        <f>+IFERROR(VLOOKUP($AG$19,Sheet1!R5:U5,3,0),0)</f>
        <v>0</v>
      </c>
      <c r="AH28" s="75">
        <f>+IFERROR(VLOOKUP($AH$19,Sheet1!V5:Y5,3,0),0)</f>
        <v>0</v>
      </c>
      <c r="AI28" s="100">
        <v>158</v>
      </c>
      <c r="AJ28" s="33">
        <f>+IFERROR(VLOOKUP($AJ$19,Sheet1!V5:Y5,3,0),0)</f>
        <v>0</v>
      </c>
      <c r="AK28" s="33">
        <f>+IFERROR(VLOOKUP($AK$19,Sheet1!V5:Y5,3,0),0)</f>
        <v>0</v>
      </c>
      <c r="AL28" s="33">
        <f>+IFERROR(VLOOKUP($AL$19,Sheet1!V5:Y5,3,0),0)</f>
        <v>0</v>
      </c>
      <c r="AM28" s="33">
        <f>+IFERROR(VLOOKUP($AM$19,Sheet1!V5:Y5,3,0),0)</f>
        <v>0</v>
      </c>
      <c r="AN28" s="33">
        <f>+IFERROR(VLOOKUP($AN$19,Sheet1!V5:Y5,3,0),0)</f>
        <v>0</v>
      </c>
      <c r="AO28" s="33">
        <f>+IFERROR(VLOOKUP($AO$19,Sheet1!V5:Y5,3,0),0)</f>
        <v>0</v>
      </c>
      <c r="AP28" s="33">
        <f>+IFERROR(VLOOKUP($AP$19,Sheet1!V5:Y5,3,0),0)</f>
        <v>0</v>
      </c>
      <c r="AQ28" s="36">
        <f>+IFERROR(VLOOKUP($AQ$19,Sheet1!Z5:AB5,3,0),0)</f>
        <v>0</v>
      </c>
      <c r="AR28" s="37">
        <f>+IFERROR(VLOOKUP($AR$19,Sheet1!AD5:AG5,3,0),0)</f>
        <v>0</v>
      </c>
      <c r="AS28" s="37">
        <f>+IFERROR(VLOOKUP($AS$19,Sheet1!AD5:AG5,3,0),0)</f>
        <v>0</v>
      </c>
      <c r="AT28" s="37">
        <f>+IFERROR(VLOOKUP($AT$19,Sheet1!AD5:AG5,3,0),0)</f>
        <v>0</v>
      </c>
      <c r="AU28" s="37">
        <f>+IFERROR(VLOOKUP($AU$19,Sheet1!AD5:AG5,3,0),0)</f>
        <v>0</v>
      </c>
      <c r="AV28" s="37">
        <f>+IFERROR(VLOOKUP($AV$19,Sheet1!AD5:AG5,3,0),0)</f>
        <v>0</v>
      </c>
      <c r="AW28" s="37">
        <f>+IFERROR(VLOOKUP($AW$19,Sheet1!AD5:AG5,3,0),0)</f>
        <v>0</v>
      </c>
      <c r="AX28" s="37">
        <f>+IFERROR(VLOOKUP($AX$19,Sheet1!AD5:AG5,3,0),0)</f>
        <v>0</v>
      </c>
      <c r="AY28" s="37">
        <f>+IFERROR(VLOOKUP($AY$19,Sheet1!AD5:AG5,3,0),0)</f>
        <v>0</v>
      </c>
      <c r="AZ28" s="37">
        <f>+IFERROR(VLOOKUP($AZ$19,Sheet1!AD5:AG5,3,0),0)</f>
        <v>0</v>
      </c>
      <c r="BA28" s="36">
        <f>+IFERROR(VLOOKUP($BA$19,Sheet1!AH5:AK5,3,0),0)</f>
        <v>0</v>
      </c>
      <c r="BB28" s="36">
        <f>+IFERROR(VLOOKUP($BB$19,Sheet1!AH5:AK5,3,0),0)</f>
        <v>0</v>
      </c>
      <c r="BC28" s="36">
        <f>+IFERROR(VLOOKUP($BC$19,Sheet1!AH5:AK5,3,0),0)</f>
        <v>0</v>
      </c>
      <c r="BD28" s="102">
        <v>264</v>
      </c>
      <c r="BE28" s="36">
        <f>+IFERROR(VLOOKUP($BE$19,Sheet1!AH5:AK5,3,0),0)</f>
        <v>0</v>
      </c>
      <c r="BF28" s="36">
        <f>+IFERROR(VLOOKUP($BF$19,Sheet1!AH5:AK5,3,0),0)</f>
        <v>0</v>
      </c>
      <c r="BG28" s="36">
        <f>+IFERROR(VLOOKUP($BG$19,Sheet1!AH5:AK5,3,0),0)</f>
        <v>0</v>
      </c>
      <c r="BH28" s="36">
        <f>+IFERROR(VLOOKUP($BH$19,Sheet1!AH5:AK5,3,0),0)</f>
        <v>0</v>
      </c>
      <c r="BI28" s="36">
        <f>+IFERROR(VLOOKUP($BI$19,Sheet1!AH5:AK5,3,0),0)</f>
        <v>0</v>
      </c>
      <c r="BJ28" s="36">
        <f>+IFERROR(VLOOKUP($BJ$19,Sheet1!AH5:AK5,3,0),0)</f>
        <v>0</v>
      </c>
      <c r="BK28" s="36">
        <f>+IFERROR(VLOOKUP($BK$19,Sheet1!AH5:AK5,3,0),0)</f>
        <v>0</v>
      </c>
      <c r="BL28" s="9">
        <f>+IFERROR(VLOOKUP($BL$19,Sheet1!AL5:AO5,3,0),0)</f>
        <v>0</v>
      </c>
      <c r="BM28" s="9">
        <f>+IFERROR(VLOOKUP($BM$19,Sheet1!AL5:AO5,3,0),0)</f>
        <v>0</v>
      </c>
      <c r="BN28" s="9">
        <f>+IFERROR(VLOOKUP($BN$19,Sheet1!AL5:AO5,3,0),0)</f>
        <v>0</v>
      </c>
      <c r="BO28" s="9">
        <f>+IFERROR(VLOOKUP($BO$19,Sheet1!AL5:AO5,3,0),0)</f>
        <v>0</v>
      </c>
      <c r="BP28" s="9">
        <f>+IFERROR(VLOOKUP($BP$19,Sheet1!AL5:AO5,3,0),0)</f>
        <v>0</v>
      </c>
      <c r="BQ28" s="9">
        <f>+IFERROR(VLOOKUP($BQ$19,Sheet1!AL5:AO5,3,0),0)</f>
        <v>0</v>
      </c>
      <c r="BR28" s="9">
        <f>+IFERROR(VLOOKUP($BR$19,Sheet1!AL5:AO5,3,0),0)</f>
        <v>0</v>
      </c>
      <c r="BS28" s="9"/>
      <c r="BT28" s="103">
        <v>265</v>
      </c>
      <c r="BU28" s="9">
        <f>+IFERROR(VLOOKUP($BU$19,Sheet1!AL5:AO5,3,0),0)</f>
        <v>0</v>
      </c>
      <c r="BV28" s="9">
        <f>+IFERROR(VLOOKUP($BV$19,Sheet1!AL5:AO5,3,0),0)</f>
        <v>0</v>
      </c>
      <c r="BW28" s="9">
        <f>+IFERROR(VLOOKUP($BW$19,Sheet1!AL5:AO5,3,0),0)</f>
        <v>0</v>
      </c>
      <c r="BX28" s="40">
        <f>+IFERROR(VLOOKUP($BX$19,Sheet1!AP5:AS5,3,0),0)</f>
        <v>0</v>
      </c>
      <c r="BY28" s="43">
        <f>+IFERROR(VLOOKUP($BY$19,Sheet1!AT5:AW5,3,0),0)</f>
        <v>0</v>
      </c>
      <c r="BZ28" s="44">
        <f>+IFERROR(VLOOKUP($BZ$19,Sheet1!AX5:BA5,3,0),0)</f>
        <v>0</v>
      </c>
      <c r="CA28" s="46">
        <f>+IFERROR(VLOOKUP($CA$19,Sheet1!BB5:BE5,3,0),0)</f>
        <v>0</v>
      </c>
      <c r="CB28" s="48">
        <f>+IFERROR(VLOOKUP($CB$19,Sheet1!BF5:BI5,3,0),0)</f>
        <v>0</v>
      </c>
      <c r="CC28" s="49">
        <f>+IFERROR(VLOOKUP($CC$19,Sheet1!BJ5:BM5,3,0),0)</f>
        <v>0</v>
      </c>
      <c r="CD28" s="50">
        <f>+IFERROR(VLOOKUP($CD$19,Sheet1!BN5:BQ5,3,0),0)</f>
        <v>0</v>
      </c>
      <c r="CE28" s="104">
        <v>21</v>
      </c>
      <c r="CF28" s="44">
        <f>+IFERROR(VLOOKUP($CF$19,Sheet1!BV5:BY5,3,0),0)</f>
        <v>0</v>
      </c>
      <c r="CG28" s="67" t="str">
        <f>Sheet1!E5</f>
        <v>STEEL</v>
      </c>
      <c r="CH28" s="68" t="s">
        <v>253</v>
      </c>
      <c r="CI28" s="68" t="s">
        <v>254</v>
      </c>
      <c r="CJ28" s="68">
        <f>Sheet1!CX5</f>
        <v>500</v>
      </c>
      <c r="CK28" s="23">
        <f>4675/0.5</f>
        <v>9350</v>
      </c>
      <c r="CL28" s="23">
        <f t="shared" si="5"/>
        <v>515446</v>
      </c>
      <c r="CM28" s="24">
        <f>Sheet1!CB5</f>
        <v>0</v>
      </c>
      <c r="CN28" s="23">
        <f t="shared" si="6"/>
        <v>0</v>
      </c>
      <c r="CO28" s="95">
        <v>0.3</v>
      </c>
      <c r="CP28" s="23">
        <f t="shared" si="7"/>
        <v>154633.79999999999</v>
      </c>
      <c r="CQ28" s="95">
        <v>0</v>
      </c>
      <c r="CR28" s="23">
        <f t="shared" si="8"/>
        <v>0</v>
      </c>
      <c r="CS28" s="23">
        <f t="shared" si="9"/>
        <v>670079.80000000005</v>
      </c>
      <c r="CT28" s="95">
        <v>0.02</v>
      </c>
      <c r="CU28" s="6">
        <f t="shared" si="10"/>
        <v>13401.596000000001</v>
      </c>
      <c r="CV28" s="95">
        <f>Sheet1!CK5</f>
        <v>0</v>
      </c>
      <c r="CW28" s="6">
        <f t="shared" si="11"/>
        <v>0</v>
      </c>
      <c r="CX28" s="95">
        <f>Sheet1!CM5</f>
        <v>0</v>
      </c>
      <c r="CY28" s="6">
        <f t="shared" si="12"/>
        <v>0</v>
      </c>
    </row>
    <row r="29" spans="1:104" s="22" customFormat="1" ht="38.25" x14ac:dyDescent="0.25">
      <c r="A29" s="6" t="str">
        <f>Sheet1!A4</f>
        <v>ENQ-18774-25-26</v>
      </c>
      <c r="B29" s="87">
        <v>46143</v>
      </c>
      <c r="C29" s="6" t="str">
        <f>Sheet1!C4</f>
        <v>FA0700002</v>
      </c>
      <c r="D29" s="98" t="str">
        <f>Sheet1!D4</f>
        <v>1 CORE X 630 SQ. MM. AL/ARD (XLPE)</v>
      </c>
      <c r="E29" s="23">
        <f t="shared" si="0"/>
        <v>1348364.3160000001</v>
      </c>
      <c r="F29" s="109">
        <f t="shared" si="13"/>
        <v>22500</v>
      </c>
      <c r="G29" s="28">
        <f t="shared" si="1"/>
        <v>1370864.3160000001</v>
      </c>
      <c r="H29" s="29">
        <f>Sheet1!CR4</f>
        <v>0.18</v>
      </c>
      <c r="I29" s="28">
        <f t="shared" si="2"/>
        <v>246755.57688000001</v>
      </c>
      <c r="J29" s="28">
        <f t="shared" si="3"/>
        <v>1617619.8928800002</v>
      </c>
      <c r="K29" s="79">
        <f>Sheet1!CU4</f>
        <v>10</v>
      </c>
      <c r="L29" s="76" t="str">
        <f>Sheet1!CV4</f>
        <v>KMS</v>
      </c>
      <c r="M29" s="23">
        <f t="shared" si="4"/>
        <v>16176198.928800002</v>
      </c>
      <c r="N29" s="71">
        <f>+IFERROR(VLOOKUP($N$19,Sheet1!J4:L4,3,0),0)</f>
        <v>1701</v>
      </c>
      <c r="O29" s="71">
        <f>+IFERROR(VLOOKUP($O$19,Sheet1!J4:L4,3,0),0)</f>
        <v>0</v>
      </c>
      <c r="P29" s="71">
        <f>+IFERROR(VLOOKUP($P$19,Sheet1!J4:M4,3,0),0)</f>
        <v>0</v>
      </c>
      <c r="Q29" s="71">
        <f>+IFERROR(VLOOKUP($Q$19,Sheet1!J4:M4,3,0),0)</f>
        <v>0</v>
      </c>
      <c r="R29" s="71">
        <f>+IFERROR(VLOOKUP($R$19,Sheet1!J4:M4,3,0),0)</f>
        <v>0</v>
      </c>
      <c r="S29" s="71">
        <f>+IFERROR(VLOOKUP($S$19,Sheet1!J4:M4,3,0),0)</f>
        <v>0</v>
      </c>
      <c r="T29" s="71">
        <f>+IFERROR(VLOOKUP($T$19,Sheet1!J4:M4,3,0),0)</f>
        <v>0</v>
      </c>
      <c r="U29" s="71">
        <f>+IFERROR(VLOOKUP($U$19,Sheet1!J4:M4,3,0),0)</f>
        <v>0</v>
      </c>
      <c r="V29" s="72">
        <f>+IFERROR(VLOOKUP($V$19,Sheet1!N4:Q4,3,0),0)</f>
        <v>0</v>
      </c>
      <c r="W29" s="72">
        <f>+IFERROR(VLOOKUP($W$19,Sheet1!N4:Q4,3,0),0)</f>
        <v>0</v>
      </c>
      <c r="X29" s="73">
        <f>+IFERROR(VLOOKUP($X$19,Sheet1!F4:I4,3,0),0)</f>
        <v>0</v>
      </c>
      <c r="Y29" s="73">
        <f>+IFERROR(VLOOKUP($Y$19,Sheet1!F4:I4,3,0),0)</f>
        <v>0</v>
      </c>
      <c r="Z29" s="73">
        <f>+IFERROR(VLOOKUP($Z$19,Sheet1!F4:I4,3,0),0)</f>
        <v>0</v>
      </c>
      <c r="AA29" s="73">
        <f>+IFERROR(VLOOKUP($AA$19,Sheet1!F4:I4,3,0),0)</f>
        <v>0</v>
      </c>
      <c r="AB29" s="73">
        <f>+IFERROR(VLOOKUP($AB$19,Sheet1!F4:I4,3,0),0)</f>
        <v>0</v>
      </c>
      <c r="AC29" s="73">
        <f>+IFERROR(VLOOKUP($AC$19,Sheet1!F4:I4,3,0),0)</f>
        <v>0</v>
      </c>
      <c r="AD29" s="73">
        <f>+IFERROR(VLOOKUP($AD$19,Sheet1!F4:I4,3,0),0)</f>
        <v>0</v>
      </c>
      <c r="AE29" s="73">
        <f>+IFERROR(VLOOKUP($AE$19,Sheet1!F4:I4,3,0),0)</f>
        <v>0</v>
      </c>
      <c r="AF29" s="74">
        <f>+IFERROR(VLOOKUP($AF$19,Sheet1!R4:U4,3,0),0)</f>
        <v>0</v>
      </c>
      <c r="AG29" s="32">
        <f>+IFERROR(VLOOKUP($AG$19,Sheet1!R4:U4,3,0),0)</f>
        <v>0</v>
      </c>
      <c r="AH29" s="75">
        <f>+IFERROR(VLOOKUP($AH$19,Sheet1!V4:Y4,3,0),0)</f>
        <v>0</v>
      </c>
      <c r="AI29" s="33">
        <f>+IFERROR(VLOOKUP($AI$19,Sheet1!V4:Y4,3,0),0)</f>
        <v>295</v>
      </c>
      <c r="AJ29" s="33">
        <f>+IFERROR(VLOOKUP($AJ$19,Sheet1!V4:Y4,3,0),0)</f>
        <v>0</v>
      </c>
      <c r="AK29" s="33">
        <f>+IFERROR(VLOOKUP($AK$19,Sheet1!V4:Y4,3,0),0)</f>
        <v>0</v>
      </c>
      <c r="AL29" s="33">
        <f>+IFERROR(VLOOKUP($AL$19,Sheet1!V4:Y4,3,0),0)</f>
        <v>0</v>
      </c>
      <c r="AM29" s="33">
        <f>+IFERROR(VLOOKUP($AM$19,Sheet1!V4:Y4,3,0),0)</f>
        <v>0</v>
      </c>
      <c r="AN29" s="33">
        <f>+IFERROR(VLOOKUP($AN$19,Sheet1!V4:Y4,3,0),0)</f>
        <v>0</v>
      </c>
      <c r="AO29" s="33">
        <f>+IFERROR(VLOOKUP($AO$19,Sheet1!V4:Y4,3,0),0)</f>
        <v>0</v>
      </c>
      <c r="AP29" s="33">
        <f>+IFERROR(VLOOKUP($AP$19,Sheet1!V4:Y4,3,0),0)</f>
        <v>0</v>
      </c>
      <c r="AQ29" s="36">
        <f>+IFERROR(VLOOKUP($AQ$19,Sheet1!Z4:AB4,3,0),0)</f>
        <v>0</v>
      </c>
      <c r="AR29" s="37">
        <f>+IFERROR(VLOOKUP($AR$19,Sheet1!AD4:AG4,3,0),0)</f>
        <v>0</v>
      </c>
      <c r="AS29" s="37">
        <f>+IFERROR(VLOOKUP($AS$19,Sheet1!AD4:AG4,3,0),0)</f>
        <v>0</v>
      </c>
      <c r="AT29" s="37">
        <f>+IFERROR(VLOOKUP($AT$19,Sheet1!AD4:AG4,3,0),0)</f>
        <v>0</v>
      </c>
      <c r="AU29" s="37">
        <f>+IFERROR(VLOOKUP($AU$19,Sheet1!AD4:AG4,3,0),0)</f>
        <v>0</v>
      </c>
      <c r="AV29" s="37">
        <f>+IFERROR(VLOOKUP($AV$19,Sheet1!AD4:AG4,3,0),0)</f>
        <v>0</v>
      </c>
      <c r="AW29" s="37">
        <f>+IFERROR(VLOOKUP($AW$19,Sheet1!AD4:AG4,3,0),0)</f>
        <v>0</v>
      </c>
      <c r="AX29" s="37">
        <f>+IFERROR(VLOOKUP($AX$19,Sheet1!AD4:AG4,3,0),0)</f>
        <v>0</v>
      </c>
      <c r="AY29" s="37">
        <f>+IFERROR(VLOOKUP($AY$19,Sheet1!AD4:AG4,3,0),0)</f>
        <v>0</v>
      </c>
      <c r="AZ29" s="37">
        <f>+IFERROR(VLOOKUP($AZ$19,Sheet1!AD4:AG4,3,0),0)</f>
        <v>0</v>
      </c>
      <c r="BA29" s="36">
        <f>+IFERROR(VLOOKUP($BA$19,Sheet1!AH4:AK4,3,0),0)</f>
        <v>0</v>
      </c>
      <c r="BB29" s="36">
        <f>+IFERROR(VLOOKUP($BB$19,Sheet1!AH4:AK4,3,0),0)</f>
        <v>0</v>
      </c>
      <c r="BC29" s="36">
        <f>+IFERROR(VLOOKUP($BC$19,Sheet1!AH4:AK4,3,0),0)</f>
        <v>0</v>
      </c>
      <c r="BD29" s="102">
        <v>464</v>
      </c>
      <c r="BE29" s="36">
        <f>+IFERROR(VLOOKUP($BE$19,Sheet1!AH4:AK4,3,0),0)</f>
        <v>0</v>
      </c>
      <c r="BF29" s="36">
        <f>+IFERROR(VLOOKUP($BF$19,Sheet1!AH4:AK4,3,0),0)</f>
        <v>0</v>
      </c>
      <c r="BG29" s="36">
        <f>+IFERROR(VLOOKUP($BG$19,Sheet1!AH4:AK4,3,0),0)</f>
        <v>0</v>
      </c>
      <c r="BH29" s="36">
        <f>+IFERROR(VLOOKUP($BH$19,Sheet1!AH4:AK4,3,0),0)</f>
        <v>0</v>
      </c>
      <c r="BI29" s="36">
        <f>+IFERROR(VLOOKUP($BI$19,Sheet1!AH4:AK4,3,0),0)</f>
        <v>0</v>
      </c>
      <c r="BJ29" s="36">
        <f>+IFERROR(VLOOKUP($BJ$19,Sheet1!AH4:AK4,3,0),0)</f>
        <v>0</v>
      </c>
      <c r="BK29" s="36">
        <f>+IFERROR(VLOOKUP($BK$19,Sheet1!AH4:AK4,3,0),0)</f>
        <v>0</v>
      </c>
      <c r="BL29" s="9">
        <f>+IFERROR(VLOOKUP($BL$19,Sheet1!AL4:AO4,3,0),0)</f>
        <v>0</v>
      </c>
      <c r="BM29" s="9">
        <f>+IFERROR(VLOOKUP($BM$19,Sheet1!AL4:AO4,3,0),0)</f>
        <v>0</v>
      </c>
      <c r="BN29" s="9">
        <f>+IFERROR(VLOOKUP($BN$19,Sheet1!AL4:AO4,3,0),0)</f>
        <v>0</v>
      </c>
      <c r="BO29" s="9">
        <f>+IFERROR(VLOOKUP($BO$19,Sheet1!AL4:AO4,3,0),0)</f>
        <v>0</v>
      </c>
      <c r="BP29" s="9">
        <f>+IFERROR(VLOOKUP($BP$19,Sheet1!AL4:AO4,3,0),0)</f>
        <v>0</v>
      </c>
      <c r="BQ29" s="9">
        <f>+IFERROR(VLOOKUP($BQ$19,Sheet1!AL4:AO4,3,0),0)</f>
        <v>0</v>
      </c>
      <c r="BR29" s="9">
        <f>+IFERROR(VLOOKUP($BR$19,Sheet1!AL4:AO4,3,0),0)</f>
        <v>0</v>
      </c>
      <c r="BS29" s="9"/>
      <c r="BT29" s="103">
        <v>400</v>
      </c>
      <c r="BU29" s="9">
        <f>+IFERROR(VLOOKUP($BU$19,Sheet1!AL4:AO4,3,0),0)</f>
        <v>0</v>
      </c>
      <c r="BV29" s="9">
        <f>+IFERROR(VLOOKUP($BV$19,Sheet1!AL4:AO4,3,0),0)</f>
        <v>0</v>
      </c>
      <c r="BW29" s="9">
        <f>+IFERROR(VLOOKUP($BW$19,Sheet1!AL4:AO4,3,0),0)</f>
        <v>0</v>
      </c>
      <c r="BX29" s="40">
        <f>+IFERROR(VLOOKUP($BX$19,Sheet1!AP4:AS4,3,0),0)</f>
        <v>0</v>
      </c>
      <c r="BY29" s="43">
        <f>+IFERROR(VLOOKUP($BY$19,Sheet1!AT4:AW4,3,0),0)</f>
        <v>0</v>
      </c>
      <c r="BZ29" s="44">
        <f>+IFERROR(VLOOKUP($BZ$19,Sheet1!AX4:BA4,3,0),0)</f>
        <v>0</v>
      </c>
      <c r="CA29" s="46">
        <f>+IFERROR(VLOOKUP($CA$19,Sheet1!BB4:BE4,3,0),0)</f>
        <v>0</v>
      </c>
      <c r="CB29" s="48">
        <f>+IFERROR(VLOOKUP($CB$19,Sheet1!BF4:BI4,3,0),0)</f>
        <v>0</v>
      </c>
      <c r="CC29" s="49">
        <f>+IFERROR(VLOOKUP($CC$19,Sheet1!BJ4:BM4,3,0),0)</f>
        <v>0</v>
      </c>
      <c r="CD29" s="50">
        <f>+IFERROR(VLOOKUP($CD$19,Sheet1!BN4:BQ4,3,0),0)</f>
        <v>0</v>
      </c>
      <c r="CE29" s="104">
        <v>29</v>
      </c>
      <c r="CF29" s="44">
        <f>+IFERROR(VLOOKUP($CF$19,Sheet1!BV4:BY4,3,0),0)</f>
        <v>0</v>
      </c>
      <c r="CG29" s="67" t="str">
        <f>Sheet1!E4</f>
        <v>STEEL</v>
      </c>
      <c r="CH29" s="68" t="s">
        <v>255</v>
      </c>
      <c r="CI29" s="68" t="s">
        <v>256</v>
      </c>
      <c r="CJ29" s="68">
        <f>Sheet1!CX4</f>
        <v>500</v>
      </c>
      <c r="CK29" s="23">
        <f>8800/0.5</f>
        <v>17600</v>
      </c>
      <c r="CL29" s="23">
        <f t="shared" si="5"/>
        <v>1016866</v>
      </c>
      <c r="CM29" s="24">
        <f>Sheet1!CB4</f>
        <v>0</v>
      </c>
      <c r="CN29" s="23">
        <f t="shared" si="6"/>
        <v>0</v>
      </c>
      <c r="CO29" s="95">
        <v>0.3</v>
      </c>
      <c r="CP29" s="23">
        <f t="shared" si="7"/>
        <v>305059.8</v>
      </c>
      <c r="CQ29" s="95">
        <v>0</v>
      </c>
      <c r="CR29" s="23">
        <f t="shared" si="8"/>
        <v>0</v>
      </c>
      <c r="CS29" s="23">
        <f t="shared" si="9"/>
        <v>1321925.8</v>
      </c>
      <c r="CT29" s="95">
        <v>0.02</v>
      </c>
      <c r="CU29" s="6">
        <f t="shared" si="10"/>
        <v>26438.516000000003</v>
      </c>
      <c r="CV29" s="95">
        <f>Sheet1!CK4</f>
        <v>0</v>
      </c>
      <c r="CW29" s="6">
        <f t="shared" si="11"/>
        <v>0</v>
      </c>
      <c r="CX29" s="95">
        <f>Sheet1!CM4</f>
        <v>0</v>
      </c>
      <c r="CY29" s="6">
        <f t="shared" si="12"/>
        <v>0</v>
      </c>
    </row>
    <row r="30" spans="1:104" x14ac:dyDescent="0.25">
      <c r="M30" s="110">
        <f>SUM(M21:M29)</f>
        <v>993347435.74872017</v>
      </c>
    </row>
    <row r="32" spans="1:104" x14ac:dyDescent="0.25">
      <c r="B32" s="246" t="s">
        <v>244</v>
      </c>
      <c r="C32" s="105" t="s">
        <v>245</v>
      </c>
    </row>
    <row r="33" spans="2:59" x14ac:dyDescent="0.25">
      <c r="B33" s="247"/>
      <c r="C33" s="105" t="s">
        <v>246</v>
      </c>
    </row>
    <row r="34" spans="2:59" x14ac:dyDescent="0.25">
      <c r="B34" s="247"/>
      <c r="C34" s="105" t="s">
        <v>247</v>
      </c>
    </row>
    <row r="35" spans="2:59" x14ac:dyDescent="0.25">
      <c r="B35" s="247"/>
      <c r="C35" s="105" t="s">
        <v>248</v>
      </c>
    </row>
    <row r="36" spans="2:59" x14ac:dyDescent="0.25">
      <c r="B36" s="248"/>
      <c r="C36" s="105" t="s">
        <v>249</v>
      </c>
    </row>
    <row r="37" spans="2:59" x14ac:dyDescent="0.25">
      <c r="B37" s="106" t="s">
        <v>262</v>
      </c>
      <c r="C37" s="107" t="s">
        <v>261</v>
      </c>
    </row>
    <row r="38" spans="2:59" ht="60" x14ac:dyDescent="0.25">
      <c r="E38" s="1" t="s">
        <v>127</v>
      </c>
      <c r="F38" s="1" t="s">
        <v>128</v>
      </c>
      <c r="G38" s="90" t="s">
        <v>129</v>
      </c>
      <c r="H38" s="1" t="s">
        <v>130</v>
      </c>
      <c r="I38" s="1" t="s">
        <v>131</v>
      </c>
      <c r="J38" s="1" t="s">
        <v>132</v>
      </c>
      <c r="K38" s="1" t="s">
        <v>133</v>
      </c>
      <c r="L38" s="1" t="s">
        <v>134</v>
      </c>
      <c r="M38" s="91" t="s">
        <v>135</v>
      </c>
      <c r="AI38" s="15" t="s">
        <v>263</v>
      </c>
      <c r="AX38" s="15" t="s">
        <v>264</v>
      </c>
      <c r="BD38" s="15" t="s">
        <v>265</v>
      </c>
      <c r="BG38" s="15" t="s">
        <v>266</v>
      </c>
    </row>
    <row r="39" spans="2:59" ht="30" x14ac:dyDescent="0.25">
      <c r="D39" s="15" t="str">
        <f>D21</f>
        <v>4 CORE X 50 SQ. MM. ALU/ARD - STRIP (XLPE)</v>
      </c>
      <c r="E39" s="92">
        <f>K21</f>
        <v>140</v>
      </c>
      <c r="F39" s="93">
        <f>CJ21/1000</f>
        <v>0.5</v>
      </c>
      <c r="G39" s="90" t="s">
        <v>267</v>
      </c>
      <c r="H39" s="94">
        <v>75000</v>
      </c>
      <c r="I39" s="93">
        <v>16</v>
      </c>
      <c r="J39" s="90">
        <f>F39*I39</f>
        <v>8</v>
      </c>
      <c r="K39" s="90">
        <f>ROUNDUP((E39/J39),0)</f>
        <v>18</v>
      </c>
      <c r="L39" s="90">
        <f>H39*K39</f>
        <v>1350000</v>
      </c>
      <c r="M39" s="96">
        <f>L39/E39</f>
        <v>9642.8571428571431</v>
      </c>
      <c r="N39" s="108" t="str">
        <f>CH21</f>
        <v>MD0100015</v>
      </c>
      <c r="AI39" s="15">
        <f>SUM(N21:CE21)</f>
        <v>1471</v>
      </c>
      <c r="AX39" s="15">
        <f>125+30</f>
        <v>155</v>
      </c>
      <c r="BD39" s="15">
        <f>((AI39*F39)+AX39)</f>
        <v>890.5</v>
      </c>
      <c r="BG39" s="15">
        <f>BD39*I39</f>
        <v>14248</v>
      </c>
    </row>
    <row r="40" spans="2:59" ht="30" x14ac:dyDescent="0.25">
      <c r="D40" s="15" t="str">
        <f t="shared" ref="D40:D47" si="14">D22</f>
        <v>4 CORE X 95 SQ. MM. AL/ARD - STRIP (XLPE)</v>
      </c>
      <c r="E40" s="92">
        <f t="shared" ref="E40:E47" si="15">K22</f>
        <v>600</v>
      </c>
      <c r="F40" s="93">
        <f t="shared" ref="F40:F47" si="16">CJ22/1000</f>
        <v>0.5</v>
      </c>
      <c r="G40" s="90" t="s">
        <v>267</v>
      </c>
      <c r="H40" s="94">
        <v>75000</v>
      </c>
      <c r="I40" s="93">
        <v>8</v>
      </c>
      <c r="J40" s="90">
        <f t="shared" ref="J40:J47" si="17">F40*I40</f>
        <v>4</v>
      </c>
      <c r="K40" s="90">
        <f t="shared" ref="K40:K47" si="18">ROUNDUP((E40/J40),0)</f>
        <v>150</v>
      </c>
      <c r="L40" s="90">
        <f t="shared" ref="L40:L47" si="19">H40*K40</f>
        <v>11250000</v>
      </c>
      <c r="M40" s="96">
        <f t="shared" ref="M40:M47" si="20">L40/E40</f>
        <v>18750</v>
      </c>
      <c r="N40" s="108" t="str">
        <f t="shared" ref="N40:N47" si="21">CH22</f>
        <v>MD0100061</v>
      </c>
      <c r="AI40" s="15">
        <f t="shared" ref="AI40:AI47" si="22">SUM(N22:CE22)</f>
        <v>2260</v>
      </c>
      <c r="AX40" s="15">
        <f>190+45</f>
        <v>235</v>
      </c>
      <c r="BD40" s="15">
        <f t="shared" ref="BD40:BD47" si="23">((AI40*F40)+AX40)</f>
        <v>1365</v>
      </c>
      <c r="BG40" s="15">
        <f t="shared" ref="BG40:BG47" si="24">BD40*I40</f>
        <v>10920</v>
      </c>
    </row>
    <row r="41" spans="2:59" ht="30" x14ac:dyDescent="0.25">
      <c r="D41" s="15" t="str">
        <f t="shared" si="14"/>
        <v>4 CORE X 150 SQ. MM. AL/ARD - STRIP (XLPE)</v>
      </c>
      <c r="E41" s="92">
        <f t="shared" si="15"/>
        <v>100</v>
      </c>
      <c r="F41" s="93">
        <f t="shared" si="16"/>
        <v>0.5</v>
      </c>
      <c r="G41" s="90" t="s">
        <v>267</v>
      </c>
      <c r="H41" s="94">
        <v>75000</v>
      </c>
      <c r="I41" s="93">
        <v>6</v>
      </c>
      <c r="J41" s="90">
        <f t="shared" si="17"/>
        <v>3</v>
      </c>
      <c r="K41" s="90">
        <f t="shared" si="18"/>
        <v>34</v>
      </c>
      <c r="L41" s="90">
        <f t="shared" si="19"/>
        <v>2550000</v>
      </c>
      <c r="M41" s="96">
        <f t="shared" si="20"/>
        <v>25500</v>
      </c>
      <c r="N41" s="108" t="str">
        <f t="shared" si="21"/>
        <v>MD0100070</v>
      </c>
      <c r="AI41" s="15">
        <f t="shared" si="22"/>
        <v>3346</v>
      </c>
      <c r="AX41" s="15">
        <f>300+80</f>
        <v>380</v>
      </c>
      <c r="BD41" s="15">
        <f t="shared" si="23"/>
        <v>2053</v>
      </c>
      <c r="BG41" s="15">
        <f t="shared" si="24"/>
        <v>12318</v>
      </c>
    </row>
    <row r="42" spans="2:59" ht="30" x14ac:dyDescent="0.25">
      <c r="D42" s="15" t="str">
        <f t="shared" si="14"/>
        <v>4 CORE X 300 SQ. MM. AL/ARD - STRIP (XLPE)</v>
      </c>
      <c r="E42" s="92">
        <f t="shared" si="15"/>
        <v>50</v>
      </c>
      <c r="F42" s="93">
        <f t="shared" si="16"/>
        <v>0.5</v>
      </c>
      <c r="G42" s="90" t="s">
        <v>365</v>
      </c>
      <c r="H42" s="94">
        <v>135000</v>
      </c>
      <c r="I42" s="93">
        <v>6</v>
      </c>
      <c r="J42" s="90">
        <f t="shared" si="17"/>
        <v>3</v>
      </c>
      <c r="K42" s="90">
        <f t="shared" si="18"/>
        <v>17</v>
      </c>
      <c r="L42" s="90">
        <f t="shared" si="19"/>
        <v>2295000</v>
      </c>
      <c r="M42" s="96">
        <f t="shared" si="20"/>
        <v>45900</v>
      </c>
      <c r="N42" s="108" t="str">
        <f t="shared" si="21"/>
        <v>SP0400123</v>
      </c>
      <c r="AI42" s="15">
        <f t="shared" si="22"/>
        <v>5831</v>
      </c>
      <c r="AX42" s="15">
        <v>280</v>
      </c>
      <c r="BD42" s="15">
        <f t="shared" si="23"/>
        <v>3195.5</v>
      </c>
      <c r="BG42" s="15">
        <f t="shared" si="24"/>
        <v>19173</v>
      </c>
    </row>
    <row r="43" spans="2:59" ht="45" x14ac:dyDescent="0.25">
      <c r="D43" s="15" t="str">
        <f t="shared" si="14"/>
        <v>3 CORE X 120 SQ MM + 1 CORE X 120 SQ MM + 1 CORE X 95 SQ MM (AB CABLES) (Insulated</v>
      </c>
      <c r="E43" s="92">
        <f t="shared" si="15"/>
        <v>48</v>
      </c>
      <c r="F43" s="93">
        <f t="shared" si="16"/>
        <v>0.5</v>
      </c>
      <c r="G43" s="90" t="s">
        <v>267</v>
      </c>
      <c r="H43" s="94">
        <v>75000</v>
      </c>
      <c r="I43" s="93">
        <v>8</v>
      </c>
      <c r="J43" s="90">
        <f t="shared" si="17"/>
        <v>4</v>
      </c>
      <c r="K43" s="90">
        <f t="shared" si="18"/>
        <v>12</v>
      </c>
      <c r="L43" s="90">
        <f t="shared" si="19"/>
        <v>900000</v>
      </c>
      <c r="M43" s="96">
        <f t="shared" si="20"/>
        <v>18750</v>
      </c>
      <c r="N43" s="108" t="str">
        <f t="shared" si="21"/>
        <v>MD0100070</v>
      </c>
      <c r="AI43" s="15">
        <f t="shared" si="22"/>
        <v>2387</v>
      </c>
      <c r="AX43" s="15">
        <f>300+80</f>
        <v>380</v>
      </c>
      <c r="BD43" s="15">
        <f t="shared" si="23"/>
        <v>1573.5</v>
      </c>
      <c r="BG43" s="15">
        <f t="shared" si="24"/>
        <v>12588</v>
      </c>
    </row>
    <row r="44" spans="2:59" x14ac:dyDescent="0.25">
      <c r="D44" s="15" t="str">
        <f t="shared" si="14"/>
        <v>1 CORE X 120 SQ. MM. AL/ARD (XLPE)</v>
      </c>
      <c r="E44" s="92">
        <f t="shared" si="15"/>
        <v>14</v>
      </c>
      <c r="F44" s="93">
        <f t="shared" si="16"/>
        <v>0.5</v>
      </c>
      <c r="G44" s="90" t="s">
        <v>267</v>
      </c>
      <c r="H44" s="94">
        <v>75000</v>
      </c>
      <c r="I44" s="93">
        <v>24</v>
      </c>
      <c r="J44" s="90">
        <f t="shared" si="17"/>
        <v>12</v>
      </c>
      <c r="K44" s="90">
        <f t="shared" si="18"/>
        <v>2</v>
      </c>
      <c r="L44" s="90">
        <f t="shared" si="19"/>
        <v>150000</v>
      </c>
      <c r="M44" s="96">
        <f t="shared" si="20"/>
        <v>10714.285714285714</v>
      </c>
      <c r="N44" s="108" t="str">
        <f t="shared" si="21"/>
        <v>MD0200017</v>
      </c>
      <c r="AI44" s="15">
        <f t="shared" si="22"/>
        <v>765</v>
      </c>
      <c r="AX44" s="15">
        <v>70</v>
      </c>
      <c r="BD44" s="15">
        <f t="shared" si="23"/>
        <v>452.5</v>
      </c>
      <c r="BG44" s="15">
        <f t="shared" si="24"/>
        <v>10860</v>
      </c>
    </row>
    <row r="45" spans="2:59" ht="30" x14ac:dyDescent="0.25">
      <c r="D45" s="15" t="str">
        <f t="shared" si="14"/>
        <v>1 CORE X 120 SQ. MM. ALU/UNARD (XLPE)</v>
      </c>
      <c r="E45" s="92">
        <f t="shared" si="15"/>
        <v>10</v>
      </c>
      <c r="F45" s="93">
        <f t="shared" si="16"/>
        <v>0.5</v>
      </c>
      <c r="G45" s="90" t="s">
        <v>267</v>
      </c>
      <c r="H45" s="94">
        <v>75000</v>
      </c>
      <c r="I45" s="93">
        <v>36</v>
      </c>
      <c r="J45" s="90">
        <f t="shared" si="17"/>
        <v>18</v>
      </c>
      <c r="K45" s="90">
        <f t="shared" si="18"/>
        <v>1</v>
      </c>
      <c r="L45" s="90">
        <f t="shared" si="19"/>
        <v>75000</v>
      </c>
      <c r="M45" s="96">
        <f t="shared" si="20"/>
        <v>7500</v>
      </c>
      <c r="N45" s="108" t="str">
        <f t="shared" si="21"/>
        <v>MD0100066</v>
      </c>
      <c r="AI45" s="15">
        <f t="shared" si="22"/>
        <v>554</v>
      </c>
      <c r="AX45" s="15">
        <f>75+25</f>
        <v>100</v>
      </c>
      <c r="BD45" s="15">
        <f t="shared" si="23"/>
        <v>377</v>
      </c>
      <c r="BG45" s="15">
        <f t="shared" si="24"/>
        <v>13572</v>
      </c>
    </row>
    <row r="46" spans="2:59" x14ac:dyDescent="0.25">
      <c r="D46" s="15" t="str">
        <f t="shared" si="14"/>
        <v>1 CORE X 300 SQ. MM. AL/ARD. (XLPE)</v>
      </c>
      <c r="E46" s="92">
        <f t="shared" si="15"/>
        <v>12</v>
      </c>
      <c r="F46" s="93">
        <f t="shared" si="16"/>
        <v>0.5</v>
      </c>
      <c r="G46" s="90" t="s">
        <v>267</v>
      </c>
      <c r="H46" s="94">
        <v>75000</v>
      </c>
      <c r="I46" s="93">
        <v>14</v>
      </c>
      <c r="J46" s="90">
        <f t="shared" si="17"/>
        <v>7</v>
      </c>
      <c r="K46" s="90">
        <f t="shared" si="18"/>
        <v>2</v>
      </c>
      <c r="L46" s="90">
        <f t="shared" si="19"/>
        <v>150000</v>
      </c>
      <c r="M46" s="96">
        <f t="shared" si="20"/>
        <v>12500</v>
      </c>
      <c r="N46" s="108" t="str">
        <f t="shared" si="21"/>
        <v>MD0200018</v>
      </c>
      <c r="AI46" s="15">
        <f t="shared" si="22"/>
        <v>1518</v>
      </c>
      <c r="AX46" s="15">
        <f>125+30</f>
        <v>155</v>
      </c>
      <c r="BD46" s="15">
        <f t="shared" si="23"/>
        <v>914</v>
      </c>
      <c r="BG46" s="15">
        <f t="shared" si="24"/>
        <v>12796</v>
      </c>
    </row>
    <row r="47" spans="2:59" x14ac:dyDescent="0.25">
      <c r="D47" s="15" t="str">
        <f t="shared" si="14"/>
        <v>1 CORE X 630 SQ. MM. AL/ARD (XLPE)</v>
      </c>
      <c r="E47" s="92">
        <f t="shared" si="15"/>
        <v>10</v>
      </c>
      <c r="F47" s="93">
        <f t="shared" si="16"/>
        <v>0.5</v>
      </c>
      <c r="G47" s="90" t="s">
        <v>267</v>
      </c>
      <c r="H47" s="94">
        <v>75000</v>
      </c>
      <c r="I47" s="93">
        <v>8</v>
      </c>
      <c r="J47" s="90">
        <f t="shared" si="17"/>
        <v>4</v>
      </c>
      <c r="K47" s="90">
        <f t="shared" si="18"/>
        <v>3</v>
      </c>
      <c r="L47" s="90">
        <f t="shared" si="19"/>
        <v>225000</v>
      </c>
      <c r="M47" s="96">
        <f t="shared" si="20"/>
        <v>22500</v>
      </c>
      <c r="N47" s="108" t="str">
        <f t="shared" si="21"/>
        <v>SP0400125</v>
      </c>
      <c r="AI47" s="15">
        <f t="shared" si="22"/>
        <v>2889</v>
      </c>
      <c r="AX47" s="15">
        <v>160</v>
      </c>
      <c r="BD47" s="15">
        <f t="shared" si="23"/>
        <v>1604.5</v>
      </c>
      <c r="BG47" s="15">
        <f t="shared" si="24"/>
        <v>12836</v>
      </c>
    </row>
    <row r="48" spans="2:59" x14ac:dyDescent="0.25">
      <c r="M48" s="97"/>
    </row>
    <row r="49" spans="1:14" x14ac:dyDescent="0.25">
      <c r="M49" s="97"/>
    </row>
    <row r="50" spans="1:14" x14ac:dyDescent="0.25">
      <c r="M50" s="97"/>
    </row>
    <row r="51" spans="1:14" x14ac:dyDescent="0.25">
      <c r="M51" s="97"/>
    </row>
    <row r="52" spans="1:14" ht="51" x14ac:dyDescent="0.25">
      <c r="A52" s="80" t="s">
        <v>0</v>
      </c>
      <c r="B52" s="81" t="s">
        <v>85</v>
      </c>
      <c r="C52" s="80" t="s">
        <v>1</v>
      </c>
      <c r="D52" s="80" t="s">
        <v>2</v>
      </c>
      <c r="E52" s="3" t="s">
        <v>290</v>
      </c>
      <c r="F52" s="9" t="s">
        <v>291</v>
      </c>
      <c r="G52" s="9" t="s">
        <v>292</v>
      </c>
      <c r="H52" s="4" t="s">
        <v>34</v>
      </c>
      <c r="I52" s="9" t="s">
        <v>35</v>
      </c>
      <c r="J52" s="9" t="s">
        <v>293</v>
      </c>
      <c r="K52" s="9" t="s">
        <v>37</v>
      </c>
      <c r="L52" s="9" t="s">
        <v>38</v>
      </c>
      <c r="M52" s="9" t="s">
        <v>39</v>
      </c>
    </row>
    <row r="53" spans="1:14" x14ac:dyDescent="0.25">
      <c r="A53" s="16"/>
      <c r="B53" s="61"/>
      <c r="C53" s="16"/>
      <c r="D53" s="16"/>
      <c r="E53" s="3"/>
      <c r="F53" s="77"/>
      <c r="G53" s="64"/>
      <c r="H53" s="3"/>
      <c r="I53" s="3"/>
      <c r="J53" s="3"/>
      <c r="K53" s="78"/>
      <c r="L53" s="3"/>
      <c r="M53" s="3"/>
    </row>
    <row r="54" spans="1:14" ht="30" x14ac:dyDescent="0.25">
      <c r="A54" s="6" t="str">
        <f>A21</f>
        <v>ENQ-18774-25-26</v>
      </c>
      <c r="B54" s="87">
        <f>B21</f>
        <v>46143</v>
      </c>
      <c r="C54" s="6" t="str">
        <f>C21</f>
        <v>FA0900036</v>
      </c>
      <c r="D54" s="244" t="str">
        <f>D21</f>
        <v>4 CORE X 50 SQ. MM. ALU/ARD - STRIP (XLPE)</v>
      </c>
      <c r="E54" s="23">
        <f>ROUNDUP(E21/1000,2)</f>
        <v>438.37</v>
      </c>
      <c r="F54" s="109">
        <f>ROUNDUP(F21/1000,2)</f>
        <v>9.65</v>
      </c>
      <c r="G54" s="242">
        <f t="shared" ref="G54:G62" si="25">E54+F54</f>
        <v>448.02</v>
      </c>
      <c r="H54" s="29">
        <f>H21</f>
        <v>0.18</v>
      </c>
      <c r="I54" s="28">
        <f>ROUND(G54*H54,2)</f>
        <v>80.64</v>
      </c>
      <c r="J54" s="28">
        <f t="shared" ref="J54:J62" si="26">G54+I54</f>
        <v>528.66</v>
      </c>
      <c r="K54" s="79">
        <f>K21*1000</f>
        <v>140000</v>
      </c>
      <c r="L54" s="76" t="s">
        <v>294</v>
      </c>
      <c r="M54" s="23">
        <f t="shared" ref="M54:M62" si="27">J54*K54</f>
        <v>74012400</v>
      </c>
      <c r="N54" s="51">
        <f>G54*K54</f>
        <v>62722800</v>
      </c>
    </row>
    <row r="55" spans="1:14" ht="30" x14ac:dyDescent="0.25">
      <c r="A55" s="6" t="str">
        <f t="shared" ref="A55:D62" si="28">A22</f>
        <v>ENQ-18774-25-26</v>
      </c>
      <c r="B55" s="87">
        <f t="shared" si="28"/>
        <v>46143</v>
      </c>
      <c r="C55" s="6" t="str">
        <f t="shared" si="28"/>
        <v>FA1100012</v>
      </c>
      <c r="D55" s="244" t="str">
        <f t="shared" si="28"/>
        <v>4 CORE X 95 SQ. MM. AL/ARD - STRIP (XLPE)</v>
      </c>
      <c r="E55" s="23">
        <f t="shared" ref="E55:F62" si="29">ROUNDUP(E22/1000,2)</f>
        <v>761.7</v>
      </c>
      <c r="F55" s="109">
        <f t="shared" si="29"/>
        <v>18.75</v>
      </c>
      <c r="G55" s="242">
        <f t="shared" si="25"/>
        <v>780.45</v>
      </c>
      <c r="H55" s="29">
        <f t="shared" ref="H55:H62" si="30">H22</f>
        <v>0.18</v>
      </c>
      <c r="I55" s="28">
        <f t="shared" ref="I55:I62" si="31">ROUND(G55*H55,2)</f>
        <v>140.47999999999999</v>
      </c>
      <c r="J55" s="28">
        <f t="shared" si="26"/>
        <v>920.93000000000006</v>
      </c>
      <c r="K55" s="79">
        <f t="shared" ref="K55:K62" si="32">K22*1000</f>
        <v>600000</v>
      </c>
      <c r="L55" s="76" t="s">
        <v>294</v>
      </c>
      <c r="M55" s="23">
        <f t="shared" si="27"/>
        <v>552558000</v>
      </c>
      <c r="N55" s="51">
        <f t="shared" ref="N55:N62" si="33">G55*K55</f>
        <v>468270000</v>
      </c>
    </row>
    <row r="56" spans="1:14" ht="30" x14ac:dyDescent="0.25">
      <c r="A56" s="6" t="str">
        <f t="shared" si="28"/>
        <v>ENQ-18774-25-26</v>
      </c>
      <c r="B56" s="87">
        <f t="shared" si="28"/>
        <v>46143</v>
      </c>
      <c r="C56" s="6" t="str">
        <f t="shared" si="28"/>
        <v>FA1100067</v>
      </c>
      <c r="D56" s="244" t="str">
        <f t="shared" si="28"/>
        <v>4 CORE X 150 SQ. MM. AL/ARD - STRIP (XLPE)</v>
      </c>
      <c r="E56" s="23">
        <f t="shared" si="29"/>
        <v>1166.33</v>
      </c>
      <c r="F56" s="109">
        <f t="shared" si="29"/>
        <v>25.5</v>
      </c>
      <c r="G56" s="242">
        <f t="shared" si="25"/>
        <v>1191.83</v>
      </c>
      <c r="H56" s="29">
        <f t="shared" si="30"/>
        <v>0.18</v>
      </c>
      <c r="I56" s="28">
        <f t="shared" si="31"/>
        <v>214.53</v>
      </c>
      <c r="J56" s="28">
        <f t="shared" si="26"/>
        <v>1406.36</v>
      </c>
      <c r="K56" s="79">
        <f t="shared" si="32"/>
        <v>100000</v>
      </c>
      <c r="L56" s="76" t="s">
        <v>294</v>
      </c>
      <c r="M56" s="23">
        <f t="shared" si="27"/>
        <v>140636000</v>
      </c>
      <c r="N56" s="51">
        <f t="shared" si="33"/>
        <v>119183000</v>
      </c>
    </row>
    <row r="57" spans="1:14" ht="30" x14ac:dyDescent="0.25">
      <c r="A57" s="6" t="str">
        <f t="shared" si="28"/>
        <v>ENQ-18774-25-26</v>
      </c>
      <c r="B57" s="87">
        <f t="shared" si="28"/>
        <v>46143</v>
      </c>
      <c r="C57" s="6" t="str">
        <f t="shared" si="28"/>
        <v>FA1100025</v>
      </c>
      <c r="D57" s="244" t="str">
        <f t="shared" si="28"/>
        <v>4 CORE X 300 SQ. MM. AL/ARD - STRIP (XLPE)</v>
      </c>
      <c r="E57" s="23">
        <f t="shared" si="29"/>
        <v>2214.0200000000004</v>
      </c>
      <c r="F57" s="109">
        <f t="shared" si="29"/>
        <v>45.9</v>
      </c>
      <c r="G57" s="243">
        <f t="shared" si="25"/>
        <v>2259.9200000000005</v>
      </c>
      <c r="H57" s="29">
        <f t="shared" si="30"/>
        <v>0.18</v>
      </c>
      <c r="I57" s="28">
        <f t="shared" si="31"/>
        <v>406.79</v>
      </c>
      <c r="J57" s="98">
        <f t="shared" si="26"/>
        <v>2666.7100000000005</v>
      </c>
      <c r="K57" s="79">
        <f t="shared" si="32"/>
        <v>50000</v>
      </c>
      <c r="L57" s="76" t="s">
        <v>294</v>
      </c>
      <c r="M57" s="23">
        <f t="shared" si="27"/>
        <v>133335500.00000003</v>
      </c>
      <c r="N57" s="51">
        <f t="shared" si="33"/>
        <v>112996000.00000003</v>
      </c>
    </row>
    <row r="58" spans="1:14" ht="45" x14ac:dyDescent="0.25">
      <c r="A58" s="6" t="str">
        <f t="shared" si="28"/>
        <v>ENQ-18774-25-26</v>
      </c>
      <c r="B58" s="87">
        <f t="shared" si="28"/>
        <v>46143</v>
      </c>
      <c r="C58" s="6">
        <f t="shared" si="28"/>
        <v>0</v>
      </c>
      <c r="D58" s="244" t="str">
        <f t="shared" si="28"/>
        <v>3 CORE X 120 SQ MM + 1 CORE X 120 SQ MM + 1 CORE X 95 SQ MM (AB CABLES) (Insulated</v>
      </c>
      <c r="E58" s="23">
        <f t="shared" si="29"/>
        <v>1013.62</v>
      </c>
      <c r="F58" s="109">
        <f t="shared" si="29"/>
        <v>18.75</v>
      </c>
      <c r="G58" s="243">
        <f t="shared" si="25"/>
        <v>1032.3699999999999</v>
      </c>
      <c r="H58" s="29">
        <f t="shared" si="30"/>
        <v>0.18</v>
      </c>
      <c r="I58" s="28">
        <f t="shared" si="31"/>
        <v>185.83</v>
      </c>
      <c r="J58" s="98">
        <f t="shared" si="26"/>
        <v>1218.1999999999998</v>
      </c>
      <c r="K58" s="79">
        <f t="shared" si="32"/>
        <v>48000</v>
      </c>
      <c r="L58" s="76" t="s">
        <v>294</v>
      </c>
      <c r="M58" s="23">
        <f t="shared" si="27"/>
        <v>58473599.999999993</v>
      </c>
      <c r="N58" s="51">
        <f t="shared" si="33"/>
        <v>49553759.999999993</v>
      </c>
    </row>
    <row r="59" spans="1:14" ht="30" x14ac:dyDescent="0.25">
      <c r="A59" s="6" t="str">
        <f t="shared" si="28"/>
        <v>ENQ-18774-25-26</v>
      </c>
      <c r="B59" s="87">
        <f t="shared" si="28"/>
        <v>46143</v>
      </c>
      <c r="C59" s="6" t="str">
        <f t="shared" si="28"/>
        <v>FA0700001</v>
      </c>
      <c r="D59" s="244" t="str">
        <f t="shared" si="28"/>
        <v>1 CORE X 120 SQ. MM. AL/ARD (XLPE)</v>
      </c>
      <c r="E59" s="23">
        <f t="shared" si="29"/>
        <v>329.83</v>
      </c>
      <c r="F59" s="109">
        <f t="shared" si="29"/>
        <v>10.72</v>
      </c>
      <c r="G59" s="242">
        <f t="shared" si="25"/>
        <v>340.55</v>
      </c>
      <c r="H59" s="29">
        <f t="shared" si="30"/>
        <v>0.18</v>
      </c>
      <c r="I59" s="28">
        <f t="shared" si="31"/>
        <v>61.3</v>
      </c>
      <c r="J59" s="28">
        <f t="shared" si="26"/>
        <v>401.85</v>
      </c>
      <c r="K59" s="79">
        <f t="shared" si="32"/>
        <v>14000</v>
      </c>
      <c r="L59" s="76" t="s">
        <v>294</v>
      </c>
      <c r="M59" s="23">
        <f t="shared" si="27"/>
        <v>5625900</v>
      </c>
      <c r="N59" s="51">
        <f t="shared" si="33"/>
        <v>4767700</v>
      </c>
    </row>
    <row r="60" spans="1:14" ht="30" x14ac:dyDescent="0.25">
      <c r="A60" s="6" t="str">
        <f t="shared" si="28"/>
        <v>ENQ-18774-25-26</v>
      </c>
      <c r="B60" s="87">
        <f t="shared" si="28"/>
        <v>46143</v>
      </c>
      <c r="C60" s="6" t="str">
        <f t="shared" si="28"/>
        <v>FA0600003</v>
      </c>
      <c r="D60" s="244" t="str">
        <f t="shared" si="28"/>
        <v>1 CORE X 120 SQ. MM. ALU/UNARD (XLPE)</v>
      </c>
      <c r="E60" s="23">
        <f t="shared" si="29"/>
        <v>219.45</v>
      </c>
      <c r="F60" s="109">
        <f t="shared" si="29"/>
        <v>7.5</v>
      </c>
      <c r="G60" s="242">
        <f t="shared" si="25"/>
        <v>226.95</v>
      </c>
      <c r="H60" s="29">
        <f t="shared" si="30"/>
        <v>0.18</v>
      </c>
      <c r="I60" s="28">
        <f t="shared" si="31"/>
        <v>40.85</v>
      </c>
      <c r="J60" s="28">
        <f t="shared" si="26"/>
        <v>267.8</v>
      </c>
      <c r="K60" s="79">
        <f t="shared" si="32"/>
        <v>10000</v>
      </c>
      <c r="L60" s="76" t="s">
        <v>294</v>
      </c>
      <c r="M60" s="23">
        <f t="shared" si="27"/>
        <v>2678000</v>
      </c>
      <c r="N60" s="51">
        <f t="shared" si="33"/>
        <v>2269500</v>
      </c>
    </row>
    <row r="61" spans="1:14" ht="30" x14ac:dyDescent="0.25">
      <c r="A61" s="6" t="str">
        <f t="shared" si="28"/>
        <v>ENQ-18774-25-26</v>
      </c>
      <c r="B61" s="87">
        <f t="shared" si="28"/>
        <v>46143</v>
      </c>
      <c r="C61" s="6" t="str">
        <f t="shared" si="28"/>
        <v>FA0700008</v>
      </c>
      <c r="D61" s="244" t="str">
        <f t="shared" si="28"/>
        <v>1 CORE X 300 SQ. MM. AL/ARD. (XLPE)</v>
      </c>
      <c r="E61" s="23">
        <f t="shared" si="29"/>
        <v>683.49</v>
      </c>
      <c r="F61" s="109">
        <f t="shared" si="29"/>
        <v>12.5</v>
      </c>
      <c r="G61" s="242">
        <f t="shared" si="25"/>
        <v>695.99</v>
      </c>
      <c r="H61" s="29">
        <f t="shared" si="30"/>
        <v>0.18</v>
      </c>
      <c r="I61" s="28">
        <f t="shared" si="31"/>
        <v>125.28</v>
      </c>
      <c r="J61" s="28">
        <f t="shared" si="26"/>
        <v>821.27</v>
      </c>
      <c r="K61" s="79">
        <f t="shared" si="32"/>
        <v>12000</v>
      </c>
      <c r="L61" s="76" t="s">
        <v>294</v>
      </c>
      <c r="M61" s="23">
        <f t="shared" si="27"/>
        <v>9855240</v>
      </c>
      <c r="N61" s="51">
        <f t="shared" si="33"/>
        <v>8351880</v>
      </c>
    </row>
    <row r="62" spans="1:14" ht="30" x14ac:dyDescent="0.25">
      <c r="A62" s="6" t="str">
        <f t="shared" si="28"/>
        <v>ENQ-18774-25-26</v>
      </c>
      <c r="B62" s="87">
        <f t="shared" si="28"/>
        <v>46143</v>
      </c>
      <c r="C62" s="6" t="str">
        <f t="shared" si="28"/>
        <v>FA0700002</v>
      </c>
      <c r="D62" s="244" t="str">
        <f t="shared" si="28"/>
        <v>1 CORE X 630 SQ. MM. AL/ARD (XLPE)</v>
      </c>
      <c r="E62" s="23">
        <f t="shared" si="29"/>
        <v>1348.37</v>
      </c>
      <c r="F62" s="109">
        <f t="shared" si="29"/>
        <v>22.5</v>
      </c>
      <c r="G62" s="242">
        <f t="shared" si="25"/>
        <v>1370.87</v>
      </c>
      <c r="H62" s="29">
        <f t="shared" si="30"/>
        <v>0.18</v>
      </c>
      <c r="I62" s="28">
        <f t="shared" si="31"/>
        <v>246.76</v>
      </c>
      <c r="J62" s="28">
        <f t="shared" si="26"/>
        <v>1617.6299999999999</v>
      </c>
      <c r="K62" s="79">
        <f t="shared" si="32"/>
        <v>10000</v>
      </c>
      <c r="L62" s="76" t="s">
        <v>294</v>
      </c>
      <c r="M62" s="23">
        <f t="shared" si="27"/>
        <v>16176299.999999998</v>
      </c>
      <c r="N62" s="51">
        <f t="shared" si="33"/>
        <v>13708699.999999998</v>
      </c>
    </row>
    <row r="63" spans="1:14" x14ac:dyDescent="0.25">
      <c r="M63" s="110">
        <f>SUM(M54:M62)</f>
        <v>993350940</v>
      </c>
      <c r="N63" s="245">
        <f>SUM(N54:N62)</f>
        <v>841823340</v>
      </c>
    </row>
    <row r="64" spans="1:14" x14ac:dyDescent="0.25">
      <c r="M64" s="97">
        <f>M63-M30</f>
        <v>3504.2512798309326</v>
      </c>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row r="72" spans="13:13" x14ac:dyDescent="0.25">
      <c r="M72" s="97"/>
    </row>
    <row r="73" spans="13:13" x14ac:dyDescent="0.25">
      <c r="M73" s="97"/>
    </row>
    <row r="74" spans="13:13" x14ac:dyDescent="0.25">
      <c r="M74" s="97"/>
    </row>
    <row r="75" spans="13:13" x14ac:dyDescent="0.25">
      <c r="M75" s="97"/>
    </row>
    <row r="76" spans="13:13" x14ac:dyDescent="0.25">
      <c r="M76" s="97"/>
    </row>
    <row r="77" spans="13:13" x14ac:dyDescent="0.25">
      <c r="M77" s="97"/>
    </row>
    <row r="78" spans="13:13" x14ac:dyDescent="0.25">
      <c r="M78" s="97"/>
    </row>
    <row r="79" spans="13:13" x14ac:dyDescent="0.25">
      <c r="M79" s="97"/>
    </row>
    <row r="80" spans="13:13" x14ac:dyDescent="0.25">
      <c r="M80" s="97"/>
    </row>
    <row r="81" spans="13:13" x14ac:dyDescent="0.25">
      <c r="M81" s="97"/>
    </row>
  </sheetData>
  <sortState xmlns:xlrd2="http://schemas.microsoft.com/office/spreadsheetml/2017/richdata2" ref="A21:CY29">
    <sortCondition ref="F21:F29"/>
  </sortState>
  <mergeCells count="22">
    <mergeCell ref="B13:S13"/>
    <mergeCell ref="B14:S14"/>
    <mergeCell ref="B8:S8"/>
    <mergeCell ref="B9:S9"/>
    <mergeCell ref="B10:S10"/>
    <mergeCell ref="B11:S11"/>
    <mergeCell ref="B12:S12"/>
    <mergeCell ref="A2:S2"/>
    <mergeCell ref="B4:S4"/>
    <mergeCell ref="B5:S5"/>
    <mergeCell ref="B6:S6"/>
    <mergeCell ref="B7:S7"/>
    <mergeCell ref="B32:B36"/>
    <mergeCell ref="CG18:CJ18"/>
    <mergeCell ref="AR18:AZ18"/>
    <mergeCell ref="BA18:BK18"/>
    <mergeCell ref="BL18:BW18"/>
    <mergeCell ref="N18:U18"/>
    <mergeCell ref="V18:W18"/>
    <mergeCell ref="X18:AE18"/>
    <mergeCell ref="AF18:AG18"/>
    <mergeCell ref="AH18:AP18"/>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1BE3F-2A80-4156-A17E-07C61F92F77B}">
  <sheetPr>
    <tabColor rgb="FFFF0000"/>
  </sheetPr>
  <dimension ref="A1:AP15"/>
  <sheetViews>
    <sheetView showZeros="0" topLeftCell="A5" zoomScaleNormal="100" workbookViewId="0">
      <selection activeCell="A13" sqref="A13"/>
    </sheetView>
  </sheetViews>
  <sheetFormatPr defaultRowHeight="12.75" x14ac:dyDescent="0.2"/>
  <cols>
    <col min="1" max="1" width="41" style="121" customWidth="1"/>
    <col min="2" max="2" width="19.5703125" style="121" bestFit="1" customWidth="1"/>
    <col min="3" max="3" width="11.28515625" style="121" customWidth="1"/>
    <col min="4" max="4" width="11.5703125" style="121" customWidth="1"/>
    <col min="5" max="6" width="11.140625" style="121" bestFit="1" customWidth="1"/>
    <col min="7" max="7" width="10.7109375" style="121" bestFit="1" customWidth="1"/>
    <col min="8" max="8" width="11.140625" style="121" bestFit="1" customWidth="1"/>
    <col min="9" max="9" width="11.42578125" style="121" customWidth="1"/>
    <col min="10" max="10" width="7.42578125" style="121" customWidth="1"/>
    <col min="11" max="11" width="7.7109375" style="121" customWidth="1"/>
    <col min="12" max="13" width="7.5703125" style="121" customWidth="1"/>
    <col min="14" max="14" width="7" style="121" customWidth="1"/>
    <col min="15" max="15" width="7.42578125" style="121" bestFit="1" customWidth="1"/>
    <col min="16" max="16" width="7" style="121" bestFit="1" customWidth="1"/>
    <col min="17" max="17" width="7" style="121" customWidth="1"/>
    <col min="18" max="18" width="6.5703125" style="121" bestFit="1" customWidth="1"/>
    <col min="19" max="19" width="12.42578125" style="121" customWidth="1"/>
    <col min="20" max="20" width="10.42578125" style="121" bestFit="1" customWidth="1"/>
    <col min="21" max="21" width="10" style="121" bestFit="1" customWidth="1"/>
    <col min="22" max="22" width="10" style="121" customWidth="1"/>
    <col min="23" max="23" width="9.28515625" style="121" bestFit="1" customWidth="1"/>
    <col min="24" max="26" width="10" style="121" customWidth="1"/>
    <col min="27" max="27" width="8.85546875" style="121" customWidth="1"/>
    <col min="28" max="28" width="10.85546875" style="121" customWidth="1"/>
    <col min="29" max="29" width="14.42578125" style="121" bestFit="1" customWidth="1"/>
    <col min="30" max="30" width="10.85546875" style="121" customWidth="1"/>
    <col min="31" max="31" width="9.5703125" style="121" customWidth="1"/>
    <col min="32" max="32" width="9.5703125" style="121" bestFit="1" customWidth="1"/>
    <col min="33" max="33" width="10.5703125" style="121" bestFit="1" customWidth="1"/>
    <col min="34" max="34" width="9.5703125" style="121" customWidth="1"/>
    <col min="35" max="35" width="9.5703125" style="121" bestFit="1" customWidth="1"/>
    <col min="36" max="36" width="10.5703125" style="121" bestFit="1" customWidth="1"/>
    <col min="37" max="37" width="8.140625" style="121" customWidth="1"/>
    <col min="38" max="38" width="8.85546875" style="121" customWidth="1"/>
    <col min="39" max="40" width="9.140625" style="121"/>
    <col min="41" max="41" width="9.5703125" style="121" bestFit="1" customWidth="1"/>
    <col min="42" max="256" width="9.140625" style="121"/>
    <col min="257" max="257" width="41" style="121" customWidth="1"/>
    <col min="258" max="258" width="19.5703125" style="121" bestFit="1" customWidth="1"/>
    <col min="259" max="259" width="10.140625" style="121" customWidth="1"/>
    <col min="260" max="260" width="10.42578125" style="121" bestFit="1" customWidth="1"/>
    <col min="261" max="261" width="11.28515625" style="121" customWidth="1"/>
    <col min="262" max="262" width="9.42578125" style="121" customWidth="1"/>
    <col min="263" max="263" width="10.140625" style="121" bestFit="1" customWidth="1"/>
    <col min="264" max="265" width="9.140625" style="121"/>
    <col min="266" max="266" width="7.28515625" style="121" customWidth="1"/>
    <col min="267" max="272" width="7.42578125" style="121" customWidth="1"/>
    <col min="273" max="273" width="9.42578125" style="121" bestFit="1" customWidth="1"/>
    <col min="274" max="274" width="12" style="121" bestFit="1" customWidth="1"/>
    <col min="275" max="276" width="12" style="121" customWidth="1"/>
    <col min="277" max="277" width="13.140625" style="121" bestFit="1" customWidth="1"/>
    <col min="278" max="279" width="13.140625" style="121" customWidth="1"/>
    <col min="280" max="281" width="14.42578125" style="121" bestFit="1" customWidth="1"/>
    <col min="282" max="283" width="9.140625" style="121" customWidth="1"/>
    <col min="284" max="284" width="9.5703125" style="121" customWidth="1"/>
    <col min="285" max="286" width="9.5703125" style="121" bestFit="1" customWidth="1"/>
    <col min="287" max="288" width="10.140625" style="121" bestFit="1" customWidth="1"/>
    <col min="289" max="289" width="9.5703125" style="121" bestFit="1" customWidth="1"/>
    <col min="290" max="290" width="9.5703125" style="121" customWidth="1"/>
    <col min="291" max="291" width="9" style="121" customWidth="1"/>
    <col min="292" max="292" width="10.5703125" style="121" bestFit="1" customWidth="1"/>
    <col min="293" max="293" width="11.42578125" style="121" bestFit="1" customWidth="1"/>
    <col min="294" max="294" width="18" style="121" bestFit="1" customWidth="1"/>
    <col min="295" max="512" width="9.140625" style="121"/>
    <col min="513" max="513" width="41" style="121" customWidth="1"/>
    <col min="514" max="514" width="19.5703125" style="121" bestFit="1" customWidth="1"/>
    <col min="515" max="515" width="10.140625" style="121" customWidth="1"/>
    <col min="516" max="516" width="10.42578125" style="121" bestFit="1" customWidth="1"/>
    <col min="517" max="517" width="11.28515625" style="121" customWidth="1"/>
    <col min="518" max="518" width="9.42578125" style="121" customWidth="1"/>
    <col min="519" max="519" width="10.140625" style="121" bestFit="1" customWidth="1"/>
    <col min="520" max="521" width="9.140625" style="121"/>
    <col min="522" max="522" width="7.28515625" style="121" customWidth="1"/>
    <col min="523" max="528" width="7.42578125" style="121" customWidth="1"/>
    <col min="529" max="529" width="9.42578125" style="121" bestFit="1" customWidth="1"/>
    <col min="530" max="530" width="12" style="121" bestFit="1" customWidth="1"/>
    <col min="531" max="532" width="12" style="121" customWidth="1"/>
    <col min="533" max="533" width="13.140625" style="121" bestFit="1" customWidth="1"/>
    <col min="534" max="535" width="13.140625" style="121" customWidth="1"/>
    <col min="536" max="537" width="14.42578125" style="121" bestFit="1" customWidth="1"/>
    <col min="538" max="539" width="9.140625" style="121" customWidth="1"/>
    <col min="540" max="540" width="9.5703125" style="121" customWidth="1"/>
    <col min="541" max="542" width="9.5703125" style="121" bestFit="1" customWidth="1"/>
    <col min="543" max="544" width="10.140625" style="121" bestFit="1" customWidth="1"/>
    <col min="545" max="545" width="9.5703125" style="121" bestFit="1" customWidth="1"/>
    <col min="546" max="546" width="9.5703125" style="121" customWidth="1"/>
    <col min="547" max="547" width="9" style="121" customWidth="1"/>
    <col min="548" max="548" width="10.5703125" style="121" bestFit="1" customWidth="1"/>
    <col min="549" max="549" width="11.42578125" style="121" bestFit="1" customWidth="1"/>
    <col min="550" max="550" width="18" style="121" bestFit="1" customWidth="1"/>
    <col min="551" max="768" width="9.140625" style="121"/>
    <col min="769" max="769" width="41" style="121" customWidth="1"/>
    <col min="770" max="770" width="19.5703125" style="121" bestFit="1" customWidth="1"/>
    <col min="771" max="771" width="10.140625" style="121" customWidth="1"/>
    <col min="772" max="772" width="10.42578125" style="121" bestFit="1" customWidth="1"/>
    <col min="773" max="773" width="11.28515625" style="121" customWidth="1"/>
    <col min="774" max="774" width="9.42578125" style="121" customWidth="1"/>
    <col min="775" max="775" width="10.140625" style="121" bestFit="1" customWidth="1"/>
    <col min="776" max="777" width="9.140625" style="121"/>
    <col min="778" max="778" width="7.28515625" style="121" customWidth="1"/>
    <col min="779" max="784" width="7.42578125" style="121" customWidth="1"/>
    <col min="785" max="785" width="9.42578125" style="121" bestFit="1" customWidth="1"/>
    <col min="786" max="786" width="12" style="121" bestFit="1" customWidth="1"/>
    <col min="787" max="788" width="12" style="121" customWidth="1"/>
    <col min="789" max="789" width="13.140625" style="121" bestFit="1" customWidth="1"/>
    <col min="790" max="791" width="13.140625" style="121" customWidth="1"/>
    <col min="792" max="793" width="14.42578125" style="121" bestFit="1" customWidth="1"/>
    <col min="794" max="795" width="9.140625" style="121" customWidth="1"/>
    <col min="796" max="796" width="9.5703125" style="121" customWidth="1"/>
    <col min="797" max="798" width="9.5703125" style="121" bestFit="1" customWidth="1"/>
    <col min="799" max="800" width="10.140625" style="121" bestFit="1" customWidth="1"/>
    <col min="801" max="801" width="9.5703125" style="121" bestFit="1" customWidth="1"/>
    <col min="802" max="802" width="9.5703125" style="121" customWidth="1"/>
    <col min="803" max="803" width="9" style="121" customWidth="1"/>
    <col min="804" max="804" width="10.5703125" style="121" bestFit="1" customWidth="1"/>
    <col min="805" max="805" width="11.42578125" style="121" bestFit="1" customWidth="1"/>
    <col min="806" max="806" width="18" style="121" bestFit="1" customWidth="1"/>
    <col min="807" max="1024" width="9.140625" style="121"/>
    <col min="1025" max="1025" width="41" style="121" customWidth="1"/>
    <col min="1026" max="1026" width="19.5703125" style="121" bestFit="1" customWidth="1"/>
    <col min="1027" max="1027" width="10.140625" style="121" customWidth="1"/>
    <col min="1028" max="1028" width="10.42578125" style="121" bestFit="1" customWidth="1"/>
    <col min="1029" max="1029" width="11.28515625" style="121" customWidth="1"/>
    <col min="1030" max="1030" width="9.42578125" style="121" customWidth="1"/>
    <col min="1031" max="1031" width="10.140625" style="121" bestFit="1" customWidth="1"/>
    <col min="1032" max="1033" width="9.140625" style="121"/>
    <col min="1034" max="1034" width="7.28515625" style="121" customWidth="1"/>
    <col min="1035" max="1040" width="7.42578125" style="121" customWidth="1"/>
    <col min="1041" max="1041" width="9.42578125" style="121" bestFit="1" customWidth="1"/>
    <col min="1042" max="1042" width="12" style="121" bestFit="1" customWidth="1"/>
    <col min="1043" max="1044" width="12" style="121" customWidth="1"/>
    <col min="1045" max="1045" width="13.140625" style="121" bestFit="1" customWidth="1"/>
    <col min="1046" max="1047" width="13.140625" style="121" customWidth="1"/>
    <col min="1048" max="1049" width="14.42578125" style="121" bestFit="1" customWidth="1"/>
    <col min="1050" max="1051" width="9.140625" style="121" customWidth="1"/>
    <col min="1052" max="1052" width="9.5703125" style="121" customWidth="1"/>
    <col min="1053" max="1054" width="9.5703125" style="121" bestFit="1" customWidth="1"/>
    <col min="1055" max="1056" width="10.140625" style="121" bestFit="1" customWidth="1"/>
    <col min="1057" max="1057" width="9.5703125" style="121" bestFit="1" customWidth="1"/>
    <col min="1058" max="1058" width="9.5703125" style="121" customWidth="1"/>
    <col min="1059" max="1059" width="9" style="121" customWidth="1"/>
    <col min="1060" max="1060" width="10.5703125" style="121" bestFit="1" customWidth="1"/>
    <col min="1061" max="1061" width="11.42578125" style="121" bestFit="1" customWidth="1"/>
    <col min="1062" max="1062" width="18" style="121" bestFit="1" customWidth="1"/>
    <col min="1063" max="1280" width="9.140625" style="121"/>
    <col min="1281" max="1281" width="41" style="121" customWidth="1"/>
    <col min="1282" max="1282" width="19.5703125" style="121" bestFit="1" customWidth="1"/>
    <col min="1283" max="1283" width="10.140625" style="121" customWidth="1"/>
    <col min="1284" max="1284" width="10.42578125" style="121" bestFit="1" customWidth="1"/>
    <col min="1285" max="1285" width="11.28515625" style="121" customWidth="1"/>
    <col min="1286" max="1286" width="9.42578125" style="121" customWidth="1"/>
    <col min="1287" max="1287" width="10.140625" style="121" bestFit="1" customWidth="1"/>
    <col min="1288" max="1289" width="9.140625" style="121"/>
    <col min="1290" max="1290" width="7.28515625" style="121" customWidth="1"/>
    <col min="1291" max="1296" width="7.42578125" style="121" customWidth="1"/>
    <col min="1297" max="1297" width="9.42578125" style="121" bestFit="1" customWidth="1"/>
    <col min="1298" max="1298" width="12" style="121" bestFit="1" customWidth="1"/>
    <col min="1299" max="1300" width="12" style="121" customWidth="1"/>
    <col min="1301" max="1301" width="13.140625" style="121" bestFit="1" customWidth="1"/>
    <col min="1302" max="1303" width="13.140625" style="121" customWidth="1"/>
    <col min="1304" max="1305" width="14.42578125" style="121" bestFit="1" customWidth="1"/>
    <col min="1306" max="1307" width="9.140625" style="121" customWidth="1"/>
    <col min="1308" max="1308" width="9.5703125" style="121" customWidth="1"/>
    <col min="1309" max="1310" width="9.5703125" style="121" bestFit="1" customWidth="1"/>
    <col min="1311" max="1312" width="10.140625" style="121" bestFit="1" customWidth="1"/>
    <col min="1313" max="1313" width="9.5703125" style="121" bestFit="1" customWidth="1"/>
    <col min="1314" max="1314" width="9.5703125" style="121" customWidth="1"/>
    <col min="1315" max="1315" width="9" style="121" customWidth="1"/>
    <col min="1316" max="1316" width="10.5703125" style="121" bestFit="1" customWidth="1"/>
    <col min="1317" max="1317" width="11.42578125" style="121" bestFit="1" customWidth="1"/>
    <col min="1318" max="1318" width="18" style="121" bestFit="1" customWidth="1"/>
    <col min="1319" max="1536" width="9.140625" style="121"/>
    <col min="1537" max="1537" width="41" style="121" customWidth="1"/>
    <col min="1538" max="1538" width="19.5703125" style="121" bestFit="1" customWidth="1"/>
    <col min="1539" max="1539" width="10.140625" style="121" customWidth="1"/>
    <col min="1540" max="1540" width="10.42578125" style="121" bestFit="1" customWidth="1"/>
    <col min="1541" max="1541" width="11.28515625" style="121" customWidth="1"/>
    <col min="1542" max="1542" width="9.42578125" style="121" customWidth="1"/>
    <col min="1543" max="1543" width="10.140625" style="121" bestFit="1" customWidth="1"/>
    <col min="1544" max="1545" width="9.140625" style="121"/>
    <col min="1546" max="1546" width="7.28515625" style="121" customWidth="1"/>
    <col min="1547" max="1552" width="7.42578125" style="121" customWidth="1"/>
    <col min="1553" max="1553" width="9.42578125" style="121" bestFit="1" customWidth="1"/>
    <col min="1554" max="1554" width="12" style="121" bestFit="1" customWidth="1"/>
    <col min="1555" max="1556" width="12" style="121" customWidth="1"/>
    <col min="1557" max="1557" width="13.140625" style="121" bestFit="1" customWidth="1"/>
    <col min="1558" max="1559" width="13.140625" style="121" customWidth="1"/>
    <col min="1560" max="1561" width="14.42578125" style="121" bestFit="1" customWidth="1"/>
    <col min="1562" max="1563" width="9.140625" style="121" customWidth="1"/>
    <col min="1564" max="1564" width="9.5703125" style="121" customWidth="1"/>
    <col min="1565" max="1566" width="9.5703125" style="121" bestFit="1" customWidth="1"/>
    <col min="1567" max="1568" width="10.140625" style="121" bestFit="1" customWidth="1"/>
    <col min="1569" max="1569" width="9.5703125" style="121" bestFit="1" customWidth="1"/>
    <col min="1570" max="1570" width="9.5703125" style="121" customWidth="1"/>
    <col min="1571" max="1571" width="9" style="121" customWidth="1"/>
    <col min="1572" max="1572" width="10.5703125" style="121" bestFit="1" customWidth="1"/>
    <col min="1573" max="1573" width="11.42578125" style="121" bestFit="1" customWidth="1"/>
    <col min="1574" max="1574" width="18" style="121" bestFit="1" customWidth="1"/>
    <col min="1575" max="1792" width="9.140625" style="121"/>
    <col min="1793" max="1793" width="41" style="121" customWidth="1"/>
    <col min="1794" max="1794" width="19.5703125" style="121" bestFit="1" customWidth="1"/>
    <col min="1795" max="1795" width="10.140625" style="121" customWidth="1"/>
    <col min="1796" max="1796" width="10.42578125" style="121" bestFit="1" customWidth="1"/>
    <col min="1797" max="1797" width="11.28515625" style="121" customWidth="1"/>
    <col min="1798" max="1798" width="9.42578125" style="121" customWidth="1"/>
    <col min="1799" max="1799" width="10.140625" style="121" bestFit="1" customWidth="1"/>
    <col min="1800" max="1801" width="9.140625" style="121"/>
    <col min="1802" max="1802" width="7.28515625" style="121" customWidth="1"/>
    <col min="1803" max="1808" width="7.42578125" style="121" customWidth="1"/>
    <col min="1809" max="1809" width="9.42578125" style="121" bestFit="1" customWidth="1"/>
    <col min="1810" max="1810" width="12" style="121" bestFit="1" customWidth="1"/>
    <col min="1811" max="1812" width="12" style="121" customWidth="1"/>
    <col min="1813" max="1813" width="13.140625" style="121" bestFit="1" customWidth="1"/>
    <col min="1814" max="1815" width="13.140625" style="121" customWidth="1"/>
    <col min="1816" max="1817" width="14.42578125" style="121" bestFit="1" customWidth="1"/>
    <col min="1818" max="1819" width="9.140625" style="121" customWidth="1"/>
    <col min="1820" max="1820" width="9.5703125" style="121" customWidth="1"/>
    <col min="1821" max="1822" width="9.5703125" style="121" bestFit="1" customWidth="1"/>
    <col min="1823" max="1824" width="10.140625" style="121" bestFit="1" customWidth="1"/>
    <col min="1825" max="1825" width="9.5703125" style="121" bestFit="1" customWidth="1"/>
    <col min="1826" max="1826" width="9.5703125" style="121" customWidth="1"/>
    <col min="1827" max="1827" width="9" style="121" customWidth="1"/>
    <col min="1828" max="1828" width="10.5703125" style="121" bestFit="1" customWidth="1"/>
    <col min="1829" max="1829" width="11.42578125" style="121" bestFit="1" customWidth="1"/>
    <col min="1830" max="1830" width="18" style="121" bestFit="1" customWidth="1"/>
    <col min="1831" max="2048" width="9.140625" style="121"/>
    <col min="2049" max="2049" width="41" style="121" customWidth="1"/>
    <col min="2050" max="2050" width="19.5703125" style="121" bestFit="1" customWidth="1"/>
    <col min="2051" max="2051" width="10.140625" style="121" customWidth="1"/>
    <col min="2052" max="2052" width="10.42578125" style="121" bestFit="1" customWidth="1"/>
    <col min="2053" max="2053" width="11.28515625" style="121" customWidth="1"/>
    <col min="2054" max="2054" width="9.42578125" style="121" customWidth="1"/>
    <col min="2055" max="2055" width="10.140625" style="121" bestFit="1" customWidth="1"/>
    <col min="2056" max="2057" width="9.140625" style="121"/>
    <col min="2058" max="2058" width="7.28515625" style="121" customWidth="1"/>
    <col min="2059" max="2064" width="7.42578125" style="121" customWidth="1"/>
    <col min="2065" max="2065" width="9.42578125" style="121" bestFit="1" customWidth="1"/>
    <col min="2066" max="2066" width="12" style="121" bestFit="1" customWidth="1"/>
    <col min="2067" max="2068" width="12" style="121" customWidth="1"/>
    <col min="2069" max="2069" width="13.140625" style="121" bestFit="1" customWidth="1"/>
    <col min="2070" max="2071" width="13.140625" style="121" customWidth="1"/>
    <col min="2072" max="2073" width="14.42578125" style="121" bestFit="1" customWidth="1"/>
    <col min="2074" max="2075" width="9.140625" style="121" customWidth="1"/>
    <col min="2076" max="2076" width="9.5703125" style="121" customWidth="1"/>
    <col min="2077" max="2078" width="9.5703125" style="121" bestFit="1" customWidth="1"/>
    <col min="2079" max="2080" width="10.140625" style="121" bestFit="1" customWidth="1"/>
    <col min="2081" max="2081" width="9.5703125" style="121" bestFit="1" customWidth="1"/>
    <col min="2082" max="2082" width="9.5703125" style="121" customWidth="1"/>
    <col min="2083" max="2083" width="9" style="121" customWidth="1"/>
    <col min="2084" max="2084" width="10.5703125" style="121" bestFit="1" customWidth="1"/>
    <col min="2085" max="2085" width="11.42578125" style="121" bestFit="1" customWidth="1"/>
    <col min="2086" max="2086" width="18" style="121" bestFit="1" customWidth="1"/>
    <col min="2087" max="2304" width="9.140625" style="121"/>
    <col min="2305" max="2305" width="41" style="121" customWidth="1"/>
    <col min="2306" max="2306" width="19.5703125" style="121" bestFit="1" customWidth="1"/>
    <col min="2307" max="2307" width="10.140625" style="121" customWidth="1"/>
    <col min="2308" max="2308" width="10.42578125" style="121" bestFit="1" customWidth="1"/>
    <col min="2309" max="2309" width="11.28515625" style="121" customWidth="1"/>
    <col min="2310" max="2310" width="9.42578125" style="121" customWidth="1"/>
    <col min="2311" max="2311" width="10.140625" style="121" bestFit="1" customWidth="1"/>
    <col min="2312" max="2313" width="9.140625" style="121"/>
    <col min="2314" max="2314" width="7.28515625" style="121" customWidth="1"/>
    <col min="2315" max="2320" width="7.42578125" style="121" customWidth="1"/>
    <col min="2321" max="2321" width="9.42578125" style="121" bestFit="1" customWidth="1"/>
    <col min="2322" max="2322" width="12" style="121" bestFit="1" customWidth="1"/>
    <col min="2323" max="2324" width="12" style="121" customWidth="1"/>
    <col min="2325" max="2325" width="13.140625" style="121" bestFit="1" customWidth="1"/>
    <col min="2326" max="2327" width="13.140625" style="121" customWidth="1"/>
    <col min="2328" max="2329" width="14.42578125" style="121" bestFit="1" customWidth="1"/>
    <col min="2330" max="2331" width="9.140625" style="121" customWidth="1"/>
    <col min="2332" max="2332" width="9.5703125" style="121" customWidth="1"/>
    <col min="2333" max="2334" width="9.5703125" style="121" bestFit="1" customWidth="1"/>
    <col min="2335" max="2336" width="10.140625" style="121" bestFit="1" customWidth="1"/>
    <col min="2337" max="2337" width="9.5703125" style="121" bestFit="1" customWidth="1"/>
    <col min="2338" max="2338" width="9.5703125" style="121" customWidth="1"/>
    <col min="2339" max="2339" width="9" style="121" customWidth="1"/>
    <col min="2340" max="2340" width="10.5703125" style="121" bestFit="1" customWidth="1"/>
    <col min="2341" max="2341" width="11.42578125" style="121" bestFit="1" customWidth="1"/>
    <col min="2342" max="2342" width="18" style="121" bestFit="1" customWidth="1"/>
    <col min="2343" max="2560" width="9.140625" style="121"/>
    <col min="2561" max="2561" width="41" style="121" customWidth="1"/>
    <col min="2562" max="2562" width="19.5703125" style="121" bestFit="1" customWidth="1"/>
    <col min="2563" max="2563" width="10.140625" style="121" customWidth="1"/>
    <col min="2564" max="2564" width="10.42578125" style="121" bestFit="1" customWidth="1"/>
    <col min="2565" max="2565" width="11.28515625" style="121" customWidth="1"/>
    <col min="2566" max="2566" width="9.42578125" style="121" customWidth="1"/>
    <col min="2567" max="2567" width="10.140625" style="121" bestFit="1" customWidth="1"/>
    <col min="2568" max="2569" width="9.140625" style="121"/>
    <col min="2570" max="2570" width="7.28515625" style="121" customWidth="1"/>
    <col min="2571" max="2576" width="7.42578125" style="121" customWidth="1"/>
    <col min="2577" max="2577" width="9.42578125" style="121" bestFit="1" customWidth="1"/>
    <col min="2578" max="2578" width="12" style="121" bestFit="1" customWidth="1"/>
    <col min="2579" max="2580" width="12" style="121" customWidth="1"/>
    <col min="2581" max="2581" width="13.140625" style="121" bestFit="1" customWidth="1"/>
    <col min="2582" max="2583" width="13.140625" style="121" customWidth="1"/>
    <col min="2584" max="2585" width="14.42578125" style="121" bestFit="1" customWidth="1"/>
    <col min="2586" max="2587" width="9.140625" style="121" customWidth="1"/>
    <col min="2588" max="2588" width="9.5703125" style="121" customWidth="1"/>
    <col min="2589" max="2590" width="9.5703125" style="121" bestFit="1" customWidth="1"/>
    <col min="2591" max="2592" width="10.140625" style="121" bestFit="1" customWidth="1"/>
    <col min="2593" max="2593" width="9.5703125" style="121" bestFit="1" customWidth="1"/>
    <col min="2594" max="2594" width="9.5703125" style="121" customWidth="1"/>
    <col min="2595" max="2595" width="9" style="121" customWidth="1"/>
    <col min="2596" max="2596" width="10.5703125" style="121" bestFit="1" customWidth="1"/>
    <col min="2597" max="2597" width="11.42578125" style="121" bestFit="1" customWidth="1"/>
    <col min="2598" max="2598" width="18" style="121" bestFit="1" customWidth="1"/>
    <col min="2599" max="2816" width="9.140625" style="121"/>
    <col min="2817" max="2817" width="41" style="121" customWidth="1"/>
    <col min="2818" max="2818" width="19.5703125" style="121" bestFit="1" customWidth="1"/>
    <col min="2819" max="2819" width="10.140625" style="121" customWidth="1"/>
    <col min="2820" max="2820" width="10.42578125" style="121" bestFit="1" customWidth="1"/>
    <col min="2821" max="2821" width="11.28515625" style="121" customWidth="1"/>
    <col min="2822" max="2822" width="9.42578125" style="121" customWidth="1"/>
    <col min="2823" max="2823" width="10.140625" style="121" bestFit="1" customWidth="1"/>
    <col min="2824" max="2825" width="9.140625" style="121"/>
    <col min="2826" max="2826" width="7.28515625" style="121" customWidth="1"/>
    <col min="2827" max="2832" width="7.42578125" style="121" customWidth="1"/>
    <col min="2833" max="2833" width="9.42578125" style="121" bestFit="1" customWidth="1"/>
    <col min="2834" max="2834" width="12" style="121" bestFit="1" customWidth="1"/>
    <col min="2835" max="2836" width="12" style="121" customWidth="1"/>
    <col min="2837" max="2837" width="13.140625" style="121" bestFit="1" customWidth="1"/>
    <col min="2838" max="2839" width="13.140625" style="121" customWidth="1"/>
    <col min="2840" max="2841" width="14.42578125" style="121" bestFit="1" customWidth="1"/>
    <col min="2842" max="2843" width="9.140625" style="121" customWidth="1"/>
    <col min="2844" max="2844" width="9.5703125" style="121" customWidth="1"/>
    <col min="2845" max="2846" width="9.5703125" style="121" bestFit="1" customWidth="1"/>
    <col min="2847" max="2848" width="10.140625" style="121" bestFit="1" customWidth="1"/>
    <col min="2849" max="2849" width="9.5703125" style="121" bestFit="1" customWidth="1"/>
    <col min="2850" max="2850" width="9.5703125" style="121" customWidth="1"/>
    <col min="2851" max="2851" width="9" style="121" customWidth="1"/>
    <col min="2852" max="2852" width="10.5703125" style="121" bestFit="1" customWidth="1"/>
    <col min="2853" max="2853" width="11.42578125" style="121" bestFit="1" customWidth="1"/>
    <col min="2854" max="2854" width="18" style="121" bestFit="1" customWidth="1"/>
    <col min="2855" max="3072" width="9.140625" style="121"/>
    <col min="3073" max="3073" width="41" style="121" customWidth="1"/>
    <col min="3074" max="3074" width="19.5703125" style="121" bestFit="1" customWidth="1"/>
    <col min="3075" max="3075" width="10.140625" style="121" customWidth="1"/>
    <col min="3076" max="3076" width="10.42578125" style="121" bestFit="1" customWidth="1"/>
    <col min="3077" max="3077" width="11.28515625" style="121" customWidth="1"/>
    <col min="3078" max="3078" width="9.42578125" style="121" customWidth="1"/>
    <col min="3079" max="3079" width="10.140625" style="121" bestFit="1" customWidth="1"/>
    <col min="3080" max="3081" width="9.140625" style="121"/>
    <col min="3082" max="3082" width="7.28515625" style="121" customWidth="1"/>
    <col min="3083" max="3088" width="7.42578125" style="121" customWidth="1"/>
    <col min="3089" max="3089" width="9.42578125" style="121" bestFit="1" customWidth="1"/>
    <col min="3090" max="3090" width="12" style="121" bestFit="1" customWidth="1"/>
    <col min="3091" max="3092" width="12" style="121" customWidth="1"/>
    <col min="3093" max="3093" width="13.140625" style="121" bestFit="1" customWidth="1"/>
    <col min="3094" max="3095" width="13.140625" style="121" customWidth="1"/>
    <col min="3096" max="3097" width="14.42578125" style="121" bestFit="1" customWidth="1"/>
    <col min="3098" max="3099" width="9.140625" style="121" customWidth="1"/>
    <col min="3100" max="3100" width="9.5703125" style="121" customWidth="1"/>
    <col min="3101" max="3102" width="9.5703125" style="121" bestFit="1" customWidth="1"/>
    <col min="3103" max="3104" width="10.140625" style="121" bestFit="1" customWidth="1"/>
    <col min="3105" max="3105" width="9.5703125" style="121" bestFit="1" customWidth="1"/>
    <col min="3106" max="3106" width="9.5703125" style="121" customWidth="1"/>
    <col min="3107" max="3107" width="9" style="121" customWidth="1"/>
    <col min="3108" max="3108" width="10.5703125" style="121" bestFit="1" customWidth="1"/>
    <col min="3109" max="3109" width="11.42578125" style="121" bestFit="1" customWidth="1"/>
    <col min="3110" max="3110" width="18" style="121" bestFit="1" customWidth="1"/>
    <col min="3111" max="3328" width="9.140625" style="121"/>
    <col min="3329" max="3329" width="41" style="121" customWidth="1"/>
    <col min="3330" max="3330" width="19.5703125" style="121" bestFit="1" customWidth="1"/>
    <col min="3331" max="3331" width="10.140625" style="121" customWidth="1"/>
    <col min="3332" max="3332" width="10.42578125" style="121" bestFit="1" customWidth="1"/>
    <col min="3333" max="3333" width="11.28515625" style="121" customWidth="1"/>
    <col min="3334" max="3334" width="9.42578125" style="121" customWidth="1"/>
    <col min="3335" max="3335" width="10.140625" style="121" bestFit="1" customWidth="1"/>
    <col min="3336" max="3337" width="9.140625" style="121"/>
    <col min="3338" max="3338" width="7.28515625" style="121" customWidth="1"/>
    <col min="3339" max="3344" width="7.42578125" style="121" customWidth="1"/>
    <col min="3345" max="3345" width="9.42578125" style="121" bestFit="1" customWidth="1"/>
    <col min="3346" max="3346" width="12" style="121" bestFit="1" customWidth="1"/>
    <col min="3347" max="3348" width="12" style="121" customWidth="1"/>
    <col min="3349" max="3349" width="13.140625" style="121" bestFit="1" customWidth="1"/>
    <col min="3350" max="3351" width="13.140625" style="121" customWidth="1"/>
    <col min="3352" max="3353" width="14.42578125" style="121" bestFit="1" customWidth="1"/>
    <col min="3354" max="3355" width="9.140625" style="121" customWidth="1"/>
    <col min="3356" max="3356" width="9.5703125" style="121" customWidth="1"/>
    <col min="3357" max="3358" width="9.5703125" style="121" bestFit="1" customWidth="1"/>
    <col min="3359" max="3360" width="10.140625" style="121" bestFit="1" customWidth="1"/>
    <col min="3361" max="3361" width="9.5703125" style="121" bestFit="1" customWidth="1"/>
    <col min="3362" max="3362" width="9.5703125" style="121" customWidth="1"/>
    <col min="3363" max="3363" width="9" style="121" customWidth="1"/>
    <col min="3364" max="3364" width="10.5703125" style="121" bestFit="1" customWidth="1"/>
    <col min="3365" max="3365" width="11.42578125" style="121" bestFit="1" customWidth="1"/>
    <col min="3366" max="3366" width="18" style="121" bestFit="1" customWidth="1"/>
    <col min="3367" max="3584" width="9.140625" style="121"/>
    <col min="3585" max="3585" width="41" style="121" customWidth="1"/>
    <col min="3586" max="3586" width="19.5703125" style="121" bestFit="1" customWidth="1"/>
    <col min="3587" max="3587" width="10.140625" style="121" customWidth="1"/>
    <col min="3588" max="3588" width="10.42578125" style="121" bestFit="1" customWidth="1"/>
    <col min="3589" max="3589" width="11.28515625" style="121" customWidth="1"/>
    <col min="3590" max="3590" width="9.42578125" style="121" customWidth="1"/>
    <col min="3591" max="3591" width="10.140625" style="121" bestFit="1" customWidth="1"/>
    <col min="3592" max="3593" width="9.140625" style="121"/>
    <col min="3594" max="3594" width="7.28515625" style="121" customWidth="1"/>
    <col min="3595" max="3600" width="7.42578125" style="121" customWidth="1"/>
    <col min="3601" max="3601" width="9.42578125" style="121" bestFit="1" customWidth="1"/>
    <col min="3602" max="3602" width="12" style="121" bestFit="1" customWidth="1"/>
    <col min="3603" max="3604" width="12" style="121" customWidth="1"/>
    <col min="3605" max="3605" width="13.140625" style="121" bestFit="1" customWidth="1"/>
    <col min="3606" max="3607" width="13.140625" style="121" customWidth="1"/>
    <col min="3608" max="3609" width="14.42578125" style="121" bestFit="1" customWidth="1"/>
    <col min="3610" max="3611" width="9.140625" style="121" customWidth="1"/>
    <col min="3612" max="3612" width="9.5703125" style="121" customWidth="1"/>
    <col min="3613" max="3614" width="9.5703125" style="121" bestFit="1" customWidth="1"/>
    <col min="3615" max="3616" width="10.140625" style="121" bestFit="1" customWidth="1"/>
    <col min="3617" max="3617" width="9.5703125" style="121" bestFit="1" customWidth="1"/>
    <col min="3618" max="3618" width="9.5703125" style="121" customWidth="1"/>
    <col min="3619" max="3619" width="9" style="121" customWidth="1"/>
    <col min="3620" max="3620" width="10.5703125" style="121" bestFit="1" customWidth="1"/>
    <col min="3621" max="3621" width="11.42578125" style="121" bestFit="1" customWidth="1"/>
    <col min="3622" max="3622" width="18" style="121" bestFit="1" customWidth="1"/>
    <col min="3623" max="3840" width="9.140625" style="121"/>
    <col min="3841" max="3841" width="41" style="121" customWidth="1"/>
    <col min="3842" max="3842" width="19.5703125" style="121" bestFit="1" customWidth="1"/>
    <col min="3843" max="3843" width="10.140625" style="121" customWidth="1"/>
    <col min="3844" max="3844" width="10.42578125" style="121" bestFit="1" customWidth="1"/>
    <col min="3845" max="3845" width="11.28515625" style="121" customWidth="1"/>
    <col min="3846" max="3846" width="9.42578125" style="121" customWidth="1"/>
    <col min="3847" max="3847" width="10.140625" style="121" bestFit="1" customWidth="1"/>
    <col min="3848" max="3849" width="9.140625" style="121"/>
    <col min="3850" max="3850" width="7.28515625" style="121" customWidth="1"/>
    <col min="3851" max="3856" width="7.42578125" style="121" customWidth="1"/>
    <col min="3857" max="3857" width="9.42578125" style="121" bestFit="1" customWidth="1"/>
    <col min="3858" max="3858" width="12" style="121" bestFit="1" customWidth="1"/>
    <col min="3859" max="3860" width="12" style="121" customWidth="1"/>
    <col min="3861" max="3861" width="13.140625" style="121" bestFit="1" customWidth="1"/>
    <col min="3862" max="3863" width="13.140625" style="121" customWidth="1"/>
    <col min="3864" max="3865" width="14.42578125" style="121" bestFit="1" customWidth="1"/>
    <col min="3866" max="3867" width="9.140625" style="121" customWidth="1"/>
    <col min="3868" max="3868" width="9.5703125" style="121" customWidth="1"/>
    <col min="3869" max="3870" width="9.5703125" style="121" bestFit="1" customWidth="1"/>
    <col min="3871" max="3872" width="10.140625" style="121" bestFit="1" customWidth="1"/>
    <col min="3873" max="3873" width="9.5703125" style="121" bestFit="1" customWidth="1"/>
    <col min="3874" max="3874" width="9.5703125" style="121" customWidth="1"/>
    <col min="3875" max="3875" width="9" style="121" customWidth="1"/>
    <col min="3876" max="3876" width="10.5703125" style="121" bestFit="1" customWidth="1"/>
    <col min="3877" max="3877" width="11.42578125" style="121" bestFit="1" customWidth="1"/>
    <col min="3878" max="3878" width="18" style="121" bestFit="1" customWidth="1"/>
    <col min="3879" max="4096" width="9.140625" style="121"/>
    <col min="4097" max="4097" width="41" style="121" customWidth="1"/>
    <col min="4098" max="4098" width="19.5703125" style="121" bestFit="1" customWidth="1"/>
    <col min="4099" max="4099" width="10.140625" style="121" customWidth="1"/>
    <col min="4100" max="4100" width="10.42578125" style="121" bestFit="1" customWidth="1"/>
    <col min="4101" max="4101" width="11.28515625" style="121" customWidth="1"/>
    <col min="4102" max="4102" width="9.42578125" style="121" customWidth="1"/>
    <col min="4103" max="4103" width="10.140625" style="121" bestFit="1" customWidth="1"/>
    <col min="4104" max="4105" width="9.140625" style="121"/>
    <col min="4106" max="4106" width="7.28515625" style="121" customWidth="1"/>
    <col min="4107" max="4112" width="7.42578125" style="121" customWidth="1"/>
    <col min="4113" max="4113" width="9.42578125" style="121" bestFit="1" customWidth="1"/>
    <col min="4114" max="4114" width="12" style="121" bestFit="1" customWidth="1"/>
    <col min="4115" max="4116" width="12" style="121" customWidth="1"/>
    <col min="4117" max="4117" width="13.140625" style="121" bestFit="1" customWidth="1"/>
    <col min="4118" max="4119" width="13.140625" style="121" customWidth="1"/>
    <col min="4120" max="4121" width="14.42578125" style="121" bestFit="1" customWidth="1"/>
    <col min="4122" max="4123" width="9.140625" style="121" customWidth="1"/>
    <col min="4124" max="4124" width="9.5703125" style="121" customWidth="1"/>
    <col min="4125" max="4126" width="9.5703125" style="121" bestFit="1" customWidth="1"/>
    <col min="4127" max="4128" width="10.140625" style="121" bestFit="1" customWidth="1"/>
    <col min="4129" max="4129" width="9.5703125" style="121" bestFit="1" customWidth="1"/>
    <col min="4130" max="4130" width="9.5703125" style="121" customWidth="1"/>
    <col min="4131" max="4131" width="9" style="121" customWidth="1"/>
    <col min="4132" max="4132" width="10.5703125" style="121" bestFit="1" customWidth="1"/>
    <col min="4133" max="4133" width="11.42578125" style="121" bestFit="1" customWidth="1"/>
    <col min="4134" max="4134" width="18" style="121" bestFit="1" customWidth="1"/>
    <col min="4135" max="4352" width="9.140625" style="121"/>
    <col min="4353" max="4353" width="41" style="121" customWidth="1"/>
    <col min="4354" max="4354" width="19.5703125" style="121" bestFit="1" customWidth="1"/>
    <col min="4355" max="4355" width="10.140625" style="121" customWidth="1"/>
    <col min="4356" max="4356" width="10.42578125" style="121" bestFit="1" customWidth="1"/>
    <col min="4357" max="4357" width="11.28515625" style="121" customWidth="1"/>
    <col min="4358" max="4358" width="9.42578125" style="121" customWidth="1"/>
    <col min="4359" max="4359" width="10.140625" style="121" bestFit="1" customWidth="1"/>
    <col min="4360" max="4361" width="9.140625" style="121"/>
    <col min="4362" max="4362" width="7.28515625" style="121" customWidth="1"/>
    <col min="4363" max="4368" width="7.42578125" style="121" customWidth="1"/>
    <col min="4369" max="4369" width="9.42578125" style="121" bestFit="1" customWidth="1"/>
    <col min="4370" max="4370" width="12" style="121" bestFit="1" customWidth="1"/>
    <col min="4371" max="4372" width="12" style="121" customWidth="1"/>
    <col min="4373" max="4373" width="13.140625" style="121" bestFit="1" customWidth="1"/>
    <col min="4374" max="4375" width="13.140625" style="121" customWidth="1"/>
    <col min="4376" max="4377" width="14.42578125" style="121" bestFit="1" customWidth="1"/>
    <col min="4378" max="4379" width="9.140625" style="121" customWidth="1"/>
    <col min="4380" max="4380" width="9.5703125" style="121" customWidth="1"/>
    <col min="4381" max="4382" width="9.5703125" style="121" bestFit="1" customWidth="1"/>
    <col min="4383" max="4384" width="10.140625" style="121" bestFit="1" customWidth="1"/>
    <col min="4385" max="4385" width="9.5703125" style="121" bestFit="1" customWidth="1"/>
    <col min="4386" max="4386" width="9.5703125" style="121" customWidth="1"/>
    <col min="4387" max="4387" width="9" style="121" customWidth="1"/>
    <col min="4388" max="4388" width="10.5703125" style="121" bestFit="1" customWidth="1"/>
    <col min="4389" max="4389" width="11.42578125" style="121" bestFit="1" customWidth="1"/>
    <col min="4390" max="4390" width="18" style="121" bestFit="1" customWidth="1"/>
    <col min="4391" max="4608" width="9.140625" style="121"/>
    <col min="4609" max="4609" width="41" style="121" customWidth="1"/>
    <col min="4610" max="4610" width="19.5703125" style="121" bestFit="1" customWidth="1"/>
    <col min="4611" max="4611" width="10.140625" style="121" customWidth="1"/>
    <col min="4612" max="4612" width="10.42578125" style="121" bestFit="1" customWidth="1"/>
    <col min="4613" max="4613" width="11.28515625" style="121" customWidth="1"/>
    <col min="4614" max="4614" width="9.42578125" style="121" customWidth="1"/>
    <col min="4615" max="4615" width="10.140625" style="121" bestFit="1" customWidth="1"/>
    <col min="4616" max="4617" width="9.140625" style="121"/>
    <col min="4618" max="4618" width="7.28515625" style="121" customWidth="1"/>
    <col min="4619" max="4624" width="7.42578125" style="121" customWidth="1"/>
    <col min="4625" max="4625" width="9.42578125" style="121" bestFit="1" customWidth="1"/>
    <col min="4626" max="4626" width="12" style="121" bestFit="1" customWidth="1"/>
    <col min="4627" max="4628" width="12" style="121" customWidth="1"/>
    <col min="4629" max="4629" width="13.140625" style="121" bestFit="1" customWidth="1"/>
    <col min="4630" max="4631" width="13.140625" style="121" customWidth="1"/>
    <col min="4632" max="4633" width="14.42578125" style="121" bestFit="1" customWidth="1"/>
    <col min="4634" max="4635" width="9.140625" style="121" customWidth="1"/>
    <col min="4636" max="4636" width="9.5703125" style="121" customWidth="1"/>
    <col min="4637" max="4638" width="9.5703125" style="121" bestFit="1" customWidth="1"/>
    <col min="4639" max="4640" width="10.140625" style="121" bestFit="1" customWidth="1"/>
    <col min="4641" max="4641" width="9.5703125" style="121" bestFit="1" customWidth="1"/>
    <col min="4642" max="4642" width="9.5703125" style="121" customWidth="1"/>
    <col min="4643" max="4643" width="9" style="121" customWidth="1"/>
    <col min="4644" max="4644" width="10.5703125" style="121" bestFit="1" customWidth="1"/>
    <col min="4645" max="4645" width="11.42578125" style="121" bestFit="1" customWidth="1"/>
    <col min="4646" max="4646" width="18" style="121" bestFit="1" customWidth="1"/>
    <col min="4647" max="4864" width="9.140625" style="121"/>
    <col min="4865" max="4865" width="41" style="121" customWidth="1"/>
    <col min="4866" max="4866" width="19.5703125" style="121" bestFit="1" customWidth="1"/>
    <col min="4867" max="4867" width="10.140625" style="121" customWidth="1"/>
    <col min="4868" max="4868" width="10.42578125" style="121" bestFit="1" customWidth="1"/>
    <col min="4869" max="4869" width="11.28515625" style="121" customWidth="1"/>
    <col min="4870" max="4870" width="9.42578125" style="121" customWidth="1"/>
    <col min="4871" max="4871" width="10.140625" style="121" bestFit="1" customWidth="1"/>
    <col min="4872" max="4873" width="9.140625" style="121"/>
    <col min="4874" max="4874" width="7.28515625" style="121" customWidth="1"/>
    <col min="4875" max="4880" width="7.42578125" style="121" customWidth="1"/>
    <col min="4881" max="4881" width="9.42578125" style="121" bestFit="1" customWidth="1"/>
    <col min="4882" max="4882" width="12" style="121" bestFit="1" customWidth="1"/>
    <col min="4883" max="4884" width="12" style="121" customWidth="1"/>
    <col min="4885" max="4885" width="13.140625" style="121" bestFit="1" customWidth="1"/>
    <col min="4886" max="4887" width="13.140625" style="121" customWidth="1"/>
    <col min="4888" max="4889" width="14.42578125" style="121" bestFit="1" customWidth="1"/>
    <col min="4890" max="4891" width="9.140625" style="121" customWidth="1"/>
    <col min="4892" max="4892" width="9.5703125" style="121" customWidth="1"/>
    <col min="4893" max="4894" width="9.5703125" style="121" bestFit="1" customWidth="1"/>
    <col min="4895" max="4896" width="10.140625" style="121" bestFit="1" customWidth="1"/>
    <col min="4897" max="4897" width="9.5703125" style="121" bestFit="1" customWidth="1"/>
    <col min="4898" max="4898" width="9.5703125" style="121" customWidth="1"/>
    <col min="4899" max="4899" width="9" style="121" customWidth="1"/>
    <col min="4900" max="4900" width="10.5703125" style="121" bestFit="1" customWidth="1"/>
    <col min="4901" max="4901" width="11.42578125" style="121" bestFit="1" customWidth="1"/>
    <col min="4902" max="4902" width="18" style="121" bestFit="1" customWidth="1"/>
    <col min="4903" max="5120" width="9.140625" style="121"/>
    <col min="5121" max="5121" width="41" style="121" customWidth="1"/>
    <col min="5122" max="5122" width="19.5703125" style="121" bestFit="1" customWidth="1"/>
    <col min="5123" max="5123" width="10.140625" style="121" customWidth="1"/>
    <col min="5124" max="5124" width="10.42578125" style="121" bestFit="1" customWidth="1"/>
    <col min="5125" max="5125" width="11.28515625" style="121" customWidth="1"/>
    <col min="5126" max="5126" width="9.42578125" style="121" customWidth="1"/>
    <col min="5127" max="5127" width="10.140625" style="121" bestFit="1" customWidth="1"/>
    <col min="5128" max="5129" width="9.140625" style="121"/>
    <col min="5130" max="5130" width="7.28515625" style="121" customWidth="1"/>
    <col min="5131" max="5136" width="7.42578125" style="121" customWidth="1"/>
    <col min="5137" max="5137" width="9.42578125" style="121" bestFit="1" customWidth="1"/>
    <col min="5138" max="5138" width="12" style="121" bestFit="1" customWidth="1"/>
    <col min="5139" max="5140" width="12" style="121" customWidth="1"/>
    <col min="5141" max="5141" width="13.140625" style="121" bestFit="1" customWidth="1"/>
    <col min="5142" max="5143" width="13.140625" style="121" customWidth="1"/>
    <col min="5144" max="5145" width="14.42578125" style="121" bestFit="1" customWidth="1"/>
    <col min="5146" max="5147" width="9.140625" style="121" customWidth="1"/>
    <col min="5148" max="5148" width="9.5703125" style="121" customWidth="1"/>
    <col min="5149" max="5150" width="9.5703125" style="121" bestFit="1" customWidth="1"/>
    <col min="5151" max="5152" width="10.140625" style="121" bestFit="1" customWidth="1"/>
    <col min="5153" max="5153" width="9.5703125" style="121" bestFit="1" customWidth="1"/>
    <col min="5154" max="5154" width="9.5703125" style="121" customWidth="1"/>
    <col min="5155" max="5155" width="9" style="121" customWidth="1"/>
    <col min="5156" max="5156" width="10.5703125" style="121" bestFit="1" customWidth="1"/>
    <col min="5157" max="5157" width="11.42578125" style="121" bestFit="1" customWidth="1"/>
    <col min="5158" max="5158" width="18" style="121" bestFit="1" customWidth="1"/>
    <col min="5159" max="5376" width="9.140625" style="121"/>
    <col min="5377" max="5377" width="41" style="121" customWidth="1"/>
    <col min="5378" max="5378" width="19.5703125" style="121" bestFit="1" customWidth="1"/>
    <col min="5379" max="5379" width="10.140625" style="121" customWidth="1"/>
    <col min="5380" max="5380" width="10.42578125" style="121" bestFit="1" customWidth="1"/>
    <col min="5381" max="5381" width="11.28515625" style="121" customWidth="1"/>
    <col min="5382" max="5382" width="9.42578125" style="121" customWidth="1"/>
    <col min="5383" max="5383" width="10.140625" style="121" bestFit="1" customWidth="1"/>
    <col min="5384" max="5385" width="9.140625" style="121"/>
    <col min="5386" max="5386" width="7.28515625" style="121" customWidth="1"/>
    <col min="5387" max="5392" width="7.42578125" style="121" customWidth="1"/>
    <col min="5393" max="5393" width="9.42578125" style="121" bestFit="1" customWidth="1"/>
    <col min="5394" max="5394" width="12" style="121" bestFit="1" customWidth="1"/>
    <col min="5395" max="5396" width="12" style="121" customWidth="1"/>
    <col min="5397" max="5397" width="13.140625" style="121" bestFit="1" customWidth="1"/>
    <col min="5398" max="5399" width="13.140625" style="121" customWidth="1"/>
    <col min="5400" max="5401" width="14.42578125" style="121" bestFit="1" customWidth="1"/>
    <col min="5402" max="5403" width="9.140625" style="121" customWidth="1"/>
    <col min="5404" max="5404" width="9.5703125" style="121" customWidth="1"/>
    <col min="5405" max="5406" width="9.5703125" style="121" bestFit="1" customWidth="1"/>
    <col min="5407" max="5408" width="10.140625" style="121" bestFit="1" customWidth="1"/>
    <col min="5409" max="5409" width="9.5703125" style="121" bestFit="1" customWidth="1"/>
    <col min="5410" max="5410" width="9.5703125" style="121" customWidth="1"/>
    <col min="5411" max="5411" width="9" style="121" customWidth="1"/>
    <col min="5412" max="5412" width="10.5703125" style="121" bestFit="1" customWidth="1"/>
    <col min="5413" max="5413" width="11.42578125" style="121" bestFit="1" customWidth="1"/>
    <col min="5414" max="5414" width="18" style="121" bestFit="1" customWidth="1"/>
    <col min="5415" max="5632" width="9.140625" style="121"/>
    <col min="5633" max="5633" width="41" style="121" customWidth="1"/>
    <col min="5634" max="5634" width="19.5703125" style="121" bestFit="1" customWidth="1"/>
    <col min="5635" max="5635" width="10.140625" style="121" customWidth="1"/>
    <col min="5636" max="5636" width="10.42578125" style="121" bestFit="1" customWidth="1"/>
    <col min="5637" max="5637" width="11.28515625" style="121" customWidth="1"/>
    <col min="5638" max="5638" width="9.42578125" style="121" customWidth="1"/>
    <col min="5639" max="5639" width="10.140625" style="121" bestFit="1" customWidth="1"/>
    <col min="5640" max="5641" width="9.140625" style="121"/>
    <col min="5642" max="5642" width="7.28515625" style="121" customWidth="1"/>
    <col min="5643" max="5648" width="7.42578125" style="121" customWidth="1"/>
    <col min="5649" max="5649" width="9.42578125" style="121" bestFit="1" customWidth="1"/>
    <col min="5650" max="5650" width="12" style="121" bestFit="1" customWidth="1"/>
    <col min="5651" max="5652" width="12" style="121" customWidth="1"/>
    <col min="5653" max="5653" width="13.140625" style="121" bestFit="1" customWidth="1"/>
    <col min="5654" max="5655" width="13.140625" style="121" customWidth="1"/>
    <col min="5656" max="5657" width="14.42578125" style="121" bestFit="1" customWidth="1"/>
    <col min="5658" max="5659" width="9.140625" style="121" customWidth="1"/>
    <col min="5660" max="5660" width="9.5703125" style="121" customWidth="1"/>
    <col min="5661" max="5662" width="9.5703125" style="121" bestFit="1" customWidth="1"/>
    <col min="5663" max="5664" width="10.140625" style="121" bestFit="1" customWidth="1"/>
    <col min="5665" max="5665" width="9.5703125" style="121" bestFit="1" customWidth="1"/>
    <col min="5666" max="5666" width="9.5703125" style="121" customWidth="1"/>
    <col min="5667" max="5667" width="9" style="121" customWidth="1"/>
    <col min="5668" max="5668" width="10.5703125" style="121" bestFit="1" customWidth="1"/>
    <col min="5669" max="5669" width="11.42578125" style="121" bestFit="1" customWidth="1"/>
    <col min="5670" max="5670" width="18" style="121" bestFit="1" customWidth="1"/>
    <col min="5671" max="5888" width="9.140625" style="121"/>
    <col min="5889" max="5889" width="41" style="121" customWidth="1"/>
    <col min="5890" max="5890" width="19.5703125" style="121" bestFit="1" customWidth="1"/>
    <col min="5891" max="5891" width="10.140625" style="121" customWidth="1"/>
    <col min="5892" max="5892" width="10.42578125" style="121" bestFit="1" customWidth="1"/>
    <col min="5893" max="5893" width="11.28515625" style="121" customWidth="1"/>
    <col min="5894" max="5894" width="9.42578125" style="121" customWidth="1"/>
    <col min="5895" max="5895" width="10.140625" style="121" bestFit="1" customWidth="1"/>
    <col min="5896" max="5897" width="9.140625" style="121"/>
    <col min="5898" max="5898" width="7.28515625" style="121" customWidth="1"/>
    <col min="5899" max="5904" width="7.42578125" style="121" customWidth="1"/>
    <col min="5905" max="5905" width="9.42578125" style="121" bestFit="1" customWidth="1"/>
    <col min="5906" max="5906" width="12" style="121" bestFit="1" customWidth="1"/>
    <col min="5907" max="5908" width="12" style="121" customWidth="1"/>
    <col min="5909" max="5909" width="13.140625" style="121" bestFit="1" customWidth="1"/>
    <col min="5910" max="5911" width="13.140625" style="121" customWidth="1"/>
    <col min="5912" max="5913" width="14.42578125" style="121" bestFit="1" customWidth="1"/>
    <col min="5914" max="5915" width="9.140625" style="121" customWidth="1"/>
    <col min="5916" max="5916" width="9.5703125" style="121" customWidth="1"/>
    <col min="5917" max="5918" width="9.5703125" style="121" bestFit="1" customWidth="1"/>
    <col min="5919" max="5920" width="10.140625" style="121" bestFit="1" customWidth="1"/>
    <col min="5921" max="5921" width="9.5703125" style="121" bestFit="1" customWidth="1"/>
    <col min="5922" max="5922" width="9.5703125" style="121" customWidth="1"/>
    <col min="5923" max="5923" width="9" style="121" customWidth="1"/>
    <col min="5924" max="5924" width="10.5703125" style="121" bestFit="1" customWidth="1"/>
    <col min="5925" max="5925" width="11.42578125" style="121" bestFit="1" customWidth="1"/>
    <col min="5926" max="5926" width="18" style="121" bestFit="1" customWidth="1"/>
    <col min="5927" max="6144" width="9.140625" style="121"/>
    <col min="6145" max="6145" width="41" style="121" customWidth="1"/>
    <col min="6146" max="6146" width="19.5703125" style="121" bestFit="1" customWidth="1"/>
    <col min="6147" max="6147" width="10.140625" style="121" customWidth="1"/>
    <col min="6148" max="6148" width="10.42578125" style="121" bestFit="1" customWidth="1"/>
    <col min="6149" max="6149" width="11.28515625" style="121" customWidth="1"/>
    <col min="6150" max="6150" width="9.42578125" style="121" customWidth="1"/>
    <col min="6151" max="6151" width="10.140625" style="121" bestFit="1" customWidth="1"/>
    <col min="6152" max="6153" width="9.140625" style="121"/>
    <col min="6154" max="6154" width="7.28515625" style="121" customWidth="1"/>
    <col min="6155" max="6160" width="7.42578125" style="121" customWidth="1"/>
    <col min="6161" max="6161" width="9.42578125" style="121" bestFit="1" customWidth="1"/>
    <col min="6162" max="6162" width="12" style="121" bestFit="1" customWidth="1"/>
    <col min="6163" max="6164" width="12" style="121" customWidth="1"/>
    <col min="6165" max="6165" width="13.140625" style="121" bestFit="1" customWidth="1"/>
    <col min="6166" max="6167" width="13.140625" style="121" customWidth="1"/>
    <col min="6168" max="6169" width="14.42578125" style="121" bestFit="1" customWidth="1"/>
    <col min="6170" max="6171" width="9.140625" style="121" customWidth="1"/>
    <col min="6172" max="6172" width="9.5703125" style="121" customWidth="1"/>
    <col min="6173" max="6174" width="9.5703125" style="121" bestFit="1" customWidth="1"/>
    <col min="6175" max="6176" width="10.140625" style="121" bestFit="1" customWidth="1"/>
    <col min="6177" max="6177" width="9.5703125" style="121" bestFit="1" customWidth="1"/>
    <col min="6178" max="6178" width="9.5703125" style="121" customWidth="1"/>
    <col min="6179" max="6179" width="9" style="121" customWidth="1"/>
    <col min="6180" max="6180" width="10.5703125" style="121" bestFit="1" customWidth="1"/>
    <col min="6181" max="6181" width="11.42578125" style="121" bestFit="1" customWidth="1"/>
    <col min="6182" max="6182" width="18" style="121" bestFit="1" customWidth="1"/>
    <col min="6183" max="6400" width="9.140625" style="121"/>
    <col min="6401" max="6401" width="41" style="121" customWidth="1"/>
    <col min="6402" max="6402" width="19.5703125" style="121" bestFit="1" customWidth="1"/>
    <col min="6403" max="6403" width="10.140625" style="121" customWidth="1"/>
    <col min="6404" max="6404" width="10.42578125" style="121" bestFit="1" customWidth="1"/>
    <col min="6405" max="6405" width="11.28515625" style="121" customWidth="1"/>
    <col min="6406" max="6406" width="9.42578125" style="121" customWidth="1"/>
    <col min="6407" max="6407" width="10.140625" style="121" bestFit="1" customWidth="1"/>
    <col min="6408" max="6409" width="9.140625" style="121"/>
    <col min="6410" max="6410" width="7.28515625" style="121" customWidth="1"/>
    <col min="6411" max="6416" width="7.42578125" style="121" customWidth="1"/>
    <col min="6417" max="6417" width="9.42578125" style="121" bestFit="1" customWidth="1"/>
    <col min="6418" max="6418" width="12" style="121" bestFit="1" customWidth="1"/>
    <col min="6419" max="6420" width="12" style="121" customWidth="1"/>
    <col min="6421" max="6421" width="13.140625" style="121" bestFit="1" customWidth="1"/>
    <col min="6422" max="6423" width="13.140625" style="121" customWidth="1"/>
    <col min="6424" max="6425" width="14.42578125" style="121" bestFit="1" customWidth="1"/>
    <col min="6426" max="6427" width="9.140625" style="121" customWidth="1"/>
    <col min="6428" max="6428" width="9.5703125" style="121" customWidth="1"/>
    <col min="6429" max="6430" width="9.5703125" style="121" bestFit="1" customWidth="1"/>
    <col min="6431" max="6432" width="10.140625" style="121" bestFit="1" customWidth="1"/>
    <col min="6433" max="6433" width="9.5703125" style="121" bestFit="1" customWidth="1"/>
    <col min="6434" max="6434" width="9.5703125" style="121" customWidth="1"/>
    <col min="6435" max="6435" width="9" style="121" customWidth="1"/>
    <col min="6436" max="6436" width="10.5703125" style="121" bestFit="1" customWidth="1"/>
    <col min="6437" max="6437" width="11.42578125" style="121" bestFit="1" customWidth="1"/>
    <col min="6438" max="6438" width="18" style="121" bestFit="1" customWidth="1"/>
    <col min="6439" max="6656" width="9.140625" style="121"/>
    <col min="6657" max="6657" width="41" style="121" customWidth="1"/>
    <col min="6658" max="6658" width="19.5703125" style="121" bestFit="1" customWidth="1"/>
    <col min="6659" max="6659" width="10.140625" style="121" customWidth="1"/>
    <col min="6660" max="6660" width="10.42578125" style="121" bestFit="1" customWidth="1"/>
    <col min="6661" max="6661" width="11.28515625" style="121" customWidth="1"/>
    <col min="6662" max="6662" width="9.42578125" style="121" customWidth="1"/>
    <col min="6663" max="6663" width="10.140625" style="121" bestFit="1" customWidth="1"/>
    <col min="6664" max="6665" width="9.140625" style="121"/>
    <col min="6666" max="6666" width="7.28515625" style="121" customWidth="1"/>
    <col min="6667" max="6672" width="7.42578125" style="121" customWidth="1"/>
    <col min="6673" max="6673" width="9.42578125" style="121" bestFit="1" customWidth="1"/>
    <col min="6674" max="6674" width="12" style="121" bestFit="1" customWidth="1"/>
    <col min="6675" max="6676" width="12" style="121" customWidth="1"/>
    <col min="6677" max="6677" width="13.140625" style="121" bestFit="1" customWidth="1"/>
    <col min="6678" max="6679" width="13.140625" style="121" customWidth="1"/>
    <col min="6680" max="6681" width="14.42578125" style="121" bestFit="1" customWidth="1"/>
    <col min="6682" max="6683" width="9.140625" style="121" customWidth="1"/>
    <col min="6684" max="6684" width="9.5703125" style="121" customWidth="1"/>
    <col min="6685" max="6686" width="9.5703125" style="121" bestFit="1" customWidth="1"/>
    <col min="6687" max="6688" width="10.140625" style="121" bestFit="1" customWidth="1"/>
    <col min="6689" max="6689" width="9.5703125" style="121" bestFit="1" customWidth="1"/>
    <col min="6690" max="6690" width="9.5703125" style="121" customWidth="1"/>
    <col min="6691" max="6691" width="9" style="121" customWidth="1"/>
    <col min="6692" max="6692" width="10.5703125" style="121" bestFit="1" customWidth="1"/>
    <col min="6693" max="6693" width="11.42578125" style="121" bestFit="1" customWidth="1"/>
    <col min="6694" max="6694" width="18" style="121" bestFit="1" customWidth="1"/>
    <col min="6695" max="6912" width="9.140625" style="121"/>
    <col min="6913" max="6913" width="41" style="121" customWidth="1"/>
    <col min="6914" max="6914" width="19.5703125" style="121" bestFit="1" customWidth="1"/>
    <col min="6915" max="6915" width="10.140625" style="121" customWidth="1"/>
    <col min="6916" max="6916" width="10.42578125" style="121" bestFit="1" customWidth="1"/>
    <col min="6917" max="6917" width="11.28515625" style="121" customWidth="1"/>
    <col min="6918" max="6918" width="9.42578125" style="121" customWidth="1"/>
    <col min="6919" max="6919" width="10.140625" style="121" bestFit="1" customWidth="1"/>
    <col min="6920" max="6921" width="9.140625" style="121"/>
    <col min="6922" max="6922" width="7.28515625" style="121" customWidth="1"/>
    <col min="6923" max="6928" width="7.42578125" style="121" customWidth="1"/>
    <col min="6929" max="6929" width="9.42578125" style="121" bestFit="1" customWidth="1"/>
    <col min="6930" max="6930" width="12" style="121" bestFit="1" customWidth="1"/>
    <col min="6931" max="6932" width="12" style="121" customWidth="1"/>
    <col min="6933" max="6933" width="13.140625" style="121" bestFit="1" customWidth="1"/>
    <col min="6934" max="6935" width="13.140625" style="121" customWidth="1"/>
    <col min="6936" max="6937" width="14.42578125" style="121" bestFit="1" customWidth="1"/>
    <col min="6938" max="6939" width="9.140625" style="121" customWidth="1"/>
    <col min="6940" max="6940" width="9.5703125" style="121" customWidth="1"/>
    <col min="6941" max="6942" width="9.5703125" style="121" bestFit="1" customWidth="1"/>
    <col min="6943" max="6944" width="10.140625" style="121" bestFit="1" customWidth="1"/>
    <col min="6945" max="6945" width="9.5703125" style="121" bestFit="1" customWidth="1"/>
    <col min="6946" max="6946" width="9.5703125" style="121" customWidth="1"/>
    <col min="6947" max="6947" width="9" style="121" customWidth="1"/>
    <col min="6948" max="6948" width="10.5703125" style="121" bestFit="1" customWidth="1"/>
    <col min="6949" max="6949" width="11.42578125" style="121" bestFit="1" customWidth="1"/>
    <col min="6950" max="6950" width="18" style="121" bestFit="1" customWidth="1"/>
    <col min="6951" max="7168" width="9.140625" style="121"/>
    <col min="7169" max="7169" width="41" style="121" customWidth="1"/>
    <col min="7170" max="7170" width="19.5703125" style="121" bestFit="1" customWidth="1"/>
    <col min="7171" max="7171" width="10.140625" style="121" customWidth="1"/>
    <col min="7172" max="7172" width="10.42578125" style="121" bestFit="1" customWidth="1"/>
    <col min="7173" max="7173" width="11.28515625" style="121" customWidth="1"/>
    <col min="7174" max="7174" width="9.42578125" style="121" customWidth="1"/>
    <col min="7175" max="7175" width="10.140625" style="121" bestFit="1" customWidth="1"/>
    <col min="7176" max="7177" width="9.140625" style="121"/>
    <col min="7178" max="7178" width="7.28515625" style="121" customWidth="1"/>
    <col min="7179" max="7184" width="7.42578125" style="121" customWidth="1"/>
    <col min="7185" max="7185" width="9.42578125" style="121" bestFit="1" customWidth="1"/>
    <col min="7186" max="7186" width="12" style="121" bestFit="1" customWidth="1"/>
    <col min="7187" max="7188" width="12" style="121" customWidth="1"/>
    <col min="7189" max="7189" width="13.140625" style="121" bestFit="1" customWidth="1"/>
    <col min="7190" max="7191" width="13.140625" style="121" customWidth="1"/>
    <col min="7192" max="7193" width="14.42578125" style="121" bestFit="1" customWidth="1"/>
    <col min="7194" max="7195" width="9.140625" style="121" customWidth="1"/>
    <col min="7196" max="7196" width="9.5703125" style="121" customWidth="1"/>
    <col min="7197" max="7198" width="9.5703125" style="121" bestFit="1" customWidth="1"/>
    <col min="7199" max="7200" width="10.140625" style="121" bestFit="1" customWidth="1"/>
    <col min="7201" max="7201" width="9.5703125" style="121" bestFit="1" customWidth="1"/>
    <col min="7202" max="7202" width="9.5703125" style="121" customWidth="1"/>
    <col min="7203" max="7203" width="9" style="121" customWidth="1"/>
    <col min="7204" max="7204" width="10.5703125" style="121" bestFit="1" customWidth="1"/>
    <col min="7205" max="7205" width="11.42578125" style="121" bestFit="1" customWidth="1"/>
    <col min="7206" max="7206" width="18" style="121" bestFit="1" customWidth="1"/>
    <col min="7207" max="7424" width="9.140625" style="121"/>
    <col min="7425" max="7425" width="41" style="121" customWidth="1"/>
    <col min="7426" max="7426" width="19.5703125" style="121" bestFit="1" customWidth="1"/>
    <col min="7427" max="7427" width="10.140625" style="121" customWidth="1"/>
    <col min="7428" max="7428" width="10.42578125" style="121" bestFit="1" customWidth="1"/>
    <col min="7429" max="7429" width="11.28515625" style="121" customWidth="1"/>
    <col min="7430" max="7430" width="9.42578125" style="121" customWidth="1"/>
    <col min="7431" max="7431" width="10.140625" style="121" bestFit="1" customWidth="1"/>
    <col min="7432" max="7433" width="9.140625" style="121"/>
    <col min="7434" max="7434" width="7.28515625" style="121" customWidth="1"/>
    <col min="7435" max="7440" width="7.42578125" style="121" customWidth="1"/>
    <col min="7441" max="7441" width="9.42578125" style="121" bestFit="1" customWidth="1"/>
    <col min="7442" max="7442" width="12" style="121" bestFit="1" customWidth="1"/>
    <col min="7443" max="7444" width="12" style="121" customWidth="1"/>
    <col min="7445" max="7445" width="13.140625" style="121" bestFit="1" customWidth="1"/>
    <col min="7446" max="7447" width="13.140625" style="121" customWidth="1"/>
    <col min="7448" max="7449" width="14.42578125" style="121" bestFit="1" customWidth="1"/>
    <col min="7450" max="7451" width="9.140625" style="121" customWidth="1"/>
    <col min="7452" max="7452" width="9.5703125" style="121" customWidth="1"/>
    <col min="7453" max="7454" width="9.5703125" style="121" bestFit="1" customWidth="1"/>
    <col min="7455" max="7456" width="10.140625" style="121" bestFit="1" customWidth="1"/>
    <col min="7457" max="7457" width="9.5703125" style="121" bestFit="1" customWidth="1"/>
    <col min="7458" max="7458" width="9.5703125" style="121" customWidth="1"/>
    <col min="7459" max="7459" width="9" style="121" customWidth="1"/>
    <col min="7460" max="7460" width="10.5703125" style="121" bestFit="1" customWidth="1"/>
    <col min="7461" max="7461" width="11.42578125" style="121" bestFit="1" customWidth="1"/>
    <col min="7462" max="7462" width="18" style="121" bestFit="1" customWidth="1"/>
    <col min="7463" max="7680" width="9.140625" style="121"/>
    <col min="7681" max="7681" width="41" style="121" customWidth="1"/>
    <col min="7682" max="7682" width="19.5703125" style="121" bestFit="1" customWidth="1"/>
    <col min="7683" max="7683" width="10.140625" style="121" customWidth="1"/>
    <col min="7684" max="7684" width="10.42578125" style="121" bestFit="1" customWidth="1"/>
    <col min="7685" max="7685" width="11.28515625" style="121" customWidth="1"/>
    <col min="7686" max="7686" width="9.42578125" style="121" customWidth="1"/>
    <col min="7687" max="7687" width="10.140625" style="121" bestFit="1" customWidth="1"/>
    <col min="7688" max="7689" width="9.140625" style="121"/>
    <col min="7690" max="7690" width="7.28515625" style="121" customWidth="1"/>
    <col min="7691" max="7696" width="7.42578125" style="121" customWidth="1"/>
    <col min="7697" max="7697" width="9.42578125" style="121" bestFit="1" customWidth="1"/>
    <col min="7698" max="7698" width="12" style="121" bestFit="1" customWidth="1"/>
    <col min="7699" max="7700" width="12" style="121" customWidth="1"/>
    <col min="7701" max="7701" width="13.140625" style="121" bestFit="1" customWidth="1"/>
    <col min="7702" max="7703" width="13.140625" style="121" customWidth="1"/>
    <col min="7704" max="7705" width="14.42578125" style="121" bestFit="1" customWidth="1"/>
    <col min="7706" max="7707" width="9.140625" style="121" customWidth="1"/>
    <col min="7708" max="7708" width="9.5703125" style="121" customWidth="1"/>
    <col min="7709" max="7710" width="9.5703125" style="121" bestFit="1" customWidth="1"/>
    <col min="7711" max="7712" width="10.140625" style="121" bestFit="1" customWidth="1"/>
    <col min="7713" max="7713" width="9.5703125" style="121" bestFit="1" customWidth="1"/>
    <col min="7714" max="7714" width="9.5703125" style="121" customWidth="1"/>
    <col min="7715" max="7715" width="9" style="121" customWidth="1"/>
    <col min="7716" max="7716" width="10.5703125" style="121" bestFit="1" customWidth="1"/>
    <col min="7717" max="7717" width="11.42578125" style="121" bestFit="1" customWidth="1"/>
    <col min="7718" max="7718" width="18" style="121" bestFit="1" customWidth="1"/>
    <col min="7719" max="7936" width="9.140625" style="121"/>
    <col min="7937" max="7937" width="41" style="121" customWidth="1"/>
    <col min="7938" max="7938" width="19.5703125" style="121" bestFit="1" customWidth="1"/>
    <col min="7939" max="7939" width="10.140625" style="121" customWidth="1"/>
    <col min="7940" max="7940" width="10.42578125" style="121" bestFit="1" customWidth="1"/>
    <col min="7941" max="7941" width="11.28515625" style="121" customWidth="1"/>
    <col min="7942" max="7942" width="9.42578125" style="121" customWidth="1"/>
    <col min="7943" max="7943" width="10.140625" style="121" bestFit="1" customWidth="1"/>
    <col min="7944" max="7945" width="9.140625" style="121"/>
    <col min="7946" max="7946" width="7.28515625" style="121" customWidth="1"/>
    <col min="7947" max="7952" width="7.42578125" style="121" customWidth="1"/>
    <col min="7953" max="7953" width="9.42578125" style="121" bestFit="1" customWidth="1"/>
    <col min="7954" max="7954" width="12" style="121" bestFit="1" customWidth="1"/>
    <col min="7955" max="7956" width="12" style="121" customWidth="1"/>
    <col min="7957" max="7957" width="13.140625" style="121" bestFit="1" customWidth="1"/>
    <col min="7958" max="7959" width="13.140625" style="121" customWidth="1"/>
    <col min="7960" max="7961" width="14.42578125" style="121" bestFit="1" customWidth="1"/>
    <col min="7962" max="7963" width="9.140625" style="121" customWidth="1"/>
    <col min="7964" max="7964" width="9.5703125" style="121" customWidth="1"/>
    <col min="7965" max="7966" width="9.5703125" style="121" bestFit="1" customWidth="1"/>
    <col min="7967" max="7968" width="10.140625" style="121" bestFit="1" customWidth="1"/>
    <col min="7969" max="7969" width="9.5703125" style="121" bestFit="1" customWidth="1"/>
    <col min="7970" max="7970" width="9.5703125" style="121" customWidth="1"/>
    <col min="7971" max="7971" width="9" style="121" customWidth="1"/>
    <col min="7972" max="7972" width="10.5703125" style="121" bestFit="1" customWidth="1"/>
    <col min="7973" max="7973" width="11.42578125" style="121" bestFit="1" customWidth="1"/>
    <col min="7974" max="7974" width="18" style="121" bestFit="1" customWidth="1"/>
    <col min="7975" max="8192" width="9.140625" style="121"/>
    <col min="8193" max="8193" width="41" style="121" customWidth="1"/>
    <col min="8194" max="8194" width="19.5703125" style="121" bestFit="1" customWidth="1"/>
    <col min="8195" max="8195" width="10.140625" style="121" customWidth="1"/>
    <col min="8196" max="8196" width="10.42578125" style="121" bestFit="1" customWidth="1"/>
    <col min="8197" max="8197" width="11.28515625" style="121" customWidth="1"/>
    <col min="8198" max="8198" width="9.42578125" style="121" customWidth="1"/>
    <col min="8199" max="8199" width="10.140625" style="121" bestFit="1" customWidth="1"/>
    <col min="8200" max="8201" width="9.140625" style="121"/>
    <col min="8202" max="8202" width="7.28515625" style="121" customWidth="1"/>
    <col min="8203" max="8208" width="7.42578125" style="121" customWidth="1"/>
    <col min="8209" max="8209" width="9.42578125" style="121" bestFit="1" customWidth="1"/>
    <col min="8210" max="8210" width="12" style="121" bestFit="1" customWidth="1"/>
    <col min="8211" max="8212" width="12" style="121" customWidth="1"/>
    <col min="8213" max="8213" width="13.140625" style="121" bestFit="1" customWidth="1"/>
    <col min="8214" max="8215" width="13.140625" style="121" customWidth="1"/>
    <col min="8216" max="8217" width="14.42578125" style="121" bestFit="1" customWidth="1"/>
    <col min="8218" max="8219" width="9.140625" style="121" customWidth="1"/>
    <col min="8220" max="8220" width="9.5703125" style="121" customWidth="1"/>
    <col min="8221" max="8222" width="9.5703125" style="121" bestFit="1" customWidth="1"/>
    <col min="8223" max="8224" width="10.140625" style="121" bestFit="1" customWidth="1"/>
    <col min="8225" max="8225" width="9.5703125" style="121" bestFit="1" customWidth="1"/>
    <col min="8226" max="8226" width="9.5703125" style="121" customWidth="1"/>
    <col min="8227" max="8227" width="9" style="121" customWidth="1"/>
    <col min="8228" max="8228" width="10.5703125" style="121" bestFit="1" customWidth="1"/>
    <col min="8229" max="8229" width="11.42578125" style="121" bestFit="1" customWidth="1"/>
    <col min="8230" max="8230" width="18" style="121" bestFit="1" customWidth="1"/>
    <col min="8231" max="8448" width="9.140625" style="121"/>
    <col min="8449" max="8449" width="41" style="121" customWidth="1"/>
    <col min="8450" max="8450" width="19.5703125" style="121" bestFit="1" customWidth="1"/>
    <col min="8451" max="8451" width="10.140625" style="121" customWidth="1"/>
    <col min="8452" max="8452" width="10.42578125" style="121" bestFit="1" customWidth="1"/>
    <col min="8453" max="8453" width="11.28515625" style="121" customWidth="1"/>
    <col min="8454" max="8454" width="9.42578125" style="121" customWidth="1"/>
    <col min="8455" max="8455" width="10.140625" style="121" bestFit="1" customWidth="1"/>
    <col min="8456" max="8457" width="9.140625" style="121"/>
    <col min="8458" max="8458" width="7.28515625" style="121" customWidth="1"/>
    <col min="8459" max="8464" width="7.42578125" style="121" customWidth="1"/>
    <col min="8465" max="8465" width="9.42578125" style="121" bestFit="1" customWidth="1"/>
    <col min="8466" max="8466" width="12" style="121" bestFit="1" customWidth="1"/>
    <col min="8467" max="8468" width="12" style="121" customWidth="1"/>
    <col min="8469" max="8469" width="13.140625" style="121" bestFit="1" customWidth="1"/>
    <col min="8470" max="8471" width="13.140625" style="121" customWidth="1"/>
    <col min="8472" max="8473" width="14.42578125" style="121" bestFit="1" customWidth="1"/>
    <col min="8474" max="8475" width="9.140625" style="121" customWidth="1"/>
    <col min="8476" max="8476" width="9.5703125" style="121" customWidth="1"/>
    <col min="8477" max="8478" width="9.5703125" style="121" bestFit="1" customWidth="1"/>
    <col min="8479" max="8480" width="10.140625" style="121" bestFit="1" customWidth="1"/>
    <col min="8481" max="8481" width="9.5703125" style="121" bestFit="1" customWidth="1"/>
    <col min="8482" max="8482" width="9.5703125" style="121" customWidth="1"/>
    <col min="8483" max="8483" width="9" style="121" customWidth="1"/>
    <col min="8484" max="8484" width="10.5703125" style="121" bestFit="1" customWidth="1"/>
    <col min="8485" max="8485" width="11.42578125" style="121" bestFit="1" customWidth="1"/>
    <col min="8486" max="8486" width="18" style="121" bestFit="1" customWidth="1"/>
    <col min="8487" max="8704" width="9.140625" style="121"/>
    <col min="8705" max="8705" width="41" style="121" customWidth="1"/>
    <col min="8706" max="8706" width="19.5703125" style="121" bestFit="1" customWidth="1"/>
    <col min="8707" max="8707" width="10.140625" style="121" customWidth="1"/>
    <col min="8708" max="8708" width="10.42578125" style="121" bestFit="1" customWidth="1"/>
    <col min="8709" max="8709" width="11.28515625" style="121" customWidth="1"/>
    <col min="8710" max="8710" width="9.42578125" style="121" customWidth="1"/>
    <col min="8711" max="8711" width="10.140625" style="121" bestFit="1" customWidth="1"/>
    <col min="8712" max="8713" width="9.140625" style="121"/>
    <col min="8714" max="8714" width="7.28515625" style="121" customWidth="1"/>
    <col min="8715" max="8720" width="7.42578125" style="121" customWidth="1"/>
    <col min="8721" max="8721" width="9.42578125" style="121" bestFit="1" customWidth="1"/>
    <col min="8722" max="8722" width="12" style="121" bestFit="1" customWidth="1"/>
    <col min="8723" max="8724" width="12" style="121" customWidth="1"/>
    <col min="8725" max="8725" width="13.140625" style="121" bestFit="1" customWidth="1"/>
    <col min="8726" max="8727" width="13.140625" style="121" customWidth="1"/>
    <col min="8728" max="8729" width="14.42578125" style="121" bestFit="1" customWidth="1"/>
    <col min="8730" max="8731" width="9.140625" style="121" customWidth="1"/>
    <col min="8732" max="8732" width="9.5703125" style="121" customWidth="1"/>
    <col min="8733" max="8734" width="9.5703125" style="121" bestFit="1" customWidth="1"/>
    <col min="8735" max="8736" width="10.140625" style="121" bestFit="1" customWidth="1"/>
    <col min="8737" max="8737" width="9.5703125" style="121" bestFit="1" customWidth="1"/>
    <col min="8738" max="8738" width="9.5703125" style="121" customWidth="1"/>
    <col min="8739" max="8739" width="9" style="121" customWidth="1"/>
    <col min="8740" max="8740" width="10.5703125" style="121" bestFit="1" customWidth="1"/>
    <col min="8741" max="8741" width="11.42578125" style="121" bestFit="1" customWidth="1"/>
    <col min="8742" max="8742" width="18" style="121" bestFit="1" customWidth="1"/>
    <col min="8743" max="8960" width="9.140625" style="121"/>
    <col min="8961" max="8961" width="41" style="121" customWidth="1"/>
    <col min="8962" max="8962" width="19.5703125" style="121" bestFit="1" customWidth="1"/>
    <col min="8963" max="8963" width="10.140625" style="121" customWidth="1"/>
    <col min="8964" max="8964" width="10.42578125" style="121" bestFit="1" customWidth="1"/>
    <col min="8965" max="8965" width="11.28515625" style="121" customWidth="1"/>
    <col min="8966" max="8966" width="9.42578125" style="121" customWidth="1"/>
    <col min="8967" max="8967" width="10.140625" style="121" bestFit="1" customWidth="1"/>
    <col min="8968" max="8969" width="9.140625" style="121"/>
    <col min="8970" max="8970" width="7.28515625" style="121" customWidth="1"/>
    <col min="8971" max="8976" width="7.42578125" style="121" customWidth="1"/>
    <col min="8977" max="8977" width="9.42578125" style="121" bestFit="1" customWidth="1"/>
    <col min="8978" max="8978" width="12" style="121" bestFit="1" customWidth="1"/>
    <col min="8979" max="8980" width="12" style="121" customWidth="1"/>
    <col min="8981" max="8981" width="13.140625" style="121" bestFit="1" customWidth="1"/>
    <col min="8982" max="8983" width="13.140625" style="121" customWidth="1"/>
    <col min="8984" max="8985" width="14.42578125" style="121" bestFit="1" customWidth="1"/>
    <col min="8986" max="8987" width="9.140625" style="121" customWidth="1"/>
    <col min="8988" max="8988" width="9.5703125" style="121" customWidth="1"/>
    <col min="8989" max="8990" width="9.5703125" style="121" bestFit="1" customWidth="1"/>
    <col min="8991" max="8992" width="10.140625" style="121" bestFit="1" customWidth="1"/>
    <col min="8993" max="8993" width="9.5703125" style="121" bestFit="1" customWidth="1"/>
    <col min="8994" max="8994" width="9.5703125" style="121" customWidth="1"/>
    <col min="8995" max="8995" width="9" style="121" customWidth="1"/>
    <col min="8996" max="8996" width="10.5703125" style="121" bestFit="1" customWidth="1"/>
    <col min="8997" max="8997" width="11.42578125" style="121" bestFit="1" customWidth="1"/>
    <col min="8998" max="8998" width="18" style="121" bestFit="1" customWidth="1"/>
    <col min="8999" max="9216" width="9.140625" style="121"/>
    <col min="9217" max="9217" width="41" style="121" customWidth="1"/>
    <col min="9218" max="9218" width="19.5703125" style="121" bestFit="1" customWidth="1"/>
    <col min="9219" max="9219" width="10.140625" style="121" customWidth="1"/>
    <col min="9220" max="9220" width="10.42578125" style="121" bestFit="1" customWidth="1"/>
    <col min="9221" max="9221" width="11.28515625" style="121" customWidth="1"/>
    <col min="9222" max="9222" width="9.42578125" style="121" customWidth="1"/>
    <col min="9223" max="9223" width="10.140625" style="121" bestFit="1" customWidth="1"/>
    <col min="9224" max="9225" width="9.140625" style="121"/>
    <col min="9226" max="9226" width="7.28515625" style="121" customWidth="1"/>
    <col min="9227" max="9232" width="7.42578125" style="121" customWidth="1"/>
    <col min="9233" max="9233" width="9.42578125" style="121" bestFit="1" customWidth="1"/>
    <col min="9234" max="9234" width="12" style="121" bestFit="1" customWidth="1"/>
    <col min="9235" max="9236" width="12" style="121" customWidth="1"/>
    <col min="9237" max="9237" width="13.140625" style="121" bestFit="1" customWidth="1"/>
    <col min="9238" max="9239" width="13.140625" style="121" customWidth="1"/>
    <col min="9240" max="9241" width="14.42578125" style="121" bestFit="1" customWidth="1"/>
    <col min="9242" max="9243" width="9.140625" style="121" customWidth="1"/>
    <col min="9244" max="9244" width="9.5703125" style="121" customWidth="1"/>
    <col min="9245" max="9246" width="9.5703125" style="121" bestFit="1" customWidth="1"/>
    <col min="9247" max="9248" width="10.140625" style="121" bestFit="1" customWidth="1"/>
    <col min="9249" max="9249" width="9.5703125" style="121" bestFit="1" customWidth="1"/>
    <col min="9250" max="9250" width="9.5703125" style="121" customWidth="1"/>
    <col min="9251" max="9251" width="9" style="121" customWidth="1"/>
    <col min="9252" max="9252" width="10.5703125" style="121" bestFit="1" customWidth="1"/>
    <col min="9253" max="9253" width="11.42578125" style="121" bestFit="1" customWidth="1"/>
    <col min="9254" max="9254" width="18" style="121" bestFit="1" customWidth="1"/>
    <col min="9255" max="9472" width="9.140625" style="121"/>
    <col min="9473" max="9473" width="41" style="121" customWidth="1"/>
    <col min="9474" max="9474" width="19.5703125" style="121" bestFit="1" customWidth="1"/>
    <col min="9475" max="9475" width="10.140625" style="121" customWidth="1"/>
    <col min="9476" max="9476" width="10.42578125" style="121" bestFit="1" customWidth="1"/>
    <col min="9477" max="9477" width="11.28515625" style="121" customWidth="1"/>
    <col min="9478" max="9478" width="9.42578125" style="121" customWidth="1"/>
    <col min="9479" max="9479" width="10.140625" style="121" bestFit="1" customWidth="1"/>
    <col min="9480" max="9481" width="9.140625" style="121"/>
    <col min="9482" max="9482" width="7.28515625" style="121" customWidth="1"/>
    <col min="9483" max="9488" width="7.42578125" style="121" customWidth="1"/>
    <col min="9489" max="9489" width="9.42578125" style="121" bestFit="1" customWidth="1"/>
    <col min="9490" max="9490" width="12" style="121" bestFit="1" customWidth="1"/>
    <col min="9491" max="9492" width="12" style="121" customWidth="1"/>
    <col min="9493" max="9493" width="13.140625" style="121" bestFit="1" customWidth="1"/>
    <col min="9494" max="9495" width="13.140625" style="121" customWidth="1"/>
    <col min="9496" max="9497" width="14.42578125" style="121" bestFit="1" customWidth="1"/>
    <col min="9498" max="9499" width="9.140625" style="121" customWidth="1"/>
    <col min="9500" max="9500" width="9.5703125" style="121" customWidth="1"/>
    <col min="9501" max="9502" width="9.5703125" style="121" bestFit="1" customWidth="1"/>
    <col min="9503" max="9504" width="10.140625" style="121" bestFit="1" customWidth="1"/>
    <col min="9505" max="9505" width="9.5703125" style="121" bestFit="1" customWidth="1"/>
    <col min="9506" max="9506" width="9.5703125" style="121" customWidth="1"/>
    <col min="9507" max="9507" width="9" style="121" customWidth="1"/>
    <col min="9508" max="9508" width="10.5703125" style="121" bestFit="1" customWidth="1"/>
    <col min="9509" max="9509" width="11.42578125" style="121" bestFit="1" customWidth="1"/>
    <col min="9510" max="9510" width="18" style="121" bestFit="1" customWidth="1"/>
    <col min="9511" max="9728" width="9.140625" style="121"/>
    <col min="9729" max="9729" width="41" style="121" customWidth="1"/>
    <col min="9730" max="9730" width="19.5703125" style="121" bestFit="1" customWidth="1"/>
    <col min="9731" max="9731" width="10.140625" style="121" customWidth="1"/>
    <col min="9732" max="9732" width="10.42578125" style="121" bestFit="1" customWidth="1"/>
    <col min="9733" max="9733" width="11.28515625" style="121" customWidth="1"/>
    <col min="9734" max="9734" width="9.42578125" style="121" customWidth="1"/>
    <col min="9735" max="9735" width="10.140625" style="121" bestFit="1" customWidth="1"/>
    <col min="9736" max="9737" width="9.140625" style="121"/>
    <col min="9738" max="9738" width="7.28515625" style="121" customWidth="1"/>
    <col min="9739" max="9744" width="7.42578125" style="121" customWidth="1"/>
    <col min="9745" max="9745" width="9.42578125" style="121" bestFit="1" customWidth="1"/>
    <col min="9746" max="9746" width="12" style="121" bestFit="1" customWidth="1"/>
    <col min="9747" max="9748" width="12" style="121" customWidth="1"/>
    <col min="9749" max="9749" width="13.140625" style="121" bestFit="1" customWidth="1"/>
    <col min="9750" max="9751" width="13.140625" style="121" customWidth="1"/>
    <col min="9752" max="9753" width="14.42578125" style="121" bestFit="1" customWidth="1"/>
    <col min="9754" max="9755" width="9.140625" style="121" customWidth="1"/>
    <col min="9756" max="9756" width="9.5703125" style="121" customWidth="1"/>
    <col min="9757" max="9758" width="9.5703125" style="121" bestFit="1" customWidth="1"/>
    <col min="9759" max="9760" width="10.140625" style="121" bestFit="1" customWidth="1"/>
    <col min="9761" max="9761" width="9.5703125" style="121" bestFit="1" customWidth="1"/>
    <col min="9762" max="9762" width="9.5703125" style="121" customWidth="1"/>
    <col min="9763" max="9763" width="9" style="121" customWidth="1"/>
    <col min="9764" max="9764" width="10.5703125" style="121" bestFit="1" customWidth="1"/>
    <col min="9765" max="9765" width="11.42578125" style="121" bestFit="1" customWidth="1"/>
    <col min="9766" max="9766" width="18" style="121" bestFit="1" customWidth="1"/>
    <col min="9767" max="9984" width="9.140625" style="121"/>
    <col min="9985" max="9985" width="41" style="121" customWidth="1"/>
    <col min="9986" max="9986" width="19.5703125" style="121" bestFit="1" customWidth="1"/>
    <col min="9987" max="9987" width="10.140625" style="121" customWidth="1"/>
    <col min="9988" max="9988" width="10.42578125" style="121" bestFit="1" customWidth="1"/>
    <col min="9989" max="9989" width="11.28515625" style="121" customWidth="1"/>
    <col min="9990" max="9990" width="9.42578125" style="121" customWidth="1"/>
    <col min="9991" max="9991" width="10.140625" style="121" bestFit="1" customWidth="1"/>
    <col min="9992" max="9993" width="9.140625" style="121"/>
    <col min="9994" max="9994" width="7.28515625" style="121" customWidth="1"/>
    <col min="9995" max="10000" width="7.42578125" style="121" customWidth="1"/>
    <col min="10001" max="10001" width="9.42578125" style="121" bestFit="1" customWidth="1"/>
    <col min="10002" max="10002" width="12" style="121" bestFit="1" customWidth="1"/>
    <col min="10003" max="10004" width="12" style="121" customWidth="1"/>
    <col min="10005" max="10005" width="13.140625" style="121" bestFit="1" customWidth="1"/>
    <col min="10006" max="10007" width="13.140625" style="121" customWidth="1"/>
    <col min="10008" max="10009" width="14.42578125" style="121" bestFit="1" customWidth="1"/>
    <col min="10010" max="10011" width="9.140625" style="121" customWidth="1"/>
    <col min="10012" max="10012" width="9.5703125" style="121" customWidth="1"/>
    <col min="10013" max="10014" width="9.5703125" style="121" bestFit="1" customWidth="1"/>
    <col min="10015" max="10016" width="10.140625" style="121" bestFit="1" customWidth="1"/>
    <col min="10017" max="10017" width="9.5703125" style="121" bestFit="1" customWidth="1"/>
    <col min="10018" max="10018" width="9.5703125" style="121" customWidth="1"/>
    <col min="10019" max="10019" width="9" style="121" customWidth="1"/>
    <col min="10020" max="10020" width="10.5703125" style="121" bestFit="1" customWidth="1"/>
    <col min="10021" max="10021" width="11.42578125" style="121" bestFit="1" customWidth="1"/>
    <col min="10022" max="10022" width="18" style="121" bestFit="1" customWidth="1"/>
    <col min="10023" max="10240" width="9.140625" style="121"/>
    <col min="10241" max="10241" width="41" style="121" customWidth="1"/>
    <col min="10242" max="10242" width="19.5703125" style="121" bestFit="1" customWidth="1"/>
    <col min="10243" max="10243" width="10.140625" style="121" customWidth="1"/>
    <col min="10244" max="10244" width="10.42578125" style="121" bestFit="1" customWidth="1"/>
    <col min="10245" max="10245" width="11.28515625" style="121" customWidth="1"/>
    <col min="10246" max="10246" width="9.42578125" style="121" customWidth="1"/>
    <col min="10247" max="10247" width="10.140625" style="121" bestFit="1" customWidth="1"/>
    <col min="10248" max="10249" width="9.140625" style="121"/>
    <col min="10250" max="10250" width="7.28515625" style="121" customWidth="1"/>
    <col min="10251" max="10256" width="7.42578125" style="121" customWidth="1"/>
    <col min="10257" max="10257" width="9.42578125" style="121" bestFit="1" customWidth="1"/>
    <col min="10258" max="10258" width="12" style="121" bestFit="1" customWidth="1"/>
    <col min="10259" max="10260" width="12" style="121" customWidth="1"/>
    <col min="10261" max="10261" width="13.140625" style="121" bestFit="1" customWidth="1"/>
    <col min="10262" max="10263" width="13.140625" style="121" customWidth="1"/>
    <col min="10264" max="10265" width="14.42578125" style="121" bestFit="1" customWidth="1"/>
    <col min="10266" max="10267" width="9.140625" style="121" customWidth="1"/>
    <col min="10268" max="10268" width="9.5703125" style="121" customWidth="1"/>
    <col min="10269" max="10270" width="9.5703125" style="121" bestFit="1" customWidth="1"/>
    <col min="10271" max="10272" width="10.140625" style="121" bestFit="1" customWidth="1"/>
    <col min="10273" max="10273" width="9.5703125" style="121" bestFit="1" customWidth="1"/>
    <col min="10274" max="10274" width="9.5703125" style="121" customWidth="1"/>
    <col min="10275" max="10275" width="9" style="121" customWidth="1"/>
    <col min="10276" max="10276" width="10.5703125" style="121" bestFit="1" customWidth="1"/>
    <col min="10277" max="10277" width="11.42578125" style="121" bestFit="1" customWidth="1"/>
    <col min="10278" max="10278" width="18" style="121" bestFit="1" customWidth="1"/>
    <col min="10279" max="10496" width="9.140625" style="121"/>
    <col min="10497" max="10497" width="41" style="121" customWidth="1"/>
    <col min="10498" max="10498" width="19.5703125" style="121" bestFit="1" customWidth="1"/>
    <col min="10499" max="10499" width="10.140625" style="121" customWidth="1"/>
    <col min="10500" max="10500" width="10.42578125" style="121" bestFit="1" customWidth="1"/>
    <col min="10501" max="10501" width="11.28515625" style="121" customWidth="1"/>
    <col min="10502" max="10502" width="9.42578125" style="121" customWidth="1"/>
    <col min="10503" max="10503" width="10.140625" style="121" bestFit="1" customWidth="1"/>
    <col min="10504" max="10505" width="9.140625" style="121"/>
    <col min="10506" max="10506" width="7.28515625" style="121" customWidth="1"/>
    <col min="10507" max="10512" width="7.42578125" style="121" customWidth="1"/>
    <col min="10513" max="10513" width="9.42578125" style="121" bestFit="1" customWidth="1"/>
    <col min="10514" max="10514" width="12" style="121" bestFit="1" customWidth="1"/>
    <col min="10515" max="10516" width="12" style="121" customWidth="1"/>
    <col min="10517" max="10517" width="13.140625" style="121" bestFit="1" customWidth="1"/>
    <col min="10518" max="10519" width="13.140625" style="121" customWidth="1"/>
    <col min="10520" max="10521" width="14.42578125" style="121" bestFit="1" customWidth="1"/>
    <col min="10522" max="10523" width="9.140625" style="121" customWidth="1"/>
    <col min="10524" max="10524" width="9.5703125" style="121" customWidth="1"/>
    <col min="10525" max="10526" width="9.5703125" style="121" bestFit="1" customWidth="1"/>
    <col min="10527" max="10528" width="10.140625" style="121" bestFit="1" customWidth="1"/>
    <col min="10529" max="10529" width="9.5703125" style="121" bestFit="1" customWidth="1"/>
    <col min="10530" max="10530" width="9.5703125" style="121" customWidth="1"/>
    <col min="10531" max="10531" width="9" style="121" customWidth="1"/>
    <col min="10532" max="10532" width="10.5703125" style="121" bestFit="1" customWidth="1"/>
    <col min="10533" max="10533" width="11.42578125" style="121" bestFit="1" customWidth="1"/>
    <col min="10534" max="10534" width="18" style="121" bestFit="1" customWidth="1"/>
    <col min="10535" max="10752" width="9.140625" style="121"/>
    <col min="10753" max="10753" width="41" style="121" customWidth="1"/>
    <col min="10754" max="10754" width="19.5703125" style="121" bestFit="1" customWidth="1"/>
    <col min="10755" max="10755" width="10.140625" style="121" customWidth="1"/>
    <col min="10756" max="10756" width="10.42578125" style="121" bestFit="1" customWidth="1"/>
    <col min="10757" max="10757" width="11.28515625" style="121" customWidth="1"/>
    <col min="10758" max="10758" width="9.42578125" style="121" customWidth="1"/>
    <col min="10759" max="10759" width="10.140625" style="121" bestFit="1" customWidth="1"/>
    <col min="10760" max="10761" width="9.140625" style="121"/>
    <col min="10762" max="10762" width="7.28515625" style="121" customWidth="1"/>
    <col min="10763" max="10768" width="7.42578125" style="121" customWidth="1"/>
    <col min="10769" max="10769" width="9.42578125" style="121" bestFit="1" customWidth="1"/>
    <col min="10770" max="10770" width="12" style="121" bestFit="1" customWidth="1"/>
    <col min="10771" max="10772" width="12" style="121" customWidth="1"/>
    <col min="10773" max="10773" width="13.140625" style="121" bestFit="1" customWidth="1"/>
    <col min="10774" max="10775" width="13.140625" style="121" customWidth="1"/>
    <col min="10776" max="10777" width="14.42578125" style="121" bestFit="1" customWidth="1"/>
    <col min="10778" max="10779" width="9.140625" style="121" customWidth="1"/>
    <col min="10780" max="10780" width="9.5703125" style="121" customWidth="1"/>
    <col min="10781" max="10782" width="9.5703125" style="121" bestFit="1" customWidth="1"/>
    <col min="10783" max="10784" width="10.140625" style="121" bestFit="1" customWidth="1"/>
    <col min="10785" max="10785" width="9.5703125" style="121" bestFit="1" customWidth="1"/>
    <col min="10786" max="10786" width="9.5703125" style="121" customWidth="1"/>
    <col min="10787" max="10787" width="9" style="121" customWidth="1"/>
    <col min="10788" max="10788" width="10.5703125" style="121" bestFit="1" customWidth="1"/>
    <col min="10789" max="10789" width="11.42578125" style="121" bestFit="1" customWidth="1"/>
    <col min="10790" max="10790" width="18" style="121" bestFit="1" customWidth="1"/>
    <col min="10791" max="11008" width="9.140625" style="121"/>
    <col min="11009" max="11009" width="41" style="121" customWidth="1"/>
    <col min="11010" max="11010" width="19.5703125" style="121" bestFit="1" customWidth="1"/>
    <col min="11011" max="11011" width="10.140625" style="121" customWidth="1"/>
    <col min="11012" max="11012" width="10.42578125" style="121" bestFit="1" customWidth="1"/>
    <col min="11013" max="11013" width="11.28515625" style="121" customWidth="1"/>
    <col min="11014" max="11014" width="9.42578125" style="121" customWidth="1"/>
    <col min="11015" max="11015" width="10.140625" style="121" bestFit="1" customWidth="1"/>
    <col min="11016" max="11017" width="9.140625" style="121"/>
    <col min="11018" max="11018" width="7.28515625" style="121" customWidth="1"/>
    <col min="11019" max="11024" width="7.42578125" style="121" customWidth="1"/>
    <col min="11025" max="11025" width="9.42578125" style="121" bestFit="1" customWidth="1"/>
    <col min="11026" max="11026" width="12" style="121" bestFit="1" customWidth="1"/>
    <col min="11027" max="11028" width="12" style="121" customWidth="1"/>
    <col min="11029" max="11029" width="13.140625" style="121" bestFit="1" customWidth="1"/>
    <col min="11030" max="11031" width="13.140625" style="121" customWidth="1"/>
    <col min="11032" max="11033" width="14.42578125" style="121" bestFit="1" customWidth="1"/>
    <col min="11034" max="11035" width="9.140625" style="121" customWidth="1"/>
    <col min="11036" max="11036" width="9.5703125" style="121" customWidth="1"/>
    <col min="11037" max="11038" width="9.5703125" style="121" bestFit="1" customWidth="1"/>
    <col min="11039" max="11040" width="10.140625" style="121" bestFit="1" customWidth="1"/>
    <col min="11041" max="11041" width="9.5703125" style="121" bestFit="1" customWidth="1"/>
    <col min="11042" max="11042" width="9.5703125" style="121" customWidth="1"/>
    <col min="11043" max="11043" width="9" style="121" customWidth="1"/>
    <col min="11044" max="11044" width="10.5703125" style="121" bestFit="1" customWidth="1"/>
    <col min="11045" max="11045" width="11.42578125" style="121" bestFit="1" customWidth="1"/>
    <col min="11046" max="11046" width="18" style="121" bestFit="1" customWidth="1"/>
    <col min="11047" max="11264" width="9.140625" style="121"/>
    <col min="11265" max="11265" width="41" style="121" customWidth="1"/>
    <col min="11266" max="11266" width="19.5703125" style="121" bestFit="1" customWidth="1"/>
    <col min="11267" max="11267" width="10.140625" style="121" customWidth="1"/>
    <col min="11268" max="11268" width="10.42578125" style="121" bestFit="1" customWidth="1"/>
    <col min="11269" max="11269" width="11.28515625" style="121" customWidth="1"/>
    <col min="11270" max="11270" width="9.42578125" style="121" customWidth="1"/>
    <col min="11271" max="11271" width="10.140625" style="121" bestFit="1" customWidth="1"/>
    <col min="11272" max="11273" width="9.140625" style="121"/>
    <col min="11274" max="11274" width="7.28515625" style="121" customWidth="1"/>
    <col min="11275" max="11280" width="7.42578125" style="121" customWidth="1"/>
    <col min="11281" max="11281" width="9.42578125" style="121" bestFit="1" customWidth="1"/>
    <col min="11282" max="11282" width="12" style="121" bestFit="1" customWidth="1"/>
    <col min="11283" max="11284" width="12" style="121" customWidth="1"/>
    <col min="11285" max="11285" width="13.140625" style="121" bestFit="1" customWidth="1"/>
    <col min="11286" max="11287" width="13.140625" style="121" customWidth="1"/>
    <col min="11288" max="11289" width="14.42578125" style="121" bestFit="1" customWidth="1"/>
    <col min="11290" max="11291" width="9.140625" style="121" customWidth="1"/>
    <col min="11292" max="11292" width="9.5703125" style="121" customWidth="1"/>
    <col min="11293" max="11294" width="9.5703125" style="121" bestFit="1" customWidth="1"/>
    <col min="11295" max="11296" width="10.140625" style="121" bestFit="1" customWidth="1"/>
    <col min="11297" max="11297" width="9.5703125" style="121" bestFit="1" customWidth="1"/>
    <col min="11298" max="11298" width="9.5703125" style="121" customWidth="1"/>
    <col min="11299" max="11299" width="9" style="121" customWidth="1"/>
    <col min="11300" max="11300" width="10.5703125" style="121" bestFit="1" customWidth="1"/>
    <col min="11301" max="11301" width="11.42578125" style="121" bestFit="1" customWidth="1"/>
    <col min="11302" max="11302" width="18" style="121" bestFit="1" customWidth="1"/>
    <col min="11303" max="11520" width="9.140625" style="121"/>
    <col min="11521" max="11521" width="41" style="121" customWidth="1"/>
    <col min="11522" max="11522" width="19.5703125" style="121" bestFit="1" customWidth="1"/>
    <col min="11523" max="11523" width="10.140625" style="121" customWidth="1"/>
    <col min="11524" max="11524" width="10.42578125" style="121" bestFit="1" customWidth="1"/>
    <col min="11525" max="11525" width="11.28515625" style="121" customWidth="1"/>
    <col min="11526" max="11526" width="9.42578125" style="121" customWidth="1"/>
    <col min="11527" max="11527" width="10.140625" style="121" bestFit="1" customWidth="1"/>
    <col min="11528" max="11529" width="9.140625" style="121"/>
    <col min="11530" max="11530" width="7.28515625" style="121" customWidth="1"/>
    <col min="11531" max="11536" width="7.42578125" style="121" customWidth="1"/>
    <col min="11537" max="11537" width="9.42578125" style="121" bestFit="1" customWidth="1"/>
    <col min="11538" max="11538" width="12" style="121" bestFit="1" customWidth="1"/>
    <col min="11539" max="11540" width="12" style="121" customWidth="1"/>
    <col min="11541" max="11541" width="13.140625" style="121" bestFit="1" customWidth="1"/>
    <col min="11542" max="11543" width="13.140625" style="121" customWidth="1"/>
    <col min="11544" max="11545" width="14.42578125" style="121" bestFit="1" customWidth="1"/>
    <col min="11546" max="11547" width="9.140625" style="121" customWidth="1"/>
    <col min="11548" max="11548" width="9.5703125" style="121" customWidth="1"/>
    <col min="11549" max="11550" width="9.5703125" style="121" bestFit="1" customWidth="1"/>
    <col min="11551" max="11552" width="10.140625" style="121" bestFit="1" customWidth="1"/>
    <col min="11553" max="11553" width="9.5703125" style="121" bestFit="1" customWidth="1"/>
    <col min="11554" max="11554" width="9.5703125" style="121" customWidth="1"/>
    <col min="11555" max="11555" width="9" style="121" customWidth="1"/>
    <col min="11556" max="11556" width="10.5703125" style="121" bestFit="1" customWidth="1"/>
    <col min="11557" max="11557" width="11.42578125" style="121" bestFit="1" customWidth="1"/>
    <col min="11558" max="11558" width="18" style="121" bestFit="1" customWidth="1"/>
    <col min="11559" max="11776" width="9.140625" style="121"/>
    <col min="11777" max="11777" width="41" style="121" customWidth="1"/>
    <col min="11778" max="11778" width="19.5703125" style="121" bestFit="1" customWidth="1"/>
    <col min="11779" max="11779" width="10.140625" style="121" customWidth="1"/>
    <col min="11780" max="11780" width="10.42578125" style="121" bestFit="1" customWidth="1"/>
    <col min="11781" max="11781" width="11.28515625" style="121" customWidth="1"/>
    <col min="11782" max="11782" width="9.42578125" style="121" customWidth="1"/>
    <col min="11783" max="11783" width="10.140625" style="121" bestFit="1" customWidth="1"/>
    <col min="11784" max="11785" width="9.140625" style="121"/>
    <col min="11786" max="11786" width="7.28515625" style="121" customWidth="1"/>
    <col min="11787" max="11792" width="7.42578125" style="121" customWidth="1"/>
    <col min="11793" max="11793" width="9.42578125" style="121" bestFit="1" customWidth="1"/>
    <col min="11794" max="11794" width="12" style="121" bestFit="1" customWidth="1"/>
    <col min="11795" max="11796" width="12" style="121" customWidth="1"/>
    <col min="11797" max="11797" width="13.140625" style="121" bestFit="1" customWidth="1"/>
    <col min="11798" max="11799" width="13.140625" style="121" customWidth="1"/>
    <col min="11800" max="11801" width="14.42578125" style="121" bestFit="1" customWidth="1"/>
    <col min="11802" max="11803" width="9.140625" style="121" customWidth="1"/>
    <col min="11804" max="11804" width="9.5703125" style="121" customWidth="1"/>
    <col min="11805" max="11806" width="9.5703125" style="121" bestFit="1" customWidth="1"/>
    <col min="11807" max="11808" width="10.140625" style="121" bestFit="1" customWidth="1"/>
    <col min="11809" max="11809" width="9.5703125" style="121" bestFit="1" customWidth="1"/>
    <col min="11810" max="11810" width="9.5703125" style="121" customWidth="1"/>
    <col min="11811" max="11811" width="9" style="121" customWidth="1"/>
    <col min="11812" max="11812" width="10.5703125" style="121" bestFit="1" customWidth="1"/>
    <col min="11813" max="11813" width="11.42578125" style="121" bestFit="1" customWidth="1"/>
    <col min="11814" max="11814" width="18" style="121" bestFit="1" customWidth="1"/>
    <col min="11815" max="12032" width="9.140625" style="121"/>
    <col min="12033" max="12033" width="41" style="121" customWidth="1"/>
    <col min="12034" max="12034" width="19.5703125" style="121" bestFit="1" customWidth="1"/>
    <col min="12035" max="12035" width="10.140625" style="121" customWidth="1"/>
    <col min="12036" max="12036" width="10.42578125" style="121" bestFit="1" customWidth="1"/>
    <col min="12037" max="12037" width="11.28515625" style="121" customWidth="1"/>
    <col min="12038" max="12038" width="9.42578125" style="121" customWidth="1"/>
    <col min="12039" max="12039" width="10.140625" style="121" bestFit="1" customWidth="1"/>
    <col min="12040" max="12041" width="9.140625" style="121"/>
    <col min="12042" max="12042" width="7.28515625" style="121" customWidth="1"/>
    <col min="12043" max="12048" width="7.42578125" style="121" customWidth="1"/>
    <col min="12049" max="12049" width="9.42578125" style="121" bestFit="1" customWidth="1"/>
    <col min="12050" max="12050" width="12" style="121" bestFit="1" customWidth="1"/>
    <col min="12051" max="12052" width="12" style="121" customWidth="1"/>
    <col min="12053" max="12053" width="13.140625" style="121" bestFit="1" customWidth="1"/>
    <col min="12054" max="12055" width="13.140625" style="121" customWidth="1"/>
    <col min="12056" max="12057" width="14.42578125" style="121" bestFit="1" customWidth="1"/>
    <col min="12058" max="12059" width="9.140625" style="121" customWidth="1"/>
    <col min="12060" max="12060" width="9.5703125" style="121" customWidth="1"/>
    <col min="12061" max="12062" width="9.5703125" style="121" bestFit="1" customWidth="1"/>
    <col min="12063" max="12064" width="10.140625" style="121" bestFit="1" customWidth="1"/>
    <col min="12065" max="12065" width="9.5703125" style="121" bestFit="1" customWidth="1"/>
    <col min="12066" max="12066" width="9.5703125" style="121" customWidth="1"/>
    <col min="12067" max="12067" width="9" style="121" customWidth="1"/>
    <col min="12068" max="12068" width="10.5703125" style="121" bestFit="1" customWidth="1"/>
    <col min="12069" max="12069" width="11.42578125" style="121" bestFit="1" customWidth="1"/>
    <col min="12070" max="12070" width="18" style="121" bestFit="1" customWidth="1"/>
    <col min="12071" max="12288" width="9.140625" style="121"/>
    <col min="12289" max="12289" width="41" style="121" customWidth="1"/>
    <col min="12290" max="12290" width="19.5703125" style="121" bestFit="1" customWidth="1"/>
    <col min="12291" max="12291" width="10.140625" style="121" customWidth="1"/>
    <col min="12292" max="12292" width="10.42578125" style="121" bestFit="1" customWidth="1"/>
    <col min="12293" max="12293" width="11.28515625" style="121" customWidth="1"/>
    <col min="12294" max="12294" width="9.42578125" style="121" customWidth="1"/>
    <col min="12295" max="12295" width="10.140625" style="121" bestFit="1" customWidth="1"/>
    <col min="12296" max="12297" width="9.140625" style="121"/>
    <col min="12298" max="12298" width="7.28515625" style="121" customWidth="1"/>
    <col min="12299" max="12304" width="7.42578125" style="121" customWidth="1"/>
    <col min="12305" max="12305" width="9.42578125" style="121" bestFit="1" customWidth="1"/>
    <col min="12306" max="12306" width="12" style="121" bestFit="1" customWidth="1"/>
    <col min="12307" max="12308" width="12" style="121" customWidth="1"/>
    <col min="12309" max="12309" width="13.140625" style="121" bestFit="1" customWidth="1"/>
    <col min="12310" max="12311" width="13.140625" style="121" customWidth="1"/>
    <col min="12312" max="12313" width="14.42578125" style="121" bestFit="1" customWidth="1"/>
    <col min="12314" max="12315" width="9.140625" style="121" customWidth="1"/>
    <col min="12316" max="12316" width="9.5703125" style="121" customWidth="1"/>
    <col min="12317" max="12318" width="9.5703125" style="121" bestFit="1" customWidth="1"/>
    <col min="12319" max="12320" width="10.140625" style="121" bestFit="1" customWidth="1"/>
    <col min="12321" max="12321" width="9.5703125" style="121" bestFit="1" customWidth="1"/>
    <col min="12322" max="12322" width="9.5703125" style="121" customWidth="1"/>
    <col min="12323" max="12323" width="9" style="121" customWidth="1"/>
    <col min="12324" max="12324" width="10.5703125" style="121" bestFit="1" customWidth="1"/>
    <col min="12325" max="12325" width="11.42578125" style="121" bestFit="1" customWidth="1"/>
    <col min="12326" max="12326" width="18" style="121" bestFit="1" customWidth="1"/>
    <col min="12327" max="12544" width="9.140625" style="121"/>
    <col min="12545" max="12545" width="41" style="121" customWidth="1"/>
    <col min="12546" max="12546" width="19.5703125" style="121" bestFit="1" customWidth="1"/>
    <col min="12547" max="12547" width="10.140625" style="121" customWidth="1"/>
    <col min="12548" max="12548" width="10.42578125" style="121" bestFit="1" customWidth="1"/>
    <col min="12549" max="12549" width="11.28515625" style="121" customWidth="1"/>
    <col min="12550" max="12550" width="9.42578125" style="121" customWidth="1"/>
    <col min="12551" max="12551" width="10.140625" style="121" bestFit="1" customWidth="1"/>
    <col min="12552" max="12553" width="9.140625" style="121"/>
    <col min="12554" max="12554" width="7.28515625" style="121" customWidth="1"/>
    <col min="12555" max="12560" width="7.42578125" style="121" customWidth="1"/>
    <col min="12561" max="12561" width="9.42578125" style="121" bestFit="1" customWidth="1"/>
    <col min="12562" max="12562" width="12" style="121" bestFit="1" customWidth="1"/>
    <col min="12563" max="12564" width="12" style="121" customWidth="1"/>
    <col min="12565" max="12565" width="13.140625" style="121" bestFit="1" customWidth="1"/>
    <col min="12566" max="12567" width="13.140625" style="121" customWidth="1"/>
    <col min="12568" max="12569" width="14.42578125" style="121" bestFit="1" customWidth="1"/>
    <col min="12570" max="12571" width="9.140625" style="121" customWidth="1"/>
    <col min="12572" max="12572" width="9.5703125" style="121" customWidth="1"/>
    <col min="12573" max="12574" width="9.5703125" style="121" bestFit="1" customWidth="1"/>
    <col min="12575" max="12576" width="10.140625" style="121" bestFit="1" customWidth="1"/>
    <col min="12577" max="12577" width="9.5703125" style="121" bestFit="1" customWidth="1"/>
    <col min="12578" max="12578" width="9.5703125" style="121" customWidth="1"/>
    <col min="12579" max="12579" width="9" style="121" customWidth="1"/>
    <col min="12580" max="12580" width="10.5703125" style="121" bestFit="1" customWidth="1"/>
    <col min="12581" max="12581" width="11.42578125" style="121" bestFit="1" customWidth="1"/>
    <col min="12582" max="12582" width="18" style="121" bestFit="1" customWidth="1"/>
    <col min="12583" max="12800" width="9.140625" style="121"/>
    <col min="12801" max="12801" width="41" style="121" customWidth="1"/>
    <col min="12802" max="12802" width="19.5703125" style="121" bestFit="1" customWidth="1"/>
    <col min="12803" max="12803" width="10.140625" style="121" customWidth="1"/>
    <col min="12804" max="12804" width="10.42578125" style="121" bestFit="1" customWidth="1"/>
    <col min="12805" max="12805" width="11.28515625" style="121" customWidth="1"/>
    <col min="12806" max="12806" width="9.42578125" style="121" customWidth="1"/>
    <col min="12807" max="12807" width="10.140625" style="121" bestFit="1" customWidth="1"/>
    <col min="12808" max="12809" width="9.140625" style="121"/>
    <col min="12810" max="12810" width="7.28515625" style="121" customWidth="1"/>
    <col min="12811" max="12816" width="7.42578125" style="121" customWidth="1"/>
    <col min="12817" max="12817" width="9.42578125" style="121" bestFit="1" customWidth="1"/>
    <col min="12818" max="12818" width="12" style="121" bestFit="1" customWidth="1"/>
    <col min="12819" max="12820" width="12" style="121" customWidth="1"/>
    <col min="12821" max="12821" width="13.140625" style="121" bestFit="1" customWidth="1"/>
    <col min="12822" max="12823" width="13.140625" style="121" customWidth="1"/>
    <col min="12824" max="12825" width="14.42578125" style="121" bestFit="1" customWidth="1"/>
    <col min="12826" max="12827" width="9.140625" style="121" customWidth="1"/>
    <col min="12828" max="12828" width="9.5703125" style="121" customWidth="1"/>
    <col min="12829" max="12830" width="9.5703125" style="121" bestFit="1" customWidth="1"/>
    <col min="12831" max="12832" width="10.140625" style="121" bestFit="1" customWidth="1"/>
    <col min="12833" max="12833" width="9.5703125" style="121" bestFit="1" customWidth="1"/>
    <col min="12834" max="12834" width="9.5703125" style="121" customWidth="1"/>
    <col min="12835" max="12835" width="9" style="121" customWidth="1"/>
    <col min="12836" max="12836" width="10.5703125" style="121" bestFit="1" customWidth="1"/>
    <col min="12837" max="12837" width="11.42578125" style="121" bestFit="1" customWidth="1"/>
    <col min="12838" max="12838" width="18" style="121" bestFit="1" customWidth="1"/>
    <col min="12839" max="13056" width="9.140625" style="121"/>
    <col min="13057" max="13057" width="41" style="121" customWidth="1"/>
    <col min="13058" max="13058" width="19.5703125" style="121" bestFit="1" customWidth="1"/>
    <col min="13059" max="13059" width="10.140625" style="121" customWidth="1"/>
    <col min="13060" max="13060" width="10.42578125" style="121" bestFit="1" customWidth="1"/>
    <col min="13061" max="13061" width="11.28515625" style="121" customWidth="1"/>
    <col min="13062" max="13062" width="9.42578125" style="121" customWidth="1"/>
    <col min="13063" max="13063" width="10.140625" style="121" bestFit="1" customWidth="1"/>
    <col min="13064" max="13065" width="9.140625" style="121"/>
    <col min="13066" max="13066" width="7.28515625" style="121" customWidth="1"/>
    <col min="13067" max="13072" width="7.42578125" style="121" customWidth="1"/>
    <col min="13073" max="13073" width="9.42578125" style="121" bestFit="1" customWidth="1"/>
    <col min="13074" max="13074" width="12" style="121" bestFit="1" customWidth="1"/>
    <col min="13075" max="13076" width="12" style="121" customWidth="1"/>
    <col min="13077" max="13077" width="13.140625" style="121" bestFit="1" customWidth="1"/>
    <col min="13078" max="13079" width="13.140625" style="121" customWidth="1"/>
    <col min="13080" max="13081" width="14.42578125" style="121" bestFit="1" customWidth="1"/>
    <col min="13082" max="13083" width="9.140625" style="121" customWidth="1"/>
    <col min="13084" max="13084" width="9.5703125" style="121" customWidth="1"/>
    <col min="13085" max="13086" width="9.5703125" style="121" bestFit="1" customWidth="1"/>
    <col min="13087" max="13088" width="10.140625" style="121" bestFit="1" customWidth="1"/>
    <col min="13089" max="13089" width="9.5703125" style="121" bestFit="1" customWidth="1"/>
    <col min="13090" max="13090" width="9.5703125" style="121" customWidth="1"/>
    <col min="13091" max="13091" width="9" style="121" customWidth="1"/>
    <col min="13092" max="13092" width="10.5703125" style="121" bestFit="1" customWidth="1"/>
    <col min="13093" max="13093" width="11.42578125" style="121" bestFit="1" customWidth="1"/>
    <col min="13094" max="13094" width="18" style="121" bestFit="1" customWidth="1"/>
    <col min="13095" max="13312" width="9.140625" style="121"/>
    <col min="13313" max="13313" width="41" style="121" customWidth="1"/>
    <col min="13314" max="13314" width="19.5703125" style="121" bestFit="1" customWidth="1"/>
    <col min="13315" max="13315" width="10.140625" style="121" customWidth="1"/>
    <col min="13316" max="13316" width="10.42578125" style="121" bestFit="1" customWidth="1"/>
    <col min="13317" max="13317" width="11.28515625" style="121" customWidth="1"/>
    <col min="13318" max="13318" width="9.42578125" style="121" customWidth="1"/>
    <col min="13319" max="13319" width="10.140625" style="121" bestFit="1" customWidth="1"/>
    <col min="13320" max="13321" width="9.140625" style="121"/>
    <col min="13322" max="13322" width="7.28515625" style="121" customWidth="1"/>
    <col min="13323" max="13328" width="7.42578125" style="121" customWidth="1"/>
    <col min="13329" max="13329" width="9.42578125" style="121" bestFit="1" customWidth="1"/>
    <col min="13330" max="13330" width="12" style="121" bestFit="1" customWidth="1"/>
    <col min="13331" max="13332" width="12" style="121" customWidth="1"/>
    <col min="13333" max="13333" width="13.140625" style="121" bestFit="1" customWidth="1"/>
    <col min="13334" max="13335" width="13.140625" style="121" customWidth="1"/>
    <col min="13336" max="13337" width="14.42578125" style="121" bestFit="1" customWidth="1"/>
    <col min="13338" max="13339" width="9.140625" style="121" customWidth="1"/>
    <col min="13340" max="13340" width="9.5703125" style="121" customWidth="1"/>
    <col min="13341" max="13342" width="9.5703125" style="121" bestFit="1" customWidth="1"/>
    <col min="13343" max="13344" width="10.140625" style="121" bestFit="1" customWidth="1"/>
    <col min="13345" max="13345" width="9.5703125" style="121" bestFit="1" customWidth="1"/>
    <col min="13346" max="13346" width="9.5703125" style="121" customWidth="1"/>
    <col min="13347" max="13347" width="9" style="121" customWidth="1"/>
    <col min="13348" max="13348" width="10.5703125" style="121" bestFit="1" customWidth="1"/>
    <col min="13349" max="13349" width="11.42578125" style="121" bestFit="1" customWidth="1"/>
    <col min="13350" max="13350" width="18" style="121" bestFit="1" customWidth="1"/>
    <col min="13351" max="13568" width="9.140625" style="121"/>
    <col min="13569" max="13569" width="41" style="121" customWidth="1"/>
    <col min="13570" max="13570" width="19.5703125" style="121" bestFit="1" customWidth="1"/>
    <col min="13571" max="13571" width="10.140625" style="121" customWidth="1"/>
    <col min="13572" max="13572" width="10.42578125" style="121" bestFit="1" customWidth="1"/>
    <col min="13573" max="13573" width="11.28515625" style="121" customWidth="1"/>
    <col min="13574" max="13574" width="9.42578125" style="121" customWidth="1"/>
    <col min="13575" max="13575" width="10.140625" style="121" bestFit="1" customWidth="1"/>
    <col min="13576" max="13577" width="9.140625" style="121"/>
    <col min="13578" max="13578" width="7.28515625" style="121" customWidth="1"/>
    <col min="13579" max="13584" width="7.42578125" style="121" customWidth="1"/>
    <col min="13585" max="13585" width="9.42578125" style="121" bestFit="1" customWidth="1"/>
    <col min="13586" max="13586" width="12" style="121" bestFit="1" customWidth="1"/>
    <col min="13587" max="13588" width="12" style="121" customWidth="1"/>
    <col min="13589" max="13589" width="13.140625" style="121" bestFit="1" customWidth="1"/>
    <col min="13590" max="13591" width="13.140625" style="121" customWidth="1"/>
    <col min="13592" max="13593" width="14.42578125" style="121" bestFit="1" customWidth="1"/>
    <col min="13594" max="13595" width="9.140625" style="121" customWidth="1"/>
    <col min="13596" max="13596" width="9.5703125" style="121" customWidth="1"/>
    <col min="13597" max="13598" width="9.5703125" style="121" bestFit="1" customWidth="1"/>
    <col min="13599" max="13600" width="10.140625" style="121" bestFit="1" customWidth="1"/>
    <col min="13601" max="13601" width="9.5703125" style="121" bestFit="1" customWidth="1"/>
    <col min="13602" max="13602" width="9.5703125" style="121" customWidth="1"/>
    <col min="13603" max="13603" width="9" style="121" customWidth="1"/>
    <col min="13604" max="13604" width="10.5703125" style="121" bestFit="1" customWidth="1"/>
    <col min="13605" max="13605" width="11.42578125" style="121" bestFit="1" customWidth="1"/>
    <col min="13606" max="13606" width="18" style="121" bestFit="1" customWidth="1"/>
    <col min="13607" max="13824" width="9.140625" style="121"/>
    <col min="13825" max="13825" width="41" style="121" customWidth="1"/>
    <col min="13826" max="13826" width="19.5703125" style="121" bestFit="1" customWidth="1"/>
    <col min="13827" max="13827" width="10.140625" style="121" customWidth="1"/>
    <col min="13828" max="13828" width="10.42578125" style="121" bestFit="1" customWidth="1"/>
    <col min="13829" max="13829" width="11.28515625" style="121" customWidth="1"/>
    <col min="13830" max="13830" width="9.42578125" style="121" customWidth="1"/>
    <col min="13831" max="13831" width="10.140625" style="121" bestFit="1" customWidth="1"/>
    <col min="13832" max="13833" width="9.140625" style="121"/>
    <col min="13834" max="13834" width="7.28515625" style="121" customWidth="1"/>
    <col min="13835" max="13840" width="7.42578125" style="121" customWidth="1"/>
    <col min="13841" max="13841" width="9.42578125" style="121" bestFit="1" customWidth="1"/>
    <col min="13842" max="13842" width="12" style="121" bestFit="1" customWidth="1"/>
    <col min="13843" max="13844" width="12" style="121" customWidth="1"/>
    <col min="13845" max="13845" width="13.140625" style="121" bestFit="1" customWidth="1"/>
    <col min="13846" max="13847" width="13.140625" style="121" customWidth="1"/>
    <col min="13848" max="13849" width="14.42578125" style="121" bestFit="1" customWidth="1"/>
    <col min="13850" max="13851" width="9.140625" style="121" customWidth="1"/>
    <col min="13852" max="13852" width="9.5703125" style="121" customWidth="1"/>
    <col min="13853" max="13854" width="9.5703125" style="121" bestFit="1" customWidth="1"/>
    <col min="13855" max="13856" width="10.140625" style="121" bestFit="1" customWidth="1"/>
    <col min="13857" max="13857" width="9.5703125" style="121" bestFit="1" customWidth="1"/>
    <col min="13858" max="13858" width="9.5703125" style="121" customWidth="1"/>
    <col min="13859" max="13859" width="9" style="121" customWidth="1"/>
    <col min="13860" max="13860" width="10.5703125" style="121" bestFit="1" customWidth="1"/>
    <col min="13861" max="13861" width="11.42578125" style="121" bestFit="1" customWidth="1"/>
    <col min="13862" max="13862" width="18" style="121" bestFit="1" customWidth="1"/>
    <col min="13863" max="14080" width="9.140625" style="121"/>
    <col min="14081" max="14081" width="41" style="121" customWidth="1"/>
    <col min="14082" max="14082" width="19.5703125" style="121" bestFit="1" customWidth="1"/>
    <col min="14083" max="14083" width="10.140625" style="121" customWidth="1"/>
    <col min="14084" max="14084" width="10.42578125" style="121" bestFit="1" customWidth="1"/>
    <col min="14085" max="14085" width="11.28515625" style="121" customWidth="1"/>
    <col min="14086" max="14086" width="9.42578125" style="121" customWidth="1"/>
    <col min="14087" max="14087" width="10.140625" style="121" bestFit="1" customWidth="1"/>
    <col min="14088" max="14089" width="9.140625" style="121"/>
    <col min="14090" max="14090" width="7.28515625" style="121" customWidth="1"/>
    <col min="14091" max="14096" width="7.42578125" style="121" customWidth="1"/>
    <col min="14097" max="14097" width="9.42578125" style="121" bestFit="1" customWidth="1"/>
    <col min="14098" max="14098" width="12" style="121" bestFit="1" customWidth="1"/>
    <col min="14099" max="14100" width="12" style="121" customWidth="1"/>
    <col min="14101" max="14101" width="13.140625" style="121" bestFit="1" customWidth="1"/>
    <col min="14102" max="14103" width="13.140625" style="121" customWidth="1"/>
    <col min="14104" max="14105" width="14.42578125" style="121" bestFit="1" customWidth="1"/>
    <col min="14106" max="14107" width="9.140625" style="121" customWidth="1"/>
    <col min="14108" max="14108" width="9.5703125" style="121" customWidth="1"/>
    <col min="14109" max="14110" width="9.5703125" style="121" bestFit="1" customWidth="1"/>
    <col min="14111" max="14112" width="10.140625" style="121" bestFit="1" customWidth="1"/>
    <col min="14113" max="14113" width="9.5703125" style="121" bestFit="1" customWidth="1"/>
    <col min="14114" max="14114" width="9.5703125" style="121" customWidth="1"/>
    <col min="14115" max="14115" width="9" style="121" customWidth="1"/>
    <col min="14116" max="14116" width="10.5703125" style="121" bestFit="1" customWidth="1"/>
    <col min="14117" max="14117" width="11.42578125" style="121" bestFit="1" customWidth="1"/>
    <col min="14118" max="14118" width="18" style="121" bestFit="1" customWidth="1"/>
    <col min="14119" max="14336" width="9.140625" style="121"/>
    <col min="14337" max="14337" width="41" style="121" customWidth="1"/>
    <col min="14338" max="14338" width="19.5703125" style="121" bestFit="1" customWidth="1"/>
    <col min="14339" max="14339" width="10.140625" style="121" customWidth="1"/>
    <col min="14340" max="14340" width="10.42578125" style="121" bestFit="1" customWidth="1"/>
    <col min="14341" max="14341" width="11.28515625" style="121" customWidth="1"/>
    <col min="14342" max="14342" width="9.42578125" style="121" customWidth="1"/>
    <col min="14343" max="14343" width="10.140625" style="121" bestFit="1" customWidth="1"/>
    <col min="14344" max="14345" width="9.140625" style="121"/>
    <col min="14346" max="14346" width="7.28515625" style="121" customWidth="1"/>
    <col min="14347" max="14352" width="7.42578125" style="121" customWidth="1"/>
    <col min="14353" max="14353" width="9.42578125" style="121" bestFit="1" customWidth="1"/>
    <col min="14354" max="14354" width="12" style="121" bestFit="1" customWidth="1"/>
    <col min="14355" max="14356" width="12" style="121" customWidth="1"/>
    <col min="14357" max="14357" width="13.140625" style="121" bestFit="1" customWidth="1"/>
    <col min="14358" max="14359" width="13.140625" style="121" customWidth="1"/>
    <col min="14360" max="14361" width="14.42578125" style="121" bestFit="1" customWidth="1"/>
    <col min="14362" max="14363" width="9.140625" style="121" customWidth="1"/>
    <col min="14364" max="14364" width="9.5703125" style="121" customWidth="1"/>
    <col min="14365" max="14366" width="9.5703125" style="121" bestFit="1" customWidth="1"/>
    <col min="14367" max="14368" width="10.140625" style="121" bestFit="1" customWidth="1"/>
    <col min="14369" max="14369" width="9.5703125" style="121" bestFit="1" customWidth="1"/>
    <col min="14370" max="14370" width="9.5703125" style="121" customWidth="1"/>
    <col min="14371" max="14371" width="9" style="121" customWidth="1"/>
    <col min="14372" max="14372" width="10.5703125" style="121" bestFit="1" customWidth="1"/>
    <col min="14373" max="14373" width="11.42578125" style="121" bestFit="1" customWidth="1"/>
    <col min="14374" max="14374" width="18" style="121" bestFit="1" customWidth="1"/>
    <col min="14375" max="14592" width="9.140625" style="121"/>
    <col min="14593" max="14593" width="41" style="121" customWidth="1"/>
    <col min="14594" max="14594" width="19.5703125" style="121" bestFit="1" customWidth="1"/>
    <col min="14595" max="14595" width="10.140625" style="121" customWidth="1"/>
    <col min="14596" max="14596" width="10.42578125" style="121" bestFit="1" customWidth="1"/>
    <col min="14597" max="14597" width="11.28515625" style="121" customWidth="1"/>
    <col min="14598" max="14598" width="9.42578125" style="121" customWidth="1"/>
    <col min="14599" max="14599" width="10.140625" style="121" bestFit="1" customWidth="1"/>
    <col min="14600" max="14601" width="9.140625" style="121"/>
    <col min="14602" max="14602" width="7.28515625" style="121" customWidth="1"/>
    <col min="14603" max="14608" width="7.42578125" style="121" customWidth="1"/>
    <col min="14609" max="14609" width="9.42578125" style="121" bestFit="1" customWidth="1"/>
    <col min="14610" max="14610" width="12" style="121" bestFit="1" customWidth="1"/>
    <col min="14611" max="14612" width="12" style="121" customWidth="1"/>
    <col min="14613" max="14613" width="13.140625" style="121" bestFit="1" customWidth="1"/>
    <col min="14614" max="14615" width="13.140625" style="121" customWidth="1"/>
    <col min="14616" max="14617" width="14.42578125" style="121" bestFit="1" customWidth="1"/>
    <col min="14618" max="14619" width="9.140625" style="121" customWidth="1"/>
    <col min="14620" max="14620" width="9.5703125" style="121" customWidth="1"/>
    <col min="14621" max="14622" width="9.5703125" style="121" bestFit="1" customWidth="1"/>
    <col min="14623" max="14624" width="10.140625" style="121" bestFit="1" customWidth="1"/>
    <col min="14625" max="14625" width="9.5703125" style="121" bestFit="1" customWidth="1"/>
    <col min="14626" max="14626" width="9.5703125" style="121" customWidth="1"/>
    <col min="14627" max="14627" width="9" style="121" customWidth="1"/>
    <col min="14628" max="14628" width="10.5703125" style="121" bestFit="1" customWidth="1"/>
    <col min="14629" max="14629" width="11.42578125" style="121" bestFit="1" customWidth="1"/>
    <col min="14630" max="14630" width="18" style="121" bestFit="1" customWidth="1"/>
    <col min="14631" max="14848" width="9.140625" style="121"/>
    <col min="14849" max="14849" width="41" style="121" customWidth="1"/>
    <col min="14850" max="14850" width="19.5703125" style="121" bestFit="1" customWidth="1"/>
    <col min="14851" max="14851" width="10.140625" style="121" customWidth="1"/>
    <col min="14852" max="14852" width="10.42578125" style="121" bestFit="1" customWidth="1"/>
    <col min="14853" max="14853" width="11.28515625" style="121" customWidth="1"/>
    <col min="14854" max="14854" width="9.42578125" style="121" customWidth="1"/>
    <col min="14855" max="14855" width="10.140625" style="121" bestFit="1" customWidth="1"/>
    <col min="14856" max="14857" width="9.140625" style="121"/>
    <col min="14858" max="14858" width="7.28515625" style="121" customWidth="1"/>
    <col min="14859" max="14864" width="7.42578125" style="121" customWidth="1"/>
    <col min="14865" max="14865" width="9.42578125" style="121" bestFit="1" customWidth="1"/>
    <col min="14866" max="14866" width="12" style="121" bestFit="1" customWidth="1"/>
    <col min="14867" max="14868" width="12" style="121" customWidth="1"/>
    <col min="14869" max="14869" width="13.140625" style="121" bestFit="1" customWidth="1"/>
    <col min="14870" max="14871" width="13.140625" style="121" customWidth="1"/>
    <col min="14872" max="14873" width="14.42578125" style="121" bestFit="1" customWidth="1"/>
    <col min="14874" max="14875" width="9.140625" style="121" customWidth="1"/>
    <col min="14876" max="14876" width="9.5703125" style="121" customWidth="1"/>
    <col min="14877" max="14878" width="9.5703125" style="121" bestFit="1" customWidth="1"/>
    <col min="14879" max="14880" width="10.140625" style="121" bestFit="1" customWidth="1"/>
    <col min="14881" max="14881" width="9.5703125" style="121" bestFit="1" customWidth="1"/>
    <col min="14882" max="14882" width="9.5703125" style="121" customWidth="1"/>
    <col min="14883" max="14883" width="9" style="121" customWidth="1"/>
    <col min="14884" max="14884" width="10.5703125" style="121" bestFit="1" customWidth="1"/>
    <col min="14885" max="14885" width="11.42578125" style="121" bestFit="1" customWidth="1"/>
    <col min="14886" max="14886" width="18" style="121" bestFit="1" customWidth="1"/>
    <col min="14887" max="15104" width="9.140625" style="121"/>
    <col min="15105" max="15105" width="41" style="121" customWidth="1"/>
    <col min="15106" max="15106" width="19.5703125" style="121" bestFit="1" customWidth="1"/>
    <col min="15107" max="15107" width="10.140625" style="121" customWidth="1"/>
    <col min="15108" max="15108" width="10.42578125" style="121" bestFit="1" customWidth="1"/>
    <col min="15109" max="15109" width="11.28515625" style="121" customWidth="1"/>
    <col min="15110" max="15110" width="9.42578125" style="121" customWidth="1"/>
    <col min="15111" max="15111" width="10.140625" style="121" bestFit="1" customWidth="1"/>
    <col min="15112" max="15113" width="9.140625" style="121"/>
    <col min="15114" max="15114" width="7.28515625" style="121" customWidth="1"/>
    <col min="15115" max="15120" width="7.42578125" style="121" customWidth="1"/>
    <col min="15121" max="15121" width="9.42578125" style="121" bestFit="1" customWidth="1"/>
    <col min="15122" max="15122" width="12" style="121" bestFit="1" customWidth="1"/>
    <col min="15123" max="15124" width="12" style="121" customWidth="1"/>
    <col min="15125" max="15125" width="13.140625" style="121" bestFit="1" customWidth="1"/>
    <col min="15126" max="15127" width="13.140625" style="121" customWidth="1"/>
    <col min="15128" max="15129" width="14.42578125" style="121" bestFit="1" customWidth="1"/>
    <col min="15130" max="15131" width="9.140625" style="121" customWidth="1"/>
    <col min="15132" max="15132" width="9.5703125" style="121" customWidth="1"/>
    <col min="15133" max="15134" width="9.5703125" style="121" bestFit="1" customWidth="1"/>
    <col min="15135" max="15136" width="10.140625" style="121" bestFit="1" customWidth="1"/>
    <col min="15137" max="15137" width="9.5703125" style="121" bestFit="1" customWidth="1"/>
    <col min="15138" max="15138" width="9.5703125" style="121" customWidth="1"/>
    <col min="15139" max="15139" width="9" style="121" customWidth="1"/>
    <col min="15140" max="15140" width="10.5703125" style="121" bestFit="1" customWidth="1"/>
    <col min="15141" max="15141" width="11.42578125" style="121" bestFit="1" customWidth="1"/>
    <col min="15142" max="15142" width="18" style="121" bestFit="1" customWidth="1"/>
    <col min="15143" max="15360" width="9.140625" style="121"/>
    <col min="15361" max="15361" width="41" style="121" customWidth="1"/>
    <col min="15362" max="15362" width="19.5703125" style="121" bestFit="1" customWidth="1"/>
    <col min="15363" max="15363" width="10.140625" style="121" customWidth="1"/>
    <col min="15364" max="15364" width="10.42578125" style="121" bestFit="1" customWidth="1"/>
    <col min="15365" max="15365" width="11.28515625" style="121" customWidth="1"/>
    <col min="15366" max="15366" width="9.42578125" style="121" customWidth="1"/>
    <col min="15367" max="15367" width="10.140625" style="121" bestFit="1" customWidth="1"/>
    <col min="15368" max="15369" width="9.140625" style="121"/>
    <col min="15370" max="15370" width="7.28515625" style="121" customWidth="1"/>
    <col min="15371" max="15376" width="7.42578125" style="121" customWidth="1"/>
    <col min="15377" max="15377" width="9.42578125" style="121" bestFit="1" customWidth="1"/>
    <col min="15378" max="15378" width="12" style="121" bestFit="1" customWidth="1"/>
    <col min="15379" max="15380" width="12" style="121" customWidth="1"/>
    <col min="15381" max="15381" width="13.140625" style="121" bestFit="1" customWidth="1"/>
    <col min="15382" max="15383" width="13.140625" style="121" customWidth="1"/>
    <col min="15384" max="15385" width="14.42578125" style="121" bestFit="1" customWidth="1"/>
    <col min="15386" max="15387" width="9.140625" style="121" customWidth="1"/>
    <col min="15388" max="15388" width="9.5703125" style="121" customWidth="1"/>
    <col min="15389" max="15390" width="9.5703125" style="121" bestFit="1" customWidth="1"/>
    <col min="15391" max="15392" width="10.140625" style="121" bestFit="1" customWidth="1"/>
    <col min="15393" max="15393" width="9.5703125" style="121" bestFit="1" customWidth="1"/>
    <col min="15394" max="15394" width="9.5703125" style="121" customWidth="1"/>
    <col min="15395" max="15395" width="9" style="121" customWidth="1"/>
    <col min="15396" max="15396" width="10.5703125" style="121" bestFit="1" customWidth="1"/>
    <col min="15397" max="15397" width="11.42578125" style="121" bestFit="1" customWidth="1"/>
    <col min="15398" max="15398" width="18" style="121" bestFit="1" customWidth="1"/>
    <col min="15399" max="15616" width="9.140625" style="121"/>
    <col min="15617" max="15617" width="41" style="121" customWidth="1"/>
    <col min="15618" max="15618" width="19.5703125" style="121" bestFit="1" customWidth="1"/>
    <col min="15619" max="15619" width="10.140625" style="121" customWidth="1"/>
    <col min="15620" max="15620" width="10.42578125" style="121" bestFit="1" customWidth="1"/>
    <col min="15621" max="15621" width="11.28515625" style="121" customWidth="1"/>
    <col min="15622" max="15622" width="9.42578125" style="121" customWidth="1"/>
    <col min="15623" max="15623" width="10.140625" style="121" bestFit="1" customWidth="1"/>
    <col min="15624" max="15625" width="9.140625" style="121"/>
    <col min="15626" max="15626" width="7.28515625" style="121" customWidth="1"/>
    <col min="15627" max="15632" width="7.42578125" style="121" customWidth="1"/>
    <col min="15633" max="15633" width="9.42578125" style="121" bestFit="1" customWidth="1"/>
    <col min="15634" max="15634" width="12" style="121" bestFit="1" customWidth="1"/>
    <col min="15635" max="15636" width="12" style="121" customWidth="1"/>
    <col min="15637" max="15637" width="13.140625" style="121" bestFit="1" customWidth="1"/>
    <col min="15638" max="15639" width="13.140625" style="121" customWidth="1"/>
    <col min="15640" max="15641" width="14.42578125" style="121" bestFit="1" customWidth="1"/>
    <col min="15642" max="15643" width="9.140625" style="121" customWidth="1"/>
    <col min="15644" max="15644" width="9.5703125" style="121" customWidth="1"/>
    <col min="15645" max="15646" width="9.5703125" style="121" bestFit="1" customWidth="1"/>
    <col min="15647" max="15648" width="10.140625" style="121" bestFit="1" customWidth="1"/>
    <col min="15649" max="15649" width="9.5703125" style="121" bestFit="1" customWidth="1"/>
    <col min="15650" max="15650" width="9.5703125" style="121" customWidth="1"/>
    <col min="15651" max="15651" width="9" style="121" customWidth="1"/>
    <col min="15652" max="15652" width="10.5703125" style="121" bestFit="1" customWidth="1"/>
    <col min="15653" max="15653" width="11.42578125" style="121" bestFit="1" customWidth="1"/>
    <col min="15654" max="15654" width="18" style="121" bestFit="1" customWidth="1"/>
    <col min="15655" max="15872" width="9.140625" style="121"/>
    <col min="15873" max="15873" width="41" style="121" customWidth="1"/>
    <col min="15874" max="15874" width="19.5703125" style="121" bestFit="1" customWidth="1"/>
    <col min="15875" max="15875" width="10.140625" style="121" customWidth="1"/>
    <col min="15876" max="15876" width="10.42578125" style="121" bestFit="1" customWidth="1"/>
    <col min="15877" max="15877" width="11.28515625" style="121" customWidth="1"/>
    <col min="15878" max="15878" width="9.42578125" style="121" customWidth="1"/>
    <col min="15879" max="15879" width="10.140625" style="121" bestFit="1" customWidth="1"/>
    <col min="15880" max="15881" width="9.140625" style="121"/>
    <col min="15882" max="15882" width="7.28515625" style="121" customWidth="1"/>
    <col min="15883" max="15888" width="7.42578125" style="121" customWidth="1"/>
    <col min="15889" max="15889" width="9.42578125" style="121" bestFit="1" customWidth="1"/>
    <col min="15890" max="15890" width="12" style="121" bestFit="1" customWidth="1"/>
    <col min="15891" max="15892" width="12" style="121" customWidth="1"/>
    <col min="15893" max="15893" width="13.140625" style="121" bestFit="1" customWidth="1"/>
    <col min="15894" max="15895" width="13.140625" style="121" customWidth="1"/>
    <col min="15896" max="15897" width="14.42578125" style="121" bestFit="1" customWidth="1"/>
    <col min="15898" max="15899" width="9.140625" style="121" customWidth="1"/>
    <col min="15900" max="15900" width="9.5703125" style="121" customWidth="1"/>
    <col min="15901" max="15902" width="9.5703125" style="121" bestFit="1" customWidth="1"/>
    <col min="15903" max="15904" width="10.140625" style="121" bestFit="1" customWidth="1"/>
    <col min="15905" max="15905" width="9.5703125" style="121" bestFit="1" customWidth="1"/>
    <col min="15906" max="15906" width="9.5703125" style="121" customWidth="1"/>
    <col min="15907" max="15907" width="9" style="121" customWidth="1"/>
    <col min="15908" max="15908" width="10.5703125" style="121" bestFit="1" customWidth="1"/>
    <col min="15909" max="15909" width="11.42578125" style="121" bestFit="1" customWidth="1"/>
    <col min="15910" max="15910" width="18" style="121" bestFit="1" customWidth="1"/>
    <col min="15911" max="16128" width="9.140625" style="121"/>
    <col min="16129" max="16129" width="41" style="121" customWidth="1"/>
    <col min="16130" max="16130" width="19.5703125" style="121" bestFit="1" customWidth="1"/>
    <col min="16131" max="16131" width="10.140625" style="121" customWidth="1"/>
    <col min="16132" max="16132" width="10.42578125" style="121" bestFit="1" customWidth="1"/>
    <col min="16133" max="16133" width="11.28515625" style="121" customWidth="1"/>
    <col min="16134" max="16134" width="9.42578125" style="121" customWidth="1"/>
    <col min="16135" max="16135" width="10.140625" style="121" bestFit="1" customWidth="1"/>
    <col min="16136" max="16137" width="9.140625" style="121"/>
    <col min="16138" max="16138" width="7.28515625" style="121" customWidth="1"/>
    <col min="16139" max="16144" width="7.42578125" style="121" customWidth="1"/>
    <col min="16145" max="16145" width="9.42578125" style="121" bestFit="1" customWidth="1"/>
    <col min="16146" max="16146" width="12" style="121" bestFit="1" customWidth="1"/>
    <col min="16147" max="16148" width="12" style="121" customWidth="1"/>
    <col min="16149" max="16149" width="13.140625" style="121" bestFit="1" customWidth="1"/>
    <col min="16150" max="16151" width="13.140625" style="121" customWidth="1"/>
    <col min="16152" max="16153" width="14.42578125" style="121" bestFit="1" customWidth="1"/>
    <col min="16154" max="16155" width="9.140625" style="121" customWidth="1"/>
    <col min="16156" max="16156" width="9.5703125" style="121" customWidth="1"/>
    <col min="16157" max="16158" width="9.5703125" style="121" bestFit="1" customWidth="1"/>
    <col min="16159" max="16160" width="10.140625" style="121" bestFit="1" customWidth="1"/>
    <col min="16161" max="16161" width="9.5703125" style="121" bestFit="1" customWidth="1"/>
    <col min="16162" max="16162" width="9.5703125" style="121" customWidth="1"/>
    <col min="16163" max="16163" width="9" style="121" customWidth="1"/>
    <col min="16164" max="16164" width="10.5703125" style="121" bestFit="1" customWidth="1"/>
    <col min="16165" max="16165" width="11.42578125" style="121" bestFit="1" customWidth="1"/>
    <col min="16166" max="16166" width="18" style="121" bestFit="1" customWidth="1"/>
    <col min="16167" max="16384" width="9.140625" style="121"/>
  </cols>
  <sheetData>
    <row r="1" spans="1:42" ht="24" customHeight="1" thickBot="1" x14ac:dyDescent="0.25">
      <c r="A1" s="274"/>
      <c r="B1" s="275"/>
      <c r="C1" s="275"/>
      <c r="D1" s="275"/>
      <c r="E1" s="275"/>
      <c r="F1" s="275"/>
      <c r="G1" s="275"/>
      <c r="H1" s="276"/>
      <c r="I1" s="119"/>
      <c r="J1" s="119"/>
      <c r="K1" s="119"/>
      <c r="L1" s="119"/>
      <c r="M1" s="119"/>
      <c r="N1" s="119"/>
      <c r="O1" s="119"/>
      <c r="P1" s="119"/>
      <c r="Q1" s="119"/>
      <c r="R1" s="119"/>
      <c r="S1" s="119"/>
      <c r="T1" s="120"/>
      <c r="U1" s="120"/>
      <c r="V1" s="120"/>
      <c r="W1" s="120"/>
      <c r="X1" s="120"/>
    </row>
    <row r="2" spans="1:42" ht="30" customHeight="1" thickBot="1" x14ac:dyDescent="0.25">
      <c r="A2" s="122" t="s">
        <v>136</v>
      </c>
      <c r="B2" s="277">
        <v>46143</v>
      </c>
      <c r="C2" s="278"/>
      <c r="D2" s="278"/>
      <c r="E2" s="278"/>
      <c r="F2" s="278"/>
      <c r="G2" s="278"/>
      <c r="H2" s="279"/>
      <c r="I2" s="119"/>
      <c r="J2" s="119"/>
      <c r="K2" s="119"/>
      <c r="L2" s="119"/>
      <c r="M2" s="119"/>
      <c r="N2" s="119"/>
      <c r="O2" s="119"/>
      <c r="P2" s="119"/>
      <c r="Q2" s="119"/>
      <c r="R2" s="119"/>
      <c r="S2" s="119"/>
      <c r="T2" s="120"/>
      <c r="U2" s="120"/>
      <c r="V2" s="120"/>
      <c r="W2" s="120"/>
      <c r="X2" s="120"/>
    </row>
    <row r="3" spans="1:42" ht="24.75" customHeight="1" thickBot="1" x14ac:dyDescent="0.25">
      <c r="A3" s="123" t="s">
        <v>295</v>
      </c>
      <c r="B3" s="280"/>
      <c r="C3" s="281"/>
      <c r="D3" s="281"/>
      <c r="E3" s="281"/>
      <c r="F3" s="281"/>
      <c r="G3" s="281"/>
      <c r="H3" s="282"/>
      <c r="I3" s="119"/>
      <c r="J3" s="119"/>
      <c r="K3" s="119"/>
      <c r="L3" s="119"/>
      <c r="M3" s="119"/>
      <c r="N3" s="119"/>
      <c r="O3" s="119"/>
      <c r="P3" s="119"/>
      <c r="Q3" s="119"/>
      <c r="R3" s="119"/>
      <c r="S3" s="119"/>
      <c r="T3" s="120"/>
      <c r="U3" s="120"/>
      <c r="V3" s="120"/>
      <c r="W3" s="120"/>
      <c r="X3" s="120"/>
    </row>
    <row r="4" spans="1:42" ht="12.75" customHeight="1" x14ac:dyDescent="0.2">
      <c r="A4" s="283" t="s">
        <v>296</v>
      </c>
      <c r="B4" s="283"/>
      <c r="C4" s="283"/>
      <c r="D4" s="283"/>
      <c r="E4" s="283"/>
      <c r="F4" s="283"/>
      <c r="G4" s="283"/>
      <c r="H4" s="284"/>
      <c r="I4" s="284"/>
      <c r="J4" s="284"/>
      <c r="K4" s="284"/>
      <c r="L4" s="284"/>
      <c r="M4" s="284"/>
      <c r="N4" s="284"/>
      <c r="O4" s="284"/>
      <c r="P4" s="284"/>
      <c r="Q4" s="284"/>
      <c r="R4" s="284"/>
    </row>
    <row r="5" spans="1:42" s="126" customFormat="1" ht="12.75" customHeight="1" x14ac:dyDescent="0.2">
      <c r="A5" s="285" t="s">
        <v>358</v>
      </c>
      <c r="B5" s="283"/>
      <c r="C5" s="283"/>
      <c r="D5" s="283"/>
      <c r="E5" s="283"/>
      <c r="F5" s="283"/>
      <c r="G5" s="283"/>
      <c r="H5" s="284"/>
      <c r="I5" s="284"/>
      <c r="J5" s="284"/>
      <c r="K5" s="284"/>
      <c r="L5" s="284"/>
      <c r="M5" s="284"/>
      <c r="N5" s="284"/>
      <c r="O5" s="284"/>
      <c r="P5" s="284"/>
      <c r="Q5" s="284"/>
      <c r="R5" s="284"/>
      <c r="S5" s="124"/>
      <c r="T5" s="125"/>
      <c r="U5" s="125"/>
      <c r="V5" s="125"/>
      <c r="W5" s="125"/>
      <c r="X5" s="125"/>
    </row>
    <row r="6" spans="1:42" s="126" customFormat="1" ht="25.5" customHeight="1" x14ac:dyDescent="0.2">
      <c r="A6" s="283"/>
      <c r="B6" s="283"/>
      <c r="C6" s="283"/>
      <c r="D6" s="283"/>
      <c r="E6" s="283"/>
      <c r="F6" s="283"/>
      <c r="G6" s="283"/>
      <c r="H6" s="124"/>
      <c r="I6" s="124"/>
      <c r="J6" s="124"/>
      <c r="K6" s="124"/>
      <c r="L6" s="124"/>
      <c r="M6" s="124"/>
      <c r="N6" s="124"/>
      <c r="O6" s="124"/>
      <c r="P6" s="124"/>
      <c r="Q6" s="124"/>
      <c r="R6" s="124"/>
      <c r="S6" s="124"/>
      <c r="T6" s="286"/>
      <c r="U6" s="286"/>
      <c r="V6" s="286"/>
      <c r="W6" s="286"/>
      <c r="X6" s="286"/>
    </row>
    <row r="7" spans="1:42" x14ac:dyDescent="0.2">
      <c r="A7" s="127"/>
      <c r="B7" s="127"/>
      <c r="C7" s="127"/>
      <c r="D7" s="127"/>
      <c r="E7" s="127"/>
      <c r="F7" s="127"/>
      <c r="G7" s="127"/>
      <c r="H7" s="127"/>
      <c r="I7" s="128"/>
      <c r="J7" s="128"/>
      <c r="K7" s="128"/>
      <c r="L7" s="128"/>
      <c r="M7" s="128"/>
      <c r="N7" s="128"/>
      <c r="O7" s="128"/>
      <c r="P7" s="128"/>
      <c r="Q7" s="128"/>
      <c r="R7" s="128"/>
      <c r="S7" s="128"/>
      <c r="T7" s="126"/>
      <c r="U7" s="126"/>
      <c r="V7" s="126"/>
      <c r="W7" s="126"/>
      <c r="X7" s="126"/>
    </row>
    <row r="8" spans="1:42" ht="30" customHeight="1" thickBot="1" x14ac:dyDescent="0.25">
      <c r="C8" s="129"/>
      <c r="D8" s="130"/>
      <c r="E8" s="128"/>
      <c r="F8" s="128"/>
      <c r="G8" s="128"/>
      <c r="H8" s="128"/>
      <c r="I8" s="128"/>
      <c r="J8" s="128"/>
      <c r="K8" s="128"/>
      <c r="L8" s="128"/>
      <c r="M8" s="128"/>
      <c r="N8" s="128"/>
      <c r="O8" s="128"/>
      <c r="P8" s="128"/>
      <c r="Q8" s="128"/>
      <c r="R8" s="128"/>
      <c r="S8" s="128"/>
      <c r="T8" s="120"/>
      <c r="U8" s="120"/>
      <c r="V8" s="120"/>
      <c r="W8" s="120"/>
      <c r="X8" s="120"/>
    </row>
    <row r="9" spans="1:42" ht="16.5" customHeight="1" x14ac:dyDescent="0.2">
      <c r="A9" s="287" t="s">
        <v>297</v>
      </c>
      <c r="B9" s="290" t="s">
        <v>298</v>
      </c>
      <c r="C9" s="293" t="s">
        <v>299</v>
      </c>
      <c r="D9" s="296" t="s">
        <v>300</v>
      </c>
      <c r="E9" s="297"/>
      <c r="F9" s="297"/>
      <c r="G9" s="296" t="s">
        <v>85</v>
      </c>
      <c r="H9" s="297"/>
      <c r="I9" s="298"/>
      <c r="J9" s="299" t="s">
        <v>301</v>
      </c>
      <c r="K9" s="300"/>
      <c r="L9" s="300"/>
      <c r="M9" s="300"/>
      <c r="N9" s="300"/>
      <c r="O9" s="300"/>
      <c r="P9" s="300"/>
      <c r="Q9" s="300"/>
      <c r="R9" s="293"/>
      <c r="S9" s="303" t="s">
        <v>302</v>
      </c>
      <c r="T9" s="305" t="s">
        <v>303</v>
      </c>
      <c r="U9" s="297" t="s">
        <v>304</v>
      </c>
      <c r="V9" s="297" t="s">
        <v>361</v>
      </c>
      <c r="W9" s="297" t="s">
        <v>305</v>
      </c>
      <c r="X9" s="297" t="s">
        <v>306</v>
      </c>
      <c r="Y9" s="297" t="s">
        <v>307</v>
      </c>
      <c r="Z9" s="297" t="s">
        <v>362</v>
      </c>
      <c r="AA9" s="297" t="s">
        <v>308</v>
      </c>
      <c r="AB9" s="303" t="s">
        <v>309</v>
      </c>
      <c r="AC9" s="299" t="s">
        <v>310</v>
      </c>
      <c r="AD9" s="308" t="s">
        <v>311</v>
      </c>
      <c r="AE9" s="309"/>
      <c r="AF9" s="309"/>
      <c r="AG9" s="309"/>
      <c r="AH9" s="309"/>
      <c r="AI9" s="309"/>
      <c r="AJ9" s="309"/>
      <c r="AK9" s="309"/>
      <c r="AL9" s="309"/>
      <c r="AM9" s="309"/>
      <c r="AN9" s="309"/>
      <c r="AO9" s="310"/>
    </row>
    <row r="10" spans="1:42" x14ac:dyDescent="0.2">
      <c r="A10" s="288"/>
      <c r="B10" s="291"/>
      <c r="C10" s="294"/>
      <c r="D10" s="314" t="s">
        <v>312</v>
      </c>
      <c r="E10" s="307" t="s">
        <v>313</v>
      </c>
      <c r="F10" s="307" t="s">
        <v>314</v>
      </c>
      <c r="G10" s="314" t="s">
        <v>312</v>
      </c>
      <c r="H10" s="307" t="s">
        <v>315</v>
      </c>
      <c r="I10" s="315" t="s">
        <v>316</v>
      </c>
      <c r="J10" s="301"/>
      <c r="K10" s="302"/>
      <c r="L10" s="302"/>
      <c r="M10" s="302"/>
      <c r="N10" s="302"/>
      <c r="O10" s="302"/>
      <c r="P10" s="302"/>
      <c r="Q10" s="302"/>
      <c r="R10" s="295"/>
      <c r="S10" s="304"/>
      <c r="T10" s="306"/>
      <c r="U10" s="307"/>
      <c r="V10" s="307"/>
      <c r="W10" s="307"/>
      <c r="X10" s="307"/>
      <c r="Y10" s="307"/>
      <c r="Z10" s="307"/>
      <c r="AA10" s="307"/>
      <c r="AB10" s="304"/>
      <c r="AC10" s="316"/>
      <c r="AD10" s="311"/>
      <c r="AE10" s="312"/>
      <c r="AF10" s="312"/>
      <c r="AG10" s="312"/>
      <c r="AH10" s="312"/>
      <c r="AI10" s="312"/>
      <c r="AJ10" s="312"/>
      <c r="AK10" s="312"/>
      <c r="AL10" s="312"/>
      <c r="AM10" s="312"/>
      <c r="AN10" s="312"/>
      <c r="AO10" s="313"/>
    </row>
    <row r="11" spans="1:42" ht="42.75" customHeight="1" x14ac:dyDescent="0.2">
      <c r="A11" s="289"/>
      <c r="B11" s="292"/>
      <c r="C11" s="295"/>
      <c r="D11" s="314"/>
      <c r="E11" s="307"/>
      <c r="F11" s="307"/>
      <c r="G11" s="314"/>
      <c r="H11" s="307"/>
      <c r="I11" s="315"/>
      <c r="J11" s="131" t="s">
        <v>317</v>
      </c>
      <c r="K11" s="133" t="s">
        <v>318</v>
      </c>
      <c r="L11" s="133" t="s">
        <v>319</v>
      </c>
      <c r="M11" s="133" t="s">
        <v>359</v>
      </c>
      <c r="N11" s="133" t="s">
        <v>320</v>
      </c>
      <c r="O11" s="133" t="s">
        <v>321</v>
      </c>
      <c r="P11" s="133" t="s">
        <v>322</v>
      </c>
      <c r="Q11" s="133" t="s">
        <v>360</v>
      </c>
      <c r="R11" s="134" t="s">
        <v>323</v>
      </c>
      <c r="S11" s="304"/>
      <c r="T11" s="306"/>
      <c r="U11" s="307"/>
      <c r="V11" s="307"/>
      <c r="W11" s="307"/>
      <c r="X11" s="307"/>
      <c r="Y11" s="307"/>
      <c r="Z11" s="307"/>
      <c r="AA11" s="307"/>
      <c r="AB11" s="304"/>
      <c r="AC11" s="301"/>
      <c r="AD11" s="135" t="str">
        <f>'AUTO CALCULATION SHEET (2)'!N19</f>
        <v>Alumimium</v>
      </c>
      <c r="AE11" s="136" t="str">
        <f>'AUTO CALCULATION SHEET (2)'!O19</f>
        <v>Alumimium ALLOY</v>
      </c>
      <c r="AF11" s="136" t="str">
        <f>'AUTO CALCULATION SHEET (2)'!AI19</f>
        <v>LT-XLPE</v>
      </c>
      <c r="AG11" s="136" t="s">
        <v>324</v>
      </c>
      <c r="AH11" s="137" t="s">
        <v>325</v>
      </c>
      <c r="AI11" s="136" t="s">
        <v>326</v>
      </c>
      <c r="AJ11" s="137" t="s">
        <v>327</v>
      </c>
      <c r="AK11" s="136" t="s">
        <v>328</v>
      </c>
      <c r="AL11" s="137" t="s">
        <v>329</v>
      </c>
      <c r="AM11" s="137" t="s">
        <v>330</v>
      </c>
      <c r="AN11" s="137" t="s">
        <v>331</v>
      </c>
      <c r="AO11" s="138" t="s">
        <v>332</v>
      </c>
    </row>
    <row r="12" spans="1:42" ht="18" customHeight="1" x14ac:dyDescent="0.2">
      <c r="A12" s="139"/>
      <c r="B12" s="139"/>
      <c r="C12" s="140"/>
      <c r="D12" s="141"/>
      <c r="E12" s="142"/>
      <c r="F12" s="143"/>
      <c r="G12" s="144"/>
      <c r="H12" s="142"/>
      <c r="I12" s="143"/>
      <c r="J12" s="145"/>
      <c r="K12" s="146"/>
      <c r="L12" s="146"/>
      <c r="M12" s="146"/>
      <c r="N12" s="146"/>
      <c r="O12" s="146"/>
      <c r="P12" s="146"/>
      <c r="Q12" s="146"/>
      <c r="R12" s="147"/>
      <c r="S12" s="148"/>
      <c r="T12" s="149"/>
      <c r="U12" s="149"/>
      <c r="V12" s="149"/>
      <c r="W12" s="149"/>
      <c r="X12" s="149"/>
      <c r="Y12" s="149"/>
      <c r="Z12" s="149"/>
      <c r="AA12" s="149"/>
      <c r="AB12" s="150"/>
      <c r="AC12" s="151"/>
      <c r="AD12" s="152">
        <v>403</v>
      </c>
      <c r="AE12" s="153">
        <f>AD12+5</f>
        <v>408</v>
      </c>
      <c r="AF12" s="153">
        <v>147</v>
      </c>
      <c r="AG12" s="154"/>
      <c r="AH12" s="155"/>
      <c r="AI12" s="154"/>
      <c r="AJ12" s="155"/>
      <c r="AK12" s="154"/>
      <c r="AL12" s="156"/>
      <c r="AM12" s="154"/>
      <c r="AN12" s="157"/>
      <c r="AO12" s="158"/>
    </row>
    <row r="13" spans="1:42" s="176" customFormat="1" ht="38.25" x14ac:dyDescent="0.2">
      <c r="A13" s="159" t="str">
        <f>'AUTO CALCULATION SHEET (2)'!D25</f>
        <v>3 CORE X 120 SQ MM + 1 CORE X 120 SQ MM + 1 CORE X 95 SQ MM (AB CABLES) (Insulated</v>
      </c>
      <c r="B13" s="160"/>
      <c r="C13" s="161" t="s">
        <v>333</v>
      </c>
      <c r="D13" s="162">
        <v>46185</v>
      </c>
      <c r="E13" s="227">
        <v>422899.8</v>
      </c>
      <c r="F13" s="229">
        <v>219178</v>
      </c>
      <c r="G13" s="163">
        <f>$B$2</f>
        <v>46143</v>
      </c>
      <c r="H13" s="229">
        <v>418401</v>
      </c>
      <c r="I13" s="229">
        <v>219178</v>
      </c>
      <c r="J13" s="164">
        <v>3</v>
      </c>
      <c r="K13" s="165">
        <v>0.34599999999999997</v>
      </c>
      <c r="L13" s="165">
        <v>0.34599999999999997</v>
      </c>
      <c r="M13" s="165">
        <v>0.27400000000000002</v>
      </c>
      <c r="N13" s="165"/>
      <c r="O13" s="165">
        <v>7.2999999999999995E-2</v>
      </c>
      <c r="P13" s="165">
        <v>7.6999999999999999E-2</v>
      </c>
      <c r="Q13" s="165">
        <v>6.3E-2</v>
      </c>
      <c r="R13" s="166"/>
      <c r="S13" s="231">
        <f>'AUTO CALCULATION SHEET (2)'!E58*1000</f>
        <v>1013620</v>
      </c>
      <c r="T13" s="240">
        <f>(K13*J13*(E13-H13))</f>
        <v>4669.7543999999871</v>
      </c>
      <c r="U13" s="240">
        <f>L13*(E13-H13)</f>
        <v>1556.5847999999958</v>
      </c>
      <c r="V13" s="240">
        <f>M13*(E13-H13)</f>
        <v>1232.6711999999968</v>
      </c>
      <c r="W13" s="240">
        <f>N13*(E13-H13)</f>
        <v>0</v>
      </c>
      <c r="X13" s="240">
        <f>(O13*J13*(F13-I13))</f>
        <v>0</v>
      </c>
      <c r="Y13" s="240">
        <f>P13*(F13-I13)</f>
        <v>0</v>
      </c>
      <c r="Z13" s="240">
        <f>Q13*(F13-I13)</f>
        <v>0</v>
      </c>
      <c r="AA13" s="240">
        <f>R13*(F13-I13)</f>
        <v>0</v>
      </c>
      <c r="AB13" s="235">
        <f>T13+U13+V13+W13+X13+Y13+Z13+AA13</f>
        <v>7459.0103999999801</v>
      </c>
      <c r="AC13" s="241">
        <f>S13+AB13</f>
        <v>1021079.0104</v>
      </c>
      <c r="AD13" s="167">
        <f>'AUTO CALCULATION SHEET (2)'!N25</f>
        <v>1296</v>
      </c>
      <c r="AE13" s="168">
        <f>'AUTO CALCULATION SHEET (2)'!O25</f>
        <v>270</v>
      </c>
      <c r="AF13" s="169">
        <f>'AUTO CALCULATION SHEET (2)'!AI25</f>
        <v>364</v>
      </c>
      <c r="AG13" s="170">
        <f>SUMPRODUCT($AD$12:$AF$12,AD13:AF13)</f>
        <v>685956</v>
      </c>
      <c r="AH13" s="171">
        <f>'AUTO CALCULATION SHEET (2)'!CK25</f>
        <v>17778</v>
      </c>
      <c r="AI13" s="170">
        <f>+AG13+AH13</f>
        <v>703734</v>
      </c>
      <c r="AJ13" s="170">
        <f>+AC13-AI13</f>
        <v>317345.01040000003</v>
      </c>
      <c r="AK13" s="172">
        <f t="shared" ref="AK13" si="0">+AJ13/AI13</f>
        <v>0.45094454779788956</v>
      </c>
      <c r="AL13" s="173"/>
      <c r="AM13" s="173">
        <v>0.02</v>
      </c>
      <c r="AN13" s="173"/>
      <c r="AO13" s="174">
        <f>+AK13-(AL13+AM13+AN13)</f>
        <v>0.43094454779788954</v>
      </c>
      <c r="AP13" s="175"/>
    </row>
    <row r="14" spans="1:42" s="176" customFormat="1" ht="15.75" customHeight="1" thickBot="1" x14ac:dyDescent="0.25">
      <c r="A14" s="177"/>
      <c r="B14" s="177"/>
      <c r="C14" s="178"/>
      <c r="D14" s="179"/>
      <c r="E14" s="180"/>
      <c r="F14" s="180"/>
      <c r="G14" s="181"/>
      <c r="H14" s="182"/>
      <c r="I14" s="183"/>
      <c r="J14" s="181"/>
      <c r="K14" s="184"/>
      <c r="L14" s="184"/>
      <c r="M14" s="184"/>
      <c r="N14" s="184"/>
      <c r="O14" s="184"/>
      <c r="P14" s="184"/>
      <c r="Q14" s="184"/>
      <c r="R14" s="185"/>
      <c r="S14" s="186"/>
      <c r="T14" s="187"/>
      <c r="U14" s="187"/>
      <c r="V14" s="187"/>
      <c r="W14" s="187"/>
      <c r="X14" s="187"/>
      <c r="Y14" s="188"/>
      <c r="Z14" s="188"/>
      <c r="AA14" s="188"/>
      <c r="AB14" s="189"/>
      <c r="AC14" s="190"/>
      <c r="AD14" s="191"/>
      <c r="AE14" s="192"/>
      <c r="AF14" s="192"/>
      <c r="AG14" s="192"/>
      <c r="AH14" s="192"/>
      <c r="AI14" s="192"/>
      <c r="AJ14" s="192"/>
      <c r="AK14" s="192"/>
      <c r="AL14" s="192"/>
      <c r="AM14" s="192"/>
      <c r="AN14" s="192"/>
      <c r="AO14" s="193"/>
    </row>
    <row r="15" spans="1:42" x14ac:dyDescent="0.2">
      <c r="E15" s="194"/>
    </row>
  </sheetData>
  <mergeCells count="31">
    <mergeCell ref="AD9:AO10"/>
    <mergeCell ref="D10:D11"/>
    <mergeCell ref="E10:E11"/>
    <mergeCell ref="F10:F11"/>
    <mergeCell ref="G10:G11"/>
    <mergeCell ref="H10:H11"/>
    <mergeCell ref="I10:I11"/>
    <mergeCell ref="V9:V11"/>
    <mergeCell ref="Z9:Z11"/>
    <mergeCell ref="W9:W11"/>
    <mergeCell ref="X9:X11"/>
    <mergeCell ref="Y9:Y11"/>
    <mergeCell ref="AA9:AA11"/>
    <mergeCell ref="AB9:AB11"/>
    <mergeCell ref="AC9:AC11"/>
    <mergeCell ref="T6:X6"/>
    <mergeCell ref="A9:A11"/>
    <mergeCell ref="B9:B11"/>
    <mergeCell ref="C9:C11"/>
    <mergeCell ref="D9:F9"/>
    <mergeCell ref="G9:I9"/>
    <mergeCell ref="J9:R10"/>
    <mergeCell ref="S9:S11"/>
    <mergeCell ref="T9:T11"/>
    <mergeCell ref="U9:U11"/>
    <mergeCell ref="A1:H1"/>
    <mergeCell ref="B2:H2"/>
    <mergeCell ref="B3:H3"/>
    <mergeCell ref="A4:G4"/>
    <mergeCell ref="H4:R5"/>
    <mergeCell ref="A5:G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A5042-B6BD-4493-8396-E99466CE2341}">
  <sheetPr>
    <tabColor rgb="FFFF0000"/>
    <pageSetUpPr fitToPage="1"/>
  </sheetPr>
  <dimension ref="A1:AV24"/>
  <sheetViews>
    <sheetView showZeros="0" topLeftCell="A7" zoomScaleNormal="100" workbookViewId="0">
      <selection activeCell="AM10" sqref="AM10"/>
    </sheetView>
  </sheetViews>
  <sheetFormatPr defaultRowHeight="12.75" x14ac:dyDescent="0.2"/>
  <cols>
    <col min="1" max="1" width="45.28515625" style="121" customWidth="1"/>
    <col min="2" max="2" width="14.7109375" style="121" customWidth="1"/>
    <col min="3" max="3" width="11.85546875" style="121" customWidth="1"/>
    <col min="4" max="4" width="10.7109375" style="121" customWidth="1"/>
    <col min="5" max="5" width="11.140625" style="121" customWidth="1"/>
    <col min="6" max="6" width="12.140625" style="121" customWidth="1"/>
    <col min="7" max="8" width="11.140625" style="121" customWidth="1"/>
    <col min="9" max="9" width="9.42578125" style="121" customWidth="1"/>
    <col min="10" max="10" width="11.85546875" style="121" customWidth="1"/>
    <col min="11" max="11" width="11.140625" style="121" customWidth="1"/>
    <col min="12" max="12" width="9.140625" style="121" customWidth="1"/>
    <col min="13" max="14" width="11.140625" style="121" customWidth="1"/>
    <col min="15" max="15" width="9.7109375" style="121" customWidth="1"/>
    <col min="16" max="17" width="7.28515625" style="121" customWidth="1"/>
    <col min="18" max="22" width="7.42578125" style="121" customWidth="1"/>
    <col min="23" max="24" width="12.140625" style="121" bestFit="1" customWidth="1"/>
    <col min="25" max="25" width="12" style="121" customWidth="1"/>
    <col min="26" max="26" width="11.140625" style="121" bestFit="1" customWidth="1"/>
    <col min="27" max="27" width="11.5703125" style="121" bestFit="1" customWidth="1"/>
    <col min="28" max="29" width="11" style="121" customWidth="1"/>
    <col min="30" max="30" width="11.140625" style="121" bestFit="1" customWidth="1"/>
    <col min="31" max="31" width="14.5703125" style="121" bestFit="1" customWidth="1"/>
    <col min="32" max="32" width="9.140625" style="121" customWidth="1"/>
    <col min="33" max="38" width="10.85546875" style="121" customWidth="1"/>
    <col min="39" max="39" width="13.28515625" style="121" bestFit="1" customWidth="1"/>
    <col min="40" max="40" width="13.85546875" style="121" customWidth="1"/>
    <col min="41" max="41" width="10.28515625" style="121" bestFit="1" customWidth="1"/>
    <col min="42" max="43" width="12.85546875" style="121" bestFit="1" customWidth="1"/>
    <col min="44" max="262" width="9.140625" style="121"/>
    <col min="263" max="263" width="54.140625" style="121" bestFit="1" customWidth="1"/>
    <col min="264" max="264" width="14.7109375" style="121" customWidth="1"/>
    <col min="265" max="265" width="10.140625" style="121" customWidth="1"/>
    <col min="266" max="266" width="10.42578125" style="121" bestFit="1" customWidth="1"/>
    <col min="267" max="268" width="9.42578125" style="121" bestFit="1" customWidth="1"/>
    <col min="269" max="270" width="9.42578125" style="121" customWidth="1"/>
    <col min="271" max="271" width="10.140625" style="121" bestFit="1" customWidth="1"/>
    <col min="272" max="275" width="9.140625" style="121"/>
    <col min="276" max="276" width="7.28515625" style="121" customWidth="1"/>
    <col min="277" max="279" width="7.42578125" style="121" customWidth="1"/>
    <col min="280" max="280" width="10.42578125" style="121" bestFit="1" customWidth="1"/>
    <col min="281" max="281" width="12" style="121" bestFit="1" customWidth="1"/>
    <col min="282" max="282" width="11" style="121" bestFit="1" customWidth="1"/>
    <col min="283" max="284" width="11" style="121" customWidth="1"/>
    <col min="285" max="285" width="10" style="121" bestFit="1" customWidth="1"/>
    <col min="286" max="286" width="14.42578125" style="121" bestFit="1" customWidth="1"/>
    <col min="287" max="297" width="0" style="121" hidden="1" customWidth="1"/>
    <col min="298" max="518" width="9.140625" style="121"/>
    <col min="519" max="519" width="54.140625" style="121" bestFit="1" customWidth="1"/>
    <col min="520" max="520" width="14.7109375" style="121" customWidth="1"/>
    <col min="521" max="521" width="10.140625" style="121" customWidth="1"/>
    <col min="522" max="522" width="10.42578125" style="121" bestFit="1" customWidth="1"/>
    <col min="523" max="524" width="9.42578125" style="121" bestFit="1" customWidth="1"/>
    <col min="525" max="526" width="9.42578125" style="121" customWidth="1"/>
    <col min="527" max="527" width="10.140625" style="121" bestFit="1" customWidth="1"/>
    <col min="528" max="531" width="9.140625" style="121"/>
    <col min="532" max="532" width="7.28515625" style="121" customWidth="1"/>
    <col min="533" max="535" width="7.42578125" style="121" customWidth="1"/>
    <col min="536" max="536" width="10.42578125" style="121" bestFit="1" customWidth="1"/>
    <col min="537" max="537" width="12" style="121" bestFit="1" customWidth="1"/>
    <col min="538" max="538" width="11" style="121" bestFit="1" customWidth="1"/>
    <col min="539" max="540" width="11" style="121" customWidth="1"/>
    <col min="541" max="541" width="10" style="121" bestFit="1" customWidth="1"/>
    <col min="542" max="542" width="14.42578125" style="121" bestFit="1" customWidth="1"/>
    <col min="543" max="553" width="0" style="121" hidden="1" customWidth="1"/>
    <col min="554" max="774" width="9.140625" style="121"/>
    <col min="775" max="775" width="54.140625" style="121" bestFit="1" customWidth="1"/>
    <col min="776" max="776" width="14.7109375" style="121" customWidth="1"/>
    <col min="777" max="777" width="10.140625" style="121" customWidth="1"/>
    <col min="778" max="778" width="10.42578125" style="121" bestFit="1" customWidth="1"/>
    <col min="779" max="780" width="9.42578125" style="121" bestFit="1" customWidth="1"/>
    <col min="781" max="782" width="9.42578125" style="121" customWidth="1"/>
    <col min="783" max="783" width="10.140625" style="121" bestFit="1" customWidth="1"/>
    <col min="784" max="787" width="9.140625" style="121"/>
    <col min="788" max="788" width="7.28515625" style="121" customWidth="1"/>
    <col min="789" max="791" width="7.42578125" style="121" customWidth="1"/>
    <col min="792" max="792" width="10.42578125" style="121" bestFit="1" customWidth="1"/>
    <col min="793" max="793" width="12" style="121" bestFit="1" customWidth="1"/>
    <col min="794" max="794" width="11" style="121" bestFit="1" customWidth="1"/>
    <col min="795" max="796" width="11" style="121" customWidth="1"/>
    <col min="797" max="797" width="10" style="121" bestFit="1" customWidth="1"/>
    <col min="798" max="798" width="14.42578125" style="121" bestFit="1" customWidth="1"/>
    <col min="799" max="809" width="0" style="121" hidden="1" customWidth="1"/>
    <col min="810" max="1030" width="9.140625" style="121"/>
    <col min="1031" max="1031" width="54.140625" style="121" bestFit="1" customWidth="1"/>
    <col min="1032" max="1032" width="14.7109375" style="121" customWidth="1"/>
    <col min="1033" max="1033" width="10.140625" style="121" customWidth="1"/>
    <col min="1034" max="1034" width="10.42578125" style="121" bestFit="1" customWidth="1"/>
    <col min="1035" max="1036" width="9.42578125" style="121" bestFit="1" customWidth="1"/>
    <col min="1037" max="1038" width="9.42578125" style="121" customWidth="1"/>
    <col min="1039" max="1039" width="10.140625" style="121" bestFit="1" customWidth="1"/>
    <col min="1040" max="1043" width="9.140625" style="121"/>
    <col min="1044" max="1044" width="7.28515625" style="121" customWidth="1"/>
    <col min="1045" max="1047" width="7.42578125" style="121" customWidth="1"/>
    <col min="1048" max="1048" width="10.42578125" style="121" bestFit="1" customWidth="1"/>
    <col min="1049" max="1049" width="12" style="121" bestFit="1" customWidth="1"/>
    <col min="1050" max="1050" width="11" style="121" bestFit="1" customWidth="1"/>
    <col min="1051" max="1052" width="11" style="121" customWidth="1"/>
    <col min="1053" max="1053" width="10" style="121" bestFit="1" customWidth="1"/>
    <col min="1054" max="1054" width="14.42578125" style="121" bestFit="1" customWidth="1"/>
    <col min="1055" max="1065" width="0" style="121" hidden="1" customWidth="1"/>
    <col min="1066" max="1286" width="9.140625" style="121"/>
    <col min="1287" max="1287" width="54.140625" style="121" bestFit="1" customWidth="1"/>
    <col min="1288" max="1288" width="14.7109375" style="121" customWidth="1"/>
    <col min="1289" max="1289" width="10.140625" style="121" customWidth="1"/>
    <col min="1290" max="1290" width="10.42578125" style="121" bestFit="1" customWidth="1"/>
    <col min="1291" max="1292" width="9.42578125" style="121" bestFit="1" customWidth="1"/>
    <col min="1293" max="1294" width="9.42578125" style="121" customWidth="1"/>
    <col min="1295" max="1295" width="10.140625" style="121" bestFit="1" customWidth="1"/>
    <col min="1296" max="1299" width="9.140625" style="121"/>
    <col min="1300" max="1300" width="7.28515625" style="121" customWidth="1"/>
    <col min="1301" max="1303" width="7.42578125" style="121" customWidth="1"/>
    <col min="1304" max="1304" width="10.42578125" style="121" bestFit="1" customWidth="1"/>
    <col min="1305" max="1305" width="12" style="121" bestFit="1" customWidth="1"/>
    <col min="1306" max="1306" width="11" style="121" bestFit="1" customWidth="1"/>
    <col min="1307" max="1308" width="11" style="121" customWidth="1"/>
    <col min="1309" max="1309" width="10" style="121" bestFit="1" customWidth="1"/>
    <col min="1310" max="1310" width="14.42578125" style="121" bestFit="1" customWidth="1"/>
    <col min="1311" max="1321" width="0" style="121" hidden="1" customWidth="1"/>
    <col min="1322" max="1542" width="9.140625" style="121"/>
    <col min="1543" max="1543" width="54.140625" style="121" bestFit="1" customWidth="1"/>
    <col min="1544" max="1544" width="14.7109375" style="121" customWidth="1"/>
    <col min="1545" max="1545" width="10.140625" style="121" customWidth="1"/>
    <col min="1546" max="1546" width="10.42578125" style="121" bestFit="1" customWidth="1"/>
    <col min="1547" max="1548" width="9.42578125" style="121" bestFit="1" customWidth="1"/>
    <col min="1549" max="1550" width="9.42578125" style="121" customWidth="1"/>
    <col min="1551" max="1551" width="10.140625" style="121" bestFit="1" customWidth="1"/>
    <col min="1552" max="1555" width="9.140625" style="121"/>
    <col min="1556" max="1556" width="7.28515625" style="121" customWidth="1"/>
    <col min="1557" max="1559" width="7.42578125" style="121" customWidth="1"/>
    <col min="1560" max="1560" width="10.42578125" style="121" bestFit="1" customWidth="1"/>
    <col min="1561" max="1561" width="12" style="121" bestFit="1" customWidth="1"/>
    <col min="1562" max="1562" width="11" style="121" bestFit="1" customWidth="1"/>
    <col min="1563" max="1564" width="11" style="121" customWidth="1"/>
    <col min="1565" max="1565" width="10" style="121" bestFit="1" customWidth="1"/>
    <col min="1566" max="1566" width="14.42578125" style="121" bestFit="1" customWidth="1"/>
    <col min="1567" max="1577" width="0" style="121" hidden="1" customWidth="1"/>
    <col min="1578" max="1798" width="9.140625" style="121"/>
    <col min="1799" max="1799" width="54.140625" style="121" bestFit="1" customWidth="1"/>
    <col min="1800" max="1800" width="14.7109375" style="121" customWidth="1"/>
    <col min="1801" max="1801" width="10.140625" style="121" customWidth="1"/>
    <col min="1802" max="1802" width="10.42578125" style="121" bestFit="1" customWidth="1"/>
    <col min="1803" max="1804" width="9.42578125" style="121" bestFit="1" customWidth="1"/>
    <col min="1805" max="1806" width="9.42578125" style="121" customWidth="1"/>
    <col min="1807" max="1807" width="10.140625" style="121" bestFit="1" customWidth="1"/>
    <col min="1808" max="1811" width="9.140625" style="121"/>
    <col min="1812" max="1812" width="7.28515625" style="121" customWidth="1"/>
    <col min="1813" max="1815" width="7.42578125" style="121" customWidth="1"/>
    <col min="1816" max="1816" width="10.42578125" style="121" bestFit="1" customWidth="1"/>
    <col min="1817" max="1817" width="12" style="121" bestFit="1" customWidth="1"/>
    <col min="1818" max="1818" width="11" style="121" bestFit="1" customWidth="1"/>
    <col min="1819" max="1820" width="11" style="121" customWidth="1"/>
    <col min="1821" max="1821" width="10" style="121" bestFit="1" customWidth="1"/>
    <col min="1822" max="1822" width="14.42578125" style="121" bestFit="1" customWidth="1"/>
    <col min="1823" max="1833" width="0" style="121" hidden="1" customWidth="1"/>
    <col min="1834" max="2054" width="9.140625" style="121"/>
    <col min="2055" max="2055" width="54.140625" style="121" bestFit="1" customWidth="1"/>
    <col min="2056" max="2056" width="14.7109375" style="121" customWidth="1"/>
    <col min="2057" max="2057" width="10.140625" style="121" customWidth="1"/>
    <col min="2058" max="2058" width="10.42578125" style="121" bestFit="1" customWidth="1"/>
    <col min="2059" max="2060" width="9.42578125" style="121" bestFit="1" customWidth="1"/>
    <col min="2061" max="2062" width="9.42578125" style="121" customWidth="1"/>
    <col min="2063" max="2063" width="10.140625" style="121" bestFit="1" customWidth="1"/>
    <col min="2064" max="2067" width="9.140625" style="121"/>
    <col min="2068" max="2068" width="7.28515625" style="121" customWidth="1"/>
    <col min="2069" max="2071" width="7.42578125" style="121" customWidth="1"/>
    <col min="2072" max="2072" width="10.42578125" style="121" bestFit="1" customWidth="1"/>
    <col min="2073" max="2073" width="12" style="121" bestFit="1" customWidth="1"/>
    <col min="2074" max="2074" width="11" style="121" bestFit="1" customWidth="1"/>
    <col min="2075" max="2076" width="11" style="121" customWidth="1"/>
    <col min="2077" max="2077" width="10" style="121" bestFit="1" customWidth="1"/>
    <col min="2078" max="2078" width="14.42578125" style="121" bestFit="1" customWidth="1"/>
    <col min="2079" max="2089" width="0" style="121" hidden="1" customWidth="1"/>
    <col min="2090" max="2310" width="9.140625" style="121"/>
    <col min="2311" max="2311" width="54.140625" style="121" bestFit="1" customWidth="1"/>
    <col min="2312" max="2312" width="14.7109375" style="121" customWidth="1"/>
    <col min="2313" max="2313" width="10.140625" style="121" customWidth="1"/>
    <col min="2314" max="2314" width="10.42578125" style="121" bestFit="1" customWidth="1"/>
    <col min="2315" max="2316" width="9.42578125" style="121" bestFit="1" customWidth="1"/>
    <col min="2317" max="2318" width="9.42578125" style="121" customWidth="1"/>
    <col min="2319" max="2319" width="10.140625" style="121" bestFit="1" customWidth="1"/>
    <col min="2320" max="2323" width="9.140625" style="121"/>
    <col min="2324" max="2324" width="7.28515625" style="121" customWidth="1"/>
    <col min="2325" max="2327" width="7.42578125" style="121" customWidth="1"/>
    <col min="2328" max="2328" width="10.42578125" style="121" bestFit="1" customWidth="1"/>
    <col min="2329" max="2329" width="12" style="121" bestFit="1" customWidth="1"/>
    <col min="2330" max="2330" width="11" style="121" bestFit="1" customWidth="1"/>
    <col min="2331" max="2332" width="11" style="121" customWidth="1"/>
    <col min="2333" max="2333" width="10" style="121" bestFit="1" customWidth="1"/>
    <col min="2334" max="2334" width="14.42578125" style="121" bestFit="1" customWidth="1"/>
    <col min="2335" max="2345" width="0" style="121" hidden="1" customWidth="1"/>
    <col min="2346" max="2566" width="9.140625" style="121"/>
    <col min="2567" max="2567" width="54.140625" style="121" bestFit="1" customWidth="1"/>
    <col min="2568" max="2568" width="14.7109375" style="121" customWidth="1"/>
    <col min="2569" max="2569" width="10.140625" style="121" customWidth="1"/>
    <col min="2570" max="2570" width="10.42578125" style="121" bestFit="1" customWidth="1"/>
    <col min="2571" max="2572" width="9.42578125" style="121" bestFit="1" customWidth="1"/>
    <col min="2573" max="2574" width="9.42578125" style="121" customWidth="1"/>
    <col min="2575" max="2575" width="10.140625" style="121" bestFit="1" customWidth="1"/>
    <col min="2576" max="2579" width="9.140625" style="121"/>
    <col min="2580" max="2580" width="7.28515625" style="121" customWidth="1"/>
    <col min="2581" max="2583" width="7.42578125" style="121" customWidth="1"/>
    <col min="2584" max="2584" width="10.42578125" style="121" bestFit="1" customWidth="1"/>
    <col min="2585" max="2585" width="12" style="121" bestFit="1" customWidth="1"/>
    <col min="2586" max="2586" width="11" style="121" bestFit="1" customWidth="1"/>
    <col min="2587" max="2588" width="11" style="121" customWidth="1"/>
    <col min="2589" max="2589" width="10" style="121" bestFit="1" customWidth="1"/>
    <col min="2590" max="2590" width="14.42578125" style="121" bestFit="1" customWidth="1"/>
    <col min="2591" max="2601" width="0" style="121" hidden="1" customWidth="1"/>
    <col min="2602" max="2822" width="9.140625" style="121"/>
    <col min="2823" max="2823" width="54.140625" style="121" bestFit="1" customWidth="1"/>
    <col min="2824" max="2824" width="14.7109375" style="121" customWidth="1"/>
    <col min="2825" max="2825" width="10.140625" style="121" customWidth="1"/>
    <col min="2826" max="2826" width="10.42578125" style="121" bestFit="1" customWidth="1"/>
    <col min="2827" max="2828" width="9.42578125" style="121" bestFit="1" customWidth="1"/>
    <col min="2829" max="2830" width="9.42578125" style="121" customWidth="1"/>
    <col min="2831" max="2831" width="10.140625" style="121" bestFit="1" customWidth="1"/>
    <col min="2832" max="2835" width="9.140625" style="121"/>
    <col min="2836" max="2836" width="7.28515625" style="121" customWidth="1"/>
    <col min="2837" max="2839" width="7.42578125" style="121" customWidth="1"/>
    <col min="2840" max="2840" width="10.42578125" style="121" bestFit="1" customWidth="1"/>
    <col min="2841" max="2841" width="12" style="121" bestFit="1" customWidth="1"/>
    <col min="2842" max="2842" width="11" style="121" bestFit="1" customWidth="1"/>
    <col min="2843" max="2844" width="11" style="121" customWidth="1"/>
    <col min="2845" max="2845" width="10" style="121" bestFit="1" customWidth="1"/>
    <col min="2846" max="2846" width="14.42578125" style="121" bestFit="1" customWidth="1"/>
    <col min="2847" max="2857" width="0" style="121" hidden="1" customWidth="1"/>
    <col min="2858" max="3078" width="9.140625" style="121"/>
    <col min="3079" max="3079" width="54.140625" style="121" bestFit="1" customWidth="1"/>
    <col min="3080" max="3080" width="14.7109375" style="121" customWidth="1"/>
    <col min="3081" max="3081" width="10.140625" style="121" customWidth="1"/>
    <col min="3082" max="3082" width="10.42578125" style="121" bestFit="1" customWidth="1"/>
    <col min="3083" max="3084" width="9.42578125" style="121" bestFit="1" customWidth="1"/>
    <col min="3085" max="3086" width="9.42578125" style="121" customWidth="1"/>
    <col min="3087" max="3087" width="10.140625" style="121" bestFit="1" customWidth="1"/>
    <col min="3088" max="3091" width="9.140625" style="121"/>
    <col min="3092" max="3092" width="7.28515625" style="121" customWidth="1"/>
    <col min="3093" max="3095" width="7.42578125" style="121" customWidth="1"/>
    <col min="3096" max="3096" width="10.42578125" style="121" bestFit="1" customWidth="1"/>
    <col min="3097" max="3097" width="12" style="121" bestFit="1" customWidth="1"/>
    <col min="3098" max="3098" width="11" style="121" bestFit="1" customWidth="1"/>
    <col min="3099" max="3100" width="11" style="121" customWidth="1"/>
    <col min="3101" max="3101" width="10" style="121" bestFit="1" customWidth="1"/>
    <col min="3102" max="3102" width="14.42578125" style="121" bestFit="1" customWidth="1"/>
    <col min="3103" max="3113" width="0" style="121" hidden="1" customWidth="1"/>
    <col min="3114" max="3334" width="9.140625" style="121"/>
    <col min="3335" max="3335" width="54.140625" style="121" bestFit="1" customWidth="1"/>
    <col min="3336" max="3336" width="14.7109375" style="121" customWidth="1"/>
    <col min="3337" max="3337" width="10.140625" style="121" customWidth="1"/>
    <col min="3338" max="3338" width="10.42578125" style="121" bestFit="1" customWidth="1"/>
    <col min="3339" max="3340" width="9.42578125" style="121" bestFit="1" customWidth="1"/>
    <col min="3341" max="3342" width="9.42578125" style="121" customWidth="1"/>
    <col min="3343" max="3343" width="10.140625" style="121" bestFit="1" customWidth="1"/>
    <col min="3344" max="3347" width="9.140625" style="121"/>
    <col min="3348" max="3348" width="7.28515625" style="121" customWidth="1"/>
    <col min="3349" max="3351" width="7.42578125" style="121" customWidth="1"/>
    <col min="3352" max="3352" width="10.42578125" style="121" bestFit="1" customWidth="1"/>
    <col min="3353" max="3353" width="12" style="121" bestFit="1" customWidth="1"/>
    <col min="3354" max="3354" width="11" style="121" bestFit="1" customWidth="1"/>
    <col min="3355" max="3356" width="11" style="121" customWidth="1"/>
    <col min="3357" max="3357" width="10" style="121" bestFit="1" customWidth="1"/>
    <col min="3358" max="3358" width="14.42578125" style="121" bestFit="1" customWidth="1"/>
    <col min="3359" max="3369" width="0" style="121" hidden="1" customWidth="1"/>
    <col min="3370" max="3590" width="9.140625" style="121"/>
    <col min="3591" max="3591" width="54.140625" style="121" bestFit="1" customWidth="1"/>
    <col min="3592" max="3592" width="14.7109375" style="121" customWidth="1"/>
    <col min="3593" max="3593" width="10.140625" style="121" customWidth="1"/>
    <col min="3594" max="3594" width="10.42578125" style="121" bestFit="1" customWidth="1"/>
    <col min="3595" max="3596" width="9.42578125" style="121" bestFit="1" customWidth="1"/>
    <col min="3597" max="3598" width="9.42578125" style="121" customWidth="1"/>
    <col min="3599" max="3599" width="10.140625" style="121" bestFit="1" customWidth="1"/>
    <col min="3600" max="3603" width="9.140625" style="121"/>
    <col min="3604" max="3604" width="7.28515625" style="121" customWidth="1"/>
    <col min="3605" max="3607" width="7.42578125" style="121" customWidth="1"/>
    <col min="3608" max="3608" width="10.42578125" style="121" bestFit="1" customWidth="1"/>
    <col min="3609" max="3609" width="12" style="121" bestFit="1" customWidth="1"/>
    <col min="3610" max="3610" width="11" style="121" bestFit="1" customWidth="1"/>
    <col min="3611" max="3612" width="11" style="121" customWidth="1"/>
    <col min="3613" max="3613" width="10" style="121" bestFit="1" customWidth="1"/>
    <col min="3614" max="3614" width="14.42578125" style="121" bestFit="1" customWidth="1"/>
    <col min="3615" max="3625" width="0" style="121" hidden="1" customWidth="1"/>
    <col min="3626" max="3846" width="9.140625" style="121"/>
    <col min="3847" max="3847" width="54.140625" style="121" bestFit="1" customWidth="1"/>
    <col min="3848" max="3848" width="14.7109375" style="121" customWidth="1"/>
    <col min="3849" max="3849" width="10.140625" style="121" customWidth="1"/>
    <col min="3850" max="3850" width="10.42578125" style="121" bestFit="1" customWidth="1"/>
    <col min="3851" max="3852" width="9.42578125" style="121" bestFit="1" customWidth="1"/>
    <col min="3853" max="3854" width="9.42578125" style="121" customWidth="1"/>
    <col min="3855" max="3855" width="10.140625" style="121" bestFit="1" customWidth="1"/>
    <col min="3856" max="3859" width="9.140625" style="121"/>
    <col min="3860" max="3860" width="7.28515625" style="121" customWidth="1"/>
    <col min="3861" max="3863" width="7.42578125" style="121" customWidth="1"/>
    <col min="3864" max="3864" width="10.42578125" style="121" bestFit="1" customWidth="1"/>
    <col min="3865" max="3865" width="12" style="121" bestFit="1" customWidth="1"/>
    <col min="3866" max="3866" width="11" style="121" bestFit="1" customWidth="1"/>
    <col min="3867" max="3868" width="11" style="121" customWidth="1"/>
    <col min="3869" max="3869" width="10" style="121" bestFit="1" customWidth="1"/>
    <col min="3870" max="3870" width="14.42578125" style="121" bestFit="1" customWidth="1"/>
    <col min="3871" max="3881" width="0" style="121" hidden="1" customWidth="1"/>
    <col min="3882" max="4102" width="9.140625" style="121"/>
    <col min="4103" max="4103" width="54.140625" style="121" bestFit="1" customWidth="1"/>
    <col min="4104" max="4104" width="14.7109375" style="121" customWidth="1"/>
    <col min="4105" max="4105" width="10.140625" style="121" customWidth="1"/>
    <col min="4106" max="4106" width="10.42578125" style="121" bestFit="1" customWidth="1"/>
    <col min="4107" max="4108" width="9.42578125" style="121" bestFit="1" customWidth="1"/>
    <col min="4109" max="4110" width="9.42578125" style="121" customWidth="1"/>
    <col min="4111" max="4111" width="10.140625" style="121" bestFit="1" customWidth="1"/>
    <col min="4112" max="4115" width="9.140625" style="121"/>
    <col min="4116" max="4116" width="7.28515625" style="121" customWidth="1"/>
    <col min="4117" max="4119" width="7.42578125" style="121" customWidth="1"/>
    <col min="4120" max="4120" width="10.42578125" style="121" bestFit="1" customWidth="1"/>
    <col min="4121" max="4121" width="12" style="121" bestFit="1" customWidth="1"/>
    <col min="4122" max="4122" width="11" style="121" bestFit="1" customWidth="1"/>
    <col min="4123" max="4124" width="11" style="121" customWidth="1"/>
    <col min="4125" max="4125" width="10" style="121" bestFit="1" customWidth="1"/>
    <col min="4126" max="4126" width="14.42578125" style="121" bestFit="1" customWidth="1"/>
    <col min="4127" max="4137" width="0" style="121" hidden="1" customWidth="1"/>
    <col min="4138" max="4358" width="9.140625" style="121"/>
    <col min="4359" max="4359" width="54.140625" style="121" bestFit="1" customWidth="1"/>
    <col min="4360" max="4360" width="14.7109375" style="121" customWidth="1"/>
    <col min="4361" max="4361" width="10.140625" style="121" customWidth="1"/>
    <col min="4362" max="4362" width="10.42578125" style="121" bestFit="1" customWidth="1"/>
    <col min="4363" max="4364" width="9.42578125" style="121" bestFit="1" customWidth="1"/>
    <col min="4365" max="4366" width="9.42578125" style="121" customWidth="1"/>
    <col min="4367" max="4367" width="10.140625" style="121" bestFit="1" customWidth="1"/>
    <col min="4368" max="4371" width="9.140625" style="121"/>
    <col min="4372" max="4372" width="7.28515625" style="121" customWidth="1"/>
    <col min="4373" max="4375" width="7.42578125" style="121" customWidth="1"/>
    <col min="4376" max="4376" width="10.42578125" style="121" bestFit="1" customWidth="1"/>
    <col min="4377" max="4377" width="12" style="121" bestFit="1" customWidth="1"/>
    <col min="4378" max="4378" width="11" style="121" bestFit="1" customWidth="1"/>
    <col min="4379" max="4380" width="11" style="121" customWidth="1"/>
    <col min="4381" max="4381" width="10" style="121" bestFit="1" customWidth="1"/>
    <col min="4382" max="4382" width="14.42578125" style="121" bestFit="1" customWidth="1"/>
    <col min="4383" max="4393" width="0" style="121" hidden="1" customWidth="1"/>
    <col min="4394" max="4614" width="9.140625" style="121"/>
    <col min="4615" max="4615" width="54.140625" style="121" bestFit="1" customWidth="1"/>
    <col min="4616" max="4616" width="14.7109375" style="121" customWidth="1"/>
    <col min="4617" max="4617" width="10.140625" style="121" customWidth="1"/>
    <col min="4618" max="4618" width="10.42578125" style="121" bestFit="1" customWidth="1"/>
    <col min="4619" max="4620" width="9.42578125" style="121" bestFit="1" customWidth="1"/>
    <col min="4621" max="4622" width="9.42578125" style="121" customWidth="1"/>
    <col min="4623" max="4623" width="10.140625" style="121" bestFit="1" customWidth="1"/>
    <col min="4624" max="4627" width="9.140625" style="121"/>
    <col min="4628" max="4628" width="7.28515625" style="121" customWidth="1"/>
    <col min="4629" max="4631" width="7.42578125" style="121" customWidth="1"/>
    <col min="4632" max="4632" width="10.42578125" style="121" bestFit="1" customWidth="1"/>
    <col min="4633" max="4633" width="12" style="121" bestFit="1" customWidth="1"/>
    <col min="4634" max="4634" width="11" style="121" bestFit="1" customWidth="1"/>
    <col min="4635" max="4636" width="11" style="121" customWidth="1"/>
    <col min="4637" max="4637" width="10" style="121" bestFit="1" customWidth="1"/>
    <col min="4638" max="4638" width="14.42578125" style="121" bestFit="1" customWidth="1"/>
    <col min="4639" max="4649" width="0" style="121" hidden="1" customWidth="1"/>
    <col min="4650" max="4870" width="9.140625" style="121"/>
    <col min="4871" max="4871" width="54.140625" style="121" bestFit="1" customWidth="1"/>
    <col min="4872" max="4872" width="14.7109375" style="121" customWidth="1"/>
    <col min="4873" max="4873" width="10.140625" style="121" customWidth="1"/>
    <col min="4874" max="4874" width="10.42578125" style="121" bestFit="1" customWidth="1"/>
    <col min="4875" max="4876" width="9.42578125" style="121" bestFit="1" customWidth="1"/>
    <col min="4877" max="4878" width="9.42578125" style="121" customWidth="1"/>
    <col min="4879" max="4879" width="10.140625" style="121" bestFit="1" customWidth="1"/>
    <col min="4880" max="4883" width="9.140625" style="121"/>
    <col min="4884" max="4884" width="7.28515625" style="121" customWidth="1"/>
    <col min="4885" max="4887" width="7.42578125" style="121" customWidth="1"/>
    <col min="4888" max="4888" width="10.42578125" style="121" bestFit="1" customWidth="1"/>
    <col min="4889" max="4889" width="12" style="121" bestFit="1" customWidth="1"/>
    <col min="4890" max="4890" width="11" style="121" bestFit="1" customWidth="1"/>
    <col min="4891" max="4892" width="11" style="121" customWidth="1"/>
    <col min="4893" max="4893" width="10" style="121" bestFit="1" customWidth="1"/>
    <col min="4894" max="4894" width="14.42578125" style="121" bestFit="1" customWidth="1"/>
    <col min="4895" max="4905" width="0" style="121" hidden="1" customWidth="1"/>
    <col min="4906" max="5126" width="9.140625" style="121"/>
    <col min="5127" max="5127" width="54.140625" style="121" bestFit="1" customWidth="1"/>
    <col min="5128" max="5128" width="14.7109375" style="121" customWidth="1"/>
    <col min="5129" max="5129" width="10.140625" style="121" customWidth="1"/>
    <col min="5130" max="5130" width="10.42578125" style="121" bestFit="1" customWidth="1"/>
    <col min="5131" max="5132" width="9.42578125" style="121" bestFit="1" customWidth="1"/>
    <col min="5133" max="5134" width="9.42578125" style="121" customWidth="1"/>
    <col min="5135" max="5135" width="10.140625" style="121" bestFit="1" customWidth="1"/>
    <col min="5136" max="5139" width="9.140625" style="121"/>
    <col min="5140" max="5140" width="7.28515625" style="121" customWidth="1"/>
    <col min="5141" max="5143" width="7.42578125" style="121" customWidth="1"/>
    <col min="5144" max="5144" width="10.42578125" style="121" bestFit="1" customWidth="1"/>
    <col min="5145" max="5145" width="12" style="121" bestFit="1" customWidth="1"/>
    <col min="5146" max="5146" width="11" style="121" bestFit="1" customWidth="1"/>
    <col min="5147" max="5148" width="11" style="121" customWidth="1"/>
    <col min="5149" max="5149" width="10" style="121" bestFit="1" customWidth="1"/>
    <col min="5150" max="5150" width="14.42578125" style="121" bestFit="1" customWidth="1"/>
    <col min="5151" max="5161" width="0" style="121" hidden="1" customWidth="1"/>
    <col min="5162" max="5382" width="9.140625" style="121"/>
    <col min="5383" max="5383" width="54.140625" style="121" bestFit="1" customWidth="1"/>
    <col min="5384" max="5384" width="14.7109375" style="121" customWidth="1"/>
    <col min="5385" max="5385" width="10.140625" style="121" customWidth="1"/>
    <col min="5386" max="5386" width="10.42578125" style="121" bestFit="1" customWidth="1"/>
    <col min="5387" max="5388" width="9.42578125" style="121" bestFit="1" customWidth="1"/>
    <col min="5389" max="5390" width="9.42578125" style="121" customWidth="1"/>
    <col min="5391" max="5391" width="10.140625" style="121" bestFit="1" customWidth="1"/>
    <col min="5392" max="5395" width="9.140625" style="121"/>
    <col min="5396" max="5396" width="7.28515625" style="121" customWidth="1"/>
    <col min="5397" max="5399" width="7.42578125" style="121" customWidth="1"/>
    <col min="5400" max="5400" width="10.42578125" style="121" bestFit="1" customWidth="1"/>
    <col min="5401" max="5401" width="12" style="121" bestFit="1" customWidth="1"/>
    <col min="5402" max="5402" width="11" style="121" bestFit="1" customWidth="1"/>
    <col min="5403" max="5404" width="11" style="121" customWidth="1"/>
    <col min="5405" max="5405" width="10" style="121" bestFit="1" customWidth="1"/>
    <col min="5406" max="5406" width="14.42578125" style="121" bestFit="1" customWidth="1"/>
    <col min="5407" max="5417" width="0" style="121" hidden="1" customWidth="1"/>
    <col min="5418" max="5638" width="9.140625" style="121"/>
    <col min="5639" max="5639" width="54.140625" style="121" bestFit="1" customWidth="1"/>
    <col min="5640" max="5640" width="14.7109375" style="121" customWidth="1"/>
    <col min="5641" max="5641" width="10.140625" style="121" customWidth="1"/>
    <col min="5642" max="5642" width="10.42578125" style="121" bestFit="1" customWidth="1"/>
    <col min="5643" max="5644" width="9.42578125" style="121" bestFit="1" customWidth="1"/>
    <col min="5645" max="5646" width="9.42578125" style="121" customWidth="1"/>
    <col min="5647" max="5647" width="10.140625" style="121" bestFit="1" customWidth="1"/>
    <col min="5648" max="5651" width="9.140625" style="121"/>
    <col min="5652" max="5652" width="7.28515625" style="121" customWidth="1"/>
    <col min="5653" max="5655" width="7.42578125" style="121" customWidth="1"/>
    <col min="5656" max="5656" width="10.42578125" style="121" bestFit="1" customWidth="1"/>
    <col min="5657" max="5657" width="12" style="121" bestFit="1" customWidth="1"/>
    <col min="5658" max="5658" width="11" style="121" bestFit="1" customWidth="1"/>
    <col min="5659" max="5660" width="11" style="121" customWidth="1"/>
    <col min="5661" max="5661" width="10" style="121" bestFit="1" customWidth="1"/>
    <col min="5662" max="5662" width="14.42578125" style="121" bestFit="1" customWidth="1"/>
    <col min="5663" max="5673" width="0" style="121" hidden="1" customWidth="1"/>
    <col min="5674" max="5894" width="9.140625" style="121"/>
    <col min="5895" max="5895" width="54.140625" style="121" bestFit="1" customWidth="1"/>
    <col min="5896" max="5896" width="14.7109375" style="121" customWidth="1"/>
    <col min="5897" max="5897" width="10.140625" style="121" customWidth="1"/>
    <col min="5898" max="5898" width="10.42578125" style="121" bestFit="1" customWidth="1"/>
    <col min="5899" max="5900" width="9.42578125" style="121" bestFit="1" customWidth="1"/>
    <col min="5901" max="5902" width="9.42578125" style="121" customWidth="1"/>
    <col min="5903" max="5903" width="10.140625" style="121" bestFit="1" customWidth="1"/>
    <col min="5904" max="5907" width="9.140625" style="121"/>
    <col min="5908" max="5908" width="7.28515625" style="121" customWidth="1"/>
    <col min="5909" max="5911" width="7.42578125" style="121" customWidth="1"/>
    <col min="5912" max="5912" width="10.42578125" style="121" bestFit="1" customWidth="1"/>
    <col min="5913" max="5913" width="12" style="121" bestFit="1" customWidth="1"/>
    <col min="5914" max="5914" width="11" style="121" bestFit="1" customWidth="1"/>
    <col min="5915" max="5916" width="11" style="121" customWidth="1"/>
    <col min="5917" max="5917" width="10" style="121" bestFit="1" customWidth="1"/>
    <col min="5918" max="5918" width="14.42578125" style="121" bestFit="1" customWidth="1"/>
    <col min="5919" max="5929" width="0" style="121" hidden="1" customWidth="1"/>
    <col min="5930" max="6150" width="9.140625" style="121"/>
    <col min="6151" max="6151" width="54.140625" style="121" bestFit="1" customWidth="1"/>
    <col min="6152" max="6152" width="14.7109375" style="121" customWidth="1"/>
    <col min="6153" max="6153" width="10.140625" style="121" customWidth="1"/>
    <col min="6154" max="6154" width="10.42578125" style="121" bestFit="1" customWidth="1"/>
    <col min="6155" max="6156" width="9.42578125" style="121" bestFit="1" customWidth="1"/>
    <col min="6157" max="6158" width="9.42578125" style="121" customWidth="1"/>
    <col min="6159" max="6159" width="10.140625" style="121" bestFit="1" customWidth="1"/>
    <col min="6160" max="6163" width="9.140625" style="121"/>
    <col min="6164" max="6164" width="7.28515625" style="121" customWidth="1"/>
    <col min="6165" max="6167" width="7.42578125" style="121" customWidth="1"/>
    <col min="6168" max="6168" width="10.42578125" style="121" bestFit="1" customWidth="1"/>
    <col min="6169" max="6169" width="12" style="121" bestFit="1" customWidth="1"/>
    <col min="6170" max="6170" width="11" style="121" bestFit="1" customWidth="1"/>
    <col min="6171" max="6172" width="11" style="121" customWidth="1"/>
    <col min="6173" max="6173" width="10" style="121" bestFit="1" customWidth="1"/>
    <col min="6174" max="6174" width="14.42578125" style="121" bestFit="1" customWidth="1"/>
    <col min="6175" max="6185" width="0" style="121" hidden="1" customWidth="1"/>
    <col min="6186" max="6406" width="9.140625" style="121"/>
    <col min="6407" max="6407" width="54.140625" style="121" bestFit="1" customWidth="1"/>
    <col min="6408" max="6408" width="14.7109375" style="121" customWidth="1"/>
    <col min="6409" max="6409" width="10.140625" style="121" customWidth="1"/>
    <col min="6410" max="6410" width="10.42578125" style="121" bestFit="1" customWidth="1"/>
    <col min="6411" max="6412" width="9.42578125" style="121" bestFit="1" customWidth="1"/>
    <col min="6413" max="6414" width="9.42578125" style="121" customWidth="1"/>
    <col min="6415" max="6415" width="10.140625" style="121" bestFit="1" customWidth="1"/>
    <col min="6416" max="6419" width="9.140625" style="121"/>
    <col min="6420" max="6420" width="7.28515625" style="121" customWidth="1"/>
    <col min="6421" max="6423" width="7.42578125" style="121" customWidth="1"/>
    <col min="6424" max="6424" width="10.42578125" style="121" bestFit="1" customWidth="1"/>
    <col min="6425" max="6425" width="12" style="121" bestFit="1" customWidth="1"/>
    <col min="6426" max="6426" width="11" style="121" bestFit="1" customWidth="1"/>
    <col min="6427" max="6428" width="11" style="121" customWidth="1"/>
    <col min="6429" max="6429" width="10" style="121" bestFit="1" customWidth="1"/>
    <col min="6430" max="6430" width="14.42578125" style="121" bestFit="1" customWidth="1"/>
    <col min="6431" max="6441" width="0" style="121" hidden="1" customWidth="1"/>
    <col min="6442" max="6662" width="9.140625" style="121"/>
    <col min="6663" max="6663" width="54.140625" style="121" bestFit="1" customWidth="1"/>
    <col min="6664" max="6664" width="14.7109375" style="121" customWidth="1"/>
    <col min="6665" max="6665" width="10.140625" style="121" customWidth="1"/>
    <col min="6666" max="6666" width="10.42578125" style="121" bestFit="1" customWidth="1"/>
    <col min="6667" max="6668" width="9.42578125" style="121" bestFit="1" customWidth="1"/>
    <col min="6669" max="6670" width="9.42578125" style="121" customWidth="1"/>
    <col min="6671" max="6671" width="10.140625" style="121" bestFit="1" customWidth="1"/>
    <col min="6672" max="6675" width="9.140625" style="121"/>
    <col min="6676" max="6676" width="7.28515625" style="121" customWidth="1"/>
    <col min="6677" max="6679" width="7.42578125" style="121" customWidth="1"/>
    <col min="6680" max="6680" width="10.42578125" style="121" bestFit="1" customWidth="1"/>
    <col min="6681" max="6681" width="12" style="121" bestFit="1" customWidth="1"/>
    <col min="6682" max="6682" width="11" style="121" bestFit="1" customWidth="1"/>
    <col min="6683" max="6684" width="11" style="121" customWidth="1"/>
    <col min="6685" max="6685" width="10" style="121" bestFit="1" customWidth="1"/>
    <col min="6686" max="6686" width="14.42578125" style="121" bestFit="1" customWidth="1"/>
    <col min="6687" max="6697" width="0" style="121" hidden="1" customWidth="1"/>
    <col min="6698" max="6918" width="9.140625" style="121"/>
    <col min="6919" max="6919" width="54.140625" style="121" bestFit="1" customWidth="1"/>
    <col min="6920" max="6920" width="14.7109375" style="121" customWidth="1"/>
    <col min="6921" max="6921" width="10.140625" style="121" customWidth="1"/>
    <col min="6922" max="6922" width="10.42578125" style="121" bestFit="1" customWidth="1"/>
    <col min="6923" max="6924" width="9.42578125" style="121" bestFit="1" customWidth="1"/>
    <col min="6925" max="6926" width="9.42578125" style="121" customWidth="1"/>
    <col min="6927" max="6927" width="10.140625" style="121" bestFit="1" customWidth="1"/>
    <col min="6928" max="6931" width="9.140625" style="121"/>
    <col min="6932" max="6932" width="7.28515625" style="121" customWidth="1"/>
    <col min="6933" max="6935" width="7.42578125" style="121" customWidth="1"/>
    <col min="6936" max="6936" width="10.42578125" style="121" bestFit="1" customWidth="1"/>
    <col min="6937" max="6937" width="12" style="121" bestFit="1" customWidth="1"/>
    <col min="6938" max="6938" width="11" style="121" bestFit="1" customWidth="1"/>
    <col min="6939" max="6940" width="11" style="121" customWidth="1"/>
    <col min="6941" max="6941" width="10" style="121" bestFit="1" customWidth="1"/>
    <col min="6942" max="6942" width="14.42578125" style="121" bestFit="1" customWidth="1"/>
    <col min="6943" max="6953" width="0" style="121" hidden="1" customWidth="1"/>
    <col min="6954" max="7174" width="9.140625" style="121"/>
    <col min="7175" max="7175" width="54.140625" style="121" bestFit="1" customWidth="1"/>
    <col min="7176" max="7176" width="14.7109375" style="121" customWidth="1"/>
    <col min="7177" max="7177" width="10.140625" style="121" customWidth="1"/>
    <col min="7178" max="7178" width="10.42578125" style="121" bestFit="1" customWidth="1"/>
    <col min="7179" max="7180" width="9.42578125" style="121" bestFit="1" customWidth="1"/>
    <col min="7181" max="7182" width="9.42578125" style="121" customWidth="1"/>
    <col min="7183" max="7183" width="10.140625" style="121" bestFit="1" customWidth="1"/>
    <col min="7184" max="7187" width="9.140625" style="121"/>
    <col min="7188" max="7188" width="7.28515625" style="121" customWidth="1"/>
    <col min="7189" max="7191" width="7.42578125" style="121" customWidth="1"/>
    <col min="7192" max="7192" width="10.42578125" style="121" bestFit="1" customWidth="1"/>
    <col min="7193" max="7193" width="12" style="121" bestFit="1" customWidth="1"/>
    <col min="7194" max="7194" width="11" style="121" bestFit="1" customWidth="1"/>
    <col min="7195" max="7196" width="11" style="121" customWidth="1"/>
    <col min="7197" max="7197" width="10" style="121" bestFit="1" customWidth="1"/>
    <col min="7198" max="7198" width="14.42578125" style="121" bestFit="1" customWidth="1"/>
    <col min="7199" max="7209" width="0" style="121" hidden="1" customWidth="1"/>
    <col min="7210" max="7430" width="9.140625" style="121"/>
    <col min="7431" max="7431" width="54.140625" style="121" bestFit="1" customWidth="1"/>
    <col min="7432" max="7432" width="14.7109375" style="121" customWidth="1"/>
    <col min="7433" max="7433" width="10.140625" style="121" customWidth="1"/>
    <col min="7434" max="7434" width="10.42578125" style="121" bestFit="1" customWidth="1"/>
    <col min="7435" max="7436" width="9.42578125" style="121" bestFit="1" customWidth="1"/>
    <col min="7437" max="7438" width="9.42578125" style="121" customWidth="1"/>
    <col min="7439" max="7439" width="10.140625" style="121" bestFit="1" customWidth="1"/>
    <col min="7440" max="7443" width="9.140625" style="121"/>
    <col min="7444" max="7444" width="7.28515625" style="121" customWidth="1"/>
    <col min="7445" max="7447" width="7.42578125" style="121" customWidth="1"/>
    <col min="7448" max="7448" width="10.42578125" style="121" bestFit="1" customWidth="1"/>
    <col min="7449" max="7449" width="12" style="121" bestFit="1" customWidth="1"/>
    <col min="7450" max="7450" width="11" style="121" bestFit="1" customWidth="1"/>
    <col min="7451" max="7452" width="11" style="121" customWidth="1"/>
    <col min="7453" max="7453" width="10" style="121" bestFit="1" customWidth="1"/>
    <col min="7454" max="7454" width="14.42578125" style="121" bestFit="1" customWidth="1"/>
    <col min="7455" max="7465" width="0" style="121" hidden="1" customWidth="1"/>
    <col min="7466" max="7686" width="9.140625" style="121"/>
    <col min="7687" max="7687" width="54.140625" style="121" bestFit="1" customWidth="1"/>
    <col min="7688" max="7688" width="14.7109375" style="121" customWidth="1"/>
    <col min="7689" max="7689" width="10.140625" style="121" customWidth="1"/>
    <col min="7690" max="7690" width="10.42578125" style="121" bestFit="1" customWidth="1"/>
    <col min="7691" max="7692" width="9.42578125" style="121" bestFit="1" customWidth="1"/>
    <col min="7693" max="7694" width="9.42578125" style="121" customWidth="1"/>
    <col min="7695" max="7695" width="10.140625" style="121" bestFit="1" customWidth="1"/>
    <col min="7696" max="7699" width="9.140625" style="121"/>
    <col min="7700" max="7700" width="7.28515625" style="121" customWidth="1"/>
    <col min="7701" max="7703" width="7.42578125" style="121" customWidth="1"/>
    <col min="7704" max="7704" width="10.42578125" style="121" bestFit="1" customWidth="1"/>
    <col min="7705" max="7705" width="12" style="121" bestFit="1" customWidth="1"/>
    <col min="7706" max="7706" width="11" style="121" bestFit="1" customWidth="1"/>
    <col min="7707" max="7708" width="11" style="121" customWidth="1"/>
    <col min="7709" max="7709" width="10" style="121" bestFit="1" customWidth="1"/>
    <col min="7710" max="7710" width="14.42578125" style="121" bestFit="1" customWidth="1"/>
    <col min="7711" max="7721" width="0" style="121" hidden="1" customWidth="1"/>
    <col min="7722" max="7942" width="9.140625" style="121"/>
    <col min="7943" max="7943" width="54.140625" style="121" bestFit="1" customWidth="1"/>
    <col min="7944" max="7944" width="14.7109375" style="121" customWidth="1"/>
    <col min="7945" max="7945" width="10.140625" style="121" customWidth="1"/>
    <col min="7946" max="7946" width="10.42578125" style="121" bestFit="1" customWidth="1"/>
    <col min="7947" max="7948" width="9.42578125" style="121" bestFit="1" customWidth="1"/>
    <col min="7949" max="7950" width="9.42578125" style="121" customWidth="1"/>
    <col min="7951" max="7951" width="10.140625" style="121" bestFit="1" customWidth="1"/>
    <col min="7952" max="7955" width="9.140625" style="121"/>
    <col min="7956" max="7956" width="7.28515625" style="121" customWidth="1"/>
    <col min="7957" max="7959" width="7.42578125" style="121" customWidth="1"/>
    <col min="7960" max="7960" width="10.42578125" style="121" bestFit="1" customWidth="1"/>
    <col min="7961" max="7961" width="12" style="121" bestFit="1" customWidth="1"/>
    <col min="7962" max="7962" width="11" style="121" bestFit="1" customWidth="1"/>
    <col min="7963" max="7964" width="11" style="121" customWidth="1"/>
    <col min="7965" max="7965" width="10" style="121" bestFit="1" customWidth="1"/>
    <col min="7966" max="7966" width="14.42578125" style="121" bestFit="1" customWidth="1"/>
    <col min="7967" max="7977" width="0" style="121" hidden="1" customWidth="1"/>
    <col min="7978" max="8198" width="9.140625" style="121"/>
    <col min="8199" max="8199" width="54.140625" style="121" bestFit="1" customWidth="1"/>
    <col min="8200" max="8200" width="14.7109375" style="121" customWidth="1"/>
    <col min="8201" max="8201" width="10.140625" style="121" customWidth="1"/>
    <col min="8202" max="8202" width="10.42578125" style="121" bestFit="1" customWidth="1"/>
    <col min="8203" max="8204" width="9.42578125" style="121" bestFit="1" customWidth="1"/>
    <col min="8205" max="8206" width="9.42578125" style="121" customWidth="1"/>
    <col min="8207" max="8207" width="10.140625" style="121" bestFit="1" customWidth="1"/>
    <col min="8208" max="8211" width="9.140625" style="121"/>
    <col min="8212" max="8212" width="7.28515625" style="121" customWidth="1"/>
    <col min="8213" max="8215" width="7.42578125" style="121" customWidth="1"/>
    <col min="8216" max="8216" width="10.42578125" style="121" bestFit="1" customWidth="1"/>
    <col min="8217" max="8217" width="12" style="121" bestFit="1" customWidth="1"/>
    <col min="8218" max="8218" width="11" style="121" bestFit="1" customWidth="1"/>
    <col min="8219" max="8220" width="11" style="121" customWidth="1"/>
    <col min="8221" max="8221" width="10" style="121" bestFit="1" customWidth="1"/>
    <col min="8222" max="8222" width="14.42578125" style="121" bestFit="1" customWidth="1"/>
    <col min="8223" max="8233" width="0" style="121" hidden="1" customWidth="1"/>
    <col min="8234" max="8454" width="9.140625" style="121"/>
    <col min="8455" max="8455" width="54.140625" style="121" bestFit="1" customWidth="1"/>
    <col min="8456" max="8456" width="14.7109375" style="121" customWidth="1"/>
    <col min="8457" max="8457" width="10.140625" style="121" customWidth="1"/>
    <col min="8458" max="8458" width="10.42578125" style="121" bestFit="1" customWidth="1"/>
    <col min="8459" max="8460" width="9.42578125" style="121" bestFit="1" customWidth="1"/>
    <col min="8461" max="8462" width="9.42578125" style="121" customWidth="1"/>
    <col min="8463" max="8463" width="10.140625" style="121" bestFit="1" customWidth="1"/>
    <col min="8464" max="8467" width="9.140625" style="121"/>
    <col min="8468" max="8468" width="7.28515625" style="121" customWidth="1"/>
    <col min="8469" max="8471" width="7.42578125" style="121" customWidth="1"/>
    <col min="8472" max="8472" width="10.42578125" style="121" bestFit="1" customWidth="1"/>
    <col min="8473" max="8473" width="12" style="121" bestFit="1" customWidth="1"/>
    <col min="8474" max="8474" width="11" style="121" bestFit="1" customWidth="1"/>
    <col min="8475" max="8476" width="11" style="121" customWidth="1"/>
    <col min="8477" max="8477" width="10" style="121" bestFit="1" customWidth="1"/>
    <col min="8478" max="8478" width="14.42578125" style="121" bestFit="1" customWidth="1"/>
    <col min="8479" max="8489" width="0" style="121" hidden="1" customWidth="1"/>
    <col min="8490" max="8710" width="9.140625" style="121"/>
    <col min="8711" max="8711" width="54.140625" style="121" bestFit="1" customWidth="1"/>
    <col min="8712" max="8712" width="14.7109375" style="121" customWidth="1"/>
    <col min="8713" max="8713" width="10.140625" style="121" customWidth="1"/>
    <col min="8714" max="8714" width="10.42578125" style="121" bestFit="1" customWidth="1"/>
    <col min="8715" max="8716" width="9.42578125" style="121" bestFit="1" customWidth="1"/>
    <col min="8717" max="8718" width="9.42578125" style="121" customWidth="1"/>
    <col min="8719" max="8719" width="10.140625" style="121" bestFit="1" customWidth="1"/>
    <col min="8720" max="8723" width="9.140625" style="121"/>
    <col min="8724" max="8724" width="7.28515625" style="121" customWidth="1"/>
    <col min="8725" max="8727" width="7.42578125" style="121" customWidth="1"/>
    <col min="8728" max="8728" width="10.42578125" style="121" bestFit="1" customWidth="1"/>
    <col min="8729" max="8729" width="12" style="121" bestFit="1" customWidth="1"/>
    <col min="8730" max="8730" width="11" style="121" bestFit="1" customWidth="1"/>
    <col min="8731" max="8732" width="11" style="121" customWidth="1"/>
    <col min="8733" max="8733" width="10" style="121" bestFit="1" customWidth="1"/>
    <col min="8734" max="8734" width="14.42578125" style="121" bestFit="1" customWidth="1"/>
    <col min="8735" max="8745" width="0" style="121" hidden="1" customWidth="1"/>
    <col min="8746" max="8966" width="9.140625" style="121"/>
    <col min="8967" max="8967" width="54.140625" style="121" bestFit="1" customWidth="1"/>
    <col min="8968" max="8968" width="14.7109375" style="121" customWidth="1"/>
    <col min="8969" max="8969" width="10.140625" style="121" customWidth="1"/>
    <col min="8970" max="8970" width="10.42578125" style="121" bestFit="1" customWidth="1"/>
    <col min="8971" max="8972" width="9.42578125" style="121" bestFit="1" customWidth="1"/>
    <col min="8973" max="8974" width="9.42578125" style="121" customWidth="1"/>
    <col min="8975" max="8975" width="10.140625" style="121" bestFit="1" customWidth="1"/>
    <col min="8976" max="8979" width="9.140625" style="121"/>
    <col min="8980" max="8980" width="7.28515625" style="121" customWidth="1"/>
    <col min="8981" max="8983" width="7.42578125" style="121" customWidth="1"/>
    <col min="8984" max="8984" width="10.42578125" style="121" bestFit="1" customWidth="1"/>
    <col min="8985" max="8985" width="12" style="121" bestFit="1" customWidth="1"/>
    <col min="8986" max="8986" width="11" style="121" bestFit="1" customWidth="1"/>
    <col min="8987" max="8988" width="11" style="121" customWidth="1"/>
    <col min="8989" max="8989" width="10" style="121" bestFit="1" customWidth="1"/>
    <col min="8990" max="8990" width="14.42578125" style="121" bestFit="1" customWidth="1"/>
    <col min="8991" max="9001" width="0" style="121" hidden="1" customWidth="1"/>
    <col min="9002" max="9222" width="9.140625" style="121"/>
    <col min="9223" max="9223" width="54.140625" style="121" bestFit="1" customWidth="1"/>
    <col min="9224" max="9224" width="14.7109375" style="121" customWidth="1"/>
    <col min="9225" max="9225" width="10.140625" style="121" customWidth="1"/>
    <col min="9226" max="9226" width="10.42578125" style="121" bestFit="1" customWidth="1"/>
    <col min="9227" max="9228" width="9.42578125" style="121" bestFit="1" customWidth="1"/>
    <col min="9229" max="9230" width="9.42578125" style="121" customWidth="1"/>
    <col min="9231" max="9231" width="10.140625" style="121" bestFit="1" customWidth="1"/>
    <col min="9232" max="9235" width="9.140625" style="121"/>
    <col min="9236" max="9236" width="7.28515625" style="121" customWidth="1"/>
    <col min="9237" max="9239" width="7.42578125" style="121" customWidth="1"/>
    <col min="9240" max="9240" width="10.42578125" style="121" bestFit="1" customWidth="1"/>
    <col min="9241" max="9241" width="12" style="121" bestFit="1" customWidth="1"/>
    <col min="9242" max="9242" width="11" style="121" bestFit="1" customWidth="1"/>
    <col min="9243" max="9244" width="11" style="121" customWidth="1"/>
    <col min="9245" max="9245" width="10" style="121" bestFit="1" customWidth="1"/>
    <col min="9246" max="9246" width="14.42578125" style="121" bestFit="1" customWidth="1"/>
    <col min="9247" max="9257" width="0" style="121" hidden="1" customWidth="1"/>
    <col min="9258" max="9478" width="9.140625" style="121"/>
    <col min="9479" max="9479" width="54.140625" style="121" bestFit="1" customWidth="1"/>
    <col min="9480" max="9480" width="14.7109375" style="121" customWidth="1"/>
    <col min="9481" max="9481" width="10.140625" style="121" customWidth="1"/>
    <col min="9482" max="9482" width="10.42578125" style="121" bestFit="1" customWidth="1"/>
    <col min="9483" max="9484" width="9.42578125" style="121" bestFit="1" customWidth="1"/>
    <col min="9485" max="9486" width="9.42578125" style="121" customWidth="1"/>
    <col min="9487" max="9487" width="10.140625" style="121" bestFit="1" customWidth="1"/>
    <col min="9488" max="9491" width="9.140625" style="121"/>
    <col min="9492" max="9492" width="7.28515625" style="121" customWidth="1"/>
    <col min="9493" max="9495" width="7.42578125" style="121" customWidth="1"/>
    <col min="9496" max="9496" width="10.42578125" style="121" bestFit="1" customWidth="1"/>
    <col min="9497" max="9497" width="12" style="121" bestFit="1" customWidth="1"/>
    <col min="9498" max="9498" width="11" style="121" bestFit="1" customWidth="1"/>
    <col min="9499" max="9500" width="11" style="121" customWidth="1"/>
    <col min="9501" max="9501" width="10" style="121" bestFit="1" customWidth="1"/>
    <col min="9502" max="9502" width="14.42578125" style="121" bestFit="1" customWidth="1"/>
    <col min="9503" max="9513" width="0" style="121" hidden="1" customWidth="1"/>
    <col min="9514" max="9734" width="9.140625" style="121"/>
    <col min="9735" max="9735" width="54.140625" style="121" bestFit="1" customWidth="1"/>
    <col min="9736" max="9736" width="14.7109375" style="121" customWidth="1"/>
    <col min="9737" max="9737" width="10.140625" style="121" customWidth="1"/>
    <col min="9738" max="9738" width="10.42578125" style="121" bestFit="1" customWidth="1"/>
    <col min="9739" max="9740" width="9.42578125" style="121" bestFit="1" customWidth="1"/>
    <col min="9741" max="9742" width="9.42578125" style="121" customWidth="1"/>
    <col min="9743" max="9743" width="10.140625" style="121" bestFit="1" customWidth="1"/>
    <col min="9744" max="9747" width="9.140625" style="121"/>
    <col min="9748" max="9748" width="7.28515625" style="121" customWidth="1"/>
    <col min="9749" max="9751" width="7.42578125" style="121" customWidth="1"/>
    <col min="9752" max="9752" width="10.42578125" style="121" bestFit="1" customWidth="1"/>
    <col min="9753" max="9753" width="12" style="121" bestFit="1" customWidth="1"/>
    <col min="9754" max="9754" width="11" style="121" bestFit="1" customWidth="1"/>
    <col min="9755" max="9756" width="11" style="121" customWidth="1"/>
    <col min="9757" max="9757" width="10" style="121" bestFit="1" customWidth="1"/>
    <col min="9758" max="9758" width="14.42578125" style="121" bestFit="1" customWidth="1"/>
    <col min="9759" max="9769" width="0" style="121" hidden="1" customWidth="1"/>
    <col min="9770" max="9990" width="9.140625" style="121"/>
    <col min="9991" max="9991" width="54.140625" style="121" bestFit="1" customWidth="1"/>
    <col min="9992" max="9992" width="14.7109375" style="121" customWidth="1"/>
    <col min="9993" max="9993" width="10.140625" style="121" customWidth="1"/>
    <col min="9994" max="9994" width="10.42578125" style="121" bestFit="1" customWidth="1"/>
    <col min="9995" max="9996" width="9.42578125" style="121" bestFit="1" customWidth="1"/>
    <col min="9997" max="9998" width="9.42578125" style="121" customWidth="1"/>
    <col min="9999" max="9999" width="10.140625" style="121" bestFit="1" customWidth="1"/>
    <col min="10000" max="10003" width="9.140625" style="121"/>
    <col min="10004" max="10004" width="7.28515625" style="121" customWidth="1"/>
    <col min="10005" max="10007" width="7.42578125" style="121" customWidth="1"/>
    <col min="10008" max="10008" width="10.42578125" style="121" bestFit="1" customWidth="1"/>
    <col min="10009" max="10009" width="12" style="121" bestFit="1" customWidth="1"/>
    <col min="10010" max="10010" width="11" style="121" bestFit="1" customWidth="1"/>
    <col min="10011" max="10012" width="11" style="121" customWidth="1"/>
    <col min="10013" max="10013" width="10" style="121" bestFit="1" customWidth="1"/>
    <col min="10014" max="10014" width="14.42578125" style="121" bestFit="1" customWidth="1"/>
    <col min="10015" max="10025" width="0" style="121" hidden="1" customWidth="1"/>
    <col min="10026" max="10246" width="9.140625" style="121"/>
    <col min="10247" max="10247" width="54.140625" style="121" bestFit="1" customWidth="1"/>
    <col min="10248" max="10248" width="14.7109375" style="121" customWidth="1"/>
    <col min="10249" max="10249" width="10.140625" style="121" customWidth="1"/>
    <col min="10250" max="10250" width="10.42578125" style="121" bestFit="1" customWidth="1"/>
    <col min="10251" max="10252" width="9.42578125" style="121" bestFit="1" customWidth="1"/>
    <col min="10253" max="10254" width="9.42578125" style="121" customWidth="1"/>
    <col min="10255" max="10255" width="10.140625" style="121" bestFit="1" customWidth="1"/>
    <col min="10256" max="10259" width="9.140625" style="121"/>
    <col min="10260" max="10260" width="7.28515625" style="121" customWidth="1"/>
    <col min="10261" max="10263" width="7.42578125" style="121" customWidth="1"/>
    <col min="10264" max="10264" width="10.42578125" style="121" bestFit="1" customWidth="1"/>
    <col min="10265" max="10265" width="12" style="121" bestFit="1" customWidth="1"/>
    <col min="10266" max="10266" width="11" style="121" bestFit="1" customWidth="1"/>
    <col min="10267" max="10268" width="11" style="121" customWidth="1"/>
    <col min="10269" max="10269" width="10" style="121" bestFit="1" customWidth="1"/>
    <col min="10270" max="10270" width="14.42578125" style="121" bestFit="1" customWidth="1"/>
    <col min="10271" max="10281" width="0" style="121" hidden="1" customWidth="1"/>
    <col min="10282" max="10502" width="9.140625" style="121"/>
    <col min="10503" max="10503" width="54.140625" style="121" bestFit="1" customWidth="1"/>
    <col min="10504" max="10504" width="14.7109375" style="121" customWidth="1"/>
    <col min="10505" max="10505" width="10.140625" style="121" customWidth="1"/>
    <col min="10506" max="10506" width="10.42578125" style="121" bestFit="1" customWidth="1"/>
    <col min="10507" max="10508" width="9.42578125" style="121" bestFit="1" customWidth="1"/>
    <col min="10509" max="10510" width="9.42578125" style="121" customWidth="1"/>
    <col min="10511" max="10511" width="10.140625" style="121" bestFit="1" customWidth="1"/>
    <col min="10512" max="10515" width="9.140625" style="121"/>
    <col min="10516" max="10516" width="7.28515625" style="121" customWidth="1"/>
    <col min="10517" max="10519" width="7.42578125" style="121" customWidth="1"/>
    <col min="10520" max="10520" width="10.42578125" style="121" bestFit="1" customWidth="1"/>
    <col min="10521" max="10521" width="12" style="121" bestFit="1" customWidth="1"/>
    <col min="10522" max="10522" width="11" style="121" bestFit="1" customWidth="1"/>
    <col min="10523" max="10524" width="11" style="121" customWidth="1"/>
    <col min="10525" max="10525" width="10" style="121" bestFit="1" customWidth="1"/>
    <col min="10526" max="10526" width="14.42578125" style="121" bestFit="1" customWidth="1"/>
    <col min="10527" max="10537" width="0" style="121" hidden="1" customWidth="1"/>
    <col min="10538" max="10758" width="9.140625" style="121"/>
    <col min="10759" max="10759" width="54.140625" style="121" bestFit="1" customWidth="1"/>
    <col min="10760" max="10760" width="14.7109375" style="121" customWidth="1"/>
    <col min="10761" max="10761" width="10.140625" style="121" customWidth="1"/>
    <col min="10762" max="10762" width="10.42578125" style="121" bestFit="1" customWidth="1"/>
    <col min="10763" max="10764" width="9.42578125" style="121" bestFit="1" customWidth="1"/>
    <col min="10765" max="10766" width="9.42578125" style="121" customWidth="1"/>
    <col min="10767" max="10767" width="10.140625" style="121" bestFit="1" customWidth="1"/>
    <col min="10768" max="10771" width="9.140625" style="121"/>
    <col min="10772" max="10772" width="7.28515625" style="121" customWidth="1"/>
    <col min="10773" max="10775" width="7.42578125" style="121" customWidth="1"/>
    <col min="10776" max="10776" width="10.42578125" style="121" bestFit="1" customWidth="1"/>
    <col min="10777" max="10777" width="12" style="121" bestFit="1" customWidth="1"/>
    <col min="10778" max="10778" width="11" style="121" bestFit="1" customWidth="1"/>
    <col min="10779" max="10780" width="11" style="121" customWidth="1"/>
    <col min="10781" max="10781" width="10" style="121" bestFit="1" customWidth="1"/>
    <col min="10782" max="10782" width="14.42578125" style="121" bestFit="1" customWidth="1"/>
    <col min="10783" max="10793" width="0" style="121" hidden="1" customWidth="1"/>
    <col min="10794" max="11014" width="9.140625" style="121"/>
    <col min="11015" max="11015" width="54.140625" style="121" bestFit="1" customWidth="1"/>
    <col min="11016" max="11016" width="14.7109375" style="121" customWidth="1"/>
    <col min="11017" max="11017" width="10.140625" style="121" customWidth="1"/>
    <col min="11018" max="11018" width="10.42578125" style="121" bestFit="1" customWidth="1"/>
    <col min="11019" max="11020" width="9.42578125" style="121" bestFit="1" customWidth="1"/>
    <col min="11021" max="11022" width="9.42578125" style="121" customWidth="1"/>
    <col min="11023" max="11023" width="10.140625" style="121" bestFit="1" customWidth="1"/>
    <col min="11024" max="11027" width="9.140625" style="121"/>
    <col min="11028" max="11028" width="7.28515625" style="121" customWidth="1"/>
    <col min="11029" max="11031" width="7.42578125" style="121" customWidth="1"/>
    <col min="11032" max="11032" width="10.42578125" style="121" bestFit="1" customWidth="1"/>
    <col min="11033" max="11033" width="12" style="121" bestFit="1" customWidth="1"/>
    <col min="11034" max="11034" width="11" style="121" bestFit="1" customWidth="1"/>
    <col min="11035" max="11036" width="11" style="121" customWidth="1"/>
    <col min="11037" max="11037" width="10" style="121" bestFit="1" customWidth="1"/>
    <col min="11038" max="11038" width="14.42578125" style="121" bestFit="1" customWidth="1"/>
    <col min="11039" max="11049" width="0" style="121" hidden="1" customWidth="1"/>
    <col min="11050" max="11270" width="9.140625" style="121"/>
    <col min="11271" max="11271" width="54.140625" style="121" bestFit="1" customWidth="1"/>
    <col min="11272" max="11272" width="14.7109375" style="121" customWidth="1"/>
    <col min="11273" max="11273" width="10.140625" style="121" customWidth="1"/>
    <col min="11274" max="11274" width="10.42578125" style="121" bestFit="1" customWidth="1"/>
    <col min="11275" max="11276" width="9.42578125" style="121" bestFit="1" customWidth="1"/>
    <col min="11277" max="11278" width="9.42578125" style="121" customWidth="1"/>
    <col min="11279" max="11279" width="10.140625" style="121" bestFit="1" customWidth="1"/>
    <col min="11280" max="11283" width="9.140625" style="121"/>
    <col min="11284" max="11284" width="7.28515625" style="121" customWidth="1"/>
    <col min="11285" max="11287" width="7.42578125" style="121" customWidth="1"/>
    <col min="11288" max="11288" width="10.42578125" style="121" bestFit="1" customWidth="1"/>
    <col min="11289" max="11289" width="12" style="121" bestFit="1" customWidth="1"/>
    <col min="11290" max="11290" width="11" style="121" bestFit="1" customWidth="1"/>
    <col min="11291" max="11292" width="11" style="121" customWidth="1"/>
    <col min="11293" max="11293" width="10" style="121" bestFit="1" customWidth="1"/>
    <col min="11294" max="11294" width="14.42578125" style="121" bestFit="1" customWidth="1"/>
    <col min="11295" max="11305" width="0" style="121" hidden="1" customWidth="1"/>
    <col min="11306" max="11526" width="9.140625" style="121"/>
    <col min="11527" max="11527" width="54.140625" style="121" bestFit="1" customWidth="1"/>
    <col min="11528" max="11528" width="14.7109375" style="121" customWidth="1"/>
    <col min="11529" max="11529" width="10.140625" style="121" customWidth="1"/>
    <col min="11530" max="11530" width="10.42578125" style="121" bestFit="1" customWidth="1"/>
    <col min="11531" max="11532" width="9.42578125" style="121" bestFit="1" customWidth="1"/>
    <col min="11533" max="11534" width="9.42578125" style="121" customWidth="1"/>
    <col min="11535" max="11535" width="10.140625" style="121" bestFit="1" customWidth="1"/>
    <col min="11536" max="11539" width="9.140625" style="121"/>
    <col min="11540" max="11540" width="7.28515625" style="121" customWidth="1"/>
    <col min="11541" max="11543" width="7.42578125" style="121" customWidth="1"/>
    <col min="11544" max="11544" width="10.42578125" style="121" bestFit="1" customWidth="1"/>
    <col min="11545" max="11545" width="12" style="121" bestFit="1" customWidth="1"/>
    <col min="11546" max="11546" width="11" style="121" bestFit="1" customWidth="1"/>
    <col min="11547" max="11548" width="11" style="121" customWidth="1"/>
    <col min="11549" max="11549" width="10" style="121" bestFit="1" customWidth="1"/>
    <col min="11550" max="11550" width="14.42578125" style="121" bestFit="1" customWidth="1"/>
    <col min="11551" max="11561" width="0" style="121" hidden="1" customWidth="1"/>
    <col min="11562" max="11782" width="9.140625" style="121"/>
    <col min="11783" max="11783" width="54.140625" style="121" bestFit="1" customWidth="1"/>
    <col min="11784" max="11784" width="14.7109375" style="121" customWidth="1"/>
    <col min="11785" max="11785" width="10.140625" style="121" customWidth="1"/>
    <col min="11786" max="11786" width="10.42578125" style="121" bestFit="1" customWidth="1"/>
    <col min="11787" max="11788" width="9.42578125" style="121" bestFit="1" customWidth="1"/>
    <col min="11789" max="11790" width="9.42578125" style="121" customWidth="1"/>
    <col min="11791" max="11791" width="10.140625" style="121" bestFit="1" customWidth="1"/>
    <col min="11792" max="11795" width="9.140625" style="121"/>
    <col min="11796" max="11796" width="7.28515625" style="121" customWidth="1"/>
    <col min="11797" max="11799" width="7.42578125" style="121" customWidth="1"/>
    <col min="11800" max="11800" width="10.42578125" style="121" bestFit="1" customWidth="1"/>
    <col min="11801" max="11801" width="12" style="121" bestFit="1" customWidth="1"/>
    <col min="11802" max="11802" width="11" style="121" bestFit="1" customWidth="1"/>
    <col min="11803" max="11804" width="11" style="121" customWidth="1"/>
    <col min="11805" max="11805" width="10" style="121" bestFit="1" customWidth="1"/>
    <col min="11806" max="11806" width="14.42578125" style="121" bestFit="1" customWidth="1"/>
    <col min="11807" max="11817" width="0" style="121" hidden="1" customWidth="1"/>
    <col min="11818" max="12038" width="9.140625" style="121"/>
    <col min="12039" max="12039" width="54.140625" style="121" bestFit="1" customWidth="1"/>
    <col min="12040" max="12040" width="14.7109375" style="121" customWidth="1"/>
    <col min="12041" max="12041" width="10.140625" style="121" customWidth="1"/>
    <col min="12042" max="12042" width="10.42578125" style="121" bestFit="1" customWidth="1"/>
    <col min="12043" max="12044" width="9.42578125" style="121" bestFit="1" customWidth="1"/>
    <col min="12045" max="12046" width="9.42578125" style="121" customWidth="1"/>
    <col min="12047" max="12047" width="10.140625" style="121" bestFit="1" customWidth="1"/>
    <col min="12048" max="12051" width="9.140625" style="121"/>
    <col min="12052" max="12052" width="7.28515625" style="121" customWidth="1"/>
    <col min="12053" max="12055" width="7.42578125" style="121" customWidth="1"/>
    <col min="12056" max="12056" width="10.42578125" style="121" bestFit="1" customWidth="1"/>
    <col min="12057" max="12057" width="12" style="121" bestFit="1" customWidth="1"/>
    <col min="12058" max="12058" width="11" style="121" bestFit="1" customWidth="1"/>
    <col min="12059" max="12060" width="11" style="121" customWidth="1"/>
    <col min="12061" max="12061" width="10" style="121" bestFit="1" customWidth="1"/>
    <col min="12062" max="12062" width="14.42578125" style="121" bestFit="1" customWidth="1"/>
    <col min="12063" max="12073" width="0" style="121" hidden="1" customWidth="1"/>
    <col min="12074" max="12294" width="9.140625" style="121"/>
    <col min="12295" max="12295" width="54.140625" style="121" bestFit="1" customWidth="1"/>
    <col min="12296" max="12296" width="14.7109375" style="121" customWidth="1"/>
    <col min="12297" max="12297" width="10.140625" style="121" customWidth="1"/>
    <col min="12298" max="12298" width="10.42578125" style="121" bestFit="1" customWidth="1"/>
    <col min="12299" max="12300" width="9.42578125" style="121" bestFit="1" customWidth="1"/>
    <col min="12301" max="12302" width="9.42578125" style="121" customWidth="1"/>
    <col min="12303" max="12303" width="10.140625" style="121" bestFit="1" customWidth="1"/>
    <col min="12304" max="12307" width="9.140625" style="121"/>
    <col min="12308" max="12308" width="7.28515625" style="121" customWidth="1"/>
    <col min="12309" max="12311" width="7.42578125" style="121" customWidth="1"/>
    <col min="12312" max="12312" width="10.42578125" style="121" bestFit="1" customWidth="1"/>
    <col min="12313" max="12313" width="12" style="121" bestFit="1" customWidth="1"/>
    <col min="12314" max="12314" width="11" style="121" bestFit="1" customWidth="1"/>
    <col min="12315" max="12316" width="11" style="121" customWidth="1"/>
    <col min="12317" max="12317" width="10" style="121" bestFit="1" customWidth="1"/>
    <col min="12318" max="12318" width="14.42578125" style="121" bestFit="1" customWidth="1"/>
    <col min="12319" max="12329" width="0" style="121" hidden="1" customWidth="1"/>
    <col min="12330" max="12550" width="9.140625" style="121"/>
    <col min="12551" max="12551" width="54.140625" style="121" bestFit="1" customWidth="1"/>
    <col min="12552" max="12552" width="14.7109375" style="121" customWidth="1"/>
    <col min="12553" max="12553" width="10.140625" style="121" customWidth="1"/>
    <col min="12554" max="12554" width="10.42578125" style="121" bestFit="1" customWidth="1"/>
    <col min="12555" max="12556" width="9.42578125" style="121" bestFit="1" customWidth="1"/>
    <col min="12557" max="12558" width="9.42578125" style="121" customWidth="1"/>
    <col min="12559" max="12559" width="10.140625" style="121" bestFit="1" customWidth="1"/>
    <col min="12560" max="12563" width="9.140625" style="121"/>
    <col min="12564" max="12564" width="7.28515625" style="121" customWidth="1"/>
    <col min="12565" max="12567" width="7.42578125" style="121" customWidth="1"/>
    <col min="12568" max="12568" width="10.42578125" style="121" bestFit="1" customWidth="1"/>
    <col min="12569" max="12569" width="12" style="121" bestFit="1" customWidth="1"/>
    <col min="12570" max="12570" width="11" style="121" bestFit="1" customWidth="1"/>
    <col min="12571" max="12572" width="11" style="121" customWidth="1"/>
    <col min="12573" max="12573" width="10" style="121" bestFit="1" customWidth="1"/>
    <col min="12574" max="12574" width="14.42578125" style="121" bestFit="1" customWidth="1"/>
    <col min="12575" max="12585" width="0" style="121" hidden="1" customWidth="1"/>
    <col min="12586" max="12806" width="9.140625" style="121"/>
    <col min="12807" max="12807" width="54.140625" style="121" bestFit="1" customWidth="1"/>
    <col min="12808" max="12808" width="14.7109375" style="121" customWidth="1"/>
    <col min="12809" max="12809" width="10.140625" style="121" customWidth="1"/>
    <col min="12810" max="12810" width="10.42578125" style="121" bestFit="1" customWidth="1"/>
    <col min="12811" max="12812" width="9.42578125" style="121" bestFit="1" customWidth="1"/>
    <col min="12813" max="12814" width="9.42578125" style="121" customWidth="1"/>
    <col min="12815" max="12815" width="10.140625" style="121" bestFit="1" customWidth="1"/>
    <col min="12816" max="12819" width="9.140625" style="121"/>
    <col min="12820" max="12820" width="7.28515625" style="121" customWidth="1"/>
    <col min="12821" max="12823" width="7.42578125" style="121" customWidth="1"/>
    <col min="12824" max="12824" width="10.42578125" style="121" bestFit="1" customWidth="1"/>
    <col min="12825" max="12825" width="12" style="121" bestFit="1" customWidth="1"/>
    <col min="12826" max="12826" width="11" style="121" bestFit="1" customWidth="1"/>
    <col min="12827" max="12828" width="11" style="121" customWidth="1"/>
    <col min="12829" max="12829" width="10" style="121" bestFit="1" customWidth="1"/>
    <col min="12830" max="12830" width="14.42578125" style="121" bestFit="1" customWidth="1"/>
    <col min="12831" max="12841" width="0" style="121" hidden="1" customWidth="1"/>
    <col min="12842" max="13062" width="9.140625" style="121"/>
    <col min="13063" max="13063" width="54.140625" style="121" bestFit="1" customWidth="1"/>
    <col min="13064" max="13064" width="14.7109375" style="121" customWidth="1"/>
    <col min="13065" max="13065" width="10.140625" style="121" customWidth="1"/>
    <col min="13066" max="13066" width="10.42578125" style="121" bestFit="1" customWidth="1"/>
    <col min="13067" max="13068" width="9.42578125" style="121" bestFit="1" customWidth="1"/>
    <col min="13069" max="13070" width="9.42578125" style="121" customWidth="1"/>
    <col min="13071" max="13071" width="10.140625" style="121" bestFit="1" customWidth="1"/>
    <col min="13072" max="13075" width="9.140625" style="121"/>
    <col min="13076" max="13076" width="7.28515625" style="121" customWidth="1"/>
    <col min="13077" max="13079" width="7.42578125" style="121" customWidth="1"/>
    <col min="13080" max="13080" width="10.42578125" style="121" bestFit="1" customWidth="1"/>
    <col min="13081" max="13081" width="12" style="121" bestFit="1" customWidth="1"/>
    <col min="13082" max="13082" width="11" style="121" bestFit="1" customWidth="1"/>
    <col min="13083" max="13084" width="11" style="121" customWidth="1"/>
    <col min="13085" max="13085" width="10" style="121" bestFit="1" customWidth="1"/>
    <col min="13086" max="13086" width="14.42578125" style="121" bestFit="1" customWidth="1"/>
    <col min="13087" max="13097" width="0" style="121" hidden="1" customWidth="1"/>
    <col min="13098" max="13318" width="9.140625" style="121"/>
    <col min="13319" max="13319" width="54.140625" style="121" bestFit="1" customWidth="1"/>
    <col min="13320" max="13320" width="14.7109375" style="121" customWidth="1"/>
    <col min="13321" max="13321" width="10.140625" style="121" customWidth="1"/>
    <col min="13322" max="13322" width="10.42578125" style="121" bestFit="1" customWidth="1"/>
    <col min="13323" max="13324" width="9.42578125" style="121" bestFit="1" customWidth="1"/>
    <col min="13325" max="13326" width="9.42578125" style="121" customWidth="1"/>
    <col min="13327" max="13327" width="10.140625" style="121" bestFit="1" customWidth="1"/>
    <col min="13328" max="13331" width="9.140625" style="121"/>
    <col min="13332" max="13332" width="7.28515625" style="121" customWidth="1"/>
    <col min="13333" max="13335" width="7.42578125" style="121" customWidth="1"/>
    <col min="13336" max="13336" width="10.42578125" style="121" bestFit="1" customWidth="1"/>
    <col min="13337" max="13337" width="12" style="121" bestFit="1" customWidth="1"/>
    <col min="13338" max="13338" width="11" style="121" bestFit="1" customWidth="1"/>
    <col min="13339" max="13340" width="11" style="121" customWidth="1"/>
    <col min="13341" max="13341" width="10" style="121" bestFit="1" customWidth="1"/>
    <col min="13342" max="13342" width="14.42578125" style="121" bestFit="1" customWidth="1"/>
    <col min="13343" max="13353" width="0" style="121" hidden="1" customWidth="1"/>
    <col min="13354" max="13574" width="9.140625" style="121"/>
    <col min="13575" max="13575" width="54.140625" style="121" bestFit="1" customWidth="1"/>
    <col min="13576" max="13576" width="14.7109375" style="121" customWidth="1"/>
    <col min="13577" max="13577" width="10.140625" style="121" customWidth="1"/>
    <col min="13578" max="13578" width="10.42578125" style="121" bestFit="1" customWidth="1"/>
    <col min="13579" max="13580" width="9.42578125" style="121" bestFit="1" customWidth="1"/>
    <col min="13581" max="13582" width="9.42578125" style="121" customWidth="1"/>
    <col min="13583" max="13583" width="10.140625" style="121" bestFit="1" customWidth="1"/>
    <col min="13584" max="13587" width="9.140625" style="121"/>
    <col min="13588" max="13588" width="7.28515625" style="121" customWidth="1"/>
    <col min="13589" max="13591" width="7.42578125" style="121" customWidth="1"/>
    <col min="13592" max="13592" width="10.42578125" style="121" bestFit="1" customWidth="1"/>
    <col min="13593" max="13593" width="12" style="121" bestFit="1" customWidth="1"/>
    <col min="13594" max="13594" width="11" style="121" bestFit="1" customWidth="1"/>
    <col min="13595" max="13596" width="11" style="121" customWidth="1"/>
    <col min="13597" max="13597" width="10" style="121" bestFit="1" customWidth="1"/>
    <col min="13598" max="13598" width="14.42578125" style="121" bestFit="1" customWidth="1"/>
    <col min="13599" max="13609" width="0" style="121" hidden="1" customWidth="1"/>
    <col min="13610" max="13830" width="9.140625" style="121"/>
    <col min="13831" max="13831" width="54.140625" style="121" bestFit="1" customWidth="1"/>
    <col min="13832" max="13832" width="14.7109375" style="121" customWidth="1"/>
    <col min="13833" max="13833" width="10.140625" style="121" customWidth="1"/>
    <col min="13834" max="13834" width="10.42578125" style="121" bestFit="1" customWidth="1"/>
    <col min="13835" max="13836" width="9.42578125" style="121" bestFit="1" customWidth="1"/>
    <col min="13837" max="13838" width="9.42578125" style="121" customWidth="1"/>
    <col min="13839" max="13839" width="10.140625" style="121" bestFit="1" customWidth="1"/>
    <col min="13840" max="13843" width="9.140625" style="121"/>
    <col min="13844" max="13844" width="7.28515625" style="121" customWidth="1"/>
    <col min="13845" max="13847" width="7.42578125" style="121" customWidth="1"/>
    <col min="13848" max="13848" width="10.42578125" style="121" bestFit="1" customWidth="1"/>
    <col min="13849" max="13849" width="12" style="121" bestFit="1" customWidth="1"/>
    <col min="13850" max="13850" width="11" style="121" bestFit="1" customWidth="1"/>
    <col min="13851" max="13852" width="11" style="121" customWidth="1"/>
    <col min="13853" max="13853" width="10" style="121" bestFit="1" customWidth="1"/>
    <col min="13854" max="13854" width="14.42578125" style="121" bestFit="1" customWidth="1"/>
    <col min="13855" max="13865" width="0" style="121" hidden="1" customWidth="1"/>
    <col min="13866" max="14086" width="9.140625" style="121"/>
    <col min="14087" max="14087" width="54.140625" style="121" bestFit="1" customWidth="1"/>
    <col min="14088" max="14088" width="14.7109375" style="121" customWidth="1"/>
    <col min="14089" max="14089" width="10.140625" style="121" customWidth="1"/>
    <col min="14090" max="14090" width="10.42578125" style="121" bestFit="1" customWidth="1"/>
    <col min="14091" max="14092" width="9.42578125" style="121" bestFit="1" customWidth="1"/>
    <col min="14093" max="14094" width="9.42578125" style="121" customWidth="1"/>
    <col min="14095" max="14095" width="10.140625" style="121" bestFit="1" customWidth="1"/>
    <col min="14096" max="14099" width="9.140625" style="121"/>
    <col min="14100" max="14100" width="7.28515625" style="121" customWidth="1"/>
    <col min="14101" max="14103" width="7.42578125" style="121" customWidth="1"/>
    <col min="14104" max="14104" width="10.42578125" style="121" bestFit="1" customWidth="1"/>
    <col min="14105" max="14105" width="12" style="121" bestFit="1" customWidth="1"/>
    <col min="14106" max="14106" width="11" style="121" bestFit="1" customWidth="1"/>
    <col min="14107" max="14108" width="11" style="121" customWidth="1"/>
    <col min="14109" max="14109" width="10" style="121" bestFit="1" customWidth="1"/>
    <col min="14110" max="14110" width="14.42578125" style="121" bestFit="1" customWidth="1"/>
    <col min="14111" max="14121" width="0" style="121" hidden="1" customWidth="1"/>
    <col min="14122" max="14342" width="9.140625" style="121"/>
    <col min="14343" max="14343" width="54.140625" style="121" bestFit="1" customWidth="1"/>
    <col min="14344" max="14344" width="14.7109375" style="121" customWidth="1"/>
    <col min="14345" max="14345" width="10.140625" style="121" customWidth="1"/>
    <col min="14346" max="14346" width="10.42578125" style="121" bestFit="1" customWidth="1"/>
    <col min="14347" max="14348" width="9.42578125" style="121" bestFit="1" customWidth="1"/>
    <col min="14349" max="14350" width="9.42578125" style="121" customWidth="1"/>
    <col min="14351" max="14351" width="10.140625" style="121" bestFit="1" customWidth="1"/>
    <col min="14352" max="14355" width="9.140625" style="121"/>
    <col min="14356" max="14356" width="7.28515625" style="121" customWidth="1"/>
    <col min="14357" max="14359" width="7.42578125" style="121" customWidth="1"/>
    <col min="14360" max="14360" width="10.42578125" style="121" bestFit="1" customWidth="1"/>
    <col min="14361" max="14361" width="12" style="121" bestFit="1" customWidth="1"/>
    <col min="14362" max="14362" width="11" style="121" bestFit="1" customWidth="1"/>
    <col min="14363" max="14364" width="11" style="121" customWidth="1"/>
    <col min="14365" max="14365" width="10" style="121" bestFit="1" customWidth="1"/>
    <col min="14366" max="14366" width="14.42578125" style="121" bestFit="1" customWidth="1"/>
    <col min="14367" max="14377" width="0" style="121" hidden="1" customWidth="1"/>
    <col min="14378" max="14598" width="9.140625" style="121"/>
    <col min="14599" max="14599" width="54.140625" style="121" bestFit="1" customWidth="1"/>
    <col min="14600" max="14600" width="14.7109375" style="121" customWidth="1"/>
    <col min="14601" max="14601" width="10.140625" style="121" customWidth="1"/>
    <col min="14602" max="14602" width="10.42578125" style="121" bestFit="1" customWidth="1"/>
    <col min="14603" max="14604" width="9.42578125" style="121" bestFit="1" customWidth="1"/>
    <col min="14605" max="14606" width="9.42578125" style="121" customWidth="1"/>
    <col min="14607" max="14607" width="10.140625" style="121" bestFit="1" customWidth="1"/>
    <col min="14608" max="14611" width="9.140625" style="121"/>
    <col min="14612" max="14612" width="7.28515625" style="121" customWidth="1"/>
    <col min="14613" max="14615" width="7.42578125" style="121" customWidth="1"/>
    <col min="14616" max="14616" width="10.42578125" style="121" bestFit="1" customWidth="1"/>
    <col min="14617" max="14617" width="12" style="121" bestFit="1" customWidth="1"/>
    <col min="14618" max="14618" width="11" style="121" bestFit="1" customWidth="1"/>
    <col min="14619" max="14620" width="11" style="121" customWidth="1"/>
    <col min="14621" max="14621" width="10" style="121" bestFit="1" customWidth="1"/>
    <col min="14622" max="14622" width="14.42578125" style="121" bestFit="1" customWidth="1"/>
    <col min="14623" max="14633" width="0" style="121" hidden="1" customWidth="1"/>
    <col min="14634" max="14854" width="9.140625" style="121"/>
    <col min="14855" max="14855" width="54.140625" style="121" bestFit="1" customWidth="1"/>
    <col min="14856" max="14856" width="14.7109375" style="121" customWidth="1"/>
    <col min="14857" max="14857" width="10.140625" style="121" customWidth="1"/>
    <col min="14858" max="14858" width="10.42578125" style="121" bestFit="1" customWidth="1"/>
    <col min="14859" max="14860" width="9.42578125" style="121" bestFit="1" customWidth="1"/>
    <col min="14861" max="14862" width="9.42578125" style="121" customWidth="1"/>
    <col min="14863" max="14863" width="10.140625" style="121" bestFit="1" customWidth="1"/>
    <col min="14864" max="14867" width="9.140625" style="121"/>
    <col min="14868" max="14868" width="7.28515625" style="121" customWidth="1"/>
    <col min="14869" max="14871" width="7.42578125" style="121" customWidth="1"/>
    <col min="14872" max="14872" width="10.42578125" style="121" bestFit="1" customWidth="1"/>
    <col min="14873" max="14873" width="12" style="121" bestFit="1" customWidth="1"/>
    <col min="14874" max="14874" width="11" style="121" bestFit="1" customWidth="1"/>
    <col min="14875" max="14876" width="11" style="121" customWidth="1"/>
    <col min="14877" max="14877" width="10" style="121" bestFit="1" customWidth="1"/>
    <col min="14878" max="14878" width="14.42578125" style="121" bestFit="1" customWidth="1"/>
    <col min="14879" max="14889" width="0" style="121" hidden="1" customWidth="1"/>
    <col min="14890" max="15110" width="9.140625" style="121"/>
    <col min="15111" max="15111" width="54.140625" style="121" bestFit="1" customWidth="1"/>
    <col min="15112" max="15112" width="14.7109375" style="121" customWidth="1"/>
    <col min="15113" max="15113" width="10.140625" style="121" customWidth="1"/>
    <col min="15114" max="15114" width="10.42578125" style="121" bestFit="1" customWidth="1"/>
    <col min="15115" max="15116" width="9.42578125" style="121" bestFit="1" customWidth="1"/>
    <col min="15117" max="15118" width="9.42578125" style="121" customWidth="1"/>
    <col min="15119" max="15119" width="10.140625" style="121" bestFit="1" customWidth="1"/>
    <col min="15120" max="15123" width="9.140625" style="121"/>
    <col min="15124" max="15124" width="7.28515625" style="121" customWidth="1"/>
    <col min="15125" max="15127" width="7.42578125" style="121" customWidth="1"/>
    <col min="15128" max="15128" width="10.42578125" style="121" bestFit="1" customWidth="1"/>
    <col min="15129" max="15129" width="12" style="121" bestFit="1" customWidth="1"/>
    <col min="15130" max="15130" width="11" style="121" bestFit="1" customWidth="1"/>
    <col min="15131" max="15132" width="11" style="121" customWidth="1"/>
    <col min="15133" max="15133" width="10" style="121" bestFit="1" customWidth="1"/>
    <col min="15134" max="15134" width="14.42578125" style="121" bestFit="1" customWidth="1"/>
    <col min="15135" max="15145" width="0" style="121" hidden="1" customWidth="1"/>
    <col min="15146" max="15366" width="9.140625" style="121"/>
    <col min="15367" max="15367" width="54.140625" style="121" bestFit="1" customWidth="1"/>
    <col min="15368" max="15368" width="14.7109375" style="121" customWidth="1"/>
    <col min="15369" max="15369" width="10.140625" style="121" customWidth="1"/>
    <col min="15370" max="15370" width="10.42578125" style="121" bestFit="1" customWidth="1"/>
    <col min="15371" max="15372" width="9.42578125" style="121" bestFit="1" customWidth="1"/>
    <col min="15373" max="15374" width="9.42578125" style="121" customWidth="1"/>
    <col min="15375" max="15375" width="10.140625" style="121" bestFit="1" customWidth="1"/>
    <col min="15376" max="15379" width="9.140625" style="121"/>
    <col min="15380" max="15380" width="7.28515625" style="121" customWidth="1"/>
    <col min="15381" max="15383" width="7.42578125" style="121" customWidth="1"/>
    <col min="15384" max="15384" width="10.42578125" style="121" bestFit="1" customWidth="1"/>
    <col min="15385" max="15385" width="12" style="121" bestFit="1" customWidth="1"/>
    <col min="15386" max="15386" width="11" style="121" bestFit="1" customWidth="1"/>
    <col min="15387" max="15388" width="11" style="121" customWidth="1"/>
    <col min="15389" max="15389" width="10" style="121" bestFit="1" customWidth="1"/>
    <col min="15390" max="15390" width="14.42578125" style="121" bestFit="1" customWidth="1"/>
    <col min="15391" max="15401" width="0" style="121" hidden="1" customWidth="1"/>
    <col min="15402" max="15622" width="9.140625" style="121"/>
    <col min="15623" max="15623" width="54.140625" style="121" bestFit="1" customWidth="1"/>
    <col min="15624" max="15624" width="14.7109375" style="121" customWidth="1"/>
    <col min="15625" max="15625" width="10.140625" style="121" customWidth="1"/>
    <col min="15626" max="15626" width="10.42578125" style="121" bestFit="1" customWidth="1"/>
    <col min="15627" max="15628" width="9.42578125" style="121" bestFit="1" customWidth="1"/>
    <col min="15629" max="15630" width="9.42578125" style="121" customWidth="1"/>
    <col min="15631" max="15631" width="10.140625" style="121" bestFit="1" customWidth="1"/>
    <col min="15632" max="15635" width="9.140625" style="121"/>
    <col min="15636" max="15636" width="7.28515625" style="121" customWidth="1"/>
    <col min="15637" max="15639" width="7.42578125" style="121" customWidth="1"/>
    <col min="15640" max="15640" width="10.42578125" style="121" bestFit="1" customWidth="1"/>
    <col min="15641" max="15641" width="12" style="121" bestFit="1" customWidth="1"/>
    <col min="15642" max="15642" width="11" style="121" bestFit="1" customWidth="1"/>
    <col min="15643" max="15644" width="11" style="121" customWidth="1"/>
    <col min="15645" max="15645" width="10" style="121" bestFit="1" customWidth="1"/>
    <col min="15646" max="15646" width="14.42578125" style="121" bestFit="1" customWidth="1"/>
    <col min="15647" max="15657" width="0" style="121" hidden="1" customWidth="1"/>
    <col min="15658" max="15878" width="9.140625" style="121"/>
    <col min="15879" max="15879" width="54.140625" style="121" bestFit="1" customWidth="1"/>
    <col min="15880" max="15880" width="14.7109375" style="121" customWidth="1"/>
    <col min="15881" max="15881" width="10.140625" style="121" customWidth="1"/>
    <col min="15882" max="15882" width="10.42578125" style="121" bestFit="1" customWidth="1"/>
    <col min="15883" max="15884" width="9.42578125" style="121" bestFit="1" customWidth="1"/>
    <col min="15885" max="15886" width="9.42578125" style="121" customWidth="1"/>
    <col min="15887" max="15887" width="10.140625" style="121" bestFit="1" customWidth="1"/>
    <col min="15888" max="15891" width="9.140625" style="121"/>
    <col min="15892" max="15892" width="7.28515625" style="121" customWidth="1"/>
    <col min="15893" max="15895" width="7.42578125" style="121" customWidth="1"/>
    <col min="15896" max="15896" width="10.42578125" style="121" bestFit="1" customWidth="1"/>
    <col min="15897" max="15897" width="12" style="121" bestFit="1" customWidth="1"/>
    <col min="15898" max="15898" width="11" style="121" bestFit="1" customWidth="1"/>
    <col min="15899" max="15900" width="11" style="121" customWidth="1"/>
    <col min="15901" max="15901" width="10" style="121" bestFit="1" customWidth="1"/>
    <col min="15902" max="15902" width="14.42578125" style="121" bestFit="1" customWidth="1"/>
    <col min="15903" max="15913" width="0" style="121" hidden="1" customWidth="1"/>
    <col min="15914" max="16134" width="9.140625" style="121"/>
    <col min="16135" max="16135" width="54.140625" style="121" bestFit="1" customWidth="1"/>
    <col min="16136" max="16136" width="14.7109375" style="121" customWidth="1"/>
    <col min="16137" max="16137" width="10.140625" style="121" customWidth="1"/>
    <col min="16138" max="16138" width="10.42578125" style="121" bestFit="1" customWidth="1"/>
    <col min="16139" max="16140" width="9.42578125" style="121" bestFit="1" customWidth="1"/>
    <col min="16141" max="16142" width="9.42578125" style="121" customWidth="1"/>
    <col min="16143" max="16143" width="10.140625" style="121" bestFit="1" customWidth="1"/>
    <col min="16144" max="16147" width="9.140625" style="121"/>
    <col min="16148" max="16148" width="7.28515625" style="121" customWidth="1"/>
    <col min="16149" max="16151" width="7.42578125" style="121" customWidth="1"/>
    <col min="16152" max="16152" width="10.42578125" style="121" bestFit="1" customWidth="1"/>
    <col min="16153" max="16153" width="12" style="121" bestFit="1" customWidth="1"/>
    <col min="16154" max="16154" width="11" style="121" bestFit="1" customWidth="1"/>
    <col min="16155" max="16156" width="11" style="121" customWidth="1"/>
    <col min="16157" max="16157" width="10" style="121" bestFit="1" customWidth="1"/>
    <col min="16158" max="16158" width="14.42578125" style="121" bestFit="1" customWidth="1"/>
    <col min="16159" max="16169" width="0" style="121" hidden="1" customWidth="1"/>
    <col min="16170" max="16384" width="9.140625" style="121"/>
  </cols>
  <sheetData>
    <row r="1" spans="1:48" s="197" customFormat="1" ht="45.75" customHeight="1" x14ac:dyDescent="0.25">
      <c r="A1" s="195" t="s">
        <v>136</v>
      </c>
      <c r="B1" s="317">
        <v>46143</v>
      </c>
      <c r="C1" s="318"/>
      <c r="D1" s="318"/>
      <c r="E1" s="318"/>
      <c r="F1" s="318"/>
      <c r="G1" s="318"/>
      <c r="H1" s="318"/>
      <c r="I1" s="318"/>
      <c r="J1" s="318"/>
      <c r="K1" s="318"/>
      <c r="L1" s="318"/>
      <c r="M1" s="319"/>
      <c r="N1" s="127"/>
      <c r="O1" s="127"/>
      <c r="P1" s="127"/>
      <c r="Q1" s="127"/>
      <c r="R1" s="127"/>
      <c r="S1" s="127"/>
      <c r="T1" s="127"/>
      <c r="U1" s="127"/>
      <c r="V1" s="127"/>
      <c r="W1" s="127"/>
      <c r="X1" s="127"/>
      <c r="Y1" s="127"/>
      <c r="Z1" s="127"/>
      <c r="AA1" s="127"/>
      <c r="AB1" s="127"/>
      <c r="AC1" s="127"/>
      <c r="AD1" s="196"/>
      <c r="AE1" s="196"/>
    </row>
    <row r="2" spans="1:48" ht="15.75" x14ac:dyDescent="0.2">
      <c r="A2" s="320" t="s">
        <v>334</v>
      </c>
      <c r="B2" s="320"/>
      <c r="C2" s="320"/>
      <c r="D2" s="320"/>
      <c r="E2" s="320"/>
      <c r="F2" s="320"/>
      <c r="G2" s="320"/>
      <c r="H2" s="320"/>
      <c r="I2" s="320"/>
      <c r="J2" s="320"/>
      <c r="K2" s="320"/>
      <c r="L2" s="320"/>
      <c r="M2" s="321"/>
      <c r="N2" s="198"/>
      <c r="O2" s="199"/>
      <c r="P2" s="199"/>
      <c r="Q2" s="199"/>
      <c r="R2" s="200"/>
      <c r="S2" s="199"/>
      <c r="T2" s="199"/>
      <c r="U2" s="119"/>
      <c r="V2" s="119"/>
      <c r="W2" s="119"/>
      <c r="X2" s="119"/>
      <c r="Y2" s="119"/>
      <c r="Z2" s="119"/>
      <c r="AA2" s="119"/>
      <c r="AB2" s="119"/>
      <c r="AC2" s="119"/>
      <c r="AD2" s="120"/>
      <c r="AE2" s="120"/>
    </row>
    <row r="3" spans="1:48" ht="15" customHeight="1" x14ac:dyDescent="0.2">
      <c r="A3" s="322" t="s">
        <v>357</v>
      </c>
      <c r="B3" s="320"/>
      <c r="C3" s="320"/>
      <c r="D3" s="320"/>
      <c r="E3" s="320"/>
      <c r="F3" s="320"/>
      <c r="G3" s="320"/>
      <c r="H3" s="320"/>
      <c r="I3" s="320"/>
      <c r="J3" s="320"/>
      <c r="K3" s="320"/>
      <c r="L3" s="320"/>
      <c r="M3" s="321"/>
      <c r="N3" s="201"/>
      <c r="O3" s="202"/>
      <c r="P3" s="202"/>
      <c r="Q3" s="202"/>
      <c r="R3" s="202"/>
      <c r="S3" s="202"/>
      <c r="T3" s="202"/>
      <c r="U3" s="119"/>
      <c r="V3" s="119"/>
      <c r="W3" s="119"/>
    </row>
    <row r="4" spans="1:48" ht="15.75" customHeight="1" x14ac:dyDescent="0.2">
      <c r="A4" s="320"/>
      <c r="B4" s="320"/>
      <c r="C4" s="320"/>
      <c r="D4" s="320"/>
      <c r="E4" s="320"/>
      <c r="F4" s="320"/>
      <c r="G4" s="320"/>
      <c r="H4" s="320"/>
      <c r="I4" s="320"/>
      <c r="J4" s="320"/>
      <c r="K4" s="320"/>
      <c r="L4" s="320"/>
      <c r="M4" s="321"/>
      <c r="N4" s="201"/>
      <c r="O4" s="202"/>
      <c r="P4" s="202"/>
      <c r="Q4" s="202"/>
      <c r="R4" s="202"/>
      <c r="S4" s="202"/>
      <c r="T4" s="202"/>
      <c r="U4" s="128"/>
      <c r="V4" s="128"/>
      <c r="W4" s="128"/>
      <c r="X4" s="128"/>
      <c r="Y4" s="128"/>
      <c r="Z4" s="128"/>
      <c r="AA4" s="128"/>
      <c r="AB4" s="128"/>
      <c r="AC4" s="128"/>
      <c r="AD4" s="120"/>
      <c r="AE4" s="120"/>
    </row>
    <row r="5" spans="1:48" x14ac:dyDescent="0.2">
      <c r="A5" s="127"/>
      <c r="B5" s="127"/>
      <c r="C5" s="127"/>
      <c r="D5" s="127"/>
      <c r="E5" s="127"/>
      <c r="F5" s="127"/>
      <c r="G5" s="127"/>
      <c r="H5" s="127"/>
      <c r="I5" s="127"/>
      <c r="J5" s="127"/>
      <c r="K5" s="127"/>
      <c r="L5" s="127"/>
      <c r="M5" s="127"/>
      <c r="N5" s="127"/>
      <c r="O5" s="127"/>
      <c r="P5" s="128"/>
      <c r="Q5" s="128"/>
      <c r="R5" s="128"/>
      <c r="S5" s="128"/>
      <c r="T5" s="128"/>
      <c r="U5" s="128"/>
      <c r="V5" s="128"/>
      <c r="W5" s="128"/>
      <c r="X5" s="128"/>
      <c r="Y5" s="128"/>
      <c r="Z5" s="128"/>
      <c r="AA5" s="128"/>
      <c r="AB5" s="128"/>
      <c r="AC5" s="128"/>
      <c r="AD5" s="286"/>
      <c r="AE5" s="286"/>
    </row>
    <row r="6" spans="1:48" ht="18" customHeight="1" thickBot="1" x14ac:dyDescent="0.25">
      <c r="B6" s="127"/>
      <c r="C6" s="127"/>
      <c r="D6" s="127"/>
      <c r="E6" s="127"/>
      <c r="F6" s="127"/>
      <c r="G6" s="127"/>
      <c r="H6" s="127"/>
      <c r="I6" s="127"/>
      <c r="J6" s="127"/>
      <c r="K6" s="127"/>
      <c r="L6" s="127"/>
      <c r="M6" s="127"/>
      <c r="N6" s="127"/>
      <c r="O6" s="127"/>
      <c r="P6" s="128"/>
      <c r="Q6" s="128"/>
      <c r="R6" s="128"/>
      <c r="S6" s="128"/>
      <c r="T6" s="128"/>
      <c r="U6" s="128"/>
      <c r="V6" s="128"/>
      <c r="W6" s="128"/>
      <c r="X6" s="203"/>
      <c r="Y6" s="203"/>
      <c r="Z6" s="128"/>
      <c r="AA6" s="128"/>
      <c r="AB6" s="128"/>
      <c r="AC6" s="128"/>
      <c r="AD6" s="126"/>
      <c r="AE6" s="126"/>
    </row>
    <row r="7" spans="1:48" ht="13.5" thickBot="1" x14ac:dyDescent="0.25">
      <c r="C7" s="129"/>
      <c r="D7" s="130"/>
      <c r="E7" s="128"/>
      <c r="F7" s="128"/>
      <c r="G7" s="128"/>
      <c r="H7" s="128"/>
      <c r="I7" s="128"/>
      <c r="J7" s="128"/>
      <c r="K7" s="128"/>
      <c r="L7" s="128"/>
      <c r="M7" s="128"/>
      <c r="N7" s="127"/>
      <c r="O7" s="127"/>
      <c r="P7" s="128"/>
      <c r="Q7" s="128"/>
      <c r="R7" s="128"/>
      <c r="S7" s="128"/>
      <c r="T7" s="128"/>
      <c r="U7" s="128"/>
      <c r="V7" s="128"/>
      <c r="W7" s="128"/>
      <c r="X7" s="128"/>
      <c r="Y7" s="128"/>
      <c r="Z7" s="128"/>
      <c r="AA7" s="128"/>
      <c r="AB7" s="128"/>
      <c r="AC7" s="128"/>
      <c r="AD7" s="126"/>
      <c r="AE7" s="126"/>
      <c r="AF7" s="308" t="s">
        <v>335</v>
      </c>
      <c r="AG7" s="309"/>
      <c r="AH7" s="309"/>
      <c r="AI7" s="309"/>
      <c r="AJ7" s="309"/>
      <c r="AK7" s="309"/>
      <c r="AL7" s="309"/>
      <c r="AM7" s="309"/>
      <c r="AN7" s="309"/>
      <c r="AO7" s="309"/>
      <c r="AP7" s="309"/>
      <c r="AQ7" s="309"/>
      <c r="AR7" s="309"/>
      <c r="AS7" s="309"/>
      <c r="AT7" s="309"/>
      <c r="AU7" s="309"/>
      <c r="AV7" s="310"/>
    </row>
    <row r="8" spans="1:48" ht="26.25" customHeight="1" x14ac:dyDescent="0.2">
      <c r="A8" s="287" t="s">
        <v>297</v>
      </c>
      <c r="B8" s="290" t="s">
        <v>298</v>
      </c>
      <c r="C8" s="300" t="s">
        <v>299</v>
      </c>
      <c r="D8" s="296" t="s">
        <v>300</v>
      </c>
      <c r="E8" s="297"/>
      <c r="F8" s="297"/>
      <c r="G8" s="297"/>
      <c r="H8" s="297"/>
      <c r="I8" s="325"/>
      <c r="J8" s="296" t="s">
        <v>85</v>
      </c>
      <c r="K8" s="297"/>
      <c r="L8" s="297"/>
      <c r="M8" s="297"/>
      <c r="N8" s="297"/>
      <c r="O8" s="298"/>
      <c r="P8" s="296" t="s">
        <v>301</v>
      </c>
      <c r="Q8" s="297"/>
      <c r="R8" s="297"/>
      <c r="S8" s="297"/>
      <c r="T8" s="297"/>
      <c r="U8" s="297"/>
      <c r="V8" s="325"/>
      <c r="W8" s="303" t="s">
        <v>302</v>
      </c>
      <c r="X8" s="296" t="s">
        <v>336</v>
      </c>
      <c r="Y8" s="297" t="s">
        <v>337</v>
      </c>
      <c r="Z8" s="297" t="s">
        <v>338</v>
      </c>
      <c r="AA8" s="297" t="s">
        <v>339</v>
      </c>
      <c r="AB8" s="297" t="s">
        <v>340</v>
      </c>
      <c r="AC8" s="325" t="s">
        <v>341</v>
      </c>
      <c r="AD8" s="303" t="s">
        <v>309</v>
      </c>
      <c r="AE8" s="303" t="s">
        <v>310</v>
      </c>
      <c r="AF8" s="323"/>
      <c r="AG8" s="312"/>
      <c r="AH8" s="312"/>
      <c r="AI8" s="312"/>
      <c r="AJ8" s="312"/>
      <c r="AK8" s="312"/>
      <c r="AL8" s="312"/>
      <c r="AM8" s="312"/>
      <c r="AN8" s="312"/>
      <c r="AO8" s="312"/>
      <c r="AP8" s="312"/>
      <c r="AQ8" s="312"/>
      <c r="AR8" s="312"/>
      <c r="AS8" s="312"/>
      <c r="AT8" s="312"/>
      <c r="AU8" s="312"/>
      <c r="AV8" s="313"/>
    </row>
    <row r="9" spans="1:48" ht="51.75" customHeight="1" x14ac:dyDescent="0.2">
      <c r="A9" s="288"/>
      <c r="B9" s="291"/>
      <c r="C9" s="324"/>
      <c r="D9" s="314" t="s">
        <v>312</v>
      </c>
      <c r="E9" s="307" t="s">
        <v>313</v>
      </c>
      <c r="F9" s="307" t="s">
        <v>342</v>
      </c>
      <c r="G9" s="307" t="s">
        <v>343</v>
      </c>
      <c r="H9" s="307" t="s">
        <v>344</v>
      </c>
      <c r="I9" s="326" t="s">
        <v>345</v>
      </c>
      <c r="J9" s="314" t="s">
        <v>312</v>
      </c>
      <c r="K9" s="307" t="s">
        <v>315</v>
      </c>
      <c r="L9" s="307" t="s">
        <v>346</v>
      </c>
      <c r="M9" s="307" t="s">
        <v>316</v>
      </c>
      <c r="N9" s="329" t="s">
        <v>347</v>
      </c>
      <c r="O9" s="327" t="s">
        <v>348</v>
      </c>
      <c r="P9" s="314"/>
      <c r="Q9" s="307"/>
      <c r="R9" s="307"/>
      <c r="S9" s="307"/>
      <c r="T9" s="307"/>
      <c r="U9" s="307"/>
      <c r="V9" s="326"/>
      <c r="W9" s="304"/>
      <c r="X9" s="314"/>
      <c r="Y9" s="307"/>
      <c r="Z9" s="307"/>
      <c r="AA9" s="307"/>
      <c r="AB9" s="307"/>
      <c r="AC9" s="326"/>
      <c r="AD9" s="304"/>
      <c r="AE9" s="304"/>
      <c r="AF9" s="204" t="str">
        <f>'AUTO CALCULATION SHEET (2)'!N19</f>
        <v>Alumimium</v>
      </c>
      <c r="AG9" s="136" t="str">
        <f>'AUTO CALCULATION SHEET (2)'!AI19</f>
        <v>LT-XLPE</v>
      </c>
      <c r="AH9" s="136" t="str">
        <f>'AUTO CALCULATION SHEET (2)'!AX19</f>
        <v>PVC Type ST-2</v>
      </c>
      <c r="AI9" s="136" t="str">
        <f>'AUTO CALCULATION SHEET (2)'!BD19</f>
        <v>Aluminium Round Wire</v>
      </c>
      <c r="AJ9" s="136" t="str">
        <f>'AUTO CALCULATION SHEET (2)'!BG19</f>
        <v>Galvanised Steel Flat Strip</v>
      </c>
      <c r="AK9" s="136" t="str">
        <f>'AUTO CALCULATION SHEET (2)'!BO19</f>
        <v>FRLSH PVC Type ST-2 + UV resistance</v>
      </c>
      <c r="AL9" s="136" t="str">
        <f>'AUTO CALCULATION SHEET (2)'!BT19</f>
        <v>FRLSH PVC Type ST-2</v>
      </c>
      <c r="AM9" s="136" t="str">
        <f>'AUTO CALCULATION SHEET (2)'!CE19</f>
        <v>RUBBERIZED COTTON TAPE</v>
      </c>
      <c r="AN9" s="331" t="s">
        <v>324</v>
      </c>
      <c r="AO9" s="331" t="s">
        <v>325</v>
      </c>
      <c r="AP9" s="331" t="s">
        <v>326</v>
      </c>
      <c r="AQ9" s="331" t="s">
        <v>327</v>
      </c>
      <c r="AR9" s="331" t="s">
        <v>328</v>
      </c>
      <c r="AS9" s="331" t="s">
        <v>329</v>
      </c>
      <c r="AT9" s="331" t="s">
        <v>330</v>
      </c>
      <c r="AU9" s="331" t="s">
        <v>331</v>
      </c>
      <c r="AV9" s="334" t="s">
        <v>349</v>
      </c>
    </row>
    <row r="10" spans="1:48" ht="21.75" customHeight="1" thickBot="1" x14ac:dyDescent="0.25">
      <c r="A10" s="288"/>
      <c r="B10" s="291"/>
      <c r="C10" s="302"/>
      <c r="D10" s="314"/>
      <c r="E10" s="307"/>
      <c r="F10" s="307"/>
      <c r="G10" s="307"/>
      <c r="H10" s="307"/>
      <c r="I10" s="326"/>
      <c r="J10" s="314"/>
      <c r="K10" s="307"/>
      <c r="L10" s="307"/>
      <c r="M10" s="307"/>
      <c r="N10" s="330"/>
      <c r="O10" s="328"/>
      <c r="P10" s="131" t="s">
        <v>350</v>
      </c>
      <c r="Q10" s="132" t="s">
        <v>342</v>
      </c>
      <c r="R10" s="132" t="s">
        <v>351</v>
      </c>
      <c r="S10" s="132" t="s">
        <v>352</v>
      </c>
      <c r="T10" s="132" t="s">
        <v>353</v>
      </c>
      <c r="U10" s="132" t="s">
        <v>354</v>
      </c>
      <c r="V10" s="134" t="s">
        <v>355</v>
      </c>
      <c r="W10" s="304"/>
      <c r="X10" s="314"/>
      <c r="Y10" s="307"/>
      <c r="Z10" s="307"/>
      <c r="AA10" s="307"/>
      <c r="AB10" s="307"/>
      <c r="AC10" s="326"/>
      <c r="AD10" s="304"/>
      <c r="AE10" s="304"/>
      <c r="AF10" s="205">
        <v>403</v>
      </c>
      <c r="AG10" s="205">
        <v>147</v>
      </c>
      <c r="AH10" s="205">
        <v>77</v>
      </c>
      <c r="AI10" s="205">
        <v>408</v>
      </c>
      <c r="AJ10" s="205">
        <v>87</v>
      </c>
      <c r="AK10" s="205">
        <f>97+5</f>
        <v>102</v>
      </c>
      <c r="AL10" s="205">
        <v>97</v>
      </c>
      <c r="AM10" s="205">
        <v>280</v>
      </c>
      <c r="AN10" s="332"/>
      <c r="AO10" s="332"/>
      <c r="AP10" s="332"/>
      <c r="AQ10" s="332"/>
      <c r="AR10" s="332"/>
      <c r="AS10" s="332"/>
      <c r="AT10" s="332"/>
      <c r="AU10" s="332"/>
      <c r="AV10" s="335"/>
    </row>
    <row r="11" spans="1:48" ht="24" customHeight="1" x14ac:dyDescent="0.2">
      <c r="A11" s="206"/>
      <c r="B11" s="206"/>
      <c r="C11" s="120"/>
      <c r="D11" s="141"/>
      <c r="E11" s="142"/>
      <c r="F11" s="142"/>
      <c r="G11" s="142"/>
      <c r="H11" s="142"/>
      <c r="I11" s="207"/>
      <c r="J11" s="144"/>
      <c r="K11" s="142"/>
      <c r="L11" s="142"/>
      <c r="M11" s="142"/>
      <c r="N11" s="142"/>
      <c r="O11" s="208"/>
      <c r="P11" s="145"/>
      <c r="Q11" s="209"/>
      <c r="R11" s="209"/>
      <c r="S11" s="209"/>
      <c r="T11" s="209"/>
      <c r="U11" s="209"/>
      <c r="V11" s="147"/>
      <c r="W11" s="148"/>
      <c r="X11" s="131"/>
      <c r="Y11" s="132"/>
      <c r="Z11" s="132"/>
      <c r="AA11" s="132"/>
      <c r="AB11" s="132"/>
      <c r="AC11" s="134"/>
      <c r="AD11" s="210"/>
      <c r="AE11" s="210"/>
      <c r="AF11" s="205" t="s">
        <v>356</v>
      </c>
      <c r="AG11" s="205" t="s">
        <v>356</v>
      </c>
      <c r="AH11" s="205" t="s">
        <v>356</v>
      </c>
      <c r="AI11" s="205" t="s">
        <v>356</v>
      </c>
      <c r="AJ11" s="205" t="s">
        <v>356</v>
      </c>
      <c r="AK11" s="205" t="s">
        <v>356</v>
      </c>
      <c r="AL11" s="205" t="s">
        <v>356</v>
      </c>
      <c r="AM11" s="205" t="s">
        <v>356</v>
      </c>
      <c r="AN11" s="333"/>
      <c r="AO11" s="333"/>
      <c r="AP11" s="333"/>
      <c r="AQ11" s="333"/>
      <c r="AR11" s="333"/>
      <c r="AS11" s="333"/>
      <c r="AT11" s="333"/>
      <c r="AU11" s="333"/>
      <c r="AV11" s="336"/>
    </row>
    <row r="12" spans="1:48" ht="24" customHeight="1" x14ac:dyDescent="0.2">
      <c r="A12" s="211" t="str">
        <f>'AUTO CALCULATION SHEET (2)'!D21</f>
        <v>4 CORE X 50 SQ. MM. ALU/ARD - STRIP (XLPE)</v>
      </c>
      <c r="B12" s="212"/>
      <c r="C12" s="161" t="s">
        <v>333</v>
      </c>
      <c r="D12" s="162">
        <v>46185</v>
      </c>
      <c r="E12" s="227">
        <v>422899.8</v>
      </c>
      <c r="F12" s="228"/>
      <c r="G12" s="229">
        <v>219178</v>
      </c>
      <c r="H12" s="229">
        <v>178375</v>
      </c>
      <c r="I12" s="230">
        <v>89250</v>
      </c>
      <c r="J12" s="163">
        <f t="shared" ref="J12:J13" si="0">$B$1</f>
        <v>46143</v>
      </c>
      <c r="K12" s="229">
        <v>418401</v>
      </c>
      <c r="L12" s="229"/>
      <c r="M12" s="229">
        <v>219178</v>
      </c>
      <c r="N12" s="229">
        <v>178375</v>
      </c>
      <c r="O12" s="230">
        <v>89250</v>
      </c>
      <c r="P12" s="236">
        <v>0.54700000000000004</v>
      </c>
      <c r="Q12" s="237"/>
      <c r="R12" s="237">
        <v>0.14399999999999999</v>
      </c>
      <c r="S12" s="237">
        <v>0.39400000000000002</v>
      </c>
      <c r="T12" s="237"/>
      <c r="U12" s="237">
        <v>0.499</v>
      </c>
      <c r="V12" s="213"/>
      <c r="W12" s="231">
        <f>'AUTO CALCULATION SHEET (2)'!E54*1000</f>
        <v>438370</v>
      </c>
      <c r="X12" s="232">
        <f t="shared" ref="X12:AA19" si="1">(P12*(E12-K12))</f>
        <v>2460.8435999999938</v>
      </c>
      <c r="Y12" s="233">
        <f t="shared" si="1"/>
        <v>0</v>
      </c>
      <c r="Z12" s="229">
        <f t="shared" si="1"/>
        <v>0</v>
      </c>
      <c r="AA12" s="229">
        <f t="shared" si="1"/>
        <v>0</v>
      </c>
      <c r="AB12" s="229">
        <f t="shared" ref="AB12:AB19" si="2">(U12*(I12-O12))</f>
        <v>0</v>
      </c>
      <c r="AC12" s="234">
        <f t="shared" ref="AC12:AC19" si="3">V12*(F12-L12)</f>
        <v>0</v>
      </c>
      <c r="AD12" s="231">
        <f t="shared" ref="AD12:AD19" si="4">X12+Y12+Z12+AA12+AB12+AC12</f>
        <v>2460.8435999999938</v>
      </c>
      <c r="AE12" s="235">
        <f t="shared" ref="AE12:AE19" si="5">+W12+AD12</f>
        <v>440830.84360000002</v>
      </c>
      <c r="AF12" s="214">
        <f>'AUTO CALCULATION SHEET (2)'!N21</f>
        <v>540</v>
      </c>
      <c r="AG12" s="215">
        <f>'AUTO CALCULATION SHEET (2)'!AI21</f>
        <v>144</v>
      </c>
      <c r="AH12" s="215">
        <f>'AUTO CALCULATION SHEET (2)'!AX21</f>
        <v>60</v>
      </c>
      <c r="AI12" s="215">
        <f>'AUTO CALCULATION SHEET (2)'!BD21</f>
        <v>0</v>
      </c>
      <c r="AJ12" s="215">
        <f>'AUTO CALCULATION SHEET (2)'!BG21</f>
        <v>446</v>
      </c>
      <c r="AK12" s="215">
        <f>'AUTO CALCULATION SHEET (2)'!BO21</f>
        <v>245</v>
      </c>
      <c r="AL12" s="215">
        <f>'AUTO CALCULATION SHEET (2)'!BT21</f>
        <v>0</v>
      </c>
      <c r="AM12" s="215">
        <f>'AUTO CALCULATION SHEET (2)'!CE21</f>
        <v>36</v>
      </c>
      <c r="AN12" s="238">
        <f t="shared" ref="AN12:AN19" si="6">SUMPRODUCT(AF12:AM12,$AF$10:$AM$10)</f>
        <v>317280</v>
      </c>
      <c r="AO12" s="239">
        <f>'AUTO CALCULATION SHEET (2)'!CK21</f>
        <v>5114</v>
      </c>
      <c r="AP12" s="238">
        <f>AN12+AO12</f>
        <v>322394</v>
      </c>
      <c r="AQ12" s="239">
        <f t="shared" ref="AQ12:AQ19" si="7">AE12-AP12</f>
        <v>118436.84360000002</v>
      </c>
      <c r="AR12" s="216">
        <f>ROUND((AQ12/AP12)*100,2)</f>
        <v>36.74</v>
      </c>
      <c r="AS12" s="217">
        <v>0</v>
      </c>
      <c r="AT12" s="217">
        <v>2</v>
      </c>
      <c r="AU12" s="217">
        <v>0</v>
      </c>
      <c r="AV12" s="218">
        <f>AR12-AS12-AT12-AU12</f>
        <v>34.74</v>
      </c>
    </row>
    <row r="13" spans="1:48" ht="24" customHeight="1" x14ac:dyDescent="0.2">
      <c r="A13" s="211" t="str">
        <f>'AUTO CALCULATION SHEET (2)'!D22</f>
        <v>4 CORE X 95 SQ. MM. AL/ARD - STRIP (XLPE)</v>
      </c>
      <c r="B13" s="212"/>
      <c r="C13" s="161" t="s">
        <v>333</v>
      </c>
      <c r="D13" s="162">
        <v>46185</v>
      </c>
      <c r="E13" s="227">
        <v>422899.8</v>
      </c>
      <c r="F13" s="228"/>
      <c r="G13" s="229">
        <v>219178</v>
      </c>
      <c r="H13" s="229">
        <v>178375</v>
      </c>
      <c r="I13" s="230">
        <v>89250</v>
      </c>
      <c r="J13" s="163">
        <f t="shared" si="0"/>
        <v>46143</v>
      </c>
      <c r="K13" s="229">
        <v>418401</v>
      </c>
      <c r="L13" s="229"/>
      <c r="M13" s="229">
        <v>219178</v>
      </c>
      <c r="N13" s="229">
        <v>178375</v>
      </c>
      <c r="O13" s="230">
        <v>89250</v>
      </c>
      <c r="P13" s="236">
        <v>1.095</v>
      </c>
      <c r="Q13" s="237"/>
      <c r="R13" s="237">
        <v>0.21099999999999999</v>
      </c>
      <c r="S13" s="237">
        <v>0.52300000000000002</v>
      </c>
      <c r="T13" s="237"/>
      <c r="U13" s="237">
        <v>0.64500000000000002</v>
      </c>
      <c r="V13" s="213"/>
      <c r="W13" s="231">
        <f>'AUTO CALCULATION SHEET (2)'!E55*1000</f>
        <v>761700</v>
      </c>
      <c r="X13" s="232">
        <f t="shared" si="1"/>
        <v>4926.185999999987</v>
      </c>
      <c r="Y13" s="233">
        <f t="shared" si="1"/>
        <v>0</v>
      </c>
      <c r="Z13" s="229">
        <f t="shared" si="1"/>
        <v>0</v>
      </c>
      <c r="AA13" s="229">
        <f t="shared" si="1"/>
        <v>0</v>
      </c>
      <c r="AB13" s="229">
        <f t="shared" si="2"/>
        <v>0</v>
      </c>
      <c r="AC13" s="234">
        <f t="shared" si="3"/>
        <v>0</v>
      </c>
      <c r="AD13" s="231">
        <f t="shared" si="4"/>
        <v>4926.185999999987</v>
      </c>
      <c r="AE13" s="235">
        <f t="shared" si="5"/>
        <v>766626.18599999999</v>
      </c>
      <c r="AF13" s="214">
        <f>'AUTO CALCULATION SHEET (2)'!N22</f>
        <v>1026</v>
      </c>
      <c r="AG13" s="215">
        <f>'AUTO CALCULATION SHEET (2)'!AI22</f>
        <v>204</v>
      </c>
      <c r="AH13" s="215">
        <f>'AUTO CALCULATION SHEET (2)'!AX22</f>
        <v>96</v>
      </c>
      <c r="AI13" s="215">
        <f>'AUTO CALCULATION SHEET (2)'!BD22</f>
        <v>0</v>
      </c>
      <c r="AJ13" s="215">
        <f>'AUTO CALCULATION SHEET (2)'!BG22</f>
        <v>577</v>
      </c>
      <c r="AK13" s="215">
        <f>'AUTO CALCULATION SHEET (2)'!BO22</f>
        <v>310</v>
      </c>
      <c r="AL13" s="215">
        <f>'AUTO CALCULATION SHEET (2)'!BT22</f>
        <v>0</v>
      </c>
      <c r="AM13" s="215">
        <f>'AUTO CALCULATION SHEET (2)'!CE22</f>
        <v>47</v>
      </c>
      <c r="AN13" s="238">
        <f t="shared" si="6"/>
        <v>545837</v>
      </c>
      <c r="AO13" s="239">
        <f>'AUTO CALCULATION SHEET (2)'!CK22</f>
        <v>13354</v>
      </c>
      <c r="AP13" s="238">
        <f>AN13+AO13</f>
        <v>559191</v>
      </c>
      <c r="AQ13" s="239">
        <f t="shared" si="7"/>
        <v>207435.18599999999</v>
      </c>
      <c r="AR13" s="216">
        <f>ROUND((AQ13/AP13)*100,2)</f>
        <v>37.1</v>
      </c>
      <c r="AS13" s="217">
        <v>0</v>
      </c>
      <c r="AT13" s="217">
        <v>2</v>
      </c>
      <c r="AU13" s="217">
        <v>0</v>
      </c>
      <c r="AV13" s="218">
        <f>AR13-AS13-AT13-AU13</f>
        <v>35.1</v>
      </c>
    </row>
    <row r="14" spans="1:48" ht="24" customHeight="1" x14ac:dyDescent="0.2">
      <c r="A14" s="211" t="str">
        <f>'AUTO CALCULATION SHEET (2)'!D23</f>
        <v>4 CORE X 150 SQ. MM. AL/ARD - STRIP (XLPE)</v>
      </c>
      <c r="B14" s="212"/>
      <c r="C14" s="161" t="s">
        <v>333</v>
      </c>
      <c r="D14" s="162">
        <v>46185</v>
      </c>
      <c r="E14" s="227">
        <v>422899.8</v>
      </c>
      <c r="F14" s="228"/>
      <c r="G14" s="229">
        <v>219178</v>
      </c>
      <c r="H14" s="229">
        <v>178375</v>
      </c>
      <c r="I14" s="230">
        <v>89250</v>
      </c>
      <c r="J14" s="163">
        <f>$B$1</f>
        <v>46143</v>
      </c>
      <c r="K14" s="229">
        <v>418401</v>
      </c>
      <c r="L14" s="229"/>
      <c r="M14" s="229">
        <v>219178</v>
      </c>
      <c r="N14" s="229">
        <v>178375</v>
      </c>
      <c r="O14" s="230">
        <v>89250</v>
      </c>
      <c r="P14" s="236">
        <v>1.706</v>
      </c>
      <c r="Q14" s="237"/>
      <c r="R14" s="237">
        <v>0.34399999999999997</v>
      </c>
      <c r="S14" s="237">
        <v>0.76200000000000001</v>
      </c>
      <c r="T14" s="237"/>
      <c r="U14" s="237">
        <v>0.79</v>
      </c>
      <c r="V14" s="213"/>
      <c r="W14" s="231">
        <f>'AUTO CALCULATION SHEET (2)'!E56*1000</f>
        <v>1166330</v>
      </c>
      <c r="X14" s="232">
        <f t="shared" si="1"/>
        <v>7674.95279999998</v>
      </c>
      <c r="Y14" s="233">
        <f t="shared" si="1"/>
        <v>0</v>
      </c>
      <c r="Z14" s="229">
        <f t="shared" si="1"/>
        <v>0</v>
      </c>
      <c r="AA14" s="229">
        <f t="shared" si="1"/>
        <v>0</v>
      </c>
      <c r="AB14" s="229">
        <f t="shared" si="2"/>
        <v>0</v>
      </c>
      <c r="AC14" s="234">
        <f t="shared" si="3"/>
        <v>0</v>
      </c>
      <c r="AD14" s="231">
        <f t="shared" si="4"/>
        <v>7674.95279999998</v>
      </c>
      <c r="AE14" s="235">
        <f t="shared" si="5"/>
        <v>1174004.9528000001</v>
      </c>
      <c r="AF14" s="214">
        <f>'AUTO CALCULATION SHEET (2)'!N23</f>
        <v>1620</v>
      </c>
      <c r="AG14" s="215">
        <f>'AUTO CALCULATION SHEET (2)'!AI23</f>
        <v>315</v>
      </c>
      <c r="AH14" s="215">
        <f>'AUTO CALCULATION SHEET (2)'!AX23</f>
        <v>165</v>
      </c>
      <c r="AI14" s="215">
        <f>'AUTO CALCULATION SHEET (2)'!BD23</f>
        <v>0</v>
      </c>
      <c r="AJ14" s="215">
        <f>'AUTO CALCULATION SHEET (2)'!BG23</f>
        <v>735</v>
      </c>
      <c r="AK14" s="215">
        <f>'AUTO CALCULATION SHEET (2)'!BO23</f>
        <v>453</v>
      </c>
      <c r="AL14" s="215">
        <f>'AUTO CALCULATION SHEET (2)'!BT23</f>
        <v>0</v>
      </c>
      <c r="AM14" s="215">
        <f>'AUTO CALCULATION SHEET (2)'!CE23</f>
        <v>58</v>
      </c>
      <c r="AN14" s="238">
        <f t="shared" si="6"/>
        <v>838261</v>
      </c>
      <c r="AO14" s="239">
        <f>'AUTO CALCULATION SHEET (2)'!CK23</f>
        <v>17778</v>
      </c>
      <c r="AP14" s="238">
        <f>AN14+AO14</f>
        <v>856039</v>
      </c>
      <c r="AQ14" s="239">
        <f t="shared" si="7"/>
        <v>317965.95280000009</v>
      </c>
      <c r="AR14" s="216">
        <f>ROUND((AQ14/AP14)*100,2)</f>
        <v>37.14</v>
      </c>
      <c r="AS14" s="217">
        <v>0</v>
      </c>
      <c r="AT14" s="217">
        <v>2</v>
      </c>
      <c r="AU14" s="217">
        <v>0</v>
      </c>
      <c r="AV14" s="218">
        <f>AR14-AS14-AT14-AU14</f>
        <v>35.14</v>
      </c>
    </row>
    <row r="15" spans="1:48" ht="24" customHeight="1" x14ac:dyDescent="0.2">
      <c r="A15" s="211" t="str">
        <f>'AUTO CALCULATION SHEET (2)'!D24</f>
        <v>4 CORE X 300 SQ. MM. AL/ARD - STRIP (XLPE)</v>
      </c>
      <c r="B15" s="212"/>
      <c r="C15" s="161" t="s">
        <v>333</v>
      </c>
      <c r="D15" s="162">
        <v>46185</v>
      </c>
      <c r="E15" s="227">
        <v>422899.8</v>
      </c>
      <c r="F15" s="228"/>
      <c r="G15" s="229">
        <v>219178</v>
      </c>
      <c r="H15" s="229">
        <v>178375</v>
      </c>
      <c r="I15" s="230">
        <v>89250</v>
      </c>
      <c r="J15" s="163">
        <f>$B$1</f>
        <v>46143</v>
      </c>
      <c r="K15" s="229">
        <v>418401</v>
      </c>
      <c r="L15" s="229"/>
      <c r="M15" s="229">
        <v>219178</v>
      </c>
      <c r="N15" s="229">
        <v>178375</v>
      </c>
      <c r="O15" s="230">
        <v>89250</v>
      </c>
      <c r="P15" s="236">
        <v>3.5139999999999998</v>
      </c>
      <c r="Q15" s="237"/>
      <c r="R15" s="237">
        <v>0.62</v>
      </c>
      <c r="S15" s="237">
        <v>1.4139999999999999</v>
      </c>
      <c r="T15" s="237"/>
      <c r="U15" s="237">
        <v>1.113</v>
      </c>
      <c r="V15" s="213"/>
      <c r="W15" s="231">
        <f>'AUTO CALCULATION SHEET (2)'!E57*1000</f>
        <v>2214020.0000000005</v>
      </c>
      <c r="X15" s="232">
        <f t="shared" si="1"/>
        <v>15808.783199999958</v>
      </c>
      <c r="Y15" s="233">
        <f t="shared" si="1"/>
        <v>0</v>
      </c>
      <c r="Z15" s="229">
        <f t="shared" si="1"/>
        <v>0</v>
      </c>
      <c r="AA15" s="229">
        <f t="shared" si="1"/>
        <v>0</v>
      </c>
      <c r="AB15" s="229">
        <f t="shared" si="2"/>
        <v>0</v>
      </c>
      <c r="AC15" s="234">
        <f t="shared" si="3"/>
        <v>0</v>
      </c>
      <c r="AD15" s="231">
        <f t="shared" si="4"/>
        <v>15808.783199999958</v>
      </c>
      <c r="AE15" s="235">
        <f t="shared" si="5"/>
        <v>2229828.7832000004</v>
      </c>
      <c r="AF15" s="214">
        <f>'AUTO CALCULATION SHEET (2)'!N24</f>
        <v>3240</v>
      </c>
      <c r="AG15" s="215">
        <f>'AUTO CALCULATION SHEET (2)'!AI24</f>
        <v>560</v>
      </c>
      <c r="AH15" s="215">
        <f>'AUTO CALCULATION SHEET (2)'!AX24</f>
        <v>240</v>
      </c>
      <c r="AI15" s="215">
        <f>'AUTO CALCULATION SHEET (2)'!BD24</f>
        <v>0</v>
      </c>
      <c r="AJ15" s="215">
        <f>'AUTO CALCULATION SHEET (2)'!BG24</f>
        <v>971</v>
      </c>
      <c r="AK15" s="215">
        <f>'AUTO CALCULATION SHEET (2)'!BO24</f>
        <v>740</v>
      </c>
      <c r="AL15" s="215">
        <f>'AUTO CALCULATION SHEET (2)'!BT24</f>
        <v>0</v>
      </c>
      <c r="AM15" s="215">
        <f>'AUTO CALCULATION SHEET (2)'!CE24</f>
        <v>80</v>
      </c>
      <c r="AN15" s="238">
        <f t="shared" si="6"/>
        <v>1588877</v>
      </c>
      <c r="AO15" s="239">
        <f>'AUTO CALCULATION SHEET (2)'!CK24</f>
        <v>33000</v>
      </c>
      <c r="AP15" s="238">
        <f>AN15+AO15</f>
        <v>1621877</v>
      </c>
      <c r="AQ15" s="239">
        <f t="shared" si="7"/>
        <v>607951.78320000041</v>
      </c>
      <c r="AR15" s="216">
        <f>ROUND((AQ15/AP15)*100,2)</f>
        <v>37.479999999999997</v>
      </c>
      <c r="AS15" s="217">
        <v>0</v>
      </c>
      <c r="AT15" s="217">
        <v>2</v>
      </c>
      <c r="AU15" s="217">
        <v>0</v>
      </c>
      <c r="AV15" s="218">
        <f>AR15-AS15-AT15-AU15</f>
        <v>35.479999999999997</v>
      </c>
    </row>
    <row r="16" spans="1:48" ht="24" customHeight="1" x14ac:dyDescent="0.2">
      <c r="A16" s="211" t="str">
        <f>'AUTO CALCULATION SHEET (2)'!D26</f>
        <v>1 CORE X 120 SQ. MM. AL/ARD (XLPE)</v>
      </c>
      <c r="B16" s="212"/>
      <c r="C16" s="161" t="s">
        <v>333</v>
      </c>
      <c r="D16" s="162">
        <v>46185</v>
      </c>
      <c r="E16" s="227">
        <v>422899.8</v>
      </c>
      <c r="F16" s="228"/>
      <c r="G16" s="229">
        <v>219178</v>
      </c>
      <c r="H16" s="229">
        <v>178375</v>
      </c>
      <c r="I16" s="230"/>
      <c r="J16" s="163">
        <f t="shared" ref="J16:J19" si="8">$B$1</f>
        <v>46143</v>
      </c>
      <c r="K16" s="229">
        <v>418401</v>
      </c>
      <c r="L16" s="229"/>
      <c r="M16" s="229">
        <v>219178</v>
      </c>
      <c r="N16" s="229">
        <v>178375</v>
      </c>
      <c r="O16" s="230"/>
      <c r="P16" s="236">
        <v>0.54430000000000001</v>
      </c>
      <c r="Q16" s="237"/>
      <c r="R16" s="237">
        <v>7.5999999999999998E-2</v>
      </c>
      <c r="S16" s="237">
        <v>0.184</v>
      </c>
      <c r="T16" s="237"/>
      <c r="U16" s="237"/>
      <c r="V16" s="213"/>
      <c r="W16" s="231">
        <f>'AUTO CALCULATION SHEET (2)'!E59*1000</f>
        <v>329830</v>
      </c>
      <c r="X16" s="232">
        <f t="shared" si="1"/>
        <v>2448.6968399999937</v>
      </c>
      <c r="Y16" s="233">
        <f t="shared" si="1"/>
        <v>0</v>
      </c>
      <c r="Z16" s="229">
        <f t="shared" si="1"/>
        <v>0</v>
      </c>
      <c r="AA16" s="229">
        <f t="shared" si="1"/>
        <v>0</v>
      </c>
      <c r="AB16" s="229">
        <f t="shared" si="2"/>
        <v>0</v>
      </c>
      <c r="AC16" s="234">
        <f t="shared" si="3"/>
        <v>0</v>
      </c>
      <c r="AD16" s="231">
        <f t="shared" si="4"/>
        <v>2448.6968399999937</v>
      </c>
      <c r="AE16" s="235">
        <f t="shared" si="5"/>
        <v>332278.69683999999</v>
      </c>
      <c r="AF16" s="214">
        <f>'AUTO CALCULATION SHEET (2)'!N26</f>
        <v>324</v>
      </c>
      <c r="AG16" s="215">
        <f>'AUTO CALCULATION SHEET (2)'!AI26</f>
        <v>75</v>
      </c>
      <c r="AH16" s="215">
        <f>'AUTO CALCULATION SHEET (2)'!AX26</f>
        <v>0</v>
      </c>
      <c r="AI16" s="215">
        <f>'AUTO CALCULATION SHEET (2)'!BD26</f>
        <v>176</v>
      </c>
      <c r="AJ16" s="215">
        <f>'AUTO CALCULATION SHEET (2)'!BG26</f>
        <v>0</v>
      </c>
      <c r="AK16" s="215">
        <f>'AUTO CALCULATION SHEET (2)'!BO26</f>
        <v>0</v>
      </c>
      <c r="AL16" s="215">
        <f>'AUTO CALCULATION SHEET (2)'!BT26</f>
        <v>175</v>
      </c>
      <c r="AM16" s="215">
        <f>'AUTO CALCULATION SHEET (2)'!CE26</f>
        <v>15</v>
      </c>
      <c r="AN16" s="238">
        <f t="shared" si="6"/>
        <v>234580</v>
      </c>
      <c r="AO16" s="239">
        <f>'AUTO CALCULATION SHEET (2)'!CK26</f>
        <v>6050</v>
      </c>
      <c r="AP16" s="238">
        <f t="shared" ref="AP16:AP19" si="9">AN16+AO16</f>
        <v>240630</v>
      </c>
      <c r="AQ16" s="239">
        <f t="shared" si="7"/>
        <v>91648.69683999999</v>
      </c>
      <c r="AR16" s="216">
        <f t="shared" ref="AR16:AR19" si="10">ROUND((AQ16/AP16)*100,2)</f>
        <v>38.090000000000003</v>
      </c>
      <c r="AS16" s="217">
        <v>0</v>
      </c>
      <c r="AT16" s="217">
        <v>2</v>
      </c>
      <c r="AU16" s="217">
        <v>0</v>
      </c>
      <c r="AV16" s="218">
        <f t="shared" ref="AV16:AV19" si="11">AR16-AS16-AT16-AU16</f>
        <v>36.090000000000003</v>
      </c>
    </row>
    <row r="17" spans="1:48" ht="24" customHeight="1" x14ac:dyDescent="0.2">
      <c r="A17" s="211" t="str">
        <f>'AUTO CALCULATION SHEET (2)'!D27</f>
        <v>1 CORE X 120 SQ. MM. ALU/UNARD (XLPE)</v>
      </c>
      <c r="B17" s="212"/>
      <c r="C17" s="161" t="s">
        <v>333</v>
      </c>
      <c r="D17" s="162">
        <v>46185</v>
      </c>
      <c r="E17" s="227">
        <v>422899.8</v>
      </c>
      <c r="F17" s="228"/>
      <c r="G17" s="229">
        <v>219178</v>
      </c>
      <c r="H17" s="229">
        <v>178375</v>
      </c>
      <c r="I17" s="230"/>
      <c r="J17" s="163">
        <f t="shared" si="8"/>
        <v>46143</v>
      </c>
      <c r="K17" s="229">
        <v>418401</v>
      </c>
      <c r="L17" s="229"/>
      <c r="M17" s="229">
        <v>219178</v>
      </c>
      <c r="N17" s="229">
        <v>178375</v>
      </c>
      <c r="O17" s="230"/>
      <c r="P17" s="236">
        <v>0.34499999999999997</v>
      </c>
      <c r="Q17" s="237"/>
      <c r="R17" s="237">
        <v>0.06</v>
      </c>
      <c r="S17" s="237">
        <v>0.17599999999999999</v>
      </c>
      <c r="T17" s="237"/>
      <c r="U17" s="237"/>
      <c r="V17" s="213"/>
      <c r="W17" s="231">
        <f>'AUTO CALCULATION SHEET (2)'!E60*1000</f>
        <v>219450</v>
      </c>
      <c r="X17" s="232">
        <f t="shared" si="1"/>
        <v>1552.0859999999959</v>
      </c>
      <c r="Y17" s="233">
        <f t="shared" si="1"/>
        <v>0</v>
      </c>
      <c r="Z17" s="229">
        <f t="shared" si="1"/>
        <v>0</v>
      </c>
      <c r="AA17" s="229">
        <f t="shared" si="1"/>
        <v>0</v>
      </c>
      <c r="AB17" s="229">
        <f t="shared" si="2"/>
        <v>0</v>
      </c>
      <c r="AC17" s="234">
        <f t="shared" si="3"/>
        <v>0</v>
      </c>
      <c r="AD17" s="231">
        <f t="shared" si="4"/>
        <v>1552.0859999999959</v>
      </c>
      <c r="AE17" s="235">
        <f t="shared" si="5"/>
        <v>221002.08600000001</v>
      </c>
      <c r="AF17" s="214">
        <f>'AUTO CALCULATION SHEET (2)'!N27</f>
        <v>324</v>
      </c>
      <c r="AG17" s="215">
        <f>'AUTO CALCULATION SHEET (2)'!AI27</f>
        <v>60</v>
      </c>
      <c r="AH17" s="215">
        <f>'AUTO CALCULATION SHEET (2)'!AX27</f>
        <v>0</v>
      </c>
      <c r="AI17" s="215">
        <f>'AUTO CALCULATION SHEET (2)'!BD27</f>
        <v>0</v>
      </c>
      <c r="AJ17" s="215">
        <f>'AUTO CALCULATION SHEET (2)'!BG27</f>
        <v>0</v>
      </c>
      <c r="AK17" s="215">
        <f>'AUTO CALCULATION SHEET (2)'!BO27</f>
        <v>0</v>
      </c>
      <c r="AL17" s="215">
        <f>'AUTO CALCULATION SHEET (2)'!BT27</f>
        <v>170</v>
      </c>
      <c r="AM17" s="215">
        <f>'AUTO CALCULATION SHEET (2)'!CE27</f>
        <v>0</v>
      </c>
      <c r="AN17" s="238">
        <f t="shared" si="6"/>
        <v>155882</v>
      </c>
      <c r="AO17" s="239">
        <f>'AUTO CALCULATION SHEET (2)'!CK27</f>
        <v>4400</v>
      </c>
      <c r="AP17" s="238">
        <f t="shared" si="9"/>
        <v>160282</v>
      </c>
      <c r="AQ17" s="239">
        <f t="shared" si="7"/>
        <v>60720.08600000001</v>
      </c>
      <c r="AR17" s="216">
        <f t="shared" si="10"/>
        <v>37.880000000000003</v>
      </c>
      <c r="AS17" s="217">
        <v>0</v>
      </c>
      <c r="AT17" s="217">
        <v>2</v>
      </c>
      <c r="AU17" s="217">
        <v>0</v>
      </c>
      <c r="AV17" s="218">
        <f t="shared" si="11"/>
        <v>35.880000000000003</v>
      </c>
    </row>
    <row r="18" spans="1:48" ht="24" customHeight="1" x14ac:dyDescent="0.2">
      <c r="A18" s="211" t="str">
        <f>'AUTO CALCULATION SHEET (2)'!D28</f>
        <v>1 CORE X 300 SQ. MM. AL/ARD. (XLPE)</v>
      </c>
      <c r="B18" s="212"/>
      <c r="C18" s="161" t="s">
        <v>333</v>
      </c>
      <c r="D18" s="162">
        <v>46185</v>
      </c>
      <c r="E18" s="227">
        <v>422899.8</v>
      </c>
      <c r="F18" s="228"/>
      <c r="G18" s="229">
        <v>219178</v>
      </c>
      <c r="H18" s="229">
        <v>178375</v>
      </c>
      <c r="I18" s="230"/>
      <c r="J18" s="163">
        <f t="shared" si="8"/>
        <v>46143</v>
      </c>
      <c r="K18" s="229">
        <v>418401</v>
      </c>
      <c r="L18" s="229"/>
      <c r="M18" s="229">
        <v>219178</v>
      </c>
      <c r="N18" s="229">
        <v>178375</v>
      </c>
      <c r="O18" s="230"/>
      <c r="P18" s="236">
        <v>1.2582</v>
      </c>
      <c r="Q18" s="237"/>
      <c r="R18" s="237">
        <v>0.16400000000000001</v>
      </c>
      <c r="S18" s="237">
        <v>0.30099999999999999</v>
      </c>
      <c r="T18" s="237"/>
      <c r="U18" s="237"/>
      <c r="V18" s="213"/>
      <c r="W18" s="231">
        <f>'AUTO CALCULATION SHEET (2)'!E61*1000</f>
        <v>683490</v>
      </c>
      <c r="X18" s="232">
        <f t="shared" si="1"/>
        <v>5660.3901599999854</v>
      </c>
      <c r="Y18" s="233">
        <f t="shared" si="1"/>
        <v>0</v>
      </c>
      <c r="Z18" s="229">
        <f t="shared" si="1"/>
        <v>0</v>
      </c>
      <c r="AA18" s="229">
        <f t="shared" si="1"/>
        <v>0</v>
      </c>
      <c r="AB18" s="229">
        <f t="shared" si="2"/>
        <v>0</v>
      </c>
      <c r="AC18" s="234">
        <f t="shared" si="3"/>
        <v>0</v>
      </c>
      <c r="AD18" s="231">
        <f t="shared" si="4"/>
        <v>5660.3901599999854</v>
      </c>
      <c r="AE18" s="235">
        <f t="shared" si="5"/>
        <v>689150.39015999995</v>
      </c>
      <c r="AF18" s="214">
        <f>'AUTO CALCULATION SHEET (2)'!N28</f>
        <v>810</v>
      </c>
      <c r="AG18" s="215">
        <f>'AUTO CALCULATION SHEET (2)'!AI28</f>
        <v>158</v>
      </c>
      <c r="AH18" s="215">
        <f>'AUTO CALCULATION SHEET (2)'!AX28</f>
        <v>0</v>
      </c>
      <c r="AI18" s="215">
        <f>'AUTO CALCULATION SHEET (2)'!BD28</f>
        <v>264</v>
      </c>
      <c r="AJ18" s="215">
        <f>'AUTO CALCULATION SHEET (2)'!BG28</f>
        <v>0</v>
      </c>
      <c r="AK18" s="215">
        <f>'AUTO CALCULATION SHEET (2)'!BO28</f>
        <v>0</v>
      </c>
      <c r="AL18" s="215">
        <f>'AUTO CALCULATION SHEET (2)'!BT28</f>
        <v>265</v>
      </c>
      <c r="AM18" s="215">
        <f>'AUTO CALCULATION SHEET (2)'!CE28</f>
        <v>21</v>
      </c>
      <c r="AN18" s="238">
        <f t="shared" si="6"/>
        <v>488953</v>
      </c>
      <c r="AO18" s="239">
        <f>'AUTO CALCULATION SHEET (2)'!CK28</f>
        <v>9350</v>
      </c>
      <c r="AP18" s="238">
        <f t="shared" si="9"/>
        <v>498303</v>
      </c>
      <c r="AQ18" s="239">
        <f t="shared" si="7"/>
        <v>190847.39015999995</v>
      </c>
      <c r="AR18" s="216">
        <f t="shared" si="10"/>
        <v>38.299999999999997</v>
      </c>
      <c r="AS18" s="217">
        <v>0</v>
      </c>
      <c r="AT18" s="217">
        <v>2</v>
      </c>
      <c r="AU18" s="217">
        <v>0</v>
      </c>
      <c r="AV18" s="218">
        <f t="shared" si="11"/>
        <v>36.299999999999997</v>
      </c>
    </row>
    <row r="19" spans="1:48" ht="24" customHeight="1" x14ac:dyDescent="0.2">
      <c r="A19" s="211" t="str">
        <f>'AUTO CALCULATION SHEET (2)'!D29</f>
        <v>1 CORE X 630 SQ. MM. AL/ARD (XLPE)</v>
      </c>
      <c r="B19" s="212"/>
      <c r="C19" s="161" t="s">
        <v>333</v>
      </c>
      <c r="D19" s="162">
        <v>46185</v>
      </c>
      <c r="E19" s="227">
        <v>422899.8</v>
      </c>
      <c r="F19" s="228"/>
      <c r="G19" s="229">
        <v>219178</v>
      </c>
      <c r="H19" s="229">
        <v>178375</v>
      </c>
      <c r="I19" s="230"/>
      <c r="J19" s="163">
        <f t="shared" si="8"/>
        <v>46143</v>
      </c>
      <c r="K19" s="229">
        <v>418401</v>
      </c>
      <c r="L19" s="229"/>
      <c r="M19" s="229">
        <v>219178</v>
      </c>
      <c r="N19" s="229">
        <v>178375</v>
      </c>
      <c r="O19" s="230"/>
      <c r="P19" s="236">
        <v>2.3650000000000002</v>
      </c>
      <c r="Q19" s="237"/>
      <c r="R19" s="237">
        <v>3.1800000000000002E-2</v>
      </c>
      <c r="S19" s="237">
        <v>0.497</v>
      </c>
      <c r="T19" s="237"/>
      <c r="U19" s="237"/>
      <c r="V19" s="213"/>
      <c r="W19" s="231">
        <f>'AUTO CALCULATION SHEET (2)'!E62*1000</f>
        <v>1348370</v>
      </c>
      <c r="X19" s="232">
        <f t="shared" si="1"/>
        <v>10639.661999999973</v>
      </c>
      <c r="Y19" s="233">
        <f t="shared" si="1"/>
        <v>0</v>
      </c>
      <c r="Z19" s="229">
        <f t="shared" si="1"/>
        <v>0</v>
      </c>
      <c r="AA19" s="229">
        <f t="shared" si="1"/>
        <v>0</v>
      </c>
      <c r="AB19" s="229">
        <f t="shared" si="2"/>
        <v>0</v>
      </c>
      <c r="AC19" s="234">
        <f t="shared" si="3"/>
        <v>0</v>
      </c>
      <c r="AD19" s="231">
        <f t="shared" si="4"/>
        <v>10639.661999999973</v>
      </c>
      <c r="AE19" s="235">
        <f t="shared" si="5"/>
        <v>1359009.662</v>
      </c>
      <c r="AF19" s="214">
        <f>'AUTO CALCULATION SHEET (2)'!N29</f>
        <v>1701</v>
      </c>
      <c r="AG19" s="215">
        <f>'AUTO CALCULATION SHEET (2)'!AI29</f>
        <v>295</v>
      </c>
      <c r="AH19" s="215">
        <f>'AUTO CALCULATION SHEET (2)'!AX29</f>
        <v>0</v>
      </c>
      <c r="AI19" s="215">
        <f>'AUTO CALCULATION SHEET (2)'!BD29</f>
        <v>464</v>
      </c>
      <c r="AJ19" s="215">
        <f>'AUTO CALCULATION SHEET (2)'!BG29</f>
        <v>0</v>
      </c>
      <c r="AK19" s="215">
        <f>'AUTO CALCULATION SHEET (2)'!BO29</f>
        <v>0</v>
      </c>
      <c r="AL19" s="215">
        <f>'AUTO CALCULATION SHEET (2)'!BT29</f>
        <v>400</v>
      </c>
      <c r="AM19" s="215">
        <f>'AUTO CALCULATION SHEET (2)'!CE29</f>
        <v>29</v>
      </c>
      <c r="AN19" s="238">
        <f t="shared" si="6"/>
        <v>965100</v>
      </c>
      <c r="AO19" s="239">
        <f>'AUTO CALCULATION SHEET (2)'!CK29</f>
        <v>17600</v>
      </c>
      <c r="AP19" s="238">
        <f t="shared" si="9"/>
        <v>982700</v>
      </c>
      <c r="AQ19" s="239">
        <f t="shared" si="7"/>
        <v>376309.66200000001</v>
      </c>
      <c r="AR19" s="216">
        <f t="shared" si="10"/>
        <v>38.29</v>
      </c>
      <c r="AS19" s="217">
        <v>0</v>
      </c>
      <c r="AT19" s="217">
        <v>2</v>
      </c>
      <c r="AU19" s="217">
        <v>0</v>
      </c>
      <c r="AV19" s="218">
        <f t="shared" si="11"/>
        <v>36.29</v>
      </c>
    </row>
    <row r="20" spans="1:48" s="176" customFormat="1" ht="31.5" customHeight="1" thickBot="1" x14ac:dyDescent="0.25">
      <c r="A20" s="177"/>
      <c r="B20" s="177"/>
      <c r="C20" s="219"/>
      <c r="D20" s="179"/>
      <c r="E20" s="180"/>
      <c r="F20" s="180"/>
      <c r="G20" s="180"/>
      <c r="H20" s="180"/>
      <c r="I20" s="185"/>
      <c r="J20" s="181"/>
      <c r="K20" s="182"/>
      <c r="L20" s="182"/>
      <c r="M20" s="182"/>
      <c r="N20" s="182"/>
      <c r="O20" s="183"/>
      <c r="P20" s="181"/>
      <c r="Q20" s="180"/>
      <c r="R20" s="180"/>
      <c r="S20" s="180"/>
      <c r="T20" s="180"/>
      <c r="U20" s="180"/>
      <c r="V20" s="185"/>
      <c r="W20" s="186"/>
      <c r="X20" s="220"/>
      <c r="Y20" s="221"/>
      <c r="Z20" s="221"/>
      <c r="AA20" s="221"/>
      <c r="AB20" s="221"/>
      <c r="AC20" s="222"/>
      <c r="AD20" s="223"/>
      <c r="AE20" s="186"/>
      <c r="AF20" s="224"/>
      <c r="AG20" s="224"/>
      <c r="AH20" s="224"/>
      <c r="AI20" s="224"/>
      <c r="AJ20" s="224"/>
      <c r="AK20" s="224"/>
      <c r="AL20" s="224"/>
      <c r="AM20" s="224"/>
      <c r="AN20" s="224"/>
      <c r="AO20" s="224"/>
      <c r="AP20" s="224"/>
      <c r="AQ20" s="224"/>
      <c r="AR20" s="224"/>
      <c r="AS20" s="224"/>
      <c r="AT20" s="224"/>
      <c r="AU20" s="224"/>
      <c r="AV20" s="225"/>
    </row>
    <row r="21" spans="1:48" s="176" customFormat="1" x14ac:dyDescent="0.2">
      <c r="A21" s="121"/>
      <c r="B21" s="121"/>
      <c r="C21" s="121"/>
      <c r="D21" s="121"/>
      <c r="E21" s="194"/>
      <c r="F21" s="194"/>
      <c r="G21" s="121"/>
      <c r="H21" s="121"/>
      <c r="I21" s="121"/>
      <c r="J21" s="121"/>
      <c r="K21" s="121"/>
      <c r="L21" s="121"/>
      <c r="M21" s="121"/>
    </row>
    <row r="23" spans="1:48" x14ac:dyDescent="0.2">
      <c r="J23" s="226"/>
    </row>
    <row r="24" spans="1:48" x14ac:dyDescent="0.2">
      <c r="J24" s="226"/>
    </row>
  </sheetData>
  <mergeCells count="41">
    <mergeCell ref="AT9:AT11"/>
    <mergeCell ref="AU9:AU11"/>
    <mergeCell ref="AV9:AV11"/>
    <mergeCell ref="AN9:AN11"/>
    <mergeCell ref="AO9:AO11"/>
    <mergeCell ref="AP9:AP11"/>
    <mergeCell ref="AQ9:AQ11"/>
    <mergeCell ref="AR9:AR11"/>
    <mergeCell ref="AS9:AS11"/>
    <mergeCell ref="AB8:AB10"/>
    <mergeCell ref="AC8:AC10"/>
    <mergeCell ref="AD8:AD10"/>
    <mergeCell ref="AE8:AE10"/>
    <mergeCell ref="Z8:Z10"/>
    <mergeCell ref="AA8:AA10"/>
    <mergeCell ref="E9:E10"/>
    <mergeCell ref="F9:F10"/>
    <mergeCell ref="G9:G10"/>
    <mergeCell ref="H9:H10"/>
    <mergeCell ref="O9:O10"/>
    <mergeCell ref="J9:J10"/>
    <mergeCell ref="K9:K10"/>
    <mergeCell ref="L9:L10"/>
    <mergeCell ref="M9:M10"/>
    <mergeCell ref="N9:N10"/>
    <mergeCell ref="B1:M1"/>
    <mergeCell ref="A2:M2"/>
    <mergeCell ref="A3:M4"/>
    <mergeCell ref="AD5:AE5"/>
    <mergeCell ref="AF7:AV8"/>
    <mergeCell ref="A8:A10"/>
    <mergeCell ref="B8:B10"/>
    <mergeCell ref="C8:C10"/>
    <mergeCell ref="D8:I8"/>
    <mergeCell ref="J8:O8"/>
    <mergeCell ref="I9:I10"/>
    <mergeCell ref="P8:V9"/>
    <mergeCell ref="W8:W10"/>
    <mergeCell ref="X8:X10"/>
    <mergeCell ref="Y8:Y10"/>
    <mergeCell ref="D9:D10"/>
  </mergeCells>
  <pageMargins left="0.17" right="0.17" top="4.3499999999999996" bottom="0.75" header="0.3" footer="0.3"/>
  <pageSetup paperSize="9" scale="2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AUTO CALCULATION SHEET (2)</vt:lpstr>
      <vt:lpstr>PV AUTO CALCULATION-LTABC</vt:lpstr>
      <vt:lpstr>PV AUTO CALCULATION-LTPC</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2026-06-12T06:21:32Z</dcterms:modified>
</cp:coreProperties>
</file>