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03_MARCH 2024\TPCODL-578-COVERED-12472\"/>
    </mc:Choice>
  </mc:AlternateContent>
  <xr:revisionPtr revIDLastSave="0" documentId="13_ncr:1_{ED68C0C4-A2E4-4F0C-8DEE-4B169033D093}"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AUTO CALCULATION SHEET (2)" sheetId="4" r:id="rId2"/>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9" i="4" l="1"/>
  <c r="K40" i="4"/>
  <c r="K41" i="4"/>
  <c r="K42" i="4"/>
  <c r="K43" i="4"/>
  <c r="K38" i="4"/>
  <c r="J43" i="4"/>
  <c r="J42" i="4"/>
  <c r="J41" i="4"/>
  <c r="J40" i="4"/>
  <c r="J39" i="4"/>
  <c r="J38" i="4"/>
  <c r="I43" i="4"/>
  <c r="I42" i="4"/>
  <c r="I41" i="4"/>
  <c r="I40" i="4"/>
  <c r="I39" i="4"/>
  <c r="I38" i="4"/>
  <c r="H39" i="4"/>
  <c r="H40" i="4"/>
  <c r="H41" i="4"/>
  <c r="H42" i="4"/>
  <c r="H43" i="4"/>
  <c r="H38" i="4"/>
  <c r="G43" i="4"/>
  <c r="G42" i="4"/>
  <c r="G41" i="4"/>
  <c r="G40" i="4"/>
  <c r="G39" i="4"/>
  <c r="G38" i="4"/>
  <c r="F43" i="4"/>
  <c r="F42" i="4"/>
  <c r="F41" i="4"/>
  <c r="F40" i="4"/>
  <c r="F39" i="4"/>
  <c r="F38" i="4"/>
  <c r="E43" i="4"/>
  <c r="E42" i="4"/>
  <c r="E41" i="4"/>
  <c r="E40" i="4"/>
  <c r="E39" i="4"/>
  <c r="E38" i="4"/>
  <c r="A39" i="4"/>
  <c r="B39" i="4"/>
  <c r="C39" i="4"/>
  <c r="D39" i="4"/>
  <c r="A40" i="4"/>
  <c r="B40" i="4"/>
  <c r="C40" i="4"/>
  <c r="D40" i="4"/>
  <c r="A41" i="4"/>
  <c r="B41" i="4"/>
  <c r="C41" i="4"/>
  <c r="D41" i="4"/>
  <c r="A42" i="4"/>
  <c r="B42" i="4"/>
  <c r="C42" i="4"/>
  <c r="D42" i="4"/>
  <c r="A43" i="4"/>
  <c r="B43" i="4"/>
  <c r="C43" i="4"/>
  <c r="D43" i="4"/>
  <c r="D38" i="4"/>
  <c r="C38" i="4"/>
  <c r="B38" i="4"/>
  <c r="A38" i="4"/>
  <c r="BL32" i="4"/>
  <c r="BL31" i="4"/>
  <c r="BL30" i="4"/>
  <c r="BL29" i="4"/>
  <c r="BL28" i="4"/>
  <c r="BL27" i="4"/>
  <c r="AE32" i="4"/>
  <c r="AE31" i="4"/>
  <c r="AE30" i="4"/>
  <c r="AE29" i="4"/>
  <c r="AE28" i="4"/>
  <c r="AE27" i="4"/>
  <c r="T32" i="4"/>
  <c r="T28" i="4"/>
  <c r="T29" i="4"/>
  <c r="T30" i="4"/>
  <c r="T31" i="4"/>
  <c r="T27" i="4"/>
  <c r="AC32" i="4"/>
  <c r="AC31" i="4"/>
  <c r="AC30" i="4"/>
  <c r="AC29" i="4"/>
  <c r="AC28" i="4"/>
  <c r="AC27" i="4"/>
  <c r="C32" i="4"/>
  <c r="C28" i="4"/>
  <c r="C29" i="4"/>
  <c r="C30" i="4"/>
  <c r="C31" i="4"/>
  <c r="C27" i="4"/>
  <c r="BY20" i="4"/>
  <c r="F28" i="4" s="1"/>
  <c r="J28" i="4" s="1"/>
  <c r="K28" i="4" s="1"/>
  <c r="M28" i="4" s="1"/>
  <c r="L28" i="4" s="1"/>
  <c r="BY22" i="4"/>
  <c r="F30" i="4" s="1"/>
  <c r="J30" i="4" s="1"/>
  <c r="BY23" i="4"/>
  <c r="F31" i="4" s="1"/>
  <c r="J31" i="4" s="1"/>
  <c r="BY24" i="4"/>
  <c r="F32" i="4" s="1"/>
  <c r="J32" i="4" s="1"/>
  <c r="BY21" i="4"/>
  <c r="F29" i="4" s="1"/>
  <c r="J29" i="4" s="1"/>
  <c r="K29" i="4" s="1"/>
  <c r="M29" i="4" s="1"/>
  <c r="L29" i="4" s="1"/>
  <c r="BY19" i="4"/>
  <c r="F27" i="4" s="1"/>
  <c r="J27" i="4" s="1"/>
  <c r="BY17" i="4"/>
  <c r="A20" i="4"/>
  <c r="B20" i="4"/>
  <c r="C20" i="4"/>
  <c r="D20" i="4"/>
  <c r="D28" i="4" s="1"/>
  <c r="H20" i="4"/>
  <c r="K20" i="4"/>
  <c r="E28" i="4" s="1"/>
  <c r="L20" i="4"/>
  <c r="N20" i="4"/>
  <c r="O20" i="4"/>
  <c r="P20" i="4"/>
  <c r="Q20" i="4"/>
  <c r="R20" i="4"/>
  <c r="S20" i="4"/>
  <c r="U20" i="4"/>
  <c r="V20" i="4"/>
  <c r="W20" i="4"/>
  <c r="X20" i="4"/>
  <c r="Y20" i="4"/>
  <c r="Z20" i="4"/>
  <c r="AA20" i="4"/>
  <c r="AB20" i="4"/>
  <c r="AD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M20" i="4"/>
  <c r="BN20" i="4"/>
  <c r="BO20" i="4"/>
  <c r="BP20" i="4"/>
  <c r="BQ20" i="4"/>
  <c r="BR20" i="4"/>
  <c r="BS20" i="4"/>
  <c r="BT20" i="4"/>
  <c r="BV20" i="4"/>
  <c r="BW20" i="4"/>
  <c r="BX20" i="4"/>
  <c r="BZ20" i="4"/>
  <c r="CB20" i="4"/>
  <c r="A22" i="4"/>
  <c r="B22" i="4"/>
  <c r="C22" i="4"/>
  <c r="D22" i="4"/>
  <c r="D30" i="4" s="1"/>
  <c r="H22" i="4"/>
  <c r="K22" i="4"/>
  <c r="E30" i="4" s="1"/>
  <c r="K30" i="4" s="1"/>
  <c r="M30" i="4" s="1"/>
  <c r="L30" i="4" s="1"/>
  <c r="L22" i="4"/>
  <c r="N22" i="4"/>
  <c r="O22" i="4"/>
  <c r="P22" i="4"/>
  <c r="Q22" i="4"/>
  <c r="R22" i="4"/>
  <c r="S22" i="4"/>
  <c r="U22" i="4"/>
  <c r="V22" i="4"/>
  <c r="W22" i="4"/>
  <c r="X22" i="4"/>
  <c r="Y22" i="4"/>
  <c r="Z22" i="4"/>
  <c r="AA22" i="4"/>
  <c r="AB22" i="4"/>
  <c r="AD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M22" i="4"/>
  <c r="BN22" i="4"/>
  <c r="BO22" i="4"/>
  <c r="BP22" i="4"/>
  <c r="BQ22" i="4"/>
  <c r="BR22" i="4"/>
  <c r="BS22" i="4"/>
  <c r="BT22" i="4"/>
  <c r="BV22" i="4"/>
  <c r="BW22" i="4"/>
  <c r="BX22" i="4"/>
  <c r="BZ22" i="4"/>
  <c r="CB22" i="4"/>
  <c r="A23" i="4"/>
  <c r="B23" i="4"/>
  <c r="C23" i="4"/>
  <c r="D23" i="4"/>
  <c r="D31" i="4" s="1"/>
  <c r="H23" i="4"/>
  <c r="K23" i="4"/>
  <c r="E31" i="4" s="1"/>
  <c r="L23" i="4"/>
  <c r="N23" i="4"/>
  <c r="O23" i="4"/>
  <c r="P23" i="4"/>
  <c r="Q23" i="4"/>
  <c r="R23" i="4"/>
  <c r="S23" i="4"/>
  <c r="U23" i="4"/>
  <c r="V23" i="4"/>
  <c r="W23" i="4"/>
  <c r="X23" i="4"/>
  <c r="Y23" i="4"/>
  <c r="Z23" i="4"/>
  <c r="AA23" i="4"/>
  <c r="AB23" i="4"/>
  <c r="AD23" i="4"/>
  <c r="AF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BF23" i="4"/>
  <c r="BG23" i="4"/>
  <c r="BH23" i="4"/>
  <c r="BI23" i="4"/>
  <c r="BJ23" i="4"/>
  <c r="BK23" i="4"/>
  <c r="BM23" i="4"/>
  <c r="BN23" i="4"/>
  <c r="BO23" i="4"/>
  <c r="BP23" i="4"/>
  <c r="BQ23" i="4"/>
  <c r="BR23" i="4"/>
  <c r="BS23" i="4"/>
  <c r="BT23" i="4"/>
  <c r="BV23" i="4"/>
  <c r="BW23" i="4"/>
  <c r="BX23" i="4"/>
  <c r="BZ23" i="4"/>
  <c r="CB23" i="4"/>
  <c r="A24" i="4"/>
  <c r="B24" i="4"/>
  <c r="C24" i="4"/>
  <c r="D24" i="4"/>
  <c r="D32" i="4" s="1"/>
  <c r="H24" i="4"/>
  <c r="K24" i="4"/>
  <c r="E32" i="4" s="1"/>
  <c r="L24" i="4"/>
  <c r="N24" i="4"/>
  <c r="O24" i="4"/>
  <c r="P24" i="4"/>
  <c r="Q24" i="4"/>
  <c r="R24" i="4"/>
  <c r="S24" i="4"/>
  <c r="U24" i="4"/>
  <c r="V24" i="4"/>
  <c r="W24" i="4"/>
  <c r="X24" i="4"/>
  <c r="Y24" i="4"/>
  <c r="Z24" i="4"/>
  <c r="AA24" i="4"/>
  <c r="AB24" i="4"/>
  <c r="AD24" i="4"/>
  <c r="AF24" i="4"/>
  <c r="AG24" i="4"/>
  <c r="AH24" i="4"/>
  <c r="AI24" i="4"/>
  <c r="AJ24" i="4"/>
  <c r="AK24" i="4"/>
  <c r="AL24" i="4"/>
  <c r="AM24" i="4"/>
  <c r="AN24" i="4"/>
  <c r="AO24" i="4"/>
  <c r="AP24" i="4"/>
  <c r="AQ24" i="4"/>
  <c r="AR24" i="4"/>
  <c r="AS24" i="4"/>
  <c r="AT24" i="4"/>
  <c r="AU24" i="4"/>
  <c r="AV24" i="4"/>
  <c r="AW24" i="4"/>
  <c r="AX24" i="4"/>
  <c r="AY24" i="4"/>
  <c r="AZ24" i="4"/>
  <c r="BA24" i="4"/>
  <c r="BB24" i="4"/>
  <c r="BC24" i="4"/>
  <c r="BD24" i="4"/>
  <c r="BE24" i="4"/>
  <c r="BF24" i="4"/>
  <c r="BG24" i="4"/>
  <c r="BH24" i="4"/>
  <c r="BI24" i="4"/>
  <c r="BJ24" i="4"/>
  <c r="BK24" i="4"/>
  <c r="BM24" i="4"/>
  <c r="BN24" i="4"/>
  <c r="BO24" i="4"/>
  <c r="BP24" i="4"/>
  <c r="BQ24" i="4"/>
  <c r="BR24" i="4"/>
  <c r="BS24" i="4"/>
  <c r="BT24" i="4"/>
  <c r="BV24" i="4"/>
  <c r="BW24" i="4"/>
  <c r="BX24" i="4"/>
  <c r="BZ24" i="4"/>
  <c r="CB24" i="4"/>
  <c r="A21" i="4"/>
  <c r="B21" i="4"/>
  <c r="C21" i="4"/>
  <c r="D21" i="4"/>
  <c r="D29" i="4" s="1"/>
  <c r="H21" i="4"/>
  <c r="K21" i="4"/>
  <c r="E29" i="4" s="1"/>
  <c r="L21" i="4"/>
  <c r="N21" i="4"/>
  <c r="O21" i="4"/>
  <c r="P21" i="4"/>
  <c r="Q21" i="4"/>
  <c r="R21" i="4"/>
  <c r="S21" i="4"/>
  <c r="U21" i="4"/>
  <c r="V21" i="4"/>
  <c r="W21" i="4"/>
  <c r="X21" i="4"/>
  <c r="Y21" i="4"/>
  <c r="Z21" i="4"/>
  <c r="AA21" i="4"/>
  <c r="AB21" i="4"/>
  <c r="AD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M21" i="4"/>
  <c r="BN21" i="4"/>
  <c r="BO21" i="4"/>
  <c r="BP21" i="4"/>
  <c r="BQ21" i="4"/>
  <c r="BR21" i="4"/>
  <c r="BS21" i="4"/>
  <c r="BT21" i="4"/>
  <c r="BV21" i="4"/>
  <c r="BW21" i="4"/>
  <c r="BX21" i="4"/>
  <c r="BZ21" i="4"/>
  <c r="CB21" i="4"/>
  <c r="M38" i="4" l="1"/>
  <c r="M40" i="4"/>
  <c r="M42" i="4"/>
  <c r="M39" i="4"/>
  <c r="M41" i="4"/>
  <c r="M43" i="4"/>
  <c r="F22" i="4"/>
  <c r="F21" i="4"/>
  <c r="F20" i="4"/>
  <c r="K31" i="4"/>
  <c r="M31" i="4" s="1"/>
  <c r="K32" i="4"/>
  <c r="M32" i="4" s="1"/>
  <c r="B19" i="4"/>
  <c r="L32" i="4" l="1"/>
  <c r="F24" i="4"/>
  <c r="L31" i="4"/>
  <c r="F23" i="4"/>
  <c r="BX19" i="4"/>
  <c r="BW19" i="4"/>
  <c r="BX17" i="4"/>
  <c r="BW17" i="4"/>
  <c r="BV19" i="4"/>
  <c r="BV17" i="4"/>
  <c r="B17" i="4"/>
  <c r="T18" i="4" l="1"/>
  <c r="S18" i="4"/>
  <c r="AB19" i="4" l="1"/>
  <c r="AA19" i="4"/>
  <c r="Z19" i="4"/>
  <c r="Y19" i="4"/>
  <c r="X19" i="4"/>
  <c r="W19" i="4"/>
  <c r="V19" i="4"/>
  <c r="U19" i="4"/>
  <c r="S19" i="4"/>
  <c r="BT19" i="4"/>
  <c r="BS19" i="4"/>
  <c r="BR19" i="4"/>
  <c r="BQ19" i="4"/>
  <c r="BP19" i="4"/>
  <c r="BO19" i="4"/>
  <c r="BN19" i="4"/>
  <c r="BS18" i="4"/>
  <c r="BT18" i="4"/>
  <c r="BU18" i="4"/>
  <c r="BR18" i="4"/>
  <c r="BQ18" i="4"/>
  <c r="BP18" i="4"/>
  <c r="BN18" i="4"/>
  <c r="BO18" i="4"/>
  <c r="BM18" i="4"/>
  <c r="BM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S18" i="4"/>
  <c r="AR18" i="4"/>
  <c r="AR19" i="4"/>
  <c r="AQ19" i="4"/>
  <c r="AP19" i="4"/>
  <c r="AO19" i="4"/>
  <c r="AN19" i="4"/>
  <c r="AM19" i="4"/>
  <c r="AL19" i="4"/>
  <c r="AQ18" i="4"/>
  <c r="AP18" i="4"/>
  <c r="AO18" i="4"/>
  <c r="AN18" i="4"/>
  <c r="AM18" i="4"/>
  <c r="AL18" i="4"/>
  <c r="AK18" i="4"/>
  <c r="AK19" i="4"/>
  <c r="AJ19" i="4"/>
  <c r="AI19" i="4"/>
  <c r="AH19" i="4"/>
  <c r="AG19" i="4"/>
  <c r="AF19" i="4"/>
  <c r="AJ18" i="4"/>
  <c r="AI18" i="4"/>
  <c r="AH18" i="4"/>
  <c r="AE18" i="4"/>
  <c r="AG18" i="4"/>
  <c r="AF18" i="4"/>
  <c r="AD18" i="4"/>
  <c r="AD19" i="4"/>
  <c r="AC18" i="4"/>
  <c r="N18" i="4"/>
  <c r="AB18" i="4" l="1"/>
  <c r="AA18" i="4"/>
  <c r="Z18" i="4"/>
  <c r="Y18" i="4"/>
  <c r="X18" i="4"/>
  <c r="W18" i="4"/>
  <c r="V18" i="4"/>
  <c r="U18" i="4"/>
  <c r="R18" i="4" l="1"/>
  <c r="Q18" i="4"/>
  <c r="P18" i="4"/>
  <c r="N19" i="4"/>
  <c r="R19" i="4"/>
  <c r="Q19" i="4"/>
  <c r="P19" i="4"/>
  <c r="O19" i="4"/>
  <c r="N16" i="4"/>
  <c r="L19" i="4"/>
  <c r="K19" i="4"/>
  <c r="E27" i="4" s="1"/>
  <c r="K27" i="4" s="1"/>
  <c r="M27" i="4" s="1"/>
  <c r="H19" i="4"/>
  <c r="CB19" i="4"/>
  <c r="BZ19" i="4"/>
  <c r="D19" i="4"/>
  <c r="D27" i="4" s="1"/>
  <c r="C19" i="4"/>
  <c r="A19" i="4"/>
  <c r="L27" i="4" l="1"/>
  <c r="F19" i="4"/>
  <c r="CA23" i="4"/>
  <c r="CA21" i="4"/>
  <c r="CA24" i="4"/>
  <c r="CA22" i="4"/>
  <c r="CA20" i="4"/>
  <c r="CA19" i="4"/>
  <c r="CE20" i="4" l="1"/>
  <c r="CG20" i="4"/>
  <c r="CC20" i="4"/>
  <c r="CC22" i="4"/>
  <c r="CG22" i="4"/>
  <c r="CE22" i="4"/>
  <c r="CE21" i="4"/>
  <c r="CC21" i="4"/>
  <c r="CG21" i="4"/>
  <c r="CC24" i="4"/>
  <c r="CG24" i="4"/>
  <c r="CE24" i="4"/>
  <c r="CC23" i="4"/>
  <c r="CG23" i="4"/>
  <c r="CE23" i="4"/>
  <c r="CC19" i="4"/>
  <c r="CE19" i="4"/>
  <c r="CG19" i="4"/>
  <c r="CH20" i="4" l="1"/>
  <c r="CL20" i="4" s="1"/>
  <c r="CH24" i="4"/>
  <c r="CH23" i="4"/>
  <c r="CJ20" i="4"/>
  <c r="CH21" i="4"/>
  <c r="CH22" i="4"/>
  <c r="CH19" i="4"/>
  <c r="E20" i="4" l="1"/>
  <c r="G20" i="4" s="1"/>
  <c r="I20" i="4" s="1"/>
  <c r="J20" i="4" s="1"/>
  <c r="M20" i="4" s="1"/>
  <c r="CJ22" i="4"/>
  <c r="CL22" i="4"/>
  <c r="CL21" i="4"/>
  <c r="CJ21" i="4"/>
  <c r="CL24" i="4"/>
  <c r="CJ24" i="4"/>
  <c r="CJ23" i="4"/>
  <c r="CL23" i="4"/>
  <c r="CJ19" i="4"/>
  <c r="CL19" i="4"/>
  <c r="E21" i="4" l="1"/>
  <c r="G21" i="4" s="1"/>
  <c r="I21" i="4" s="1"/>
  <c r="J21" i="4" s="1"/>
  <c r="M21" i="4" s="1"/>
  <c r="E22" i="4"/>
  <c r="G22" i="4" s="1"/>
  <c r="I22" i="4" s="1"/>
  <c r="J22" i="4" s="1"/>
  <c r="M22" i="4" s="1"/>
  <c r="E24" i="4"/>
  <c r="G24" i="4" s="1"/>
  <c r="I24" i="4" s="1"/>
  <c r="J24" i="4" s="1"/>
  <c r="M24" i="4" s="1"/>
  <c r="E23" i="4"/>
  <c r="G23" i="4" s="1"/>
  <c r="I23" i="4" s="1"/>
  <c r="J23" i="4" s="1"/>
  <c r="M23" i="4" s="1"/>
  <c r="E19" i="4"/>
  <c r="G19" i="4" l="1"/>
  <c r="I19" i="4" s="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6" authorId="0" shapeId="0" xr:uid="{549EC185-5D45-4C6D-BC2D-C53F745300AC}">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<sst xmlns="http://schemas.openxmlformats.org/spreadsheetml/2006/main" count="337" uniqueCount="217">
  <si>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</si>
  <si>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</si>
  <si>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</si>
  <si>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</si>
  <si>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</si>
  <si>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</si>
  <si>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</si>
  <si>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</si>
  <si>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</si>
  <si>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</si>
  <si>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</si>
  <si>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</si>
  <si>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</si>
  <si>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</si>
  <si>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</si>
  <si>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</si>
  <si>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</si>
  <si>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</si>
  <si>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</si>
  <si>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</si>
  <si>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</si>
  <si>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</si>
  <si>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</si>
  <si>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</si>
  <si>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</si>
  <si>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</si>
  <si>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</si>
  <si>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</si>
  <si>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</si>
  <si>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</si>
  <si>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</si>
  <si>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</si>
  <si>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</si>
  <si>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</si>
  <si>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</si>
  <si>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</si>
  <si>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</si>
  <si>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</si>
  <si>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</si>
  <si>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</si>
  <si>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</si>
  <si>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</si>
  <si>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</si>
  <si>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</si>
  <si>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</si>
  <si>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</si>
  <si>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</si>
  <si>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</si>
  <si>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</si>
  <si>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</si>
  <si>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</si>
  <si>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</si>
  <si>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</si>
  <si>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</si>
  <si>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</si>
  <si>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</si>
  <si>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</si>
  <si>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</si>
  <si>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</si>
  <si>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</si>
  <si>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</si>
  <si>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</si>
  <si>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</si>
  <si>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</si>
  <si>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</si>
  <si>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</si>
  <si>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</si>
  <si>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</si>
  <si>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</si>
  <si>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</si>
  <si>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</si>
  <si>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</si>
  <si>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</si>
  <si>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</si>
  <si>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</si>
  <si>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</si>
  <si>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</si>
  <si>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</si>
  <si>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</si>
  <si>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</si>
  <si>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</si>
  <si>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</si>
  <si>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</si>
  <si>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</si>
  <si>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</si>
  <si>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</si>
  <si>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</si>
  <si>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</si>
  <si>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</si>
  <si>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</si>
  <si>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</si>
  <si>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</si>
  <si>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</si>
  <si>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</si>
  <si>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</si>
  <si>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</si>
  <si>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</si>
  <si>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</si>
  <si>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</si>
  <si>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</si>
  <si>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</si>
  <si>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</si>
  <si>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</si>
  <si>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</si>
  <si>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</si>
  <si>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</si>
  <si>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</si>
  <si>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</si>
  <si>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</si>
  <si>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</si>
  <si>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</si>
  <si>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</si>
  <si>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</si>
  <si>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</si>
  <si>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</si>
  <si>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</si>
  <si>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</si>
  <si>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</si>
  <si>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</si>
  <si>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</si>
  <si>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</si>
  <si>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</si>
  <si>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</si>
  <si>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</si>
  <si>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</si>
  <si>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</si>
  <si>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</si>
  <si>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</si>
  <si>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</si>
  <si>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</si>
  <si>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</si>
  <si>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</si>
  <si>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</si>
  <si>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</si>
  <si>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</si>
  <si>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</si>
  <si>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</si>
  <si>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</si>
  <si>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</si>
  <si>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 xml:space="preserve">Rate Contract for Supply of Covered Conductor of various sizes. </t>
  </si>
  <si>
    <t>TPCODL/CCG/23-24/1000000578</t>
  </si>
  <si>
    <t>Tata Power Odisha DISCOMs</t>
  </si>
  <si>
    <t xml:space="preserve">18/03/2024 [17:00 Hrs.] </t>
  </si>
  <si>
    <t xml:space="preserve">No. of bidders allowed to participate in RA process shall be: Total No. of bidders on whom tender would be split PLUS 2 more bidders.  </t>
  </si>
  <si>
    <t xml:space="preserve">Price will be fixed and FIRM during the contractual period. </t>
  </si>
  <si>
    <t xml:space="preserve">Bids shall remain valid for 180 days from the due date of submission of the bid. Notwithstanding clause above, CCG may solicit the Bidder’s consent to an extension of the Period of Bid Validity. The request and responses thereto shall be made in writing. </t>
  </si>
  <si>
    <t xml:space="preserve">Delivery Period shall be 60 Days from date of receipt of release order / CAT-A GTP approval, whichever is later.  </t>
  </si>
  <si>
    <t xml:space="preserve"> 100% payment within 90 days of submission of error-free Invoice complete in all respects. However, for MSME the payment cycle shall be 45 days. </t>
  </si>
  <si>
    <t>Supplier shall ensure that all the equipment covered under this specification shall be prepared for rail/road transport and be packed in such a manner so as to protect the equipment from damage in transit. The material used for packing shall be environmentally friendly. The bidder shall provide instructions regarding handling and storage precautions to be taken at site. The Conductor shall be wound on wooden/STEEL drums and packed in line with requirements of IS 10418- 1982. The ends of the Conductor shall be sealed by means of non-hygroscopic sealing material. Heat or cold Shrinkable end caps with sealant shall be used for effectively sealing the end terminals of the covered conductor. The inner diameter range of cap shall be such that it shall tightly fit to the covered conductors to prevent moisture ingress.</t>
  </si>
  <si>
    <t xml:space="preserve">Standard Packing length - 1000 (+/- 5%) as per PO terms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</si>
  <si>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</si>
  <si>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</si>
  <si>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</si>
  <si>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</si>
  <si>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</si>
  <si>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</si>
  <si>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</si>
  <si>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</si>
  <si>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</si>
  <si>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</si>
  <si>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</si>
  <si>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</si>
  <si>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</si>
  <si>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</si>
  <si>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</si>
  <si>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</si>
  <si>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</si>
  <si>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</si>
  <si>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</si>
  <si>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ENQ-12472-22-23</t>
  </si>
  <si>
    <t>FA2900029</t>
  </si>
  <si>
    <t>COVERED CONDUCTOR - 1 CORE X 55 SQ. MM. (AAAC) - 11 KV</t>
  </si>
  <si>
    <t>WOOD</t>
  </si>
  <si>
    <t>Alumimium Alloy</t>
  </si>
  <si>
    <t>Extruded Semiconductive</t>
  </si>
  <si>
    <t>KMS</t>
  </si>
  <si>
    <t>MD0100005</t>
  </si>
  <si>
    <t>DRUM - 36 X 14 X 23 X 2</t>
  </si>
  <si>
    <t>FA2900034</t>
  </si>
  <si>
    <t>COVERED CONDUCTOR - 1 CORE X 80 SQ. MM. (AAAC) - 11 KV</t>
  </si>
  <si>
    <t>MD0100085</t>
  </si>
  <si>
    <t>DRUM - 43 X 15 X 28 X 2.25</t>
  </si>
  <si>
    <t>FA2900008</t>
  </si>
  <si>
    <t>COVERED CONDUCTOR - 1 CORE X 99 SQ. MM. (AAAC) - 33 KV</t>
  </si>
  <si>
    <t>MD0100015</t>
  </si>
  <si>
    <t>DRUM - 48 X 20 X 28 X 2.25</t>
  </si>
  <si>
    <t>FA2900014</t>
  </si>
  <si>
    <t>COVERED CONDUCTOR - 1 CORE x 150 SQ. MM. (XLPE) (AAAC) - 33 KV</t>
  </si>
  <si>
    <t>MD0100099</t>
  </si>
  <si>
    <t>DRUM - 48 X 14 X 36 X 2.25 (LOMBU)</t>
  </si>
  <si>
    <t>FA2900032</t>
  </si>
  <si>
    <t>COVERED CONDUCTOR - 1 CORE X 232 SQ. MM. (AAAC) - 33 KV</t>
  </si>
  <si>
    <t>MD0100019</t>
  </si>
  <si>
    <t>DRUM - 54 X 24 X 32 X 3</t>
  </si>
  <si>
    <t>FA2900004</t>
  </si>
  <si>
    <t>COVERED CONDUCTOR - 1 CORE x 100 SQ. MM. (AAAC) - 11KV</t>
  </si>
  <si>
    <t>MD0100075</t>
  </si>
  <si>
    <t>DRUM - 42 X 15 X 23 X 2 (LOMBU)</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</si>
  <si>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</si>
  <si>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</si>
  <si>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</si>
  <si>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</si>
  <si>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</si>
  <si>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</si>
  <si>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</si>
  <si>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</si>
  <si>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</si>
  <si>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</si>
  <si>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DRUM WEIGHT</t>
  </si>
  <si>
    <t>CABLE WEIGHT KG/KM</t>
  </si>
  <si>
    <t>CABLE+DRUM</t>
  </si>
  <si>
    <t>SOMBHU SIR CONFIRMED OVERPHONE</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</si>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</sst>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80">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0" fontId="2"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43" fontId="0" fillId="0" borderId="1" xfId="0" applyNumberFormat="1" applyBorder="1" applyAlignment="1">
      <alignment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7"/>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row>
    <row r="2" spans="1:102" x14ac:dyDescent="0.25">
      <c r="A2" t="s">
        <v>169</v>
      </c>
      <c r="B2" s="54">
        <v>45366</v>
      </c>
      <c r="C2" t="s">
        <v>170</v>
      </c>
      <c r="D2" t="s">
        <v>171</v>
      </c>
      <c r="E2" t="s">
        <v>172</v>
      </c>
      <c r="J2" t="s">
        <v>173</v>
      </c>
      <c r="K2">
        <v>223</v>
      </c>
      <c r="R2" t="s">
        <v>174</v>
      </c>
      <c r="S2">
        <v>195</v>
      </c>
      <c r="V2" t="s">
        <v>90</v>
      </c>
      <c r="W2">
        <v>142</v>
      </c>
      <c r="AL2" t="s">
        <v>121</v>
      </c>
      <c r="AM2">
        <v>219</v>
      </c>
      <c r="BV2" t="s">
        <v>54</v>
      </c>
      <c r="BW2">
        <v>220</v>
      </c>
      <c r="BZ2">
        <v>2305.4</v>
      </c>
      <c r="CA2">
        <v>2305.4</v>
      </c>
      <c r="CH2">
        <v>2305.4</v>
      </c>
      <c r="CM2">
        <v>2305.4</v>
      </c>
      <c r="CO2">
        <v>2305.4</v>
      </c>
      <c r="CP2" s="55">
        <v>0.18</v>
      </c>
      <c r="CQ2">
        <v>414.97</v>
      </c>
      <c r="CR2">
        <v>2720.37</v>
      </c>
      <c r="CS2">
        <v>5</v>
      </c>
      <c r="CT2" t="s">
        <v>175</v>
      </c>
      <c r="CU2" s="56">
        <v>13602</v>
      </c>
      <c r="CV2" t="s">
        <v>176</v>
      </c>
      <c r="CW2" t="s">
        <v>177</v>
      </c>
      <c r="CX2">
        <v>1000</v>
      </c>
    </row>
    <row r="3" spans="1:102" x14ac:dyDescent="0.25">
      <c r="A3" t="s">
        <v>169</v>
      </c>
      <c r="B3" s="54">
        <v>45366</v>
      </c>
      <c r="C3" t="s">
        <v>178</v>
      </c>
      <c r="D3" t="s">
        <v>179</v>
      </c>
      <c r="E3" t="s">
        <v>172</v>
      </c>
      <c r="J3" t="s">
        <v>173</v>
      </c>
      <c r="K3">
        <v>223</v>
      </c>
      <c r="R3" t="s">
        <v>174</v>
      </c>
      <c r="S3">
        <v>195</v>
      </c>
      <c r="V3" t="s">
        <v>90</v>
      </c>
      <c r="W3">
        <v>142</v>
      </c>
      <c r="AL3" t="s">
        <v>121</v>
      </c>
      <c r="AM3">
        <v>219</v>
      </c>
      <c r="BV3" t="s">
        <v>54</v>
      </c>
      <c r="BW3">
        <v>220</v>
      </c>
      <c r="BZ3">
        <v>3257.88</v>
      </c>
      <c r="CA3">
        <v>3257.88</v>
      </c>
      <c r="CH3">
        <v>3257.88</v>
      </c>
      <c r="CM3">
        <v>3257.88</v>
      </c>
      <c r="CO3">
        <v>3257.88</v>
      </c>
      <c r="CP3" s="55">
        <v>0.18</v>
      </c>
      <c r="CQ3">
        <v>586.41999999999996</v>
      </c>
      <c r="CR3">
        <v>3844.3</v>
      </c>
      <c r="CS3">
        <v>6</v>
      </c>
      <c r="CT3" t="s">
        <v>175</v>
      </c>
      <c r="CU3" s="56">
        <v>23066</v>
      </c>
      <c r="CV3" t="s">
        <v>180</v>
      </c>
      <c r="CW3" t="s">
        <v>181</v>
      </c>
      <c r="CX3">
        <v>1000</v>
      </c>
    </row>
    <row r="4" spans="1:102" x14ac:dyDescent="0.25">
      <c r="A4" t="s">
        <v>169</v>
      </c>
      <c r="B4" s="54">
        <v>45366</v>
      </c>
      <c r="C4" t="s">
        <v>182</v>
      </c>
      <c r="D4" t="s">
        <v>183</v>
      </c>
      <c r="E4" t="s">
        <v>172</v>
      </c>
      <c r="J4" t="s">
        <v>173</v>
      </c>
      <c r="K4">
        <v>223</v>
      </c>
      <c r="R4" t="s">
        <v>174</v>
      </c>
      <c r="S4">
        <v>195</v>
      </c>
      <c r="V4" t="s">
        <v>90</v>
      </c>
      <c r="W4">
        <v>142</v>
      </c>
      <c r="AL4" t="s">
        <v>121</v>
      </c>
      <c r="AM4">
        <v>219</v>
      </c>
      <c r="BV4" t="s">
        <v>54</v>
      </c>
      <c r="BW4">
        <v>220</v>
      </c>
      <c r="BZ4">
        <v>3658.54</v>
      </c>
      <c r="CA4">
        <v>3658.54</v>
      </c>
      <c r="CH4">
        <v>3658.54</v>
      </c>
      <c r="CM4">
        <v>3658.54</v>
      </c>
      <c r="CO4">
        <v>3658.54</v>
      </c>
      <c r="CP4" s="55">
        <v>0.18</v>
      </c>
      <c r="CQ4">
        <v>658.54</v>
      </c>
      <c r="CR4">
        <v>4317.08</v>
      </c>
      <c r="CS4">
        <v>41</v>
      </c>
      <c r="CT4" t="s">
        <v>175</v>
      </c>
      <c r="CU4" s="56">
        <v>177000</v>
      </c>
      <c r="CV4" t="s">
        <v>184</v>
      </c>
      <c r="CW4" t="s">
        <v>185</v>
      </c>
      <c r="CX4">
        <v>1000</v>
      </c>
    </row>
    <row r="5" spans="1:102" x14ac:dyDescent="0.25">
      <c r="A5" t="s">
        <v>169</v>
      </c>
      <c r="B5" s="54">
        <v>45366</v>
      </c>
      <c r="C5" t="s">
        <v>186</v>
      </c>
      <c r="D5" t="s">
        <v>187</v>
      </c>
      <c r="E5" t="s">
        <v>172</v>
      </c>
      <c r="J5" t="s">
        <v>173</v>
      </c>
      <c r="K5">
        <v>223</v>
      </c>
      <c r="R5" t="s">
        <v>174</v>
      </c>
      <c r="S5">
        <v>195</v>
      </c>
      <c r="V5" t="s">
        <v>90</v>
      </c>
      <c r="W5">
        <v>142</v>
      </c>
      <c r="AL5" t="s">
        <v>121</v>
      </c>
      <c r="AM5">
        <v>219</v>
      </c>
      <c r="BV5" t="s">
        <v>54</v>
      </c>
      <c r="BW5">
        <v>220</v>
      </c>
      <c r="BZ5">
        <v>4716.6099999999997</v>
      </c>
      <c r="CA5">
        <v>4716.6099999999997</v>
      </c>
      <c r="CH5">
        <v>4716.6099999999997</v>
      </c>
      <c r="CM5">
        <v>4716.6099999999997</v>
      </c>
      <c r="CO5">
        <v>4716.6099999999997</v>
      </c>
      <c r="CP5" s="55">
        <v>0.18</v>
      </c>
      <c r="CQ5">
        <v>848.99</v>
      </c>
      <c r="CR5">
        <v>5565.6</v>
      </c>
      <c r="CS5">
        <v>119.467</v>
      </c>
      <c r="CT5" t="s">
        <v>175</v>
      </c>
      <c r="CU5" s="56">
        <v>664906</v>
      </c>
      <c r="CV5" t="s">
        <v>188</v>
      </c>
      <c r="CW5" t="s">
        <v>189</v>
      </c>
      <c r="CX5">
        <v>1000</v>
      </c>
    </row>
    <row r="6" spans="1:102" x14ac:dyDescent="0.25">
      <c r="A6" t="s">
        <v>169</v>
      </c>
      <c r="B6" s="54">
        <v>45366</v>
      </c>
      <c r="C6" t="s">
        <v>190</v>
      </c>
      <c r="D6" t="s">
        <v>191</v>
      </c>
      <c r="E6" t="s">
        <v>172</v>
      </c>
      <c r="J6" t="s">
        <v>173</v>
      </c>
      <c r="K6">
        <v>223</v>
      </c>
      <c r="R6" t="s">
        <v>174</v>
      </c>
      <c r="S6">
        <v>195</v>
      </c>
      <c r="V6" t="s">
        <v>90</v>
      </c>
      <c r="W6">
        <v>142</v>
      </c>
      <c r="AL6" t="s">
        <v>121</v>
      </c>
      <c r="AM6">
        <v>219</v>
      </c>
      <c r="BV6" t="s">
        <v>54</v>
      </c>
      <c r="BW6">
        <v>220</v>
      </c>
      <c r="BZ6">
        <v>6378.74</v>
      </c>
      <c r="CA6">
        <v>6378.74</v>
      </c>
      <c r="CH6">
        <v>6378.74</v>
      </c>
      <c r="CM6">
        <v>6378.74</v>
      </c>
      <c r="CO6">
        <v>6378.74</v>
      </c>
      <c r="CP6" s="55">
        <v>0.18</v>
      </c>
      <c r="CQ6">
        <v>1148.17</v>
      </c>
      <c r="CR6">
        <v>7526.91</v>
      </c>
      <c r="CS6">
        <v>150</v>
      </c>
      <c r="CT6" t="s">
        <v>175</v>
      </c>
      <c r="CU6" s="56">
        <v>1129037</v>
      </c>
      <c r="CV6" t="s">
        <v>192</v>
      </c>
      <c r="CW6" t="s">
        <v>193</v>
      </c>
      <c r="CX6">
        <v>1000</v>
      </c>
    </row>
    <row r="7" spans="1:102" x14ac:dyDescent="0.25">
      <c r="A7" t="s">
        <v>169</v>
      </c>
      <c r="B7" s="54">
        <v>45366</v>
      </c>
      <c r="C7" t="s">
        <v>194</v>
      </c>
      <c r="D7" t="s">
        <v>195</v>
      </c>
      <c r="E7" t="s">
        <v>172</v>
      </c>
      <c r="J7" t="s">
        <v>173</v>
      </c>
      <c r="K7">
        <v>223</v>
      </c>
      <c r="N7" t="s">
        <v>173</v>
      </c>
      <c r="O7">
        <v>223</v>
      </c>
      <c r="R7" t="s">
        <v>174</v>
      </c>
      <c r="S7">
        <v>195</v>
      </c>
      <c r="V7" t="s">
        <v>90</v>
      </c>
      <c r="W7">
        <v>142</v>
      </c>
      <c r="AL7" t="s">
        <v>121</v>
      </c>
      <c r="AM7">
        <v>219</v>
      </c>
      <c r="BV7" t="s">
        <v>54</v>
      </c>
      <c r="BW7">
        <v>220</v>
      </c>
      <c r="BZ7">
        <v>3542.03</v>
      </c>
      <c r="CA7">
        <v>3542.03</v>
      </c>
      <c r="CH7">
        <v>3542.03</v>
      </c>
      <c r="CM7">
        <v>3542.03</v>
      </c>
      <c r="CO7">
        <v>3542.03</v>
      </c>
      <c r="CP7" s="55">
        <v>0.18</v>
      </c>
      <c r="CQ7">
        <v>637.57000000000005</v>
      </c>
      <c r="CR7">
        <v>4179.6000000000004</v>
      </c>
      <c r="CS7">
        <v>321.17</v>
      </c>
      <c r="CT7" t="s">
        <v>175</v>
      </c>
      <c r="CU7" s="56">
        <v>1342361</v>
      </c>
      <c r="CV7" t="s">
        <v>196</v>
      </c>
      <c r="CW7" t="s">
        <v>197</v>
      </c>
      <c r="CX7">
        <v>1000</v>
      </c>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43"/>
  <sheetViews>
    <sheetView tabSelected="1" topLeftCell="A13" workbookViewId="0">
      <selection activeCell="I29" sqref="I29"/>
    </sheetView>
  </sheetViews>
  <sheetFormatPr defaultRowHeight="15" x14ac:dyDescent="0.25"/>
  <cols>
    <col min="1" max="1" width="15.140625" bestFit="1" customWidth="1"/>
    <col min="2" max="2" width="10.7109375" bestFit="1" customWidth="1"/>
    <col min="3" max="3" width="10.28515625" bestFit="1" customWidth="1"/>
    <col min="4" max="4" width="30.28515625" customWidth="1"/>
    <col min="5" max="5" width="13.85546875" style="4" bestFit="1" customWidth="1"/>
    <col min="6" max="6" width="9.140625" customWidth="1"/>
    <col min="7" max="7" width="11.7109375" customWidth="1"/>
    <col min="8" max="8" width="10.5703125" style="8" bestFit="1" customWidth="1"/>
    <col min="9" max="9" width="12.28515625" bestFit="1" customWidth="1"/>
    <col min="10" max="10" width="13.85546875" bestFit="1" customWidth="1"/>
    <col min="13" max="13" width="14.28515625" bestFit="1" customWidth="1"/>
    <col min="14" max="19" width="7.85546875" style="30" hidden="1" customWidth="1"/>
    <col min="20" max="20" width="7.85546875" style="30" customWidth="1"/>
    <col min="21" max="28" width="7.85546875" style="30" hidden="1" customWidth="1"/>
    <col min="29" max="29" width="7.85546875" style="30" customWidth="1"/>
    <col min="30" max="30" width="7.85546875" style="30" hidden="1" customWidth="1"/>
    <col min="31" max="31" width="7.85546875" style="30" customWidth="1"/>
    <col min="32" max="63" width="7.85546875" style="30" hidden="1" customWidth="1"/>
    <col min="64" max="64" width="7.85546875" style="30" customWidth="1"/>
    <col min="65" max="72" width="7.85546875" style="30" hidden="1" customWidth="1"/>
    <col min="73" max="74" width="7.85546875" style="30" customWidth="1"/>
    <col min="75" max="75" width="10.7109375" style="30" bestFit="1" customWidth="1"/>
    <col min="76" max="76" width="12.5703125" style="30" customWidth="1"/>
    <col min="77" max="77" width="12.140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65" t="s">
        <v>141</v>
      </c>
      <c r="B2" s="66"/>
      <c r="C2" s="66"/>
      <c r="D2" s="66"/>
      <c r="E2" s="66"/>
      <c r="F2" s="66"/>
      <c r="G2" s="66"/>
      <c r="H2" s="66"/>
      <c r="I2" s="66"/>
      <c r="J2" s="66"/>
      <c r="K2" s="66"/>
      <c r="L2" s="66"/>
      <c r="M2" s="66"/>
      <c r="N2" s="66"/>
      <c r="O2" s="66"/>
      <c r="P2" s="66"/>
      <c r="Q2" s="66"/>
      <c r="R2" s="67"/>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75" t="s">
        <v>140</v>
      </c>
      <c r="C4" s="75"/>
      <c r="D4" s="75"/>
      <c r="E4" s="75"/>
      <c r="F4" s="75"/>
      <c r="G4" s="75"/>
      <c r="H4" s="75"/>
      <c r="I4" s="75"/>
      <c r="J4" s="75"/>
      <c r="K4" s="75"/>
      <c r="L4" s="75"/>
      <c r="M4" s="75"/>
      <c r="N4" s="75"/>
      <c r="O4" s="75"/>
      <c r="P4" s="75"/>
      <c r="Q4" s="75"/>
      <c r="R4" s="75"/>
      <c r="S4"/>
    </row>
    <row r="5" spans="1:89" s="44" customFormat="1" ht="34.5" customHeight="1" x14ac:dyDescent="0.25">
      <c r="A5" s="45" t="s">
        <v>126</v>
      </c>
      <c r="B5" s="75" t="s">
        <v>139</v>
      </c>
      <c r="C5" s="75"/>
      <c r="D5" s="75"/>
      <c r="E5" s="75"/>
      <c r="F5" s="75"/>
      <c r="G5" s="75"/>
      <c r="H5" s="75"/>
      <c r="I5" s="75"/>
      <c r="J5" s="75"/>
      <c r="K5" s="75"/>
      <c r="L5" s="75"/>
      <c r="M5" s="75"/>
      <c r="N5" s="75"/>
      <c r="O5" s="75"/>
      <c r="P5" s="75"/>
      <c r="Q5" s="75"/>
      <c r="R5" s="75"/>
      <c r="S5"/>
    </row>
    <row r="6" spans="1:89" s="44" customFormat="1" ht="48" customHeight="1" x14ac:dyDescent="0.25">
      <c r="A6" s="46" t="s">
        <v>127</v>
      </c>
      <c r="B6" s="76" t="s">
        <v>142</v>
      </c>
      <c r="C6" s="75"/>
      <c r="D6" s="75"/>
      <c r="E6" s="75"/>
      <c r="F6" s="75"/>
      <c r="G6" s="75"/>
      <c r="H6" s="75"/>
      <c r="I6" s="75"/>
      <c r="J6" s="75"/>
      <c r="K6" s="75"/>
      <c r="L6" s="75"/>
      <c r="M6" s="75"/>
      <c r="N6" s="75"/>
      <c r="O6" s="75"/>
      <c r="P6" s="75"/>
      <c r="Q6" s="75"/>
      <c r="R6" s="75"/>
      <c r="S6"/>
    </row>
    <row r="7" spans="1:89" s="44" customFormat="1" ht="30" x14ac:dyDescent="0.25">
      <c r="A7" s="46" t="s">
        <v>124</v>
      </c>
      <c r="B7" s="76" t="s">
        <v>143</v>
      </c>
      <c r="C7" s="75"/>
      <c r="D7" s="75"/>
      <c r="E7" s="75"/>
      <c r="F7" s="75"/>
      <c r="G7" s="75"/>
      <c r="H7" s="75"/>
      <c r="I7" s="75"/>
      <c r="J7" s="75"/>
      <c r="K7" s="75"/>
      <c r="L7" s="75"/>
      <c r="M7" s="75"/>
      <c r="N7" s="75"/>
      <c r="O7" s="75"/>
      <c r="P7" s="75"/>
      <c r="Q7" s="75"/>
      <c r="R7" s="75"/>
      <c r="S7"/>
    </row>
    <row r="8" spans="1:89" s="44" customFormat="1" ht="28.5" customHeight="1" x14ac:dyDescent="0.25">
      <c r="A8" s="46" t="s">
        <v>128</v>
      </c>
      <c r="B8" s="76" t="s">
        <v>144</v>
      </c>
      <c r="C8" s="76"/>
      <c r="D8" s="76"/>
      <c r="E8" s="76"/>
      <c r="F8" s="76"/>
      <c r="G8" s="76"/>
      <c r="H8" s="76"/>
      <c r="I8" s="76"/>
      <c r="J8" s="76"/>
      <c r="K8" s="76"/>
      <c r="L8" s="76"/>
      <c r="M8" s="76"/>
      <c r="N8" s="76"/>
      <c r="O8" s="76"/>
      <c r="P8" s="76"/>
      <c r="Q8" s="76"/>
      <c r="R8" s="76"/>
      <c r="S8"/>
    </row>
    <row r="9" spans="1:89" s="44" customFormat="1" ht="39.75" customHeight="1" x14ac:dyDescent="0.25">
      <c r="A9" s="46" t="s">
        <v>129</v>
      </c>
      <c r="B9" s="77" t="s">
        <v>145</v>
      </c>
      <c r="C9" s="78"/>
      <c r="D9" s="78"/>
      <c r="E9" s="78"/>
      <c r="F9" s="78"/>
      <c r="G9" s="78"/>
      <c r="H9" s="78"/>
      <c r="I9" s="78"/>
      <c r="J9" s="78"/>
      <c r="K9" s="78"/>
      <c r="L9" s="78"/>
      <c r="M9" s="78"/>
      <c r="N9" s="78"/>
      <c r="O9" s="78"/>
      <c r="P9" s="78"/>
      <c r="Q9" s="78"/>
      <c r="R9" s="79"/>
    </row>
    <row r="10" spans="1:89" s="44" customFormat="1" ht="37.5" customHeight="1" x14ac:dyDescent="0.25">
      <c r="A10" s="46" t="s">
        <v>130</v>
      </c>
      <c r="B10" s="76" t="s">
        <v>146</v>
      </c>
      <c r="C10" s="76"/>
      <c r="D10" s="76"/>
      <c r="E10" s="76"/>
      <c r="F10" s="76"/>
      <c r="G10" s="76"/>
      <c r="H10" s="76"/>
      <c r="I10" s="76"/>
      <c r="J10" s="76"/>
      <c r="K10" s="76"/>
      <c r="L10" s="76"/>
      <c r="M10" s="76"/>
      <c r="N10" s="76"/>
      <c r="O10" s="76"/>
      <c r="P10" s="76"/>
      <c r="Q10" s="76"/>
      <c r="R10" s="76"/>
      <c r="S10"/>
    </row>
    <row r="11" spans="1:89" s="44" customFormat="1" ht="33.75" customHeight="1" x14ac:dyDescent="0.25">
      <c r="A11" s="46" t="s">
        <v>131</v>
      </c>
      <c r="B11" s="71" t="s">
        <v>147</v>
      </c>
      <c r="C11" s="72"/>
      <c r="D11" s="72"/>
      <c r="E11" s="72"/>
      <c r="F11" s="72"/>
      <c r="G11" s="72"/>
      <c r="H11" s="72"/>
      <c r="I11" s="72"/>
      <c r="J11" s="72"/>
      <c r="K11" s="72"/>
      <c r="L11" s="72"/>
      <c r="M11" s="72"/>
      <c r="N11" s="72"/>
      <c r="O11" s="72"/>
      <c r="P11" s="72"/>
      <c r="Q11" s="72"/>
      <c r="R11" s="73"/>
      <c r="S11"/>
    </row>
    <row r="12" spans="1:89" s="44" customFormat="1" ht="30" x14ac:dyDescent="0.25">
      <c r="A12" s="49" t="s">
        <v>132</v>
      </c>
      <c r="B12" s="74" t="s">
        <v>149</v>
      </c>
      <c r="C12" s="74"/>
      <c r="D12" s="74"/>
      <c r="E12" s="74"/>
      <c r="F12" s="74"/>
      <c r="G12" s="74"/>
      <c r="H12" s="74"/>
      <c r="I12" s="74"/>
      <c r="J12" s="74"/>
      <c r="K12" s="74"/>
      <c r="L12" s="74"/>
      <c r="M12" s="74"/>
      <c r="N12" s="74"/>
      <c r="O12" s="74"/>
      <c r="P12" s="74"/>
      <c r="Q12" s="74"/>
      <c r="R12" s="74"/>
    </row>
    <row r="13" spans="1:89" s="44" customFormat="1" ht="60.75" customHeight="1" x14ac:dyDescent="0.25">
      <c r="A13" s="49" t="s">
        <v>133</v>
      </c>
      <c r="B13" s="74" t="s">
        <v>148</v>
      </c>
      <c r="C13" s="74"/>
      <c r="D13" s="74"/>
      <c r="E13" s="74"/>
      <c r="F13" s="74"/>
      <c r="G13" s="74"/>
      <c r="H13" s="74"/>
      <c r="I13" s="74"/>
      <c r="J13" s="74"/>
      <c r="K13" s="74"/>
      <c r="L13" s="74"/>
      <c r="M13" s="74"/>
      <c r="N13" s="74"/>
      <c r="O13" s="74"/>
      <c r="P13" s="74"/>
      <c r="Q13" s="74"/>
      <c r="R13" s="74"/>
    </row>
    <row r="14" spans="1:89" s="44" customFormat="1" ht="30" x14ac:dyDescent="0.25">
      <c r="A14" s="50" t="s">
        <v>134</v>
      </c>
      <c r="B14" s="74"/>
      <c r="C14" s="74"/>
      <c r="D14" s="74"/>
      <c r="E14" s="74"/>
      <c r="F14" s="74"/>
      <c r="G14" s="74"/>
      <c r="H14" s="74"/>
      <c r="I14" s="74"/>
      <c r="J14" s="74"/>
      <c r="K14" s="74"/>
      <c r="L14" s="74"/>
      <c r="M14" s="74"/>
      <c r="N14" s="74"/>
      <c r="O14" s="74"/>
      <c r="P14" s="74"/>
      <c r="Q14" s="74"/>
      <c r="R14" s="74"/>
    </row>
    <row r="16" spans="1:89" s="37" customFormat="1" ht="28.9" customHeight="1" x14ac:dyDescent="0.25">
      <c r="E16" s="42"/>
      <c r="H16" s="43"/>
      <c r="N16" s="70" t="str">
        <f>Sheet1!J1</f>
        <v>Conductor</v>
      </c>
      <c r="O16" s="70"/>
      <c r="P16" s="70"/>
      <c r="Q16" s="70"/>
      <c r="R16" s="70"/>
      <c r="S16" s="70" t="s">
        <v>9</v>
      </c>
      <c r="T16" s="70"/>
      <c r="U16" s="70" t="s">
        <v>3</v>
      </c>
      <c r="V16" s="70"/>
      <c r="W16" s="70"/>
      <c r="X16" s="70"/>
      <c r="Y16" s="70"/>
      <c r="Z16" s="70"/>
      <c r="AA16" s="70"/>
      <c r="AB16" s="70"/>
      <c r="AC16" s="70" t="s">
        <v>12</v>
      </c>
      <c r="AD16" s="70"/>
      <c r="AE16" s="70" t="s">
        <v>15</v>
      </c>
      <c r="AF16" s="70"/>
      <c r="AG16" s="70"/>
      <c r="AH16" s="70"/>
      <c r="AI16" s="70"/>
      <c r="AJ16" s="70"/>
      <c r="AK16" s="10" t="s">
        <v>18</v>
      </c>
      <c r="AL16" s="68" t="s">
        <v>21</v>
      </c>
      <c r="AM16" s="69"/>
      <c r="AN16" s="69"/>
      <c r="AO16" s="69"/>
      <c r="AP16" s="69"/>
      <c r="AQ16" s="69"/>
      <c r="AR16" s="69"/>
      <c r="AS16" s="70" t="s">
        <v>24</v>
      </c>
      <c r="AT16" s="70"/>
      <c r="AU16" s="70"/>
      <c r="AV16" s="70"/>
      <c r="AW16" s="70"/>
      <c r="AX16" s="70"/>
      <c r="AY16" s="70"/>
      <c r="AZ16" s="70"/>
      <c r="BA16" s="70"/>
      <c r="BB16" s="70"/>
      <c r="BC16" s="70" t="s">
        <v>27</v>
      </c>
      <c r="BD16" s="70"/>
      <c r="BE16" s="70"/>
      <c r="BF16" s="70"/>
      <c r="BG16" s="70"/>
      <c r="BH16" s="70"/>
      <c r="BI16" s="70"/>
      <c r="BJ16" s="70"/>
      <c r="BK16" s="70"/>
      <c r="BL16" s="70"/>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3" t="str">
        <f>Sheet1!CV1</f>
        <v>DRUM CODE</v>
      </c>
      <c r="BX17" s="53" t="str">
        <f>Sheet1!CW1</f>
        <v>DRUM SIZE (FxbXtx Ft)</v>
      </c>
      <c r="BY17" s="53"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f>+IFERROR(VLOOKUP($N$17,Sheet1!J:L,2,0),0)</f>
        <v>0</v>
      </c>
      <c r="O18" s="32"/>
      <c r="P18" s="32">
        <f>+IFERROR(VLOOKUP($P$17,Sheet1!J:M,2,0),0)</f>
        <v>0</v>
      </c>
      <c r="Q18" s="32">
        <f>+IFERROR(VLOOKUP($Q$17,Sheet1!J:M,2,0),0)</f>
        <v>0</v>
      </c>
      <c r="R18" s="32">
        <f>+IFERROR(VLOOKUP($R$17,Sheet1!J:M,2,0),0)</f>
        <v>0</v>
      </c>
      <c r="S18" s="32">
        <f>+IFERROR(VLOOKUP($S$17,Sheet1!N:Q,2,0),0)</f>
        <v>0</v>
      </c>
      <c r="T18" s="32">
        <f>+IFERROR(VLOOKUP($T$17,Sheet1!N:O,2,0),0)</f>
        <v>223</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195</v>
      </c>
      <c r="AD18" s="33">
        <f>+IFERROR(VLOOKUP($AD$17,Sheet1!R:U,2,0),0)</f>
        <v>0</v>
      </c>
      <c r="AE18" s="33">
        <f>+IFERROR(VLOOKUP($AE$17,Sheet1!V:Y,2,0),0)</f>
        <v>142</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219</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220</v>
      </c>
      <c r="BV18" s="52"/>
      <c r="BW18" s="52"/>
      <c r="BX18" s="52"/>
      <c r="BY18" s="52"/>
      <c r="CD18" s="5"/>
      <c r="CE18" s="5"/>
      <c r="CF18" s="5"/>
      <c r="CG18" s="5"/>
      <c r="CH18" s="5"/>
      <c r="CI18" s="5"/>
      <c r="CJ18" s="5"/>
      <c r="CK18" s="5"/>
      <c r="CL18" s="5"/>
    </row>
    <row r="19" spans="1:90" ht="30" x14ac:dyDescent="0.25">
      <c r="A19" s="1" t="str">
        <f>Sheet1!A2</f>
        <v>ENQ-12472-22-23</v>
      </c>
      <c r="B19" s="51">
        <f>Sheet1!B2</f>
        <v>45366</v>
      </c>
      <c r="C19" s="1" t="str">
        <f>Sheet1!C2</f>
        <v>FA2900029</v>
      </c>
      <c r="D19" s="1" t="str">
        <f>Sheet1!D2</f>
        <v>COVERED CONDUCTOR - 1 CORE X 55 SQ. MM. (AAAC) - 11 KV</v>
      </c>
      <c r="E19" s="3">
        <f t="shared" ref="E19:E24" si="0">CH19+CJ19+CL19</f>
        <v>96194.134399999981</v>
      </c>
      <c r="F19" s="64">
        <f>ROUNDUP(M27,0)</f>
        <v>5400</v>
      </c>
      <c r="G19" s="9">
        <f t="shared" ref="G19:G24" si="1">E19+F19</f>
        <v>101594.13439999998</v>
      </c>
      <c r="H19" s="7">
        <f>Sheet1!CP2</f>
        <v>0.18</v>
      </c>
      <c r="I19" s="9">
        <f t="shared" ref="I19:I24" si="2">G19*H19</f>
        <v>18286.944191999995</v>
      </c>
      <c r="J19" s="9">
        <f t="shared" ref="J19:J24" si="3">G19+I19</f>
        <v>119881.07859199998</v>
      </c>
      <c r="K19" s="1">
        <f>Sheet1!CS2</f>
        <v>5</v>
      </c>
      <c r="L19" s="1" t="str">
        <f>Sheet1!CT2</f>
        <v>KMS</v>
      </c>
      <c r="M19" s="3">
        <f t="shared" ref="M19:M24" si="4">J19*K19</f>
        <v>599405.39295999985</v>
      </c>
      <c r="N19" s="2">
        <f>+IFERROR(VLOOKUP($N$17,Sheet1!J2:L2,3,0),0)</f>
        <v>0</v>
      </c>
      <c r="O19" s="2">
        <f>+IFERROR(VLOOKUP($O$17,Sheet1!J2:L2,3,0),0)</f>
        <v>0</v>
      </c>
      <c r="P19" s="2">
        <f>+IFERROR(VLOOKUP($P$17,Sheet1!J2:M2,3,0),0)</f>
        <v>0</v>
      </c>
      <c r="Q19" s="2">
        <f>+IFERROR(VLOOKUP($Q$17,Sheet1!J2:M2,3,0),0)</f>
        <v>0</v>
      </c>
      <c r="R19" s="2">
        <f>+IFERROR(VLOOKUP($R$17,Sheet1!J2:M2,3,0),0)</f>
        <v>0</v>
      </c>
      <c r="S19" s="2">
        <f>+IFERROR(VLOOKUP($S$17,Sheet1!N2:Q2,3,0),0)</f>
        <v>0</v>
      </c>
      <c r="T19" s="62">
        <v>150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62">
        <v>35</v>
      </c>
      <c r="AD19" s="15">
        <f>+IFERROR(VLOOKUP($AD$17,Sheet1!R2:U2,2,0),0)</f>
        <v>0</v>
      </c>
      <c r="AE19" s="62">
        <v>45</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63">
        <v>63</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63">
        <v>15</v>
      </c>
      <c r="BV19" s="63" t="str">
        <f>Sheet1!E2</f>
        <v>WOOD</v>
      </c>
      <c r="BW19" s="15" t="str">
        <f>Sheet1!CV2</f>
        <v>MD0100005</v>
      </c>
      <c r="BX19" s="15" t="str">
        <f>Sheet1!CW2</f>
        <v>DRUM - 36 X 14 X 23 X 2</v>
      </c>
      <c r="BY19" s="63">
        <f>Sheet1!CX2</f>
        <v>1000</v>
      </c>
      <c r="BZ19" s="3">
        <f>Sheet1!BZ2</f>
        <v>2305.4</v>
      </c>
      <c r="CA19" s="3">
        <f t="shared" ref="CA19:CA24" si="5">SUMPRODUCT($N$18:$BU$18,N19:BU19)+BZ19</f>
        <v>66067.399999999994</v>
      </c>
      <c r="CB19" s="27">
        <f>Sheet1!CB2</f>
        <v>0</v>
      </c>
      <c r="CC19" s="3">
        <f t="shared" ref="CC19:CC24" si="6">CA19*CB19</f>
        <v>0</v>
      </c>
      <c r="CD19" s="48">
        <v>0.4</v>
      </c>
      <c r="CE19" s="3">
        <f t="shared" ref="CE19:CE24" si="7">CA19*CD19</f>
        <v>26426.959999999999</v>
      </c>
      <c r="CF19" s="48">
        <v>0</v>
      </c>
      <c r="CG19" s="3">
        <f t="shared" ref="CG19:CG24" si="8">CA19*CF19</f>
        <v>0</v>
      </c>
      <c r="CH19" s="3">
        <f t="shared" ref="CH19:CH24" si="9">CA19+CC19+CE19+CG19</f>
        <v>92494.359999999986</v>
      </c>
      <c r="CI19" s="48">
        <v>0.03</v>
      </c>
      <c r="CJ19" s="1">
        <f t="shared" ref="CJ19:CJ24" si="10">CH19*CI19</f>
        <v>2774.8307999999993</v>
      </c>
      <c r="CK19" s="48">
        <v>0.01</v>
      </c>
      <c r="CL19" s="1">
        <f t="shared" ref="CL19:CL24" si="11">CH19*CK19</f>
        <v>924.94359999999983</v>
      </c>
    </row>
    <row r="20" spans="1:90" ht="30" x14ac:dyDescent="0.25">
      <c r="A20" s="1" t="str">
        <f>Sheet1!A3</f>
        <v>ENQ-12472-22-23</v>
      </c>
      <c r="B20" s="51">
        <f>Sheet1!B3</f>
        <v>45366</v>
      </c>
      <c r="C20" s="1" t="str">
        <f>Sheet1!C3</f>
        <v>FA2900034</v>
      </c>
      <c r="D20" s="1" t="str">
        <f>Sheet1!D3</f>
        <v>COVERED CONDUCTOR - 1 CORE X 80 SQ. MM. (AAAC) - 11 KV</v>
      </c>
      <c r="E20" s="3">
        <f t="shared" si="0"/>
        <v>125859.37728</v>
      </c>
      <c r="F20" s="64">
        <f t="shared" ref="F20:F24" si="12">ROUNDUP(M28,0)</f>
        <v>4500</v>
      </c>
      <c r="G20" s="9">
        <f t="shared" si="1"/>
        <v>130359.37728</v>
      </c>
      <c r="H20" s="7">
        <f>Sheet1!CP3</f>
        <v>0.18</v>
      </c>
      <c r="I20" s="9">
        <f t="shared" si="2"/>
        <v>23464.6879104</v>
      </c>
      <c r="J20" s="9">
        <f t="shared" si="3"/>
        <v>153824.0651904</v>
      </c>
      <c r="K20" s="1">
        <f>Sheet1!CS3</f>
        <v>6</v>
      </c>
      <c r="L20" s="1" t="str">
        <f>Sheet1!CT3</f>
        <v>KMS</v>
      </c>
      <c r="M20" s="3">
        <f t="shared" si="4"/>
        <v>922944.39114239998</v>
      </c>
      <c r="N20" s="2">
        <f>+IFERROR(VLOOKUP($N$17,Sheet1!J3:L3,3,0),0)</f>
        <v>0</v>
      </c>
      <c r="O20" s="2">
        <f>+IFERROR(VLOOKUP($O$17,Sheet1!J3:L3,3,0),0)</f>
        <v>0</v>
      </c>
      <c r="P20" s="2">
        <f>+IFERROR(VLOOKUP($P$17,Sheet1!J3:M3,3,0),0)</f>
        <v>0</v>
      </c>
      <c r="Q20" s="2">
        <f>+IFERROR(VLOOKUP($Q$17,Sheet1!J3:M3,3,0),0)</f>
        <v>0</v>
      </c>
      <c r="R20" s="2">
        <f>+IFERROR(VLOOKUP($R$17,Sheet1!J3:M3,3,0),0)</f>
        <v>0</v>
      </c>
      <c r="S20" s="2">
        <f>+IFERROR(VLOOKUP($S$17,Sheet1!N3:Q3,3,0),0)</f>
        <v>0</v>
      </c>
      <c r="T20" s="62">
        <v>219</v>
      </c>
      <c r="U20" s="2">
        <f>+IFERROR(VLOOKUP($U$17,Sheet1!F3:I3,3,0),0)</f>
        <v>0</v>
      </c>
      <c r="V20" s="2">
        <f>+IFERROR(VLOOKUP($V$17,Sheet1!F3:I3,3,0),0)</f>
        <v>0</v>
      </c>
      <c r="W20" s="2">
        <f>+IFERROR(VLOOKUP($W$17,Sheet1!F3:I3,3,0),0)</f>
        <v>0</v>
      </c>
      <c r="X20" s="2">
        <f>+IFERROR(VLOOKUP($X$17,Sheet1!F3:I3,3,0),0)</f>
        <v>0</v>
      </c>
      <c r="Y20" s="2">
        <f>+IFERROR(VLOOKUP($Y$17,Sheet1!F3:I3,3,0),0)</f>
        <v>0</v>
      </c>
      <c r="Z20" s="2">
        <f>+IFERROR(VLOOKUP($Z$17,Sheet1!F3:I3,3,0),0)</f>
        <v>0</v>
      </c>
      <c r="AA20" s="2">
        <f>+IFERROR(VLOOKUP($AA$17,Sheet1!F3:I3,3,0),0)</f>
        <v>0</v>
      </c>
      <c r="AB20" s="2">
        <f>+IFERROR(VLOOKUP($AB$17,Sheet1!F3:I3,3,0),0)</f>
        <v>0</v>
      </c>
      <c r="AC20" s="62">
        <v>42</v>
      </c>
      <c r="AD20" s="15">
        <f>+IFERROR(VLOOKUP($AD$17,Sheet1!R3:U3,2,0),0)</f>
        <v>0</v>
      </c>
      <c r="AE20" s="62">
        <v>53</v>
      </c>
      <c r="AF20" s="15">
        <f>+IFERROR(VLOOKUP($AF$17,Sheet1!V3:Y3,3,0),0)</f>
        <v>0</v>
      </c>
      <c r="AG20" s="15">
        <f>+IFERROR(VLOOKUP($AG$17,Sheet1!V3:Y3,3,0),0)</f>
        <v>0</v>
      </c>
      <c r="AH20" s="15">
        <f>+IFERROR(VLOOKUP($AH$17,Sheet1!V3:Y3,3,0),0)</f>
        <v>0</v>
      </c>
      <c r="AI20" s="15">
        <f>+IFERROR(VLOOKUP($AI$17,Sheet1!V3:Y3,3,0),0)</f>
        <v>0</v>
      </c>
      <c r="AJ20" s="15">
        <f>+IFERROR(VLOOKUP($AJ$17,Sheet1!V3:Y3,3,0),0)</f>
        <v>0</v>
      </c>
      <c r="AK20" s="15">
        <f>+IFERROR(VLOOKUP($AK$17,Sheet1!Z3:AB3,3,0),0)</f>
        <v>0</v>
      </c>
      <c r="AL20" s="15">
        <f>+IFERROR(VLOOKUP($AL$17,Sheet1!AD3:AG3,3,0),0)</f>
        <v>0</v>
      </c>
      <c r="AM20" s="15">
        <f>+IFERROR(VLOOKUP($AM$17,Sheet1!AD3:AG3,3,0),0)</f>
        <v>0</v>
      </c>
      <c r="AN20" s="15">
        <f>+IFERROR(VLOOKUP($AN$17,Sheet1!AD3:AG3,3,0),0)</f>
        <v>0</v>
      </c>
      <c r="AO20" s="15">
        <f>+IFERROR(VLOOKUP($AO$17,Sheet1!AD3:AG3,3,0),0)</f>
        <v>0</v>
      </c>
      <c r="AP20" s="15">
        <f>+IFERROR(VLOOKUP($AP$17,Sheet1!AD3:AG3,3,0),0)</f>
        <v>0</v>
      </c>
      <c r="AQ20" s="15">
        <f>+IFERROR(VLOOKUP($AQ$17,Sheet1!AD3:AG3,3,0),0)</f>
        <v>0</v>
      </c>
      <c r="AR20" s="15">
        <f>+IFERROR(VLOOKUP($AR$17,Sheet1!AD3:AG3,3,0),0)</f>
        <v>0</v>
      </c>
      <c r="AS20" s="15">
        <f>+IFERROR(VLOOKUP($AS$17,Sheet1!AH3:AK3,3,0),0)</f>
        <v>0</v>
      </c>
      <c r="AT20" s="15">
        <f>+IFERROR(VLOOKUP($AT$17,Sheet1!AH3:AK3,3,0),0)</f>
        <v>0</v>
      </c>
      <c r="AU20" s="15">
        <f>+IFERROR(VLOOKUP($AU$17,Sheet1!AH3:AK3,3,0),0)</f>
        <v>0</v>
      </c>
      <c r="AV20" s="15">
        <f>+IFERROR(VLOOKUP($AV$17,Sheet1!AH3:AK3,3,0),0)</f>
        <v>0</v>
      </c>
      <c r="AW20" s="15">
        <f>+IFERROR(VLOOKUP($AW$17,Sheet1!AH3:AK3,3,0),0)</f>
        <v>0</v>
      </c>
      <c r="AX20" s="15">
        <f>+IFERROR(VLOOKUP($AX$17,Sheet1!AH3:AK3,3,0),0)</f>
        <v>0</v>
      </c>
      <c r="AY20" s="15">
        <f>+IFERROR(VLOOKUP($AY$17,Sheet1!AH3:AK3,3,0),0)</f>
        <v>0</v>
      </c>
      <c r="AZ20" s="15">
        <f>+IFERROR(VLOOKUP($AZ$17,Sheet1!AH3:AK3,3,0),0)</f>
        <v>0</v>
      </c>
      <c r="BA20" s="15">
        <f>+IFERROR(VLOOKUP($BA$17,Sheet1!AH3:AK3,3,0),0)</f>
        <v>0</v>
      </c>
      <c r="BB20" s="15">
        <f>+IFERROR(VLOOKUP($BB$17,Sheet1!AH3:AK3,3,0),0)</f>
        <v>0</v>
      </c>
      <c r="BC20" s="15">
        <f>+IFERROR(VLOOKUP($BC$17,Sheet1!AL3:AO3,3,0),0)</f>
        <v>0</v>
      </c>
      <c r="BD20" s="15">
        <f>+IFERROR(VLOOKUP($BD$17,Sheet1!AL3:AO3,3,0),0)</f>
        <v>0</v>
      </c>
      <c r="BE20" s="15">
        <f>+IFERROR(VLOOKUP($BE$17,Sheet1!AL3:AO3,3,0),0)</f>
        <v>0</v>
      </c>
      <c r="BF20" s="15">
        <f>+IFERROR(VLOOKUP($BF$17,Sheet1!AL3:AO3,3,0),0)</f>
        <v>0</v>
      </c>
      <c r="BG20" s="15">
        <f>+IFERROR(VLOOKUP($BG$17,Sheet1!AL3:AO3,3,0),0)</f>
        <v>0</v>
      </c>
      <c r="BH20" s="15">
        <f>+IFERROR(VLOOKUP($BH$17,Sheet1!AL3:AO3,3,0),0)</f>
        <v>0</v>
      </c>
      <c r="BI20" s="15">
        <f>+IFERROR(VLOOKUP($BI$17,Sheet1!AL3:AO3,3,0),0)</f>
        <v>0</v>
      </c>
      <c r="BJ20" s="15">
        <f>+IFERROR(VLOOKUP($BJ$17,Sheet1!AL3:AO3,3,0),0)</f>
        <v>0</v>
      </c>
      <c r="BK20" s="15">
        <f>+IFERROR(VLOOKUP($BK$17,Sheet1!AL3:AO3,3,0),0)</f>
        <v>0</v>
      </c>
      <c r="BL20" s="63">
        <v>69</v>
      </c>
      <c r="BM20" s="15">
        <f>+IFERROR(VLOOKUP($BM$17,Sheet1!AP3:AS3,3,0),0)</f>
        <v>0</v>
      </c>
      <c r="BN20" s="15">
        <f>+IFERROR(VLOOKUP($BN$17,Sheet1!AT3:AW3,3,0),0)</f>
        <v>0</v>
      </c>
      <c r="BO20" s="15">
        <f>+IFERROR(VLOOKUP($BO$17,Sheet1!AX3:BA3,3,0),0)</f>
        <v>0</v>
      </c>
      <c r="BP20" s="15">
        <f>+IFERROR(VLOOKUP($BP$17,Sheet1!BB3:BE3,3,0),0)</f>
        <v>0</v>
      </c>
      <c r="BQ20" s="15">
        <f>+IFERROR(VLOOKUP($BQ$17,Sheet1!BF3:BI3,3,0),0)</f>
        <v>0</v>
      </c>
      <c r="BR20" s="15">
        <f>+IFERROR(VLOOKUP($BR$17,Sheet1!BJ3:BM3,3,0),0)</f>
        <v>0</v>
      </c>
      <c r="BS20" s="15">
        <f>+IFERROR(VLOOKUP($BS$17,Sheet1!BN3:BQ3,3,0),0)</f>
        <v>0</v>
      </c>
      <c r="BT20" s="15">
        <f>+IFERROR(VLOOKUP($BT$17,Sheet1!BR3:BU3,3,0),0)</f>
        <v>0</v>
      </c>
      <c r="BU20" s="63">
        <v>16</v>
      </c>
      <c r="BV20" s="63" t="str">
        <f>Sheet1!E3</f>
        <v>WOOD</v>
      </c>
      <c r="BW20" s="15" t="str">
        <f>Sheet1!CV3</f>
        <v>MD0100085</v>
      </c>
      <c r="BX20" s="15" t="str">
        <f>Sheet1!CW3</f>
        <v>DRUM - 43 X 15 X 28 X 2.25</v>
      </c>
      <c r="BY20" s="63">
        <f>Sheet1!CX3</f>
        <v>1000</v>
      </c>
      <c r="BZ20" s="3">
        <f>Sheet1!BZ3</f>
        <v>3257.88</v>
      </c>
      <c r="CA20" s="3">
        <f t="shared" si="5"/>
        <v>86441.88</v>
      </c>
      <c r="CB20" s="27">
        <f>Sheet1!CB3</f>
        <v>0</v>
      </c>
      <c r="CC20" s="3">
        <f t="shared" si="6"/>
        <v>0</v>
      </c>
      <c r="CD20" s="48">
        <v>0.4</v>
      </c>
      <c r="CE20" s="3">
        <f t="shared" si="7"/>
        <v>34576.752</v>
      </c>
      <c r="CF20" s="48">
        <v>0</v>
      </c>
      <c r="CG20" s="3">
        <f t="shared" si="8"/>
        <v>0</v>
      </c>
      <c r="CH20" s="3">
        <f t="shared" si="9"/>
        <v>121018.63200000001</v>
      </c>
      <c r="CI20" s="48">
        <v>0.03</v>
      </c>
      <c r="CJ20" s="1">
        <f t="shared" si="10"/>
        <v>3630.5589600000003</v>
      </c>
      <c r="CK20" s="48">
        <v>0.01</v>
      </c>
      <c r="CL20" s="1">
        <f t="shared" si="11"/>
        <v>1210.1863200000003</v>
      </c>
    </row>
    <row r="21" spans="1:90" ht="30" x14ac:dyDescent="0.25">
      <c r="A21" s="1" t="str">
        <f>Sheet1!A7</f>
        <v>ENQ-12472-22-23</v>
      </c>
      <c r="B21" s="51">
        <f>Sheet1!B7</f>
        <v>45366</v>
      </c>
      <c r="C21" s="1" t="str">
        <f>Sheet1!C7</f>
        <v>FA2900004</v>
      </c>
      <c r="D21" s="1" t="str">
        <f>Sheet1!D7</f>
        <v>COVERED CONDUCTOR - 1 CORE x 100 SQ. MM. (AAAC) - 11KV</v>
      </c>
      <c r="E21" s="3">
        <f t="shared" si="0"/>
        <v>147570.01168</v>
      </c>
      <c r="F21" s="64">
        <f t="shared" si="12"/>
        <v>1009</v>
      </c>
      <c r="G21" s="9">
        <f t="shared" si="1"/>
        <v>148579.01168</v>
      </c>
      <c r="H21" s="7">
        <f>Sheet1!CP7</f>
        <v>0.18</v>
      </c>
      <c r="I21" s="9">
        <f t="shared" si="2"/>
        <v>26744.222102399999</v>
      </c>
      <c r="J21" s="9">
        <f t="shared" si="3"/>
        <v>175323.2337824</v>
      </c>
      <c r="K21" s="1">
        <f>Sheet1!CS7</f>
        <v>321.17</v>
      </c>
      <c r="L21" s="1" t="str">
        <f>Sheet1!CT7</f>
        <v>KMS</v>
      </c>
      <c r="M21" s="3">
        <f t="shared" si="4"/>
        <v>56308562.993893407</v>
      </c>
      <c r="N21" s="2">
        <f>+IFERROR(VLOOKUP($N$17,Sheet1!J7:L7,3,0),0)</f>
        <v>0</v>
      </c>
      <c r="O21" s="2">
        <f>+IFERROR(VLOOKUP($O$17,Sheet1!J7:L7,3,0),0)</f>
        <v>0</v>
      </c>
      <c r="P21" s="2">
        <f>+IFERROR(VLOOKUP($P$17,Sheet1!J7:M7,3,0),0)</f>
        <v>0</v>
      </c>
      <c r="Q21" s="2">
        <f>+IFERROR(VLOOKUP($Q$17,Sheet1!J7:M7,3,0),0)</f>
        <v>0</v>
      </c>
      <c r="R21" s="2">
        <f>+IFERROR(VLOOKUP($R$17,Sheet1!J7:M7,3,0),0)</f>
        <v>0</v>
      </c>
      <c r="S21" s="2">
        <f>+IFERROR(VLOOKUP($S$17,Sheet1!N7:Q7,3,0),0)</f>
        <v>0</v>
      </c>
      <c r="T21" s="62">
        <v>273</v>
      </c>
      <c r="U21" s="2">
        <f>+IFERROR(VLOOKUP($U$17,Sheet1!F7:I7,3,0),0)</f>
        <v>0</v>
      </c>
      <c r="V21" s="2">
        <f>+IFERROR(VLOOKUP($V$17,Sheet1!F7:I7,3,0),0)</f>
        <v>0</v>
      </c>
      <c r="W21" s="2">
        <f>+IFERROR(VLOOKUP($W$17,Sheet1!F7:I7,3,0),0)</f>
        <v>0</v>
      </c>
      <c r="X21" s="2">
        <f>+IFERROR(VLOOKUP($X$17,Sheet1!F7:I7,3,0),0)</f>
        <v>0</v>
      </c>
      <c r="Y21" s="2">
        <f>+IFERROR(VLOOKUP($Y$17,Sheet1!F7:I7,3,0),0)</f>
        <v>0</v>
      </c>
      <c r="Z21" s="2">
        <f>+IFERROR(VLOOKUP($Z$17,Sheet1!F7:I7,3,0),0)</f>
        <v>0</v>
      </c>
      <c r="AA21" s="2">
        <f>+IFERROR(VLOOKUP($AA$17,Sheet1!F7:I7,3,0),0)</f>
        <v>0</v>
      </c>
      <c r="AB21" s="2">
        <f>+IFERROR(VLOOKUP($AB$17,Sheet1!F7:I7,3,0),0)</f>
        <v>0</v>
      </c>
      <c r="AC21" s="62">
        <v>46</v>
      </c>
      <c r="AD21" s="15">
        <f>+IFERROR(VLOOKUP($AD$17,Sheet1!R7:U7,2,0),0)</f>
        <v>0</v>
      </c>
      <c r="AE21" s="62">
        <v>58</v>
      </c>
      <c r="AF21" s="15">
        <f>+IFERROR(VLOOKUP($AF$17,Sheet1!V7:Y7,3,0),0)</f>
        <v>0</v>
      </c>
      <c r="AG21" s="15">
        <f>+IFERROR(VLOOKUP($AG$17,Sheet1!V7:Y7,3,0),0)</f>
        <v>0</v>
      </c>
      <c r="AH21" s="15">
        <f>+IFERROR(VLOOKUP($AH$17,Sheet1!V7:Y7,3,0),0)</f>
        <v>0</v>
      </c>
      <c r="AI21" s="15">
        <f>+IFERROR(VLOOKUP($AI$17,Sheet1!V7:Y7,3,0),0)</f>
        <v>0</v>
      </c>
      <c r="AJ21" s="15">
        <f>+IFERROR(VLOOKUP($AJ$17,Sheet1!V7:Y7,3,0),0)</f>
        <v>0</v>
      </c>
      <c r="AK21" s="15">
        <f>+IFERROR(VLOOKUP($AK$17,Sheet1!Z7:AB7,3,0),0)</f>
        <v>0</v>
      </c>
      <c r="AL21" s="15">
        <f>+IFERROR(VLOOKUP($AL$17,Sheet1!AD7:AG7,3,0),0)</f>
        <v>0</v>
      </c>
      <c r="AM21" s="15">
        <f>+IFERROR(VLOOKUP($AM$17,Sheet1!AD7:AG7,3,0),0)</f>
        <v>0</v>
      </c>
      <c r="AN21" s="15">
        <f>+IFERROR(VLOOKUP($AN$17,Sheet1!AD7:AG7,3,0),0)</f>
        <v>0</v>
      </c>
      <c r="AO21" s="15">
        <f>+IFERROR(VLOOKUP($AO$17,Sheet1!AD7:AG7,3,0),0)</f>
        <v>0</v>
      </c>
      <c r="AP21" s="15">
        <f>+IFERROR(VLOOKUP($AP$17,Sheet1!AD7:AG7,3,0),0)</f>
        <v>0</v>
      </c>
      <c r="AQ21" s="15">
        <f>+IFERROR(VLOOKUP($AQ$17,Sheet1!AD7:AG7,3,0),0)</f>
        <v>0</v>
      </c>
      <c r="AR21" s="15">
        <f>+IFERROR(VLOOKUP($AR$17,Sheet1!AD7:AG7,3,0),0)</f>
        <v>0</v>
      </c>
      <c r="AS21" s="15">
        <f>+IFERROR(VLOOKUP($AS$17,Sheet1!AH7:AK7,3,0),0)</f>
        <v>0</v>
      </c>
      <c r="AT21" s="15">
        <f>+IFERROR(VLOOKUP($AT$17,Sheet1!AH7:AK7,3,0),0)</f>
        <v>0</v>
      </c>
      <c r="AU21" s="15">
        <f>+IFERROR(VLOOKUP($AU$17,Sheet1!AH7:AK7,3,0),0)</f>
        <v>0</v>
      </c>
      <c r="AV21" s="15">
        <f>+IFERROR(VLOOKUP($AV$17,Sheet1!AH7:AK7,3,0),0)</f>
        <v>0</v>
      </c>
      <c r="AW21" s="15">
        <f>+IFERROR(VLOOKUP($AW$17,Sheet1!AH7:AK7,3,0),0)</f>
        <v>0</v>
      </c>
      <c r="AX21" s="15">
        <f>+IFERROR(VLOOKUP($AX$17,Sheet1!AH7:AK7,3,0),0)</f>
        <v>0</v>
      </c>
      <c r="AY21" s="15">
        <f>+IFERROR(VLOOKUP($AY$17,Sheet1!AH7:AK7,3,0),0)</f>
        <v>0</v>
      </c>
      <c r="AZ21" s="15">
        <f>+IFERROR(VLOOKUP($AZ$17,Sheet1!AH7:AK7,3,0),0)</f>
        <v>0</v>
      </c>
      <c r="BA21" s="15">
        <f>+IFERROR(VLOOKUP($BA$17,Sheet1!AH7:AK7,3,0),0)</f>
        <v>0</v>
      </c>
      <c r="BB21" s="15">
        <f>+IFERROR(VLOOKUP($BB$17,Sheet1!AH7:AK7,3,0),0)</f>
        <v>0</v>
      </c>
      <c r="BC21" s="15">
        <f>+IFERROR(VLOOKUP($BC$17,Sheet1!AL7:AO7,3,0),0)</f>
        <v>0</v>
      </c>
      <c r="BD21" s="15">
        <f>+IFERROR(VLOOKUP($BD$17,Sheet1!AL7:AO7,3,0),0)</f>
        <v>0</v>
      </c>
      <c r="BE21" s="15">
        <f>+IFERROR(VLOOKUP($BE$17,Sheet1!AL7:AO7,3,0),0)</f>
        <v>0</v>
      </c>
      <c r="BF21" s="15">
        <f>+IFERROR(VLOOKUP($BF$17,Sheet1!AL7:AO7,3,0),0)</f>
        <v>0</v>
      </c>
      <c r="BG21" s="15">
        <f>+IFERROR(VLOOKUP($BG$17,Sheet1!AL7:AO7,3,0),0)</f>
        <v>0</v>
      </c>
      <c r="BH21" s="15">
        <f>+IFERROR(VLOOKUP($BH$17,Sheet1!AL7:AO7,3,0),0)</f>
        <v>0</v>
      </c>
      <c r="BI21" s="15">
        <f>+IFERROR(VLOOKUP($BI$17,Sheet1!AL7:AO7,3,0),0)</f>
        <v>0</v>
      </c>
      <c r="BJ21" s="15">
        <f>+IFERROR(VLOOKUP($BJ$17,Sheet1!AL7:AO7,3,0),0)</f>
        <v>0</v>
      </c>
      <c r="BK21" s="15">
        <f>+IFERROR(VLOOKUP($BK$17,Sheet1!AL7:AO7,3,0),0)</f>
        <v>0</v>
      </c>
      <c r="BL21" s="63">
        <v>74</v>
      </c>
      <c r="BM21" s="15">
        <f>+IFERROR(VLOOKUP($BM$17,Sheet1!AP7:AS7,3,0),0)</f>
        <v>0</v>
      </c>
      <c r="BN21" s="15">
        <f>+IFERROR(VLOOKUP($BN$17,Sheet1!AT7:AW7,3,0),0)</f>
        <v>0</v>
      </c>
      <c r="BO21" s="15">
        <f>+IFERROR(VLOOKUP($BO$17,Sheet1!AX7:BA7,3,0),0)</f>
        <v>0</v>
      </c>
      <c r="BP21" s="15">
        <f>+IFERROR(VLOOKUP($BP$17,Sheet1!BB7:BE7,3,0),0)</f>
        <v>0</v>
      </c>
      <c r="BQ21" s="15">
        <f>+IFERROR(VLOOKUP($BQ$17,Sheet1!BF7:BI7,3,0),0)</f>
        <v>0</v>
      </c>
      <c r="BR21" s="15">
        <f>+IFERROR(VLOOKUP($BR$17,Sheet1!BJ7:BM7,3,0),0)</f>
        <v>0</v>
      </c>
      <c r="BS21" s="15">
        <f>+IFERROR(VLOOKUP($BS$17,Sheet1!BN7:BQ7,3,0),0)</f>
        <v>0</v>
      </c>
      <c r="BT21" s="15">
        <f>+IFERROR(VLOOKUP($BT$17,Sheet1!BR7:BU7,3,0),0)</f>
        <v>0</v>
      </c>
      <c r="BU21" s="63">
        <v>16</v>
      </c>
      <c r="BV21" s="63" t="str">
        <f>Sheet1!E7</f>
        <v>WOOD</v>
      </c>
      <c r="BW21" s="15" t="str">
        <f>Sheet1!CV7</f>
        <v>MD0100075</v>
      </c>
      <c r="BX21" s="15" t="str">
        <f>Sheet1!CW7</f>
        <v>DRUM - 42 X 15 X 23 X 2 (LOMBU)</v>
      </c>
      <c r="BY21" s="63">
        <f>Sheet1!CX7</f>
        <v>1000</v>
      </c>
      <c r="BZ21" s="3">
        <f>Sheet1!BZ7</f>
        <v>3542.03</v>
      </c>
      <c r="CA21" s="3">
        <f t="shared" si="5"/>
        <v>101353.03</v>
      </c>
      <c r="CB21" s="27">
        <f>Sheet1!CB7</f>
        <v>0</v>
      </c>
      <c r="CC21" s="3">
        <f t="shared" si="6"/>
        <v>0</v>
      </c>
      <c r="CD21" s="48">
        <v>0.4</v>
      </c>
      <c r="CE21" s="3">
        <f t="shared" si="7"/>
        <v>40541.212</v>
      </c>
      <c r="CF21" s="48">
        <v>0</v>
      </c>
      <c r="CG21" s="3">
        <f t="shared" si="8"/>
        <v>0</v>
      </c>
      <c r="CH21" s="3">
        <f t="shared" si="9"/>
        <v>141894.242</v>
      </c>
      <c r="CI21" s="48">
        <v>0.03</v>
      </c>
      <c r="CJ21" s="1">
        <f t="shared" si="10"/>
        <v>4256.82726</v>
      </c>
      <c r="CK21" s="48">
        <v>0.01</v>
      </c>
      <c r="CL21" s="1">
        <f t="shared" si="11"/>
        <v>1418.9424200000001</v>
      </c>
    </row>
    <row r="22" spans="1:90" ht="30" x14ac:dyDescent="0.25">
      <c r="A22" s="1" t="str">
        <f>Sheet1!A4</f>
        <v>ENQ-12472-22-23</v>
      </c>
      <c r="B22" s="51">
        <f>Sheet1!B4</f>
        <v>45366</v>
      </c>
      <c r="C22" s="1" t="str">
        <f>Sheet1!C4</f>
        <v>FA2900008</v>
      </c>
      <c r="D22" s="1" t="str">
        <f>Sheet1!D4</f>
        <v>COVERED CONDUCTOR - 1 CORE X 99 SQ. MM. (AAAC) - 33 KV</v>
      </c>
      <c r="E22" s="3">
        <f t="shared" si="0"/>
        <v>166918.08223999996</v>
      </c>
      <c r="F22" s="64">
        <f t="shared" si="12"/>
        <v>1976</v>
      </c>
      <c r="G22" s="9">
        <f t="shared" si="1"/>
        <v>168894.08223999996</v>
      </c>
      <c r="H22" s="7">
        <f>Sheet1!CP4</f>
        <v>0.18</v>
      </c>
      <c r="I22" s="9">
        <f t="shared" si="2"/>
        <v>30400.934803199991</v>
      </c>
      <c r="J22" s="9">
        <f t="shared" si="3"/>
        <v>199295.01704319994</v>
      </c>
      <c r="K22" s="1">
        <f>Sheet1!CS4</f>
        <v>41</v>
      </c>
      <c r="L22" s="1" t="str">
        <f>Sheet1!CT4</f>
        <v>KMS</v>
      </c>
      <c r="M22" s="3">
        <f t="shared" si="4"/>
        <v>8171095.6987711973</v>
      </c>
      <c r="N22" s="2">
        <f>+IFERROR(VLOOKUP($N$17,Sheet1!J4:L4,3,0),0)</f>
        <v>0</v>
      </c>
      <c r="O22" s="2">
        <f>+IFERROR(VLOOKUP($O$17,Sheet1!J4:L4,3,0),0)</f>
        <v>0</v>
      </c>
      <c r="P22" s="2">
        <f>+IFERROR(VLOOKUP($P$17,Sheet1!J4:M4,3,0),0)</f>
        <v>0</v>
      </c>
      <c r="Q22" s="2">
        <f>+IFERROR(VLOOKUP($Q$17,Sheet1!J4:M4,3,0),0)</f>
        <v>0</v>
      </c>
      <c r="R22" s="2">
        <f>+IFERROR(VLOOKUP($R$17,Sheet1!J4:M4,3,0),0)</f>
        <v>0</v>
      </c>
      <c r="S22" s="2">
        <f>+IFERROR(VLOOKUP($S$17,Sheet1!N4:Q4,3,0),0)</f>
        <v>0</v>
      </c>
      <c r="T22" s="62">
        <v>273</v>
      </c>
      <c r="U22" s="2">
        <f>+IFERROR(VLOOKUP($U$17,Sheet1!F4:I4,3,0),0)</f>
        <v>0</v>
      </c>
      <c r="V22" s="2">
        <f>+IFERROR(VLOOKUP($V$17,Sheet1!F4:I4,3,0),0)</f>
        <v>0</v>
      </c>
      <c r="W22" s="2">
        <f>+IFERROR(VLOOKUP($W$17,Sheet1!F4:I4,3,0),0)</f>
        <v>0</v>
      </c>
      <c r="X22" s="2">
        <f>+IFERROR(VLOOKUP($X$17,Sheet1!F4:I4,3,0),0)</f>
        <v>0</v>
      </c>
      <c r="Y22" s="2">
        <f>+IFERROR(VLOOKUP($Y$17,Sheet1!F4:I4,3,0),0)</f>
        <v>0</v>
      </c>
      <c r="Z22" s="2">
        <f>+IFERROR(VLOOKUP($Z$17,Sheet1!F4:I4,3,0),0)</f>
        <v>0</v>
      </c>
      <c r="AA22" s="2">
        <f>+IFERROR(VLOOKUP($AA$17,Sheet1!F4:I4,3,0),0)</f>
        <v>0</v>
      </c>
      <c r="AB22" s="2">
        <f>+IFERROR(VLOOKUP($AB$17,Sheet1!F4:I4,3,0),0)</f>
        <v>0</v>
      </c>
      <c r="AC22" s="62">
        <v>46</v>
      </c>
      <c r="AD22" s="15">
        <f>+IFERROR(VLOOKUP($AD$17,Sheet1!R4:U4,2,0),0)</f>
        <v>0</v>
      </c>
      <c r="AE22" s="62">
        <v>123</v>
      </c>
      <c r="AF22" s="15">
        <f>+IFERROR(VLOOKUP($AF$17,Sheet1!V4:Y4,3,0),0)</f>
        <v>0</v>
      </c>
      <c r="AG22" s="15">
        <f>+IFERROR(VLOOKUP($AG$17,Sheet1!V4:Y4,3,0),0)</f>
        <v>0</v>
      </c>
      <c r="AH22" s="15">
        <f>+IFERROR(VLOOKUP($AH$17,Sheet1!V4:Y4,3,0),0)</f>
        <v>0</v>
      </c>
      <c r="AI22" s="15">
        <f>+IFERROR(VLOOKUP($AI$17,Sheet1!V4:Y4,3,0),0)</f>
        <v>0</v>
      </c>
      <c r="AJ22" s="15">
        <f>+IFERROR(VLOOKUP($AJ$17,Sheet1!V4:Y4,3,0),0)</f>
        <v>0</v>
      </c>
      <c r="AK22" s="15">
        <f>+IFERROR(VLOOKUP($AK$17,Sheet1!Z4:AB4,3,0),0)</f>
        <v>0</v>
      </c>
      <c r="AL22" s="15">
        <f>+IFERROR(VLOOKUP($AL$17,Sheet1!AD4:AG4,3,0),0)</f>
        <v>0</v>
      </c>
      <c r="AM22" s="15">
        <f>+IFERROR(VLOOKUP($AM$17,Sheet1!AD4:AG4,3,0),0)</f>
        <v>0</v>
      </c>
      <c r="AN22" s="15">
        <f>+IFERROR(VLOOKUP($AN$17,Sheet1!AD4:AG4,3,0),0)</f>
        <v>0</v>
      </c>
      <c r="AO22" s="15">
        <f>+IFERROR(VLOOKUP($AO$17,Sheet1!AD4:AG4,3,0),0)</f>
        <v>0</v>
      </c>
      <c r="AP22" s="15">
        <f>+IFERROR(VLOOKUP($AP$17,Sheet1!AD4:AG4,3,0),0)</f>
        <v>0</v>
      </c>
      <c r="AQ22" s="15">
        <f>+IFERROR(VLOOKUP($AQ$17,Sheet1!AD4:AG4,3,0),0)</f>
        <v>0</v>
      </c>
      <c r="AR22" s="15">
        <f>+IFERROR(VLOOKUP($AR$17,Sheet1!AD4:AG4,3,0),0)</f>
        <v>0</v>
      </c>
      <c r="AS22" s="15">
        <f>+IFERROR(VLOOKUP($AS$17,Sheet1!AH4:AK4,3,0),0)</f>
        <v>0</v>
      </c>
      <c r="AT22" s="15">
        <f>+IFERROR(VLOOKUP($AT$17,Sheet1!AH4:AK4,3,0),0)</f>
        <v>0</v>
      </c>
      <c r="AU22" s="15">
        <f>+IFERROR(VLOOKUP($AU$17,Sheet1!AH4:AK4,3,0),0)</f>
        <v>0</v>
      </c>
      <c r="AV22" s="15">
        <f>+IFERROR(VLOOKUP($AV$17,Sheet1!AH4:AK4,3,0),0)</f>
        <v>0</v>
      </c>
      <c r="AW22" s="15">
        <f>+IFERROR(VLOOKUP($AW$17,Sheet1!AH4:AK4,3,0),0)</f>
        <v>0</v>
      </c>
      <c r="AX22" s="15">
        <f>+IFERROR(VLOOKUP($AX$17,Sheet1!AH4:AK4,3,0),0)</f>
        <v>0</v>
      </c>
      <c r="AY22" s="15">
        <f>+IFERROR(VLOOKUP($AY$17,Sheet1!AH4:AK4,3,0),0)</f>
        <v>0</v>
      </c>
      <c r="AZ22" s="15">
        <f>+IFERROR(VLOOKUP($AZ$17,Sheet1!AH4:AK4,3,0),0)</f>
        <v>0</v>
      </c>
      <c r="BA22" s="15">
        <f>+IFERROR(VLOOKUP($BA$17,Sheet1!AH4:AK4,3,0),0)</f>
        <v>0</v>
      </c>
      <c r="BB22" s="15">
        <f>+IFERROR(VLOOKUP($BB$17,Sheet1!AH4:AK4,3,0),0)</f>
        <v>0</v>
      </c>
      <c r="BC22" s="15">
        <f>+IFERROR(VLOOKUP($BC$17,Sheet1!AL4:AO4,3,0),0)</f>
        <v>0</v>
      </c>
      <c r="BD22" s="15">
        <f>+IFERROR(VLOOKUP($BD$17,Sheet1!AL4:AO4,3,0),0)</f>
        <v>0</v>
      </c>
      <c r="BE22" s="15">
        <f>+IFERROR(VLOOKUP($BE$17,Sheet1!AL4:AO4,3,0),0)</f>
        <v>0</v>
      </c>
      <c r="BF22" s="15">
        <f>+IFERROR(VLOOKUP($BF$17,Sheet1!AL4:AO4,3,0),0)</f>
        <v>0</v>
      </c>
      <c r="BG22" s="15">
        <f>+IFERROR(VLOOKUP($BG$17,Sheet1!AL4:AO4,3,0),0)</f>
        <v>0</v>
      </c>
      <c r="BH22" s="15">
        <f>+IFERROR(VLOOKUP($BH$17,Sheet1!AL4:AO4,3,0),0)</f>
        <v>0</v>
      </c>
      <c r="BI22" s="15">
        <f>+IFERROR(VLOOKUP($BI$17,Sheet1!AL4:AO4,3,0),0)</f>
        <v>0</v>
      </c>
      <c r="BJ22" s="15">
        <f>+IFERROR(VLOOKUP($BJ$17,Sheet1!AL4:AO4,3,0),0)</f>
        <v>0</v>
      </c>
      <c r="BK22" s="15">
        <f>+IFERROR(VLOOKUP($BK$17,Sheet1!AL4:AO4,3,0),0)</f>
        <v>0</v>
      </c>
      <c r="BL22" s="63">
        <v>92</v>
      </c>
      <c r="BM22" s="15">
        <f>+IFERROR(VLOOKUP($BM$17,Sheet1!AP4:AS4,3,0),0)</f>
        <v>0</v>
      </c>
      <c r="BN22" s="15">
        <f>+IFERROR(VLOOKUP($BN$17,Sheet1!AT4:AW4,3,0),0)</f>
        <v>0</v>
      </c>
      <c r="BO22" s="15">
        <f>+IFERROR(VLOOKUP($BO$17,Sheet1!AX4:BA4,3,0),0)</f>
        <v>0</v>
      </c>
      <c r="BP22" s="15">
        <f>+IFERROR(VLOOKUP($BP$17,Sheet1!BB4:BE4,3,0),0)</f>
        <v>0</v>
      </c>
      <c r="BQ22" s="15">
        <f>+IFERROR(VLOOKUP($BQ$17,Sheet1!BF4:BI4,3,0),0)</f>
        <v>0</v>
      </c>
      <c r="BR22" s="15">
        <f>+IFERROR(VLOOKUP($BR$17,Sheet1!BJ4:BM4,3,0),0)</f>
        <v>0</v>
      </c>
      <c r="BS22" s="15">
        <f>+IFERROR(VLOOKUP($BS$17,Sheet1!BN4:BQ4,3,0),0)</f>
        <v>0</v>
      </c>
      <c r="BT22" s="15">
        <f>+IFERROR(VLOOKUP($BT$17,Sheet1!BR4:BU4,3,0),0)</f>
        <v>0</v>
      </c>
      <c r="BU22" s="63">
        <v>16</v>
      </c>
      <c r="BV22" s="63" t="str">
        <f>Sheet1!E4</f>
        <v>WOOD</v>
      </c>
      <c r="BW22" s="15" t="str">
        <f>Sheet1!CV4</f>
        <v>MD0100015</v>
      </c>
      <c r="BX22" s="15" t="str">
        <f>Sheet1!CW4</f>
        <v>DRUM - 48 X 20 X 28 X 2.25</v>
      </c>
      <c r="BY22" s="63">
        <f>Sheet1!CX4</f>
        <v>1000</v>
      </c>
      <c r="BZ22" s="3">
        <f>Sheet1!BZ4</f>
        <v>3658.54</v>
      </c>
      <c r="CA22" s="3">
        <f t="shared" si="5"/>
        <v>114641.54</v>
      </c>
      <c r="CB22" s="27">
        <f>Sheet1!CB4</f>
        <v>0</v>
      </c>
      <c r="CC22" s="3">
        <f t="shared" si="6"/>
        <v>0</v>
      </c>
      <c r="CD22" s="48">
        <v>0.4</v>
      </c>
      <c r="CE22" s="3">
        <f t="shared" si="7"/>
        <v>45856.616000000002</v>
      </c>
      <c r="CF22" s="48">
        <v>0</v>
      </c>
      <c r="CG22" s="3">
        <f t="shared" si="8"/>
        <v>0</v>
      </c>
      <c r="CH22" s="3">
        <f t="shared" si="9"/>
        <v>160498.15599999999</v>
      </c>
      <c r="CI22" s="48">
        <v>0.03</v>
      </c>
      <c r="CJ22" s="1">
        <f t="shared" si="10"/>
        <v>4814.9446799999996</v>
      </c>
      <c r="CK22" s="48">
        <v>0.01</v>
      </c>
      <c r="CL22" s="1">
        <f t="shared" si="11"/>
        <v>1604.9815599999999</v>
      </c>
    </row>
    <row r="23" spans="1:90" ht="45" x14ac:dyDescent="0.25">
      <c r="A23" s="1" t="str">
        <f>Sheet1!A5</f>
        <v>ENQ-12472-22-23</v>
      </c>
      <c r="B23" s="51">
        <f>Sheet1!B5</f>
        <v>45366</v>
      </c>
      <c r="C23" s="1" t="str">
        <f>Sheet1!C5</f>
        <v>FA2900014</v>
      </c>
      <c r="D23" s="1" t="str">
        <f>Sheet1!D5</f>
        <v>COVERED CONDUCTOR - 1 CORE x 150 SQ. MM. (XLPE) (AAAC) - 33 KV</v>
      </c>
      <c r="E23" s="3">
        <f t="shared" si="0"/>
        <v>227662.50416000001</v>
      </c>
      <c r="F23" s="64">
        <f t="shared" si="12"/>
        <v>1583</v>
      </c>
      <c r="G23" s="9">
        <f t="shared" si="1"/>
        <v>229245.50416000001</v>
      </c>
      <c r="H23" s="7">
        <f>Sheet1!CP5</f>
        <v>0.18</v>
      </c>
      <c r="I23" s="9">
        <f t="shared" si="2"/>
        <v>41264.1907488</v>
      </c>
      <c r="J23" s="9">
        <f t="shared" si="3"/>
        <v>270509.69490880001</v>
      </c>
      <c r="K23" s="1">
        <f>Sheet1!CS5</f>
        <v>119.467</v>
      </c>
      <c r="L23" s="1" t="str">
        <f>Sheet1!CT5</f>
        <v>KMS</v>
      </c>
      <c r="M23" s="3">
        <f t="shared" si="4"/>
        <v>32316981.721669611</v>
      </c>
      <c r="N23" s="2">
        <f>+IFERROR(VLOOKUP($N$17,Sheet1!J5:L5,3,0),0)</f>
        <v>0</v>
      </c>
      <c r="O23" s="2">
        <f>+IFERROR(VLOOKUP($O$17,Sheet1!J5:L5,3,0),0)</f>
        <v>0</v>
      </c>
      <c r="P23" s="2">
        <f>+IFERROR(VLOOKUP($P$17,Sheet1!J5:M5,3,0),0)</f>
        <v>0</v>
      </c>
      <c r="Q23" s="2">
        <f>+IFERROR(VLOOKUP($Q$17,Sheet1!J5:M5,3,0),0)</f>
        <v>0</v>
      </c>
      <c r="R23" s="2">
        <f>+IFERROR(VLOOKUP($R$17,Sheet1!J5:M5,3,0),0)</f>
        <v>0</v>
      </c>
      <c r="S23" s="2">
        <f>+IFERROR(VLOOKUP($S$17,Sheet1!N5:Q5,3,0),0)</f>
        <v>0</v>
      </c>
      <c r="T23" s="62">
        <v>407</v>
      </c>
      <c r="U23" s="2">
        <f>+IFERROR(VLOOKUP($U$17,Sheet1!F5:I5,3,0),0)</f>
        <v>0</v>
      </c>
      <c r="V23" s="2">
        <f>+IFERROR(VLOOKUP($V$17,Sheet1!F5:I5,3,0),0)</f>
        <v>0</v>
      </c>
      <c r="W23" s="2">
        <f>+IFERROR(VLOOKUP($W$17,Sheet1!F5:I5,3,0),0)</f>
        <v>0</v>
      </c>
      <c r="X23" s="2">
        <f>+IFERROR(VLOOKUP($X$17,Sheet1!F5:I5,3,0),0)</f>
        <v>0</v>
      </c>
      <c r="Y23" s="2">
        <f>+IFERROR(VLOOKUP($Y$17,Sheet1!F5:I5,3,0),0)</f>
        <v>0</v>
      </c>
      <c r="Z23" s="2">
        <f>+IFERROR(VLOOKUP($Z$17,Sheet1!F5:I5,3,0),0)</f>
        <v>0</v>
      </c>
      <c r="AA23" s="2">
        <f>+IFERROR(VLOOKUP($AA$17,Sheet1!F5:I5,3,0),0)</f>
        <v>0</v>
      </c>
      <c r="AB23" s="2">
        <f>+IFERROR(VLOOKUP($AB$17,Sheet1!F5:I5,3,0),0)</f>
        <v>0</v>
      </c>
      <c r="AC23" s="62">
        <v>56</v>
      </c>
      <c r="AD23" s="15">
        <f>+IFERROR(VLOOKUP($AD$17,Sheet1!R5:U5,2,0),0)</f>
        <v>0</v>
      </c>
      <c r="AE23" s="62">
        <v>145</v>
      </c>
      <c r="AF23" s="15">
        <f>+IFERROR(VLOOKUP($AF$17,Sheet1!V5:Y5,3,0),0)</f>
        <v>0</v>
      </c>
      <c r="AG23" s="15">
        <f>+IFERROR(VLOOKUP($AG$17,Sheet1!V5:Y5,3,0),0)</f>
        <v>0</v>
      </c>
      <c r="AH23" s="15">
        <f>+IFERROR(VLOOKUP($AH$17,Sheet1!V5:Y5,3,0),0)</f>
        <v>0</v>
      </c>
      <c r="AI23" s="15">
        <f>+IFERROR(VLOOKUP($AI$17,Sheet1!V5:Y5,3,0),0)</f>
        <v>0</v>
      </c>
      <c r="AJ23" s="15">
        <f>+IFERROR(VLOOKUP($AJ$17,Sheet1!V5:Y5,3,0),0)</f>
        <v>0</v>
      </c>
      <c r="AK23" s="15">
        <f>+IFERROR(VLOOKUP($AK$17,Sheet1!Z5:AB5,3,0),0)</f>
        <v>0</v>
      </c>
      <c r="AL23" s="15">
        <f>+IFERROR(VLOOKUP($AL$17,Sheet1!AD5:AG5,3,0),0)</f>
        <v>0</v>
      </c>
      <c r="AM23" s="15">
        <f>+IFERROR(VLOOKUP($AM$17,Sheet1!AD5:AG5,3,0),0)</f>
        <v>0</v>
      </c>
      <c r="AN23" s="15">
        <f>+IFERROR(VLOOKUP($AN$17,Sheet1!AD5:AG5,3,0),0)</f>
        <v>0</v>
      </c>
      <c r="AO23" s="15">
        <f>+IFERROR(VLOOKUP($AO$17,Sheet1!AD5:AG5,3,0),0)</f>
        <v>0</v>
      </c>
      <c r="AP23" s="15">
        <f>+IFERROR(VLOOKUP($AP$17,Sheet1!AD5:AG5,3,0),0)</f>
        <v>0</v>
      </c>
      <c r="AQ23" s="15">
        <f>+IFERROR(VLOOKUP($AQ$17,Sheet1!AD5:AG5,3,0),0)</f>
        <v>0</v>
      </c>
      <c r="AR23" s="15">
        <f>+IFERROR(VLOOKUP($AR$17,Sheet1!AD5:AG5,3,0),0)</f>
        <v>0</v>
      </c>
      <c r="AS23" s="15">
        <f>+IFERROR(VLOOKUP($AS$17,Sheet1!AH5:AK5,3,0),0)</f>
        <v>0</v>
      </c>
      <c r="AT23" s="15">
        <f>+IFERROR(VLOOKUP($AT$17,Sheet1!AH5:AK5,3,0),0)</f>
        <v>0</v>
      </c>
      <c r="AU23" s="15">
        <f>+IFERROR(VLOOKUP($AU$17,Sheet1!AH5:AK5,3,0),0)</f>
        <v>0</v>
      </c>
      <c r="AV23" s="15">
        <f>+IFERROR(VLOOKUP($AV$17,Sheet1!AH5:AK5,3,0),0)</f>
        <v>0</v>
      </c>
      <c r="AW23" s="15">
        <f>+IFERROR(VLOOKUP($AW$17,Sheet1!AH5:AK5,3,0),0)</f>
        <v>0</v>
      </c>
      <c r="AX23" s="15">
        <f>+IFERROR(VLOOKUP($AX$17,Sheet1!AH5:AK5,3,0),0)</f>
        <v>0</v>
      </c>
      <c r="AY23" s="15">
        <f>+IFERROR(VLOOKUP($AY$17,Sheet1!AH5:AK5,3,0),0)</f>
        <v>0</v>
      </c>
      <c r="AZ23" s="15">
        <f>+IFERROR(VLOOKUP($AZ$17,Sheet1!AH5:AK5,3,0),0)</f>
        <v>0</v>
      </c>
      <c r="BA23" s="15">
        <f>+IFERROR(VLOOKUP($BA$17,Sheet1!AH5:AK5,3,0),0)</f>
        <v>0</v>
      </c>
      <c r="BB23" s="15">
        <f>+IFERROR(VLOOKUP($BB$17,Sheet1!AH5:AK5,3,0),0)</f>
        <v>0</v>
      </c>
      <c r="BC23" s="15">
        <f>+IFERROR(VLOOKUP($BC$17,Sheet1!AL5:AO5,3,0),0)</f>
        <v>0</v>
      </c>
      <c r="BD23" s="15">
        <f>+IFERROR(VLOOKUP($BD$17,Sheet1!AL5:AO5,3,0),0)</f>
        <v>0</v>
      </c>
      <c r="BE23" s="15">
        <f>+IFERROR(VLOOKUP($BE$17,Sheet1!AL5:AO5,3,0),0)</f>
        <v>0</v>
      </c>
      <c r="BF23" s="15">
        <f>+IFERROR(VLOOKUP($BF$17,Sheet1!AL5:AO5,3,0),0)</f>
        <v>0</v>
      </c>
      <c r="BG23" s="15">
        <f>+IFERROR(VLOOKUP($BG$17,Sheet1!AL5:AO5,3,0),0)</f>
        <v>0</v>
      </c>
      <c r="BH23" s="15">
        <f>+IFERROR(VLOOKUP($BH$17,Sheet1!AL5:AO5,3,0),0)</f>
        <v>0</v>
      </c>
      <c r="BI23" s="15">
        <f>+IFERROR(VLOOKUP($BI$17,Sheet1!AL5:AO5,3,0),0)</f>
        <v>0</v>
      </c>
      <c r="BJ23" s="15">
        <f>+IFERROR(VLOOKUP($BJ$17,Sheet1!AL5:AO5,3,0),0)</f>
        <v>0</v>
      </c>
      <c r="BK23" s="15">
        <f>+IFERROR(VLOOKUP($BK$17,Sheet1!AL5:AO5,3,0),0)</f>
        <v>0</v>
      </c>
      <c r="BL23" s="63">
        <v>106</v>
      </c>
      <c r="BM23" s="15">
        <f>+IFERROR(VLOOKUP($BM$17,Sheet1!AP5:AS5,3,0),0)</f>
        <v>0</v>
      </c>
      <c r="BN23" s="15">
        <f>+IFERROR(VLOOKUP($BN$17,Sheet1!AT5:AW5,3,0),0)</f>
        <v>0</v>
      </c>
      <c r="BO23" s="15">
        <f>+IFERROR(VLOOKUP($BO$17,Sheet1!AX5:BA5,3,0),0)</f>
        <v>0</v>
      </c>
      <c r="BP23" s="15">
        <f>+IFERROR(VLOOKUP($BP$17,Sheet1!BB5:BE5,3,0),0)</f>
        <v>0</v>
      </c>
      <c r="BQ23" s="15">
        <f>+IFERROR(VLOOKUP($BQ$17,Sheet1!BF5:BI5,3,0),0)</f>
        <v>0</v>
      </c>
      <c r="BR23" s="15">
        <f>+IFERROR(VLOOKUP($BR$17,Sheet1!BJ5:BM5,3,0),0)</f>
        <v>0</v>
      </c>
      <c r="BS23" s="15">
        <f>+IFERROR(VLOOKUP($BS$17,Sheet1!BN5:BQ5,3,0),0)</f>
        <v>0</v>
      </c>
      <c r="BT23" s="15">
        <f>+IFERROR(VLOOKUP($BT$17,Sheet1!BR5:BU5,3,0),0)</f>
        <v>0</v>
      </c>
      <c r="BU23" s="63">
        <v>28</v>
      </c>
      <c r="BV23" s="63" t="str">
        <f>Sheet1!E5</f>
        <v>WOOD</v>
      </c>
      <c r="BW23" s="15" t="str">
        <f>Sheet1!CV5</f>
        <v>MD0100099</v>
      </c>
      <c r="BX23" s="15" t="str">
        <f>Sheet1!CW5</f>
        <v>DRUM - 48 X 14 X 36 X 2.25 (LOMBU)</v>
      </c>
      <c r="BY23" s="63">
        <f>Sheet1!CX5</f>
        <v>1000</v>
      </c>
      <c r="BZ23" s="3">
        <f>Sheet1!BZ5</f>
        <v>4716.6099999999997</v>
      </c>
      <c r="CA23" s="3">
        <f t="shared" si="5"/>
        <v>156361.60999999999</v>
      </c>
      <c r="CB23" s="27">
        <f>Sheet1!CB5</f>
        <v>0</v>
      </c>
      <c r="CC23" s="3">
        <f t="shared" si="6"/>
        <v>0</v>
      </c>
      <c r="CD23" s="48">
        <v>0.4</v>
      </c>
      <c r="CE23" s="3">
        <f t="shared" si="7"/>
        <v>62544.644</v>
      </c>
      <c r="CF23" s="48">
        <v>0</v>
      </c>
      <c r="CG23" s="3">
        <f t="shared" si="8"/>
        <v>0</v>
      </c>
      <c r="CH23" s="3">
        <f t="shared" si="9"/>
        <v>218906.25399999999</v>
      </c>
      <c r="CI23" s="48">
        <v>0.03</v>
      </c>
      <c r="CJ23" s="1">
        <f t="shared" si="10"/>
        <v>6567.1876199999997</v>
      </c>
      <c r="CK23" s="48">
        <v>0.01</v>
      </c>
      <c r="CL23" s="1">
        <f t="shared" si="11"/>
        <v>2189.0625399999999</v>
      </c>
    </row>
    <row r="24" spans="1:90" ht="30" x14ac:dyDescent="0.25">
      <c r="A24" s="1" t="str">
        <f>Sheet1!A6</f>
        <v>ENQ-12472-22-23</v>
      </c>
      <c r="B24" s="51">
        <f>Sheet1!B6</f>
        <v>45366</v>
      </c>
      <c r="C24" s="1" t="str">
        <f>Sheet1!C6</f>
        <v>FA2900032</v>
      </c>
      <c r="D24" s="1" t="str">
        <f>Sheet1!D6</f>
        <v>COVERED CONDUCTOR - 1 CORE X 232 SQ. MM. (AAAC) - 33 KV</v>
      </c>
      <c r="E24" s="3">
        <f t="shared" si="0"/>
        <v>324314.88543999998</v>
      </c>
      <c r="F24" s="64">
        <f t="shared" si="12"/>
        <v>3060</v>
      </c>
      <c r="G24" s="9">
        <f t="shared" si="1"/>
        <v>327374.88543999998</v>
      </c>
      <c r="H24" s="7">
        <f>Sheet1!CP6</f>
        <v>0.18</v>
      </c>
      <c r="I24" s="9">
        <f t="shared" si="2"/>
        <v>58927.479379199998</v>
      </c>
      <c r="J24" s="9">
        <f t="shared" si="3"/>
        <v>386302.36481920001</v>
      </c>
      <c r="K24" s="1">
        <f>Sheet1!CS6</f>
        <v>150</v>
      </c>
      <c r="L24" s="1" t="str">
        <f>Sheet1!CT6</f>
        <v>KMS</v>
      </c>
      <c r="M24" s="3">
        <f t="shared" si="4"/>
        <v>57945354.722879998</v>
      </c>
      <c r="N24" s="2">
        <f>+IFERROR(VLOOKUP($N$17,Sheet1!J6:L6,3,0),0)</f>
        <v>0</v>
      </c>
      <c r="O24" s="2">
        <f>+IFERROR(VLOOKUP($O$17,Sheet1!J6:L6,3,0),0)</f>
        <v>0</v>
      </c>
      <c r="P24" s="2">
        <f>+IFERROR(VLOOKUP($P$17,Sheet1!J6:M6,3,0),0)</f>
        <v>0</v>
      </c>
      <c r="Q24" s="2">
        <f>+IFERROR(VLOOKUP($Q$17,Sheet1!J6:M6,3,0),0)</f>
        <v>0</v>
      </c>
      <c r="R24" s="2">
        <f>+IFERROR(VLOOKUP($R$17,Sheet1!J6:M6,3,0),0)</f>
        <v>0</v>
      </c>
      <c r="S24" s="2">
        <f>+IFERROR(VLOOKUP($S$17,Sheet1!N6:Q6,3,0),0)</f>
        <v>0</v>
      </c>
      <c r="T24" s="62">
        <v>637</v>
      </c>
      <c r="U24" s="2">
        <f>+IFERROR(VLOOKUP($U$17,Sheet1!F6:I6,3,0),0)</f>
        <v>0</v>
      </c>
      <c r="V24" s="2">
        <f>+IFERROR(VLOOKUP($V$17,Sheet1!F6:I6,3,0),0)</f>
        <v>0</v>
      </c>
      <c r="W24" s="2">
        <f>+IFERROR(VLOOKUP($W$17,Sheet1!F6:I6,3,0),0)</f>
        <v>0</v>
      </c>
      <c r="X24" s="2">
        <f>+IFERROR(VLOOKUP($X$17,Sheet1!F6:I6,3,0),0)</f>
        <v>0</v>
      </c>
      <c r="Y24" s="2">
        <f>+IFERROR(VLOOKUP($Y$17,Sheet1!F6:I6,3,0),0)</f>
        <v>0</v>
      </c>
      <c r="Z24" s="2">
        <f>+IFERROR(VLOOKUP($Z$17,Sheet1!F6:I6,3,0),0)</f>
        <v>0</v>
      </c>
      <c r="AA24" s="2">
        <f>+IFERROR(VLOOKUP($AA$17,Sheet1!F6:I6,3,0),0)</f>
        <v>0</v>
      </c>
      <c r="AB24" s="2">
        <f>+IFERROR(VLOOKUP($AB$17,Sheet1!F6:I6,3,0),0)</f>
        <v>0</v>
      </c>
      <c r="AC24" s="62">
        <v>70</v>
      </c>
      <c r="AD24" s="15">
        <f>+IFERROR(VLOOKUP($AD$17,Sheet1!R6:U6,2,0),0)</f>
        <v>0</v>
      </c>
      <c r="AE24" s="62">
        <v>174</v>
      </c>
      <c r="AF24" s="15">
        <f>+IFERROR(VLOOKUP($AF$17,Sheet1!V6:Y6,3,0),0)</f>
        <v>0</v>
      </c>
      <c r="AG24" s="15">
        <f>+IFERROR(VLOOKUP($AG$17,Sheet1!V6:Y6,3,0),0)</f>
        <v>0</v>
      </c>
      <c r="AH24" s="15">
        <f>+IFERROR(VLOOKUP($AH$17,Sheet1!V6:Y6,3,0),0)</f>
        <v>0</v>
      </c>
      <c r="AI24" s="15">
        <f>+IFERROR(VLOOKUP($AI$17,Sheet1!V6:Y6,3,0),0)</f>
        <v>0</v>
      </c>
      <c r="AJ24" s="15">
        <f>+IFERROR(VLOOKUP($AJ$17,Sheet1!V6:Y6,3,0),0)</f>
        <v>0</v>
      </c>
      <c r="AK24" s="15">
        <f>+IFERROR(VLOOKUP($AK$17,Sheet1!Z6:AB6,3,0),0)</f>
        <v>0</v>
      </c>
      <c r="AL24" s="15">
        <f>+IFERROR(VLOOKUP($AL$17,Sheet1!AD6:AG6,3,0),0)</f>
        <v>0</v>
      </c>
      <c r="AM24" s="15">
        <f>+IFERROR(VLOOKUP($AM$17,Sheet1!AD6:AG6,3,0),0)</f>
        <v>0</v>
      </c>
      <c r="AN24" s="15">
        <f>+IFERROR(VLOOKUP($AN$17,Sheet1!AD6:AG6,3,0),0)</f>
        <v>0</v>
      </c>
      <c r="AO24" s="15">
        <f>+IFERROR(VLOOKUP($AO$17,Sheet1!AD6:AG6,3,0),0)</f>
        <v>0</v>
      </c>
      <c r="AP24" s="15">
        <f>+IFERROR(VLOOKUP($AP$17,Sheet1!AD6:AG6,3,0),0)</f>
        <v>0</v>
      </c>
      <c r="AQ24" s="15">
        <f>+IFERROR(VLOOKUP($AQ$17,Sheet1!AD6:AG6,3,0),0)</f>
        <v>0</v>
      </c>
      <c r="AR24" s="15">
        <f>+IFERROR(VLOOKUP($AR$17,Sheet1!AD6:AG6,3,0),0)</f>
        <v>0</v>
      </c>
      <c r="AS24" s="15">
        <f>+IFERROR(VLOOKUP($AS$17,Sheet1!AH6:AK6,3,0),0)</f>
        <v>0</v>
      </c>
      <c r="AT24" s="15">
        <f>+IFERROR(VLOOKUP($AT$17,Sheet1!AH6:AK6,3,0),0)</f>
        <v>0</v>
      </c>
      <c r="AU24" s="15">
        <f>+IFERROR(VLOOKUP($AU$17,Sheet1!AH6:AK6,3,0),0)</f>
        <v>0</v>
      </c>
      <c r="AV24" s="15">
        <f>+IFERROR(VLOOKUP($AV$17,Sheet1!AH6:AK6,3,0),0)</f>
        <v>0</v>
      </c>
      <c r="AW24" s="15">
        <f>+IFERROR(VLOOKUP($AW$17,Sheet1!AH6:AK6,3,0),0)</f>
        <v>0</v>
      </c>
      <c r="AX24" s="15">
        <f>+IFERROR(VLOOKUP($AX$17,Sheet1!AH6:AK6,3,0),0)</f>
        <v>0</v>
      </c>
      <c r="AY24" s="15">
        <f>+IFERROR(VLOOKUP($AY$17,Sheet1!AH6:AK6,3,0),0)</f>
        <v>0</v>
      </c>
      <c r="AZ24" s="15">
        <f>+IFERROR(VLOOKUP($AZ$17,Sheet1!AH6:AK6,3,0),0)</f>
        <v>0</v>
      </c>
      <c r="BA24" s="15">
        <f>+IFERROR(VLOOKUP($BA$17,Sheet1!AH6:AK6,3,0),0)</f>
        <v>0</v>
      </c>
      <c r="BB24" s="15">
        <f>+IFERROR(VLOOKUP($BB$17,Sheet1!AH6:AK6,3,0),0)</f>
        <v>0</v>
      </c>
      <c r="BC24" s="15">
        <f>+IFERROR(VLOOKUP($BC$17,Sheet1!AL6:AO6,3,0),0)</f>
        <v>0</v>
      </c>
      <c r="BD24" s="15">
        <f>+IFERROR(VLOOKUP($BD$17,Sheet1!AL6:AO6,3,0),0)</f>
        <v>0</v>
      </c>
      <c r="BE24" s="15">
        <f>+IFERROR(VLOOKUP($BE$17,Sheet1!AL6:AO6,3,0),0)</f>
        <v>0</v>
      </c>
      <c r="BF24" s="15">
        <f>+IFERROR(VLOOKUP($BF$17,Sheet1!AL6:AO6,3,0),0)</f>
        <v>0</v>
      </c>
      <c r="BG24" s="15">
        <f>+IFERROR(VLOOKUP($BG$17,Sheet1!AL6:AO6,3,0),0)</f>
        <v>0</v>
      </c>
      <c r="BH24" s="15">
        <f>+IFERROR(VLOOKUP($BH$17,Sheet1!AL6:AO6,3,0),0)</f>
        <v>0</v>
      </c>
      <c r="BI24" s="15">
        <f>+IFERROR(VLOOKUP($BI$17,Sheet1!AL6:AO6,3,0),0)</f>
        <v>0</v>
      </c>
      <c r="BJ24" s="15">
        <f>+IFERROR(VLOOKUP($BJ$17,Sheet1!AL6:AO6,3,0),0)</f>
        <v>0</v>
      </c>
      <c r="BK24" s="15">
        <f>+IFERROR(VLOOKUP($BK$17,Sheet1!AL6:AO6,3,0),0)</f>
        <v>0</v>
      </c>
      <c r="BL24" s="63">
        <v>124</v>
      </c>
      <c r="BM24" s="15">
        <f>+IFERROR(VLOOKUP($BM$17,Sheet1!AP6:AS6,3,0),0)</f>
        <v>0</v>
      </c>
      <c r="BN24" s="15">
        <f>+IFERROR(VLOOKUP($BN$17,Sheet1!AT6:AW6,3,0),0)</f>
        <v>0</v>
      </c>
      <c r="BO24" s="15">
        <f>+IFERROR(VLOOKUP($BO$17,Sheet1!AX6:BA6,3,0),0)</f>
        <v>0</v>
      </c>
      <c r="BP24" s="15">
        <f>+IFERROR(VLOOKUP($BP$17,Sheet1!BB6:BE6,3,0),0)</f>
        <v>0</v>
      </c>
      <c r="BQ24" s="15">
        <f>+IFERROR(VLOOKUP($BQ$17,Sheet1!BF6:BI6,3,0),0)</f>
        <v>0</v>
      </c>
      <c r="BR24" s="15">
        <f>+IFERROR(VLOOKUP($BR$17,Sheet1!BJ6:BM6,3,0),0)</f>
        <v>0</v>
      </c>
      <c r="BS24" s="15">
        <f>+IFERROR(VLOOKUP($BS$17,Sheet1!BN6:BQ6,3,0),0)</f>
        <v>0</v>
      </c>
      <c r="BT24" s="15">
        <f>+IFERROR(VLOOKUP($BT$17,Sheet1!BR6:BU6,3,0),0)</f>
        <v>0</v>
      </c>
      <c r="BU24" s="63">
        <v>40</v>
      </c>
      <c r="BV24" s="63" t="str">
        <f>Sheet1!E6</f>
        <v>WOOD</v>
      </c>
      <c r="BW24" s="15" t="str">
        <f>Sheet1!CV6</f>
        <v>MD0100019</v>
      </c>
      <c r="BX24" s="15" t="str">
        <f>Sheet1!CW6</f>
        <v>DRUM - 54 X 24 X 32 X 3</v>
      </c>
      <c r="BY24" s="63">
        <f>Sheet1!CX6</f>
        <v>1000</v>
      </c>
      <c r="BZ24" s="3">
        <f>Sheet1!BZ6</f>
        <v>6378.74</v>
      </c>
      <c r="CA24" s="3">
        <f t="shared" si="5"/>
        <v>222743.74</v>
      </c>
      <c r="CB24" s="27">
        <f>Sheet1!CB6</f>
        <v>0</v>
      </c>
      <c r="CC24" s="3">
        <f t="shared" si="6"/>
        <v>0</v>
      </c>
      <c r="CD24" s="48">
        <v>0.4</v>
      </c>
      <c r="CE24" s="3">
        <f t="shared" si="7"/>
        <v>89097.495999999999</v>
      </c>
      <c r="CF24" s="48">
        <v>0</v>
      </c>
      <c r="CG24" s="3">
        <f t="shared" si="8"/>
        <v>0</v>
      </c>
      <c r="CH24" s="3">
        <f t="shared" si="9"/>
        <v>311841.23599999998</v>
      </c>
      <c r="CI24" s="48">
        <v>0.03</v>
      </c>
      <c r="CJ24" s="1">
        <f t="shared" si="10"/>
        <v>9355.237079999999</v>
      </c>
      <c r="CK24" s="48">
        <v>0.01</v>
      </c>
      <c r="CL24" s="1">
        <f t="shared" si="11"/>
        <v>3118.4123599999998</v>
      </c>
    </row>
    <row r="26" spans="1:90" ht="60" x14ac:dyDescent="0.25">
      <c r="E26" s="2" t="s">
        <v>198</v>
      </c>
      <c r="F26" s="2" t="s">
        <v>199</v>
      </c>
      <c r="G26" s="57" t="s">
        <v>200</v>
      </c>
      <c r="H26" s="2" t="s">
        <v>201</v>
      </c>
      <c r="I26" s="2" t="s">
        <v>202</v>
      </c>
      <c r="J26" s="2" t="s">
        <v>203</v>
      </c>
      <c r="K26" s="2" t="s">
        <v>204</v>
      </c>
      <c r="L26" s="2" t="s">
        <v>205</v>
      </c>
      <c r="M26" s="58" t="s">
        <v>206</v>
      </c>
      <c r="T26" s="30" t="s">
        <v>209</v>
      </c>
      <c r="AC26" s="30" t="s">
        <v>208</v>
      </c>
      <c r="AE26" s="30" t="s">
        <v>210</v>
      </c>
    </row>
    <row r="27" spans="1:90" ht="30" x14ac:dyDescent="0.25">
      <c r="C27" t="str">
        <f>BW19</f>
        <v>MD0100005</v>
      </c>
      <c r="D27" s="30" t="str">
        <f>D19</f>
        <v>COVERED CONDUCTOR - 1 CORE X 55 SQ. MM. (AAAC) - 11 KV</v>
      </c>
      <c r="E27" s="57">
        <f>K19</f>
        <v>5</v>
      </c>
      <c r="F27" s="59">
        <f>BY19/1000</f>
        <v>1</v>
      </c>
      <c r="G27" s="57" t="s">
        <v>207</v>
      </c>
      <c r="H27" s="60">
        <v>27000</v>
      </c>
      <c r="I27" s="59">
        <v>36</v>
      </c>
      <c r="J27" s="57">
        <f>F27*I27</f>
        <v>36</v>
      </c>
      <c r="K27" s="57">
        <f>ROUNDUP((E27/J27),0)</f>
        <v>1</v>
      </c>
      <c r="L27" s="57">
        <f>M27*E27</f>
        <v>27000</v>
      </c>
      <c r="M27" s="61">
        <f>(H27*K27)/E27</f>
        <v>5400</v>
      </c>
      <c r="T27" s="30">
        <f>SUM(T19:BU19)</f>
        <v>308</v>
      </c>
      <c r="AC27" s="30">
        <f>50+15</f>
        <v>65</v>
      </c>
      <c r="AE27" s="30">
        <f>((T27*F27)+AC27)</f>
        <v>373</v>
      </c>
      <c r="BL27" s="30">
        <f>I27*AE27</f>
        <v>13428</v>
      </c>
    </row>
    <row r="28" spans="1:90" ht="30" x14ac:dyDescent="0.25">
      <c r="C28" t="str">
        <f t="shared" ref="C28:C31" si="13">BW20</f>
        <v>MD0100085</v>
      </c>
      <c r="D28" s="30" t="str">
        <f t="shared" ref="D28:D32" si="14">D20</f>
        <v>COVERED CONDUCTOR - 1 CORE X 80 SQ. MM. (AAAC) - 11 KV</v>
      </c>
      <c r="E28" s="57">
        <f t="shared" ref="E28:E32" si="15">K20</f>
        <v>6</v>
      </c>
      <c r="F28" s="59">
        <f t="shared" ref="F28:F32" si="16">BY20/1000</f>
        <v>1</v>
      </c>
      <c r="G28" s="57" t="s">
        <v>207</v>
      </c>
      <c r="H28" s="60">
        <v>27000</v>
      </c>
      <c r="I28" s="59">
        <v>27</v>
      </c>
      <c r="J28" s="57">
        <f t="shared" ref="J28:J32" si="17">F28*I28</f>
        <v>27</v>
      </c>
      <c r="K28" s="57">
        <f t="shared" ref="K28:K32" si="18">ROUNDUP((E28/J28),0)</f>
        <v>1</v>
      </c>
      <c r="L28" s="57">
        <f t="shared" ref="L28:L32" si="19">M28*E28</f>
        <v>27000</v>
      </c>
      <c r="M28" s="61">
        <f t="shared" ref="M28:M32" si="20">(H28*K28)/E28</f>
        <v>4500</v>
      </c>
      <c r="T28" s="30">
        <f t="shared" ref="T28:T31" si="21">SUM(T20:BU20)</f>
        <v>399</v>
      </c>
      <c r="AC28" s="30">
        <f>75+25</f>
        <v>100</v>
      </c>
      <c r="AE28" s="30">
        <f t="shared" ref="AE28:AE32" si="22">((T28*F28)+AC28)</f>
        <v>499</v>
      </c>
      <c r="BL28" s="30">
        <f t="shared" ref="BL28:BL32" si="23">I28*AE28</f>
        <v>13473</v>
      </c>
    </row>
    <row r="29" spans="1:90" ht="30" x14ac:dyDescent="0.25">
      <c r="C29" t="str">
        <f t="shared" si="13"/>
        <v>MD0100075</v>
      </c>
      <c r="D29" s="30" t="str">
        <f t="shared" si="14"/>
        <v>COVERED CONDUCTOR - 1 CORE x 100 SQ. MM. (AAAC) - 11KV</v>
      </c>
      <c r="E29" s="57">
        <f t="shared" si="15"/>
        <v>321.17</v>
      </c>
      <c r="F29" s="59">
        <f t="shared" si="16"/>
        <v>1</v>
      </c>
      <c r="G29" s="57" t="s">
        <v>207</v>
      </c>
      <c r="H29" s="60">
        <v>27000</v>
      </c>
      <c r="I29" s="59">
        <v>27</v>
      </c>
      <c r="J29" s="57">
        <f t="shared" si="17"/>
        <v>27</v>
      </c>
      <c r="K29" s="57">
        <f t="shared" si="18"/>
        <v>12</v>
      </c>
      <c r="L29" s="57">
        <f t="shared" si="19"/>
        <v>324000</v>
      </c>
      <c r="M29" s="61">
        <f t="shared" si="20"/>
        <v>1008.811532833079</v>
      </c>
      <c r="T29" s="30">
        <f t="shared" si="21"/>
        <v>467</v>
      </c>
      <c r="AC29" s="30">
        <f>55+20</f>
        <v>75</v>
      </c>
      <c r="AE29" s="30">
        <f t="shared" si="22"/>
        <v>542</v>
      </c>
      <c r="BL29" s="30">
        <f t="shared" si="23"/>
        <v>14634</v>
      </c>
    </row>
    <row r="30" spans="1:90" ht="30" x14ac:dyDescent="0.25">
      <c r="C30" t="str">
        <f t="shared" si="13"/>
        <v>MD0100015</v>
      </c>
      <c r="D30" s="30" t="str">
        <f t="shared" si="14"/>
        <v>COVERED CONDUCTOR - 1 CORE X 99 SQ. MM. (AAAC) - 33 KV</v>
      </c>
      <c r="E30" s="57">
        <f t="shared" si="15"/>
        <v>41</v>
      </c>
      <c r="F30" s="59">
        <f t="shared" si="16"/>
        <v>1</v>
      </c>
      <c r="G30" s="57" t="s">
        <v>207</v>
      </c>
      <c r="H30" s="60">
        <v>27000</v>
      </c>
      <c r="I30" s="59">
        <v>18</v>
      </c>
      <c r="J30" s="57">
        <f t="shared" si="17"/>
        <v>18</v>
      </c>
      <c r="K30" s="57">
        <f t="shared" si="18"/>
        <v>3</v>
      </c>
      <c r="L30" s="57">
        <f t="shared" si="19"/>
        <v>81000</v>
      </c>
      <c r="M30" s="61">
        <f t="shared" si="20"/>
        <v>1975.6097560975609</v>
      </c>
      <c r="T30" s="30">
        <f t="shared" si="21"/>
        <v>550</v>
      </c>
      <c r="AC30" s="30">
        <f>100+25</f>
        <v>125</v>
      </c>
      <c r="AE30" s="30">
        <f t="shared" si="22"/>
        <v>675</v>
      </c>
      <c r="BL30" s="30">
        <f t="shared" si="23"/>
        <v>12150</v>
      </c>
    </row>
    <row r="31" spans="1:90" ht="45" x14ac:dyDescent="0.25">
      <c r="C31" t="str">
        <f t="shared" si="13"/>
        <v>MD0100099</v>
      </c>
      <c r="D31" s="30" t="str">
        <f t="shared" si="14"/>
        <v>COVERED CONDUCTOR - 1 CORE x 150 SQ. MM. (XLPE) (AAAC) - 33 KV</v>
      </c>
      <c r="E31" s="57">
        <f t="shared" si="15"/>
        <v>119.467</v>
      </c>
      <c r="F31" s="59">
        <f t="shared" si="16"/>
        <v>1</v>
      </c>
      <c r="G31" s="57" t="s">
        <v>207</v>
      </c>
      <c r="H31" s="60">
        <v>27000</v>
      </c>
      <c r="I31" s="59">
        <v>18</v>
      </c>
      <c r="J31" s="57">
        <f t="shared" si="17"/>
        <v>18</v>
      </c>
      <c r="K31" s="57">
        <f t="shared" si="18"/>
        <v>7</v>
      </c>
      <c r="L31" s="57">
        <f t="shared" si="19"/>
        <v>189000</v>
      </c>
      <c r="M31" s="61">
        <f t="shared" si="20"/>
        <v>1582.0268358626231</v>
      </c>
      <c r="T31" s="30">
        <f t="shared" si="21"/>
        <v>742</v>
      </c>
      <c r="AC31" s="30">
        <f>100+25</f>
        <v>125</v>
      </c>
      <c r="AE31" s="30">
        <f t="shared" si="22"/>
        <v>867</v>
      </c>
      <c r="BL31" s="30">
        <f t="shared" si="23"/>
        <v>15606</v>
      </c>
    </row>
    <row r="32" spans="1:90" ht="30" x14ac:dyDescent="0.25">
      <c r="C32" t="str">
        <f>BW24</f>
        <v>MD0100019</v>
      </c>
      <c r="D32" s="30" t="str">
        <f t="shared" si="14"/>
        <v>COVERED CONDUCTOR - 1 CORE X 232 SQ. MM. (AAAC) - 33 KV</v>
      </c>
      <c r="E32" s="57">
        <f t="shared" si="15"/>
        <v>150</v>
      </c>
      <c r="F32" s="59">
        <f t="shared" si="16"/>
        <v>1</v>
      </c>
      <c r="G32" s="57" t="s">
        <v>207</v>
      </c>
      <c r="H32" s="60">
        <v>27000</v>
      </c>
      <c r="I32" s="59">
        <v>9</v>
      </c>
      <c r="J32" s="57">
        <f t="shared" si="17"/>
        <v>9</v>
      </c>
      <c r="K32" s="57">
        <f t="shared" si="18"/>
        <v>17</v>
      </c>
      <c r="L32" s="57">
        <f t="shared" si="19"/>
        <v>459000</v>
      </c>
      <c r="M32" s="61">
        <f t="shared" si="20"/>
        <v>3060</v>
      </c>
      <c r="T32" s="30">
        <f>SUM(T24:BU24)</f>
        <v>1045</v>
      </c>
      <c r="AC32" s="30">
        <f>150+30</f>
        <v>180</v>
      </c>
      <c r="AE32" s="30">
        <f t="shared" si="22"/>
        <v>1225</v>
      </c>
      <c r="BL32" s="30">
        <f t="shared" si="23"/>
        <v>11025</v>
      </c>
    </row>
    <row r="33" spans="1:13" x14ac:dyDescent="0.25">
      <c r="I33" t="s">
        <v>211</v>
      </c>
    </row>
    <row r="36" spans="1:13" ht="51" x14ac:dyDescent="0.25">
      <c r="A36" s="22" t="s">
        <v>0</v>
      </c>
      <c r="B36" s="22" t="s">
        <v>135</v>
      </c>
      <c r="C36" s="22" t="s">
        <v>1</v>
      </c>
      <c r="D36" s="22" t="s">
        <v>2</v>
      </c>
      <c r="E36" s="5" t="s">
        <v>212</v>
      </c>
      <c r="F36" s="15" t="s">
        <v>213</v>
      </c>
      <c r="G36" s="15" t="s">
        <v>214</v>
      </c>
      <c r="H36" s="6" t="s">
        <v>73</v>
      </c>
      <c r="I36" s="15" t="s">
        <v>74</v>
      </c>
      <c r="J36" s="15" t="s">
        <v>215</v>
      </c>
      <c r="K36" s="15" t="s">
        <v>76</v>
      </c>
      <c r="L36" s="15" t="s">
        <v>77</v>
      </c>
      <c r="M36" s="15" t="s">
        <v>78</v>
      </c>
    </row>
    <row r="37" spans="1:13" x14ac:dyDescent="0.25">
      <c r="A37" s="31"/>
      <c r="B37" s="31"/>
      <c r="C37" s="31"/>
      <c r="D37" s="31"/>
      <c r="E37" s="5"/>
      <c r="F37" s="5"/>
      <c r="G37" s="5"/>
      <c r="H37" s="5"/>
      <c r="I37" s="5"/>
      <c r="J37" s="5"/>
      <c r="K37" s="5"/>
      <c r="L37" s="5"/>
      <c r="M37" s="5"/>
    </row>
    <row r="38" spans="1:13" ht="30" x14ac:dyDescent="0.25">
      <c r="A38" s="1" t="str">
        <f>A19</f>
        <v>ENQ-12472-22-23</v>
      </c>
      <c r="B38" s="51">
        <f>B19</f>
        <v>45366</v>
      </c>
      <c r="C38" s="1" t="str">
        <f>C19</f>
        <v>FA2900029</v>
      </c>
      <c r="D38" s="1" t="str">
        <f>D19</f>
        <v>COVERED CONDUCTOR - 1 CORE X 55 SQ. MM. (AAAC) - 11 KV</v>
      </c>
      <c r="E38" s="3">
        <f>ROUNDUP(E19/1000,2)</f>
        <v>96.2</v>
      </c>
      <c r="F38" s="64">
        <f>ROUNDUP(F19/1000,2)</f>
        <v>5.4</v>
      </c>
      <c r="G38" s="9">
        <f t="shared" ref="G38:G43" si="24">E38+F38</f>
        <v>101.60000000000001</v>
      </c>
      <c r="H38" s="7">
        <f>H19</f>
        <v>0.18</v>
      </c>
      <c r="I38" s="9">
        <f t="shared" ref="I38:I43" si="25">G38*H38</f>
        <v>18.288</v>
      </c>
      <c r="J38" s="9">
        <f t="shared" ref="J38:J43" si="26">G38+I38</f>
        <v>119.88800000000001</v>
      </c>
      <c r="K38" s="1">
        <f>K19*1000</f>
        <v>5000</v>
      </c>
      <c r="L38" s="1" t="s">
        <v>216</v>
      </c>
      <c r="M38" s="3">
        <f t="shared" ref="M38:M43" si="27">J38*K38</f>
        <v>599440</v>
      </c>
    </row>
    <row r="39" spans="1:13" ht="30" x14ac:dyDescent="0.25">
      <c r="A39" s="1" t="str">
        <f t="shared" ref="A39:D39" si="28">A20</f>
        <v>ENQ-12472-22-23</v>
      </c>
      <c r="B39" s="51">
        <f t="shared" si="28"/>
        <v>45366</v>
      </c>
      <c r="C39" s="1" t="str">
        <f t="shared" si="28"/>
        <v>FA2900034</v>
      </c>
      <c r="D39" s="1" t="str">
        <f t="shared" si="28"/>
        <v>COVERED CONDUCTOR - 1 CORE X 80 SQ. MM. (AAAC) - 11 KV</v>
      </c>
      <c r="E39" s="3">
        <f t="shared" ref="E39:F43" si="29">ROUNDUP(E20/1000,2)</f>
        <v>125.86</v>
      </c>
      <c r="F39" s="64">
        <f t="shared" si="29"/>
        <v>4.5</v>
      </c>
      <c r="G39" s="9">
        <f t="shared" si="24"/>
        <v>130.36000000000001</v>
      </c>
      <c r="H39" s="7">
        <f t="shared" ref="H39:H43" si="30">H20</f>
        <v>0.18</v>
      </c>
      <c r="I39" s="9">
        <f t="shared" si="25"/>
        <v>23.4648</v>
      </c>
      <c r="J39" s="9">
        <f t="shared" si="26"/>
        <v>153.82480000000001</v>
      </c>
      <c r="K39" s="1">
        <f t="shared" ref="K39:K43" si="31">K20*1000</f>
        <v>6000</v>
      </c>
      <c r="L39" s="1" t="s">
        <v>216</v>
      </c>
      <c r="M39" s="3">
        <f t="shared" si="27"/>
        <v>922948.8</v>
      </c>
    </row>
    <row r="40" spans="1:13" ht="30" x14ac:dyDescent="0.25">
      <c r="A40" s="1" t="str">
        <f t="shared" ref="A40:D40" si="32">A21</f>
        <v>ENQ-12472-22-23</v>
      </c>
      <c r="B40" s="51">
        <f t="shared" si="32"/>
        <v>45366</v>
      </c>
      <c r="C40" s="1" t="str">
        <f t="shared" si="32"/>
        <v>FA2900004</v>
      </c>
      <c r="D40" s="1" t="str">
        <f t="shared" si="32"/>
        <v>COVERED CONDUCTOR - 1 CORE x 100 SQ. MM. (AAAC) - 11KV</v>
      </c>
      <c r="E40" s="3">
        <f t="shared" si="29"/>
        <v>147.57999999999998</v>
      </c>
      <c r="F40" s="64">
        <f t="shared" si="29"/>
        <v>1.01</v>
      </c>
      <c r="G40" s="9">
        <f t="shared" si="24"/>
        <v>148.58999999999997</v>
      </c>
      <c r="H40" s="7">
        <f t="shared" si="30"/>
        <v>0.18</v>
      </c>
      <c r="I40" s="9">
        <f t="shared" si="25"/>
        <v>26.746199999999995</v>
      </c>
      <c r="J40" s="9">
        <f t="shared" si="26"/>
        <v>175.33619999999996</v>
      </c>
      <c r="K40" s="1">
        <f t="shared" si="31"/>
        <v>321170</v>
      </c>
      <c r="L40" s="1" t="s">
        <v>216</v>
      </c>
      <c r="M40" s="3">
        <f t="shared" si="27"/>
        <v>56312727.353999987</v>
      </c>
    </row>
    <row r="41" spans="1:13" ht="30" x14ac:dyDescent="0.25">
      <c r="A41" s="1" t="str">
        <f t="shared" ref="A41:D41" si="33">A22</f>
        <v>ENQ-12472-22-23</v>
      </c>
      <c r="B41" s="51">
        <f t="shared" si="33"/>
        <v>45366</v>
      </c>
      <c r="C41" s="1" t="str">
        <f t="shared" si="33"/>
        <v>FA2900008</v>
      </c>
      <c r="D41" s="1" t="str">
        <f t="shared" si="33"/>
        <v>COVERED CONDUCTOR - 1 CORE X 99 SQ. MM. (AAAC) - 33 KV</v>
      </c>
      <c r="E41" s="3">
        <f t="shared" si="29"/>
        <v>166.92</v>
      </c>
      <c r="F41" s="64">
        <f t="shared" si="29"/>
        <v>1.98</v>
      </c>
      <c r="G41" s="9">
        <f t="shared" si="24"/>
        <v>168.89999999999998</v>
      </c>
      <c r="H41" s="7">
        <f t="shared" si="30"/>
        <v>0.18</v>
      </c>
      <c r="I41" s="9">
        <f t="shared" si="25"/>
        <v>30.401999999999994</v>
      </c>
      <c r="J41" s="9">
        <f t="shared" si="26"/>
        <v>199.30199999999996</v>
      </c>
      <c r="K41" s="1">
        <f t="shared" si="31"/>
        <v>41000</v>
      </c>
      <c r="L41" s="1" t="s">
        <v>216</v>
      </c>
      <c r="M41" s="3">
        <f t="shared" si="27"/>
        <v>8171381.9999999981</v>
      </c>
    </row>
    <row r="42" spans="1:13" ht="45" x14ac:dyDescent="0.25">
      <c r="A42" s="1" t="str">
        <f t="shared" ref="A42:D42" si="34">A23</f>
        <v>ENQ-12472-22-23</v>
      </c>
      <c r="B42" s="51">
        <f t="shared" si="34"/>
        <v>45366</v>
      </c>
      <c r="C42" s="1" t="str">
        <f t="shared" si="34"/>
        <v>FA2900014</v>
      </c>
      <c r="D42" s="1" t="str">
        <f t="shared" si="34"/>
        <v>COVERED CONDUCTOR - 1 CORE x 150 SQ. MM. (XLPE) (AAAC) - 33 KV</v>
      </c>
      <c r="E42" s="3">
        <f t="shared" si="29"/>
        <v>227.67</v>
      </c>
      <c r="F42" s="64">
        <f t="shared" si="29"/>
        <v>1.59</v>
      </c>
      <c r="G42" s="9">
        <f t="shared" si="24"/>
        <v>229.26</v>
      </c>
      <c r="H42" s="7">
        <f t="shared" si="30"/>
        <v>0.18</v>
      </c>
      <c r="I42" s="9">
        <f t="shared" si="25"/>
        <v>41.266799999999996</v>
      </c>
      <c r="J42" s="9">
        <f t="shared" si="26"/>
        <v>270.52679999999998</v>
      </c>
      <c r="K42" s="1">
        <f t="shared" si="31"/>
        <v>119467</v>
      </c>
      <c r="L42" s="1" t="s">
        <v>216</v>
      </c>
      <c r="M42" s="3">
        <f t="shared" si="27"/>
        <v>32319025.215599999</v>
      </c>
    </row>
    <row r="43" spans="1:13" ht="30" x14ac:dyDescent="0.25">
      <c r="A43" s="1" t="str">
        <f t="shared" ref="A43:D43" si="35">A24</f>
        <v>ENQ-12472-22-23</v>
      </c>
      <c r="B43" s="51">
        <f t="shared" si="35"/>
        <v>45366</v>
      </c>
      <c r="C43" s="1" t="str">
        <f t="shared" si="35"/>
        <v>FA2900032</v>
      </c>
      <c r="D43" s="1" t="str">
        <f t="shared" si="35"/>
        <v>COVERED CONDUCTOR - 1 CORE X 232 SQ. MM. (AAAC) - 33 KV</v>
      </c>
      <c r="E43" s="3">
        <f t="shared" si="29"/>
        <v>324.32</v>
      </c>
      <c r="F43" s="64">
        <f t="shared" si="29"/>
        <v>3.06</v>
      </c>
      <c r="G43" s="9">
        <f t="shared" si="24"/>
        <v>327.38</v>
      </c>
      <c r="H43" s="7">
        <f t="shared" si="30"/>
        <v>0.18</v>
      </c>
      <c r="I43" s="9">
        <f t="shared" si="25"/>
        <v>58.928399999999996</v>
      </c>
      <c r="J43" s="9">
        <f t="shared" si="26"/>
        <v>386.30840000000001</v>
      </c>
      <c r="K43" s="1">
        <f t="shared" si="31"/>
        <v>150000</v>
      </c>
      <c r="L43" s="1" t="s">
        <v>216</v>
      </c>
      <c r="M43" s="3">
        <f t="shared" si="27"/>
        <v>57946260</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7:G32" xr:uid="{D4025141-32C4-41A5-920A-311554C59A89}">
      <formula1>$Q$4:$Q$6</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2024-03-15T10:29:24Z</dcterms:modified>
</cp:coreProperties>
</file>