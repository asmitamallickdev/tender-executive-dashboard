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430"/>
  <workbookPr defaultThemeVersion="124226"/>
  <mc:AlternateContent xmlns:mc="http://schemas.openxmlformats.org/markup-compatibility/2006">
    <mc:Choice Requires="x15">
      <x15ac:absPath xmlns:x15ac="http://schemas.microsoft.com/office/spreadsheetml/2010/11/ac" url="E:\working\2023-24\12_DECEMBER 2023\WBSEDCL-P-46-4CORE-11781\"/>
    </mc:Choice>
  </mc:AlternateContent>
  <xr:revisionPtr revIDLastSave="0" documentId="13_ncr:1_{23A96C71-41D9-465B-B7E1-2CDA68A5E1D8}" xr6:coauthVersionLast="47" xr6:coauthVersionMax="47" xr10:uidLastSave="{00000000-0000-0000-0000-000000000000}"/>
  <bookViews>
    <workbookView xWindow="-120" yWindow="-120" windowWidth="29040" windowHeight="15840" firstSheet="1" activeTab="1" xr2:uid="{00000000-000D-0000-FFFF-FFFF00000000}"/>
  </bookViews>
  <sheets>
    <sheet name="Sheet1" sheetId="1" state="hidden" r:id="rId1"/>
    <sheet name="AUTO CALCULATION SHEET (2)" sheetId="4" r:id="rId2"/>
    <sheet name="PV ON IS" sheetId="5" r:id="rId3"/>
  </sheets>
  <definedNames>
    <definedName name="_xlnm._FilterDatabase" localSheetId="0" hidden="1">Sheet1!$A$1:$CU$1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D21" i="5" l="1"/>
  <c r="AD20" i="5"/>
  <c r="AC21" i="5"/>
  <c r="AC20" i="5"/>
  <c r="AB21" i="5"/>
  <c r="AB20" i="5"/>
  <c r="Z21" i="5"/>
  <c r="Z20" i="5"/>
  <c r="T21" i="5"/>
  <c r="T20" i="5"/>
  <c r="S21" i="5"/>
  <c r="S20" i="5"/>
  <c r="R21" i="5"/>
  <c r="R20" i="5"/>
  <c r="Q21" i="5"/>
  <c r="Q20" i="5"/>
  <c r="P21" i="5"/>
  <c r="P20" i="5"/>
  <c r="AA21" i="5" l="1"/>
  <c r="AA20" i="5"/>
  <c r="A14" i="5"/>
  <c r="A13" i="5"/>
  <c r="U21" i="5"/>
  <c r="V21" i="5"/>
  <c r="W21" i="5"/>
  <c r="X21" i="5"/>
  <c r="Y21" i="5"/>
  <c r="Y20" i="5"/>
  <c r="X20" i="5"/>
  <c r="W20" i="5"/>
  <c r="V20" i="5"/>
  <c r="U20" i="5"/>
  <c r="AX19" i="4"/>
  <c r="AO19" i="4"/>
  <c r="AH19" i="4"/>
  <c r="N19" i="4"/>
  <c r="H21" i="5"/>
  <c r="H20" i="5"/>
  <c r="J24" i="4" l="1"/>
  <c r="J23" i="4"/>
  <c r="BY19" i="4" l="1"/>
  <c r="BY20" i="4"/>
  <c r="BY17" i="4"/>
  <c r="A19" i="4" l="1"/>
  <c r="B19" i="4"/>
  <c r="C19" i="4"/>
  <c r="D19" i="4"/>
  <c r="H19" i="4"/>
  <c r="K19" i="4"/>
  <c r="E23" i="4" s="1"/>
  <c r="K23" i="4" s="1"/>
  <c r="M23" i="4" s="1"/>
  <c r="L19" i="4"/>
  <c r="O19" i="4"/>
  <c r="P19" i="4"/>
  <c r="Q19" i="4"/>
  <c r="R19" i="4"/>
  <c r="S19" i="4"/>
  <c r="T19" i="4"/>
  <c r="U19" i="4"/>
  <c r="V19" i="4"/>
  <c r="W19" i="4"/>
  <c r="X19" i="4"/>
  <c r="Y19" i="4"/>
  <c r="Z19" i="4"/>
  <c r="AA19" i="4"/>
  <c r="AB19" i="4"/>
  <c r="AC19" i="4"/>
  <c r="AD19" i="4"/>
  <c r="AE19" i="4"/>
  <c r="AF19" i="4"/>
  <c r="AG19" i="4"/>
  <c r="AI19" i="4"/>
  <c r="AJ19" i="4"/>
  <c r="AK19" i="4"/>
  <c r="AL19" i="4"/>
  <c r="AM19" i="4"/>
  <c r="AN19" i="4"/>
  <c r="AP19" i="4"/>
  <c r="AQ19" i="4"/>
  <c r="AR19" i="4"/>
  <c r="AS19" i="4"/>
  <c r="AT19" i="4"/>
  <c r="AU19" i="4"/>
  <c r="AV19" i="4"/>
  <c r="AW19" i="4"/>
  <c r="AY19" i="4"/>
  <c r="AZ19" i="4"/>
  <c r="BA19" i="4"/>
  <c r="BB19" i="4"/>
  <c r="BC19" i="4"/>
  <c r="BD19" i="4"/>
  <c r="BE19" i="4"/>
  <c r="BF19" i="4"/>
  <c r="BG19" i="4"/>
  <c r="BH19" i="4"/>
  <c r="BI19" i="4"/>
  <c r="BJ19" i="4"/>
  <c r="BK19" i="4"/>
  <c r="BL19" i="4"/>
  <c r="BM19" i="4"/>
  <c r="BN19" i="4"/>
  <c r="BO19" i="4"/>
  <c r="BP19" i="4"/>
  <c r="BQ19" i="4"/>
  <c r="BR19" i="4"/>
  <c r="BS19" i="4"/>
  <c r="BT19" i="4"/>
  <c r="BU19" i="4"/>
  <c r="BV19" i="4"/>
  <c r="BW19" i="4"/>
  <c r="BX19" i="4"/>
  <c r="BZ19" i="4"/>
  <c r="CB19" i="4"/>
  <c r="A20" i="5" l="1"/>
  <c r="D23" i="4"/>
  <c r="L23" i="4"/>
  <c r="F19" i="4"/>
  <c r="B20" i="4"/>
  <c r="BX20" i="4" l="1"/>
  <c r="BW20" i="4"/>
  <c r="BX17" i="4"/>
  <c r="BW17" i="4"/>
  <c r="BV20" i="4"/>
  <c r="BV17" i="4"/>
  <c r="B17" i="4"/>
  <c r="T18" i="4" l="1"/>
  <c r="S18" i="4"/>
  <c r="AB20" i="4" l="1"/>
  <c r="AA20" i="4"/>
  <c r="Z20" i="4"/>
  <c r="Y20" i="4"/>
  <c r="X20" i="4"/>
  <c r="W20" i="4"/>
  <c r="V20" i="4"/>
  <c r="U20" i="4"/>
  <c r="T20" i="4"/>
  <c r="S20" i="4"/>
  <c r="BU20" i="4"/>
  <c r="BT20" i="4"/>
  <c r="BS20" i="4"/>
  <c r="BR20" i="4"/>
  <c r="BQ20" i="4"/>
  <c r="BP20" i="4"/>
  <c r="BO20" i="4"/>
  <c r="BN20" i="4"/>
  <c r="BS18" i="4"/>
  <c r="BT18" i="4"/>
  <c r="BU18" i="4"/>
  <c r="BR18" i="4"/>
  <c r="BQ18" i="4"/>
  <c r="BP18" i="4"/>
  <c r="BN18" i="4"/>
  <c r="BO18" i="4"/>
  <c r="BM18" i="4"/>
  <c r="BM20" i="4"/>
  <c r="BL20" i="4"/>
  <c r="BK20" i="4"/>
  <c r="BJ20" i="4"/>
  <c r="BI20" i="4"/>
  <c r="BH20" i="4"/>
  <c r="BG20" i="4"/>
  <c r="BF20" i="4"/>
  <c r="BE20" i="4"/>
  <c r="BD20" i="4"/>
  <c r="BC20" i="4"/>
  <c r="BL18" i="4"/>
  <c r="BK18" i="4"/>
  <c r="BJ18" i="4"/>
  <c r="BH18" i="4"/>
  <c r="BG18" i="4"/>
  <c r="BF18" i="4"/>
  <c r="BE18" i="4"/>
  <c r="BD18" i="4"/>
  <c r="BC18" i="4"/>
  <c r="BB20" i="4"/>
  <c r="BA20" i="4"/>
  <c r="AZ20" i="4"/>
  <c r="AY20" i="4"/>
  <c r="AX20" i="4"/>
  <c r="AW20" i="4"/>
  <c r="AV20" i="4"/>
  <c r="AU20" i="4"/>
  <c r="AT20" i="4"/>
  <c r="AS20" i="4"/>
  <c r="BB18" i="4"/>
  <c r="BA18" i="4"/>
  <c r="AZ18" i="4"/>
  <c r="AY18" i="4"/>
  <c r="AW18" i="4"/>
  <c r="AV18" i="4"/>
  <c r="AU18" i="4"/>
  <c r="AT18" i="4"/>
  <c r="AS18" i="4"/>
  <c r="AR18" i="4"/>
  <c r="AR20" i="4"/>
  <c r="AQ20" i="4"/>
  <c r="AP20" i="4"/>
  <c r="AO20" i="4"/>
  <c r="AN20" i="4"/>
  <c r="AM20" i="4"/>
  <c r="AL20" i="4"/>
  <c r="AQ18" i="4"/>
  <c r="AP18" i="4"/>
  <c r="AN18" i="4"/>
  <c r="AM18" i="4"/>
  <c r="AL18" i="4"/>
  <c r="AK18" i="4"/>
  <c r="AK20" i="4"/>
  <c r="AJ20" i="4"/>
  <c r="AI20" i="4"/>
  <c r="AH20" i="4"/>
  <c r="AG20" i="4"/>
  <c r="AF20" i="4"/>
  <c r="AE20" i="4"/>
  <c r="AJ18" i="4"/>
  <c r="AI18" i="4"/>
  <c r="AE18" i="4"/>
  <c r="AG18" i="4"/>
  <c r="AF18" i="4"/>
  <c r="AD18" i="4"/>
  <c r="AD20" i="4"/>
  <c r="AC20" i="4"/>
  <c r="AC18" i="4"/>
  <c r="AB18" i="4" l="1"/>
  <c r="AA18" i="4"/>
  <c r="Z18" i="4"/>
  <c r="Y18" i="4"/>
  <c r="X18" i="4"/>
  <c r="W18" i="4"/>
  <c r="V18" i="4"/>
  <c r="U18" i="4"/>
  <c r="R18" i="4" l="1"/>
  <c r="Q18" i="4"/>
  <c r="P18" i="4"/>
  <c r="O18" i="4"/>
  <c r="N20" i="4"/>
  <c r="R20" i="4"/>
  <c r="Q20" i="4"/>
  <c r="P20" i="4"/>
  <c r="O20" i="4"/>
  <c r="N16" i="4"/>
  <c r="L20" i="4"/>
  <c r="K20" i="4"/>
  <c r="E24" i="4" s="1"/>
  <c r="K24" i="4" s="1"/>
  <c r="M24" i="4" s="1"/>
  <c r="H20" i="4"/>
  <c r="CB20" i="4"/>
  <c r="BZ20" i="4"/>
  <c r="D20" i="4"/>
  <c r="C20" i="4"/>
  <c r="A20" i="4"/>
  <c r="A21" i="5" l="1"/>
  <c r="D24" i="4"/>
  <c r="L24" i="4"/>
  <c r="F20" i="4"/>
  <c r="CA19" i="4"/>
  <c r="CA20" i="4"/>
  <c r="CE19" i="4" l="1"/>
  <c r="CG19" i="4"/>
  <c r="CC19" i="4"/>
  <c r="CC20" i="4"/>
  <c r="CE20" i="4"/>
  <c r="CG20" i="4"/>
  <c r="CH19" i="4" l="1"/>
  <c r="CL19" i="4" s="1"/>
  <c r="CH20" i="4"/>
  <c r="CJ19" i="4" l="1"/>
  <c r="E19" i="4"/>
  <c r="B13" i="5" s="1"/>
  <c r="CJ20" i="4"/>
  <c r="CL20" i="4"/>
  <c r="G19" i="4" l="1"/>
  <c r="I19" i="4" s="1"/>
  <c r="J19" i="4" s="1"/>
  <c r="M19" i="4" s="1"/>
  <c r="O20" i="5"/>
  <c r="E20" i="4"/>
  <c r="B14" i="5" s="1"/>
  <c r="AH20" i="5" l="1"/>
  <c r="O21" i="5"/>
  <c r="G20" i="4"/>
  <c r="I20" i="4" s="1"/>
  <c r="J20" i="4" s="1"/>
  <c r="M20" i="4" s="1"/>
  <c r="AH21"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22" authorId="0" shapeId="0" xr:uid="{00000000-0006-0000-0100-000001000000}">
      <text>
        <r>
          <rPr>
            <b/>
            <sz val="9"/>
            <color indexed="81"/>
            <rFont val="Tahoma"/>
            <family val="2"/>
          </rPr>
          <t>Author:</t>
        </r>
        <r>
          <rPr>
            <sz val="9"/>
            <color indexed="81"/>
            <rFont val="Tahoma"/>
            <family val="2"/>
          </rPr>
          <t xml:space="preserve">
Take from BI BOM Master</t>
        </r>
      </text>
    </comment>
  </commentList>
</comments>
</file>

<file path=xl/sharedStrings.xml><?xml version="1.0" encoding="utf-8"?>
<sst xmlns="http://schemas.openxmlformats.org/spreadsheetml/2006/main" count="312" uniqueCount="235">
  <si>
    <t>DOCKET NO.</t>
  </si>
  <si>
    <t>ITEM CODE</t>
  </si>
  <si>
    <t>PROPOSE ERP ITEM NAME</t>
  </si>
  <si>
    <t>Insulation Screening (Metallic)</t>
  </si>
  <si>
    <t>Weight (Insulation Screening (Metallic))</t>
  </si>
  <si>
    <t>COST(Insulation Screening (Metallic))</t>
  </si>
  <si>
    <t>Conductor</t>
  </si>
  <si>
    <t>WEIGHT(Conductor)</t>
  </si>
  <si>
    <t>COST(Conductor)</t>
  </si>
  <si>
    <t>AL ALLOY</t>
  </si>
  <si>
    <t>WEIGHT(Alu Alloy)</t>
  </si>
  <si>
    <t>COST(Alu Alloy)</t>
  </si>
  <si>
    <t>Insulation Screening (Non-Metallic)</t>
  </si>
  <si>
    <t>WEIGHT(Insulation Screening (Non-Metallic))</t>
  </si>
  <si>
    <t>COST(Insulation Screening (Non-Metallic))</t>
  </si>
  <si>
    <t>Insulation</t>
  </si>
  <si>
    <t>WEIGHT(Insulation)</t>
  </si>
  <si>
    <t>COST(Insulation)</t>
  </si>
  <si>
    <t>POLY TAPE</t>
  </si>
  <si>
    <t>WEIGHT (Poly Tape)</t>
  </si>
  <si>
    <t>COST(Poly Tape)</t>
  </si>
  <si>
    <t>Inner Sheath</t>
  </si>
  <si>
    <t>WEIGHT(Inner Sheath)</t>
  </si>
  <si>
    <t>COST(Inner Sheath)</t>
  </si>
  <si>
    <t>Armouring</t>
  </si>
  <si>
    <t>WEIGHT(Armouring)</t>
  </si>
  <si>
    <t>COST(Armouring)</t>
  </si>
  <si>
    <t>Outer Sheath</t>
  </si>
  <si>
    <t>WEIGHT(Outer Sheath)</t>
  </si>
  <si>
    <t>COST(Outer Sheath)</t>
  </si>
  <si>
    <t>FILLER</t>
  </si>
  <si>
    <t>WEIGHT(Filler)</t>
  </si>
  <si>
    <t>COST(Filler)</t>
  </si>
  <si>
    <t>GREASE</t>
  </si>
  <si>
    <t>WEIGHT(Grease)</t>
  </si>
  <si>
    <t>COST(Grease)</t>
  </si>
  <si>
    <t>Water swellable Tape</t>
  </si>
  <si>
    <t>WEIGHT(Water swellable Tape)</t>
  </si>
  <si>
    <t>COST(Water swellable Tape)</t>
  </si>
  <si>
    <t>Semi conducting Water Swellable tape</t>
  </si>
  <si>
    <t>WEIGHT(Semi conducting Water Swellable tape)</t>
  </si>
  <si>
    <t>COST(Semi conducting Water Swellable tape)</t>
  </si>
  <si>
    <t>SEMICON TAPE</t>
  </si>
  <si>
    <t>WEIGHT(SEMICON TAPE)</t>
  </si>
  <si>
    <t>COST(SEMICON TAPE)</t>
  </si>
  <si>
    <t>GLASS FIBER TAPE</t>
  </si>
  <si>
    <t>WEIGHT(GLASS FIBER TAPE)</t>
  </si>
  <si>
    <t>COST(GLASS FIBER TAPE)</t>
  </si>
  <si>
    <t>COPPER WIRE 0.8 MM</t>
  </si>
  <si>
    <t>WEIGHT(COPPER WIRE 0.8 MM)</t>
  </si>
  <si>
    <t>COST(COPPER WIRE 0.8 MM)</t>
  </si>
  <si>
    <t>RUBBERIZED COTTON TAPE</t>
  </si>
  <si>
    <t>WEIGHT(RUBBERIZED COTTON TAPE)</t>
  </si>
  <si>
    <t>COST(RUBBERIZED COTTON TAPE)</t>
  </si>
  <si>
    <t>Water Tight Compound</t>
  </si>
  <si>
    <t>WEIGHT(Water Tight Compound)</t>
  </si>
  <si>
    <t>COST(Water Tight Compound)</t>
  </si>
  <si>
    <t>DRUM COST PER KM</t>
  </si>
  <si>
    <t>TOTAL RM COST</t>
  </si>
  <si>
    <t>FIRM %</t>
  </si>
  <si>
    <t>FIRM VALUE</t>
  </si>
  <si>
    <t>MFG%</t>
  </si>
  <si>
    <t>MFG VALUE</t>
  </si>
  <si>
    <t>PROF%</t>
  </si>
  <si>
    <t>PROFIT VALUE</t>
  </si>
  <si>
    <t>1ST EX-WORKS</t>
  </si>
  <si>
    <t>Intt %</t>
  </si>
  <si>
    <t>INTT VALUE</t>
  </si>
  <si>
    <t>insp%</t>
  </si>
  <si>
    <t>INSP VALUE</t>
  </si>
  <si>
    <t>EX-WORKS (PER KM)</t>
  </si>
  <si>
    <t>FREIGHT PER KM</t>
  </si>
  <si>
    <t>PRICE INCLUDING FREIGHT (PER KM)</t>
  </si>
  <si>
    <t>GST %</t>
  </si>
  <si>
    <t>GST VALUE</t>
  </si>
  <si>
    <t>PRICE INCLUDING GST &amp; FREIGHT (PER KM)</t>
  </si>
  <si>
    <t>QTY</t>
  </si>
  <si>
    <t>Unit</t>
  </si>
  <si>
    <t>TOTAL PRICE OF FULL QTY (INCLUDING FRIGHT &amp; GST)</t>
  </si>
  <si>
    <t>EXTRA CONSUMPTION</t>
  </si>
  <si>
    <t>Alumimium</t>
  </si>
  <si>
    <t>ACSR DOG STEEL WIRE</t>
  </si>
  <si>
    <t>Copper</t>
  </si>
  <si>
    <t>Flexible Copper</t>
  </si>
  <si>
    <t>Galvanized steel wire</t>
  </si>
  <si>
    <t>Alumimium ALLOY</t>
  </si>
  <si>
    <t>LT-XLPE</t>
  </si>
  <si>
    <t>PVC Type ST-2</t>
  </si>
  <si>
    <t>Galvanised Steel Flat Strip</t>
  </si>
  <si>
    <t>Grease</t>
  </si>
  <si>
    <t>HT-XLPE</t>
  </si>
  <si>
    <t>Extruded semiconductive</t>
  </si>
  <si>
    <t>Coper tape - 0.1 mm</t>
  </si>
  <si>
    <t>FR PVC Type ST-1</t>
  </si>
  <si>
    <t>ACSR CORE WIRE</t>
  </si>
  <si>
    <t>Extruded Semiconductive(Stripable)</t>
  </si>
  <si>
    <t>Copper Tape - 0.03 mm</t>
  </si>
  <si>
    <t>FR PVC Type ST-2</t>
  </si>
  <si>
    <t>TR XLPE</t>
  </si>
  <si>
    <t>Copper Tape - 0.035 mm</t>
  </si>
  <si>
    <t>FRLSH PVC Type ST-2</t>
  </si>
  <si>
    <t>Aluminium Flat Strip</t>
  </si>
  <si>
    <t>FRLSH PVC Type ST-1</t>
  </si>
  <si>
    <t>Type A PVC</t>
  </si>
  <si>
    <t>Copper Tape - 0.04 mm</t>
  </si>
  <si>
    <t>PVC Type ST-1</t>
  </si>
  <si>
    <t>Aluminium Round Wire</t>
  </si>
  <si>
    <t>Type C PVC (HR)</t>
  </si>
  <si>
    <t>Copper Tape - 0.045 mm</t>
  </si>
  <si>
    <t>PVC Type ST-1-PRESSURE EXTRUDED</t>
  </si>
  <si>
    <t>PE, ST-3</t>
  </si>
  <si>
    <t>XLPE</t>
  </si>
  <si>
    <t>Copper Tape - 0.050 mm</t>
  </si>
  <si>
    <t>Double Steel Tape</t>
  </si>
  <si>
    <t>PE, ST-7</t>
  </si>
  <si>
    <t>Copper Tape - 0.060 mm</t>
  </si>
  <si>
    <t>PVC Type ST-2-PRESSURE EXTRUDED</t>
  </si>
  <si>
    <t>Copper Tape - 0.075 mm(DOUBLE)</t>
  </si>
  <si>
    <t>Galvanised Steel Flat Strip (Double)</t>
  </si>
  <si>
    <t>Galvanised Steel Flat Strip-B</t>
  </si>
  <si>
    <t>Galvanised Steel Round Wire</t>
  </si>
  <si>
    <t>UV &amp; Track Resistant XLPE</t>
  </si>
  <si>
    <t>Galvanised Steel Round Wire (Double)</t>
  </si>
  <si>
    <t>EXTRA CONSUMPTION VALUE</t>
  </si>
  <si>
    <t>REVERSE AUCTION</t>
  </si>
  <si>
    <t>TENDER SPECIFICATION NO ()</t>
  </si>
  <si>
    <t>TENDER DESCRIPTION  ()</t>
  </si>
  <si>
    <t>Last Date &amp; Time of Submission ()</t>
  </si>
  <si>
    <t>Price ()</t>
  </si>
  <si>
    <t>Validity  ()</t>
  </si>
  <si>
    <t>Delivery Period  ()</t>
  </si>
  <si>
    <t>Payment Terms ()</t>
  </si>
  <si>
    <t>Standard length ()</t>
  </si>
  <si>
    <t>Packing  ()</t>
  </si>
  <si>
    <t>Technical Specification</t>
  </si>
  <si>
    <t>Base Date</t>
  </si>
  <si>
    <t>PROPOSE DRUM TYPE</t>
  </si>
  <si>
    <t>DRUM CODE</t>
  </si>
  <si>
    <t>DRUM SIZE (FxbXtx Ft)</t>
  </si>
  <si>
    <t>WEST BENGAL STATE ELECTRICITY DISTRIBUTION COMPANY LIMITED</t>
  </si>
  <si>
    <t>The offer against tender should remain valid for a minimum period of 120 days from the next day of opening of the tender. However, WBSEDCL may, on the merit of case, request for extension of validity of the offer for a further suitable period without any change in terms &amp; conditions of the offer.</t>
  </si>
  <si>
    <t xml:space="preserve">PARTY STANDARD LENGTH (MTR) </t>
  </si>
  <si>
    <t>FA0900014</t>
  </si>
  <si>
    <t>4 CORE X 25 SQ. MM. AL/ARD - STRIP (PVC)</t>
  </si>
  <si>
    <t>WOOD</t>
  </si>
  <si>
    <t>KMS</t>
  </si>
  <si>
    <t>MD0100066</t>
  </si>
  <si>
    <t>DRUM - 40 X 15 X 23 X 2</t>
  </si>
  <si>
    <t>FA0900011</t>
  </si>
  <si>
    <t>4 CORE X 10 SQ. MM. AL/ARD - STRIP (PVC)</t>
  </si>
  <si>
    <t>MD0100005</t>
  </si>
  <si>
    <t>DRUM - 36 X 14 X 23 X 2</t>
  </si>
  <si>
    <t xml:space="preserve">Order Quantity </t>
  </si>
  <si>
    <t>Stnd Length</t>
  </si>
  <si>
    <t>Truck type</t>
  </si>
  <si>
    <t xml:space="preserve">Fare of one truck </t>
  </si>
  <si>
    <t>No of Drum in one truck</t>
  </si>
  <si>
    <t>Total length in one Truck</t>
  </si>
  <si>
    <t xml:space="preserve">No of Truck </t>
  </si>
  <si>
    <t>Total Freight</t>
  </si>
  <si>
    <t>Freight per KM</t>
  </si>
  <si>
    <t>16 MT</t>
  </si>
  <si>
    <t>PV Terms(Price Variation Formula)</t>
  </si>
  <si>
    <t>PV FORMULA</t>
  </si>
  <si>
    <t>P = Po + ALF ( Al – Alo ) + CCFAI (Cc – Cco) +FeF (Fe – Feo)</t>
  </si>
  <si>
    <t>Alf</t>
  </si>
  <si>
    <t>Variation factor for aluminum.</t>
  </si>
  <si>
    <t>CCFAI</t>
  </si>
  <si>
    <t>Variation factor for PVC compound/Polymer for aluminum conductor cable.</t>
  </si>
  <si>
    <t>Fef</t>
  </si>
  <si>
    <t>Variation factor for steel</t>
  </si>
  <si>
    <t>Item</t>
  </si>
  <si>
    <t>Ex-Work</t>
  </si>
  <si>
    <t>Calculation part</t>
  </si>
  <si>
    <t>Date of Inspection</t>
  </si>
  <si>
    <t>Applicable Date</t>
  </si>
  <si>
    <t>BASE DATE</t>
  </si>
  <si>
    <t>FACTORS</t>
  </si>
  <si>
    <t>Ex-Work
Po</t>
  </si>
  <si>
    <t>PVC of al</t>
  </si>
  <si>
    <t>PVC OF PVC</t>
  </si>
  <si>
    <t>PVC OF FE</t>
  </si>
  <si>
    <t>PV/PKM</t>
  </si>
  <si>
    <t>Billing Price/PKM</t>
  </si>
  <si>
    <t>VALUE ADDITION CALCULATION</t>
  </si>
  <si>
    <t>Date</t>
  </si>
  <si>
    <t>Al</t>
  </si>
  <si>
    <t>Cc</t>
  </si>
  <si>
    <t>Fe</t>
  </si>
  <si>
    <t>Alo</t>
  </si>
  <si>
    <t>Cco</t>
  </si>
  <si>
    <t>Feo</t>
  </si>
  <si>
    <t>FeF</t>
  </si>
  <si>
    <t xml:space="preserve">TYPE A PVC </t>
  </si>
  <si>
    <t>I/S PVC Type ST-1</t>
  </si>
  <si>
    <t>GI FLAT STRIP</t>
  </si>
  <si>
    <t>O/s PVC Type ST-1</t>
  </si>
  <si>
    <t>RMC</t>
  </si>
  <si>
    <t xml:space="preserve">Drum </t>
  </si>
  <si>
    <t>RMC+Drum</t>
  </si>
  <si>
    <t>VA</t>
  </si>
  <si>
    <t>Groos VA%</t>
  </si>
  <si>
    <t>Mfg %</t>
  </si>
  <si>
    <t>Int %</t>
  </si>
  <si>
    <t>Ins%</t>
  </si>
  <si>
    <t>Net VA</t>
  </si>
  <si>
    <t>P-46/2023-24/PC-III/PVC</t>
  </si>
  <si>
    <t>The price is Variable as per PV Formula of IEEMA with base date 01.10.2023.</t>
  </si>
  <si>
    <t>through electronic tendering (etendering) process followed by Reverse Auction (Tender cum Auction)</t>
  </si>
  <si>
    <t>19.12.2023 up to 14.00 Hrs</t>
  </si>
  <si>
    <t>LT POWER CABLE TENDER</t>
  </si>
  <si>
    <t>90% payment inclusive of Price Variation bill, along with 100% taxes and duties will be made within 45 (forty five) days from the date of submission of bill against :
e) Original receipted Challan/Invoice signed by an officer in the rank of Superintending Engineer/Asstt. Manager/Jr. Manager(Stores) attached to the respective stores. And
f) Report for in-house testing, if done after delivery of the items at different site stores signed by the Engineers of Dist. Testing Department.
g) Balance 10% payment will be made within 45 (forty five) days of submission of bills along with SRV.</t>
  </si>
  <si>
    <t>The date of receipt of offer for inspection of the materials/ equipment along with works test certificate will be treated as the date of delivery of that particular lot provided the materials pass in inspection and testing. Delay in offer beyond the delivery schedule to be incorporated in the order shall attract imposition of L.D. as per L.D. Clause. The materials should reach the destination store within.
a. 21 working days from the date of issue of the Dispatch Instruction for the manufacturer located outside state.
b. 10 working days from the date of issue of the Dispatch Instruction for the manufacturer located within West Bengal. Otherwise L.D. will be levied as per L.D. Clause.
Delay beyond the date of delivery as per schedule of Purchase order shall attract imposition of L.D. as per L.D. Clause.</t>
  </si>
  <si>
    <t>The Cable shall be supplied in non-returnable wooden drums having drum length as mentioned below with tolerance of + 5% per drum subject to overall maximum minus (-) 1% on total delivered quantity will be accepted.</t>
  </si>
  <si>
    <t>1.1 KV PVC Cable 4 Core 10 sq. mm - 500 + 5%
1.1 KV PVC Cable 4 Core 25 sq. mm - 500 + 5%</t>
  </si>
  <si>
    <r>
      <t xml:space="preserve">The price is Variable as per PV Formula of IEEMA with base date </t>
    </r>
    <r>
      <rPr>
        <b/>
        <sz val="14"/>
        <rFont val="Calibri"/>
        <family val="2"/>
        <scheme val="minor"/>
      </rPr>
      <t>01.10.2023</t>
    </r>
    <r>
      <rPr>
        <sz val="14"/>
        <rFont val="Calibri"/>
        <family val="2"/>
        <scheme val="minor"/>
      </rPr>
      <t>.</t>
    </r>
  </si>
  <si>
    <t>RM RATE (Insulation Screening (Metallic))</t>
  </si>
  <si>
    <t>RM RATE(Conductor)</t>
  </si>
  <si>
    <t>RM RATE(Alu Alloy)</t>
  </si>
  <si>
    <t>RM RATE(Insulation Screening (Non-Metallic))</t>
  </si>
  <si>
    <t>RM RATE(Insulation)</t>
  </si>
  <si>
    <t>RM RATE (Poly Tape)</t>
  </si>
  <si>
    <t>RM RATE(Inner Sheath)</t>
  </si>
  <si>
    <t>RM RATE(Armouring)</t>
  </si>
  <si>
    <t>RM RATE(Outer Sheath)</t>
  </si>
  <si>
    <t>RM RATE(Filler)</t>
  </si>
  <si>
    <t>RM RATE(Grease)</t>
  </si>
  <si>
    <t>RM RATE(Water swellable Tape)</t>
  </si>
  <si>
    <t>RM RATE(Semi conducting Water Swellable tape)</t>
  </si>
  <si>
    <t>RM RATE(SEMICON TAPE)</t>
  </si>
  <si>
    <t>RM RATE(GLASS FIBER TAPE)</t>
  </si>
  <si>
    <t>RM RATE(COPPER WIRE 0.8 MM)</t>
  </si>
  <si>
    <t>RM RATE(RUBBERIZED COTTON TAPE)</t>
  </si>
  <si>
    <t>RM RATE(Water Tight Compound)</t>
  </si>
  <si>
    <t>ENQ-11781-22-23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</si>
</sst>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_ * #,##0.00_ ;_ * \-#,##0.00_ ;_ * &quot;-&quot;??_ ;_ @_ "/>
    <numFmt numFmtId="165" formatCode="0.000%"/>
    <numFmt numFmtId="166" formatCode="0.0000"/>
    <numFmt numFmtId="167" formatCode="&quot;Rs. &quot;#,##0.00"/>
    <numFmt numFmtId="168" formatCode="&quot;Rs.&quot;#,##0"/>
    <numFmt numFmtId="169" formatCode="0.0"/>
    <numFmt numFmtId="170" formatCode="0.000"/>
  </numFmts>
  <fonts count="24"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1"/>
      <color rgb="FF000000"/>
      <name val="Calibri"/>
      <family val="2"/>
      <scheme val="minor"/>
    </font>
    <font>
      <sz val="11"/>
      <color indexed="8"/>
      <name val="Calibri"/>
      <family val="2"/>
      <scheme val="minor"/>
    </font>
    <font>
      <sz val="10"/>
      <color rgb="FF000000"/>
      <name val="Arial"/>
      <family val="2"/>
    </font>
    <font>
      <sz val="10"/>
      <color rgb="FF000000"/>
      <name val="Arial"/>
      <family val="2"/>
    </font>
    <font>
      <sz val="14"/>
      <color theme="1"/>
      <name val="Arial Black"/>
      <family val="2"/>
    </font>
    <font>
      <sz val="11"/>
      <name val="Calibri"/>
      <family val="2"/>
      <scheme val="minor"/>
    </font>
    <font>
      <sz val="10"/>
      <name val="Verdana"/>
      <family val="2"/>
    </font>
    <font>
      <sz val="10"/>
      <name val="Arial"/>
      <family val="2"/>
    </font>
    <font>
      <b/>
      <sz val="9"/>
      <color indexed="81"/>
      <name val="Tahoma"/>
      <family val="2"/>
    </font>
    <font>
      <sz val="9"/>
      <color indexed="81"/>
      <name val="Tahoma"/>
      <family val="2"/>
    </font>
    <font>
      <b/>
      <sz val="10"/>
      <name val="Verdana"/>
      <family val="2"/>
    </font>
    <font>
      <b/>
      <sz val="10"/>
      <name val="Calibri"/>
      <family val="2"/>
      <scheme val="minor"/>
    </font>
    <font>
      <sz val="10"/>
      <name val="Calibri"/>
      <family val="2"/>
      <scheme val="minor"/>
    </font>
    <font>
      <b/>
      <sz val="11"/>
      <name val="Calibri"/>
      <family val="2"/>
      <scheme val="minor"/>
    </font>
    <font>
      <sz val="14"/>
      <name val="Calibri"/>
      <family val="2"/>
      <scheme val="minor"/>
    </font>
    <font>
      <b/>
      <sz val="14"/>
      <name val="Calibri"/>
      <family val="2"/>
      <scheme val="minor"/>
    </font>
    <font>
      <b/>
      <sz val="10"/>
      <color rgb="FF000000"/>
      <name val="Arial"/>
      <family val="2"/>
    </font>
    <font>
      <b/>
      <sz val="10"/>
      <name val="Arial"/>
      <family val="2"/>
    </font>
    <font>
      <sz val="10"/>
      <color rgb="FFFF0000"/>
      <name val="Calibri"/>
      <family val="2"/>
      <scheme val="minor"/>
    </font>
  </fonts>
  <fills count="10">
    <fill>
      <patternFill patternType="none"/>
    </fill>
    <fill>
      <patternFill patternType="gray125"/>
    </fill>
    <fill>
      <patternFill patternType="solid">
        <fgColor theme="9" tint="0.39997558519241921"/>
        <bgColor indexed="65"/>
      </patternFill>
    </fill>
    <fill>
      <patternFill patternType="solid">
        <fgColor theme="9" tint="0.39997558519241921"/>
        <bgColor indexed="64"/>
      </patternFill>
    </fill>
    <fill>
      <patternFill patternType="solid">
        <fgColor theme="9" tint="0.39997558519241921"/>
        <bgColor rgb="FF000000"/>
      </patternFill>
    </fill>
    <fill>
      <patternFill patternType="solid">
        <fgColor theme="5" tint="0.59999389629810485"/>
        <bgColor indexed="64"/>
      </patternFill>
    </fill>
    <fill>
      <patternFill patternType="solid">
        <fgColor rgb="FF00B0F0"/>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2" tint="-9.9978637043366805E-2"/>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s>
  <cellStyleXfs count="8">
    <xf numFmtId="0" fontId="0" fillId="0" borderId="0"/>
    <xf numFmtId="164" fontId="1" fillId="0" borderId="0" applyFont="0" applyFill="0" applyBorder="0" applyAlignment="0" applyProtection="0"/>
    <xf numFmtId="9" fontId="1" fillId="0" borderId="0" applyFont="0" applyFill="0" applyBorder="0" applyAlignment="0" applyProtection="0"/>
    <xf numFmtId="0" fontId="6" fillId="0" borderId="0"/>
    <xf numFmtId="0" fontId="11" fillId="0" borderId="0"/>
    <xf numFmtId="0" fontId="12" fillId="0" borderId="0"/>
    <xf numFmtId="0" fontId="12" fillId="0" borderId="0"/>
    <xf numFmtId="43" fontId="1" fillId="0" borderId="0" applyFont="0" applyFill="0" applyBorder="0" applyAlignment="0" applyProtection="0"/>
  </cellStyleXfs>
  <cellXfs count="179">
    <xf numFmtId="0" fontId="0" fillId="0" borderId="0" xfId="0"/>
    <xf numFmtId="0" fontId="0" fillId="0" borderId="1" xfId="0" applyBorder="1" applyAlignment="1">
      <alignment wrapText="1"/>
    </xf>
    <xf numFmtId="0" fontId="2" fillId="0" borderId="1" xfId="0" applyFont="1" applyBorder="1" applyAlignment="1">
      <alignment horizontal="center" vertical="center" wrapText="1"/>
    </xf>
    <xf numFmtId="164" fontId="0" fillId="0" borderId="1" xfId="1" applyFont="1" applyBorder="1" applyAlignment="1">
      <alignment wrapText="1"/>
    </xf>
    <xf numFmtId="164" fontId="0" fillId="0" borderId="0" xfId="1" applyFont="1"/>
    <xf numFmtId="164" fontId="3" fillId="0" borderId="1" xfId="1" applyFont="1" applyBorder="1" applyAlignment="1">
      <alignment horizontal="center" vertical="center" wrapText="1"/>
    </xf>
    <xf numFmtId="9" fontId="3" fillId="0" borderId="1" xfId="2" applyFont="1" applyBorder="1" applyAlignment="1">
      <alignment horizontal="center" vertical="center" wrapText="1"/>
    </xf>
    <xf numFmtId="9" fontId="0" fillId="0" borderId="1" xfId="2" applyFont="1" applyBorder="1" applyAlignment="1">
      <alignment wrapText="1"/>
    </xf>
    <xf numFmtId="9" fontId="0" fillId="0" borderId="0" xfId="2" applyFont="1"/>
    <xf numFmtId="164" fontId="0" fillId="0" borderId="1" xfId="0" applyNumberFormat="1" applyBorder="1" applyAlignment="1">
      <alignment wrapText="1"/>
    </xf>
    <xf numFmtId="0" fontId="0" fillId="0" borderId="1" xfId="0" applyBorder="1" applyAlignment="1">
      <alignment horizontal="center" vertical="center" wrapText="1"/>
    </xf>
    <xf numFmtId="10" fontId="0" fillId="0" borderId="1" xfId="0" applyNumberFormat="1" applyBorder="1" applyAlignment="1">
      <alignment horizontal="center" vertical="center" wrapText="1"/>
    </xf>
    <xf numFmtId="3" fontId="0" fillId="0" borderId="1" xfId="0" applyNumberFormat="1" applyBorder="1" applyAlignment="1">
      <alignment horizontal="center" vertical="center" wrapText="1"/>
    </xf>
    <xf numFmtId="165" fontId="3" fillId="0" borderId="1" xfId="2" applyNumberFormat="1" applyFont="1" applyBorder="1" applyAlignment="1">
      <alignment horizontal="center" vertical="center" wrapText="1"/>
    </xf>
    <xf numFmtId="165" fontId="0" fillId="0" borderId="0" xfId="2" applyNumberFormat="1" applyFont="1"/>
    <xf numFmtId="0" fontId="3" fillId="0" borderId="1" xfId="0" applyFont="1" applyBorder="1" applyAlignment="1">
      <alignment horizontal="center" vertical="center" wrapText="1"/>
    </xf>
    <xf numFmtId="10" fontId="0" fillId="0" borderId="1" xfId="0" applyNumberFormat="1" applyBorder="1" applyAlignment="1">
      <alignment wrapText="1"/>
    </xf>
    <xf numFmtId="3" fontId="0" fillId="0" borderId="1" xfId="0" applyNumberFormat="1" applyBorder="1" applyAlignment="1">
      <alignment wrapText="1"/>
    </xf>
    <xf numFmtId="0" fontId="2" fillId="0" borderId="0" xfId="0" applyFont="1" applyAlignment="1">
      <alignment horizontal="center" vertical="center" wrapText="1"/>
    </xf>
    <xf numFmtId="0" fontId="4" fillId="0" borderId="0" xfId="0" applyFont="1" applyAlignment="1">
      <alignment horizontal="center" vertical="center" wrapText="1"/>
    </xf>
    <xf numFmtId="0" fontId="8" fillId="4" borderId="1" xfId="0" applyFont="1" applyFill="1" applyBorder="1" applyAlignment="1">
      <alignment vertical="center" wrapText="1"/>
    </xf>
    <xf numFmtId="0" fontId="8" fillId="3" borderId="1" xfId="0" applyFont="1" applyFill="1" applyBorder="1" applyAlignment="1">
      <alignment vertical="center" wrapText="1"/>
    </xf>
    <xf numFmtId="0" fontId="3" fillId="3" borderId="1" xfId="0" applyFont="1" applyFill="1" applyBorder="1" applyAlignment="1">
      <alignment vertical="center" wrapText="1"/>
    </xf>
    <xf numFmtId="0" fontId="5" fillId="3" borderId="1" xfId="0" applyFont="1" applyFill="1" applyBorder="1" applyAlignment="1">
      <alignment vertical="center" wrapText="1"/>
    </xf>
    <xf numFmtId="0" fontId="7" fillId="2" borderId="1" xfId="3" applyFont="1" applyFill="1" applyBorder="1" applyAlignment="1">
      <alignment vertical="center" wrapText="1"/>
    </xf>
    <xf numFmtId="0" fontId="4" fillId="3" borderId="1" xfId="0" applyFont="1" applyFill="1" applyBorder="1" applyAlignment="1">
      <alignment vertical="center" wrapText="1"/>
    </xf>
    <xf numFmtId="10" fontId="4" fillId="0" borderId="0" xfId="2" applyNumberFormat="1" applyFont="1" applyAlignment="1">
      <alignment horizontal="center" vertical="center" wrapText="1"/>
    </xf>
    <xf numFmtId="10" fontId="0" fillId="0" borderId="1" xfId="2" applyNumberFormat="1" applyFont="1" applyBorder="1" applyAlignment="1">
      <alignment wrapText="1"/>
    </xf>
    <xf numFmtId="10" fontId="0" fillId="0" borderId="0" xfId="2" applyNumberFormat="1" applyFont="1"/>
    <xf numFmtId="164" fontId="4" fillId="0" borderId="0" xfId="1" applyFont="1" applyAlignment="1">
      <alignment horizontal="center" vertical="center" wrapText="1"/>
    </xf>
    <xf numFmtId="0" fontId="0" fillId="0" borderId="0" xfId="0" applyAlignment="1">
      <alignment wrapText="1"/>
    </xf>
    <xf numFmtId="164" fontId="3" fillId="3" borderId="1" xfId="1" applyFont="1" applyFill="1" applyBorder="1" applyAlignment="1">
      <alignment vertical="center" wrapText="1"/>
    </xf>
    <xf numFmtId="164" fontId="5" fillId="3" borderId="1" xfId="1" applyFont="1" applyFill="1" applyBorder="1" applyAlignment="1">
      <alignment vertical="center" wrapText="1"/>
    </xf>
    <xf numFmtId="164" fontId="7" fillId="2" borderId="1" xfId="1" applyFont="1" applyFill="1" applyBorder="1" applyAlignment="1">
      <alignment vertical="center" wrapText="1"/>
    </xf>
    <xf numFmtId="164" fontId="8" fillId="4" borderId="1" xfId="1" applyFont="1" applyFill="1" applyBorder="1" applyAlignment="1">
      <alignment vertical="center" wrapText="1"/>
    </xf>
    <xf numFmtId="164" fontId="8" fillId="3" borderId="1" xfId="1" applyFont="1" applyFill="1" applyBorder="1" applyAlignment="1">
      <alignment vertical="center" wrapText="1"/>
    </xf>
    <xf numFmtId="164" fontId="4" fillId="3" borderId="1" xfId="1" applyFont="1" applyFill="1" applyBorder="1" applyAlignment="1">
      <alignment vertical="center" wrapText="1"/>
    </xf>
    <xf numFmtId="0" fontId="0" fillId="0" borderId="0" xfId="0" applyAlignment="1">
      <alignment horizontal="center" vertical="center"/>
    </xf>
    <xf numFmtId="0" fontId="0" fillId="0" borderId="4" xfId="0" applyBorder="1" applyAlignment="1">
      <alignment horizontal="center" vertical="center" wrapText="1"/>
    </xf>
    <xf numFmtId="164" fontId="0" fillId="0" borderId="1" xfId="1" applyFont="1" applyBorder="1" applyAlignment="1">
      <alignment horizontal="center" vertical="center" wrapText="1"/>
    </xf>
    <xf numFmtId="10" fontId="0" fillId="0" borderId="1" xfId="2" applyNumberFormat="1" applyFont="1" applyBorder="1" applyAlignment="1">
      <alignment horizontal="center" vertical="center" wrapText="1"/>
    </xf>
    <xf numFmtId="165" fontId="0" fillId="0" borderId="0" xfId="2" applyNumberFormat="1" applyFont="1" applyAlignment="1">
      <alignment horizontal="center" vertical="center"/>
    </xf>
    <xf numFmtId="164" fontId="0" fillId="0" borderId="0" xfId="1" applyFont="1" applyAlignment="1">
      <alignment horizontal="center" vertical="center"/>
    </xf>
    <xf numFmtId="9" fontId="0" fillId="0" borderId="0" xfId="2" applyFont="1" applyAlignment="1">
      <alignment horizontal="center" vertical="center"/>
    </xf>
    <xf numFmtId="0" fontId="0" fillId="0" borderId="0" xfId="0" applyAlignment="1">
      <alignment vertical="center"/>
    </xf>
    <xf numFmtId="0" fontId="2" fillId="5" borderId="5" xfId="0" applyFont="1" applyFill="1" applyBorder="1" applyAlignment="1">
      <alignment vertical="top" wrapText="1"/>
    </xf>
    <xf numFmtId="0" fontId="2" fillId="5" borderId="6" xfId="0" applyFont="1" applyFill="1" applyBorder="1" applyAlignment="1">
      <alignment vertical="top" wrapText="1"/>
    </xf>
    <xf numFmtId="0" fontId="9" fillId="0" borderId="0" xfId="0" applyFont="1"/>
    <xf numFmtId="10" fontId="2" fillId="0" borderId="1" xfId="2" applyNumberFormat="1" applyFont="1" applyBorder="1" applyAlignment="1">
      <alignment wrapText="1"/>
    </xf>
    <xf numFmtId="0" fontId="2" fillId="5" borderId="1" xfId="0" applyFont="1" applyFill="1" applyBorder="1" applyAlignment="1">
      <alignment vertical="center" wrapText="1"/>
    </xf>
    <xf numFmtId="0" fontId="2" fillId="0" borderId="0" xfId="0" applyFont="1" applyAlignment="1">
      <alignment vertical="center" wrapText="1"/>
    </xf>
    <xf numFmtId="14" fontId="2" fillId="0" borderId="1" xfId="0" applyNumberFormat="1" applyFont="1" applyBorder="1" applyAlignment="1">
      <alignment horizontal="center" vertical="center" wrapText="1"/>
    </xf>
    <xf numFmtId="14" fontId="0" fillId="0" borderId="1" xfId="0" applyNumberFormat="1" applyBorder="1" applyAlignment="1">
      <alignment wrapText="1"/>
    </xf>
    <xf numFmtId="164" fontId="8" fillId="0" borderId="0" xfId="1" applyFont="1" applyFill="1" applyBorder="1" applyAlignment="1">
      <alignment vertical="center" wrapText="1"/>
    </xf>
    <xf numFmtId="0" fontId="8" fillId="5" borderId="1" xfId="0" applyFont="1" applyFill="1" applyBorder="1" applyAlignment="1">
      <alignment vertical="center" wrapText="1"/>
    </xf>
    <xf numFmtId="0" fontId="2" fillId="0" borderId="1" xfId="0" applyFont="1" applyBorder="1" applyAlignment="1">
      <alignment horizontal="center" vertical="center"/>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xf>
    <xf numFmtId="43" fontId="2" fillId="0" borderId="1" xfId="7" applyFont="1" applyFill="1" applyBorder="1" applyAlignment="1">
      <alignment horizontal="center" vertical="center"/>
    </xf>
    <xf numFmtId="43" fontId="2" fillId="6" borderId="1" xfId="7" applyFont="1" applyFill="1" applyBorder="1" applyAlignment="1">
      <alignment horizontal="center" vertical="center"/>
    </xf>
    <xf numFmtId="43" fontId="0" fillId="0" borderId="1" xfId="0" applyNumberFormat="1" applyBorder="1" applyAlignment="1">
      <alignment wrapText="1"/>
    </xf>
    <xf numFmtId="0" fontId="15" fillId="0" borderId="1" xfId="4" applyFont="1" applyBorder="1" applyAlignment="1">
      <alignment horizontal="center" vertical="center"/>
    </xf>
    <xf numFmtId="0" fontId="16" fillId="0" borderId="0" xfId="4" applyFont="1" applyAlignment="1">
      <alignment horizontal="center" vertical="center"/>
    </xf>
    <xf numFmtId="0" fontId="17" fillId="0" borderId="0" xfId="5" applyFont="1" applyAlignment="1">
      <alignment horizontal="center" vertical="center"/>
    </xf>
    <xf numFmtId="0" fontId="11" fillId="0" borderId="0" xfId="4" applyAlignment="1">
      <alignment horizontal="center" vertical="center"/>
    </xf>
    <xf numFmtId="0" fontId="18" fillId="0" borderId="1" xfId="4" applyFont="1" applyBorder="1" applyAlignment="1">
      <alignment horizontal="center" vertical="center" wrapText="1"/>
    </xf>
    <xf numFmtId="0" fontId="11" fillId="0" borderId="0" xfId="4" applyAlignment="1">
      <alignment horizontal="left"/>
    </xf>
    <xf numFmtId="0" fontId="17" fillId="0" borderId="0" xfId="4" applyFont="1" applyAlignment="1">
      <alignment horizontal="center"/>
    </xf>
    <xf numFmtId="0" fontId="17" fillId="0" borderId="0" xfId="5" applyFont="1"/>
    <xf numFmtId="0" fontId="11" fillId="0" borderId="0" xfId="4"/>
    <xf numFmtId="0" fontId="16" fillId="0" borderId="0" xfId="4" applyFont="1" applyAlignment="1">
      <alignment horizontal="left" vertical="center" wrapText="1"/>
    </xf>
    <xf numFmtId="0" fontId="16" fillId="0" borderId="0" xfId="4" applyFont="1"/>
    <xf numFmtId="0" fontId="16" fillId="0" borderId="0" xfId="4" applyFont="1" applyAlignment="1">
      <alignment horizontal="center"/>
    </xf>
    <xf numFmtId="0" fontId="16" fillId="0" borderId="0" xfId="4" applyFont="1" applyAlignment="1">
      <alignment vertical="center"/>
    </xf>
    <xf numFmtId="0" fontId="16" fillId="0" borderId="10" xfId="4" applyFont="1" applyBorder="1" applyAlignment="1">
      <alignment horizontal="center" vertical="center"/>
    </xf>
    <xf numFmtId="0" fontId="16" fillId="0" borderId="1" xfId="4" applyFont="1" applyBorder="1" applyAlignment="1">
      <alignment horizontal="left" vertical="center"/>
    </xf>
    <xf numFmtId="0" fontId="16" fillId="0" borderId="1" xfId="4" applyFont="1" applyBorder="1" applyAlignment="1">
      <alignment horizontal="center" vertical="center" wrapText="1"/>
    </xf>
    <xf numFmtId="0" fontId="16" fillId="0" borderId="0" xfId="4" applyFont="1" applyAlignment="1">
      <alignment horizontal="center" vertical="center" wrapText="1"/>
    </xf>
    <xf numFmtId="0" fontId="11" fillId="0" borderId="0" xfId="4" applyAlignment="1">
      <alignment horizontal="center"/>
    </xf>
    <xf numFmtId="0" fontId="2" fillId="0" borderId="0" xfId="0" applyFont="1"/>
    <xf numFmtId="166" fontId="16" fillId="0" borderId="0" xfId="4" applyNumberFormat="1" applyFont="1" applyAlignment="1">
      <alignment vertical="center"/>
    </xf>
    <xf numFmtId="0" fontId="15" fillId="0" borderId="1" xfId="4" applyFont="1" applyBorder="1" applyAlignment="1">
      <alignment horizontal="center"/>
    </xf>
    <xf numFmtId="0" fontId="16" fillId="0" borderId="1" xfId="4" applyFont="1" applyBorder="1" applyAlignment="1">
      <alignment horizontal="center" vertical="center"/>
    </xf>
    <xf numFmtId="0" fontId="21" fillId="0" borderId="1" xfId="0" applyFont="1" applyBorder="1" applyAlignment="1">
      <alignment horizontal="center" vertical="center"/>
    </xf>
    <xf numFmtId="167" fontId="16" fillId="0" borderId="1" xfId="4" applyNumberFormat="1" applyFont="1" applyBorder="1" applyAlignment="1">
      <alignment vertical="center"/>
    </xf>
    <xf numFmtId="14" fontId="17" fillId="0" borderId="0" xfId="4" applyNumberFormat="1" applyFont="1" applyAlignment="1">
      <alignment horizontal="center"/>
    </xf>
    <xf numFmtId="0" fontId="16" fillId="0" borderId="6" xfId="5" applyFont="1" applyBorder="1" applyAlignment="1">
      <alignment horizontal="center" vertical="center" wrapText="1"/>
    </xf>
    <xf numFmtId="0" fontId="16" fillId="0" borderId="1" xfId="5" applyFont="1" applyBorder="1" applyAlignment="1">
      <alignment horizontal="center" vertical="center" wrapText="1"/>
    </xf>
    <xf numFmtId="0" fontId="16" fillId="0" borderId="16" xfId="5" applyFont="1" applyBorder="1" applyAlignment="1">
      <alignment horizontal="center" vertical="center" wrapText="1"/>
    </xf>
    <xf numFmtId="0" fontId="22" fillId="0" borderId="4" xfId="5" applyFont="1" applyBorder="1" applyAlignment="1">
      <alignment horizontal="center" vertical="center" wrapText="1"/>
    </xf>
    <xf numFmtId="0" fontId="22" fillId="0" borderId="1" xfId="5" applyFont="1" applyBorder="1" applyAlignment="1">
      <alignment horizontal="center" vertical="center" wrapText="1"/>
    </xf>
    <xf numFmtId="0" fontId="22" fillId="0" borderId="16" xfId="5" applyFont="1" applyBorder="1" applyAlignment="1">
      <alignment horizontal="center" vertical="center" wrapText="1"/>
    </xf>
    <xf numFmtId="0" fontId="11" fillId="0" borderId="15" xfId="4" applyBorder="1"/>
    <xf numFmtId="168" fontId="22" fillId="0" borderId="4" xfId="5" applyNumberFormat="1" applyFont="1" applyBorder="1" applyAlignment="1">
      <alignment horizontal="center" vertical="center" wrapText="1"/>
    </xf>
    <xf numFmtId="168" fontId="22" fillId="0" borderId="1" xfId="5" applyNumberFormat="1" applyFont="1" applyBorder="1" applyAlignment="1">
      <alignment horizontal="center" vertical="center"/>
    </xf>
    <xf numFmtId="1" fontId="22" fillId="0" borderId="1" xfId="5" applyNumberFormat="1" applyFont="1" applyBorder="1"/>
    <xf numFmtId="1" fontId="22" fillId="0" borderId="1" xfId="5" applyNumberFormat="1" applyFont="1" applyBorder="1" applyAlignment="1">
      <alignment horizontal="center"/>
    </xf>
    <xf numFmtId="0" fontId="12" fillId="0" borderId="16" xfId="5" applyBorder="1"/>
    <xf numFmtId="0" fontId="11" fillId="0" borderId="15" xfId="4" applyBorder="1" applyAlignment="1">
      <alignment horizontal="center" vertical="center" wrapText="1"/>
    </xf>
    <xf numFmtId="0" fontId="11" fillId="0" borderId="15" xfId="4" applyBorder="1" applyAlignment="1">
      <alignment wrapText="1"/>
    </xf>
    <xf numFmtId="14" fontId="17" fillId="0" borderId="15" xfId="5" applyNumberFormat="1" applyFont="1" applyBorder="1" applyAlignment="1">
      <alignment horizontal="center" vertical="center" wrapText="1"/>
    </xf>
    <xf numFmtId="169" fontId="17" fillId="0" borderId="1" xfId="6" applyNumberFormat="1" applyFont="1" applyBorder="1" applyAlignment="1">
      <alignment horizontal="center" vertical="center" wrapText="1"/>
    </xf>
    <xf numFmtId="169" fontId="17" fillId="0" borderId="16" xfId="6" applyNumberFormat="1" applyFont="1" applyBorder="1" applyAlignment="1">
      <alignment horizontal="center" vertical="center" wrapText="1"/>
    </xf>
    <xf numFmtId="170" fontId="16" fillId="0" borderId="6" xfId="5" applyNumberFormat="1" applyFont="1" applyBorder="1" applyAlignment="1">
      <alignment horizontal="center" vertical="center" wrapText="1"/>
    </xf>
    <xf numFmtId="170" fontId="16" fillId="0" borderId="1" xfId="5" applyNumberFormat="1" applyFont="1" applyBorder="1" applyAlignment="1">
      <alignment horizontal="center" vertical="center" wrapText="1"/>
    </xf>
    <xf numFmtId="170" fontId="16" fillId="0" borderId="16" xfId="5" applyNumberFormat="1" applyFont="1" applyBorder="1" applyAlignment="1">
      <alignment horizontal="center" vertical="center" wrapText="1"/>
    </xf>
    <xf numFmtId="2" fontId="17" fillId="0" borderId="15" xfId="5" applyNumberFormat="1" applyFont="1" applyBorder="1" applyAlignment="1">
      <alignment horizontal="center" vertical="center" wrapText="1"/>
    </xf>
    <xf numFmtId="166" fontId="17" fillId="0" borderId="6" xfId="5" applyNumberFormat="1" applyFont="1" applyBorder="1" applyAlignment="1">
      <alignment vertical="center" wrapText="1"/>
    </xf>
    <xf numFmtId="170" fontId="17" fillId="0" borderId="1" xfId="5" applyNumberFormat="1" applyFont="1" applyBorder="1" applyAlignment="1">
      <alignment horizontal="center" vertical="center" wrapText="1"/>
    </xf>
    <xf numFmtId="2" fontId="17" fillId="9" borderId="15" xfId="5" applyNumberFormat="1" applyFont="1" applyFill="1" applyBorder="1" applyAlignment="1">
      <alignment horizontal="center" vertical="center" wrapText="1"/>
    </xf>
    <xf numFmtId="2" fontId="12" fillId="0" borderId="4" xfId="5" applyNumberFormat="1" applyBorder="1" applyAlignment="1">
      <alignment vertical="center"/>
    </xf>
    <xf numFmtId="2" fontId="12" fillId="0" borderId="1" xfId="5" applyNumberFormat="1" applyBorder="1" applyAlignment="1">
      <alignment vertical="center"/>
    </xf>
    <xf numFmtId="2" fontId="22" fillId="0" borderId="1" xfId="5" applyNumberFormat="1" applyFont="1" applyBorder="1" applyAlignment="1">
      <alignment vertical="center"/>
    </xf>
    <xf numFmtId="2" fontId="12" fillId="0" borderId="16" xfId="5" applyNumberFormat="1" applyBorder="1" applyAlignment="1">
      <alignment vertical="center"/>
    </xf>
    <xf numFmtId="0" fontId="11" fillId="0" borderId="19" xfId="4" applyBorder="1" applyAlignment="1">
      <alignment wrapText="1"/>
    </xf>
    <xf numFmtId="2" fontId="12" fillId="0" borderId="23" xfId="5" applyNumberFormat="1" applyBorder="1" applyAlignment="1">
      <alignment vertical="center"/>
    </xf>
    <xf numFmtId="2" fontId="12" fillId="0" borderId="24" xfId="5" applyNumberFormat="1" applyBorder="1" applyAlignment="1">
      <alignment vertical="center"/>
    </xf>
    <xf numFmtId="2" fontId="22" fillId="0" borderId="24" xfId="5" applyNumberFormat="1" applyFont="1" applyBorder="1" applyAlignment="1">
      <alignment vertical="center"/>
    </xf>
    <xf numFmtId="2" fontId="12" fillId="0" borderId="25" xfId="5" applyNumberFormat="1" applyBorder="1" applyAlignment="1">
      <alignment vertical="center"/>
    </xf>
    <xf numFmtId="0" fontId="11" fillId="0" borderId="0" xfId="4" applyAlignment="1">
      <alignment wrapText="1"/>
    </xf>
    <xf numFmtId="0" fontId="15" fillId="0" borderId="0" xfId="4" applyFont="1"/>
    <xf numFmtId="0" fontId="11" fillId="0" borderId="26" xfId="4" applyBorder="1"/>
    <xf numFmtId="14" fontId="16" fillId="8" borderId="6" xfId="6" applyNumberFormat="1" applyFont="1" applyFill="1" applyBorder="1" applyAlignment="1">
      <alignment horizontal="center" vertical="center" wrapText="1"/>
    </xf>
    <xf numFmtId="14" fontId="16" fillId="8" borderId="6" xfId="5" applyNumberFormat="1" applyFont="1" applyFill="1" applyBorder="1" applyAlignment="1">
      <alignment horizontal="center" vertical="center" wrapText="1"/>
    </xf>
    <xf numFmtId="2" fontId="16" fillId="0" borderId="16" xfId="5" applyNumberFormat="1" applyFont="1" applyBorder="1" applyAlignment="1">
      <alignment horizontal="center" vertical="center" wrapText="1"/>
    </xf>
    <xf numFmtId="14" fontId="0" fillId="0" borderId="0" xfId="0" applyNumberFormat="1"/>
    <xf numFmtId="10" fontId="0" fillId="0" borderId="0" xfId="0" applyNumberFormat="1"/>
    <xf numFmtId="3" fontId="0" fillId="0" borderId="0" xfId="0" applyNumberFormat="1"/>
    <xf numFmtId="169" fontId="23" fillId="0" borderId="1" xfId="6" applyNumberFormat="1" applyFont="1" applyBorder="1" applyAlignment="1">
      <alignment horizontal="center" vertical="center" wrapText="1"/>
    </xf>
    <xf numFmtId="0" fontId="9" fillId="0" borderId="7" xfId="0" applyFont="1" applyBorder="1" applyAlignment="1">
      <alignment horizontal="center"/>
    </xf>
    <xf numFmtId="0" fontId="9" fillId="0" borderId="8" xfId="0" applyFont="1" applyBorder="1" applyAlignment="1">
      <alignment horizontal="center"/>
    </xf>
    <xf numFmtId="0" fontId="9" fillId="0" borderId="9" xfId="0" applyFont="1" applyBorder="1" applyAlignment="1">
      <alignment horizont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1" xfId="0" applyBorder="1" applyAlignment="1">
      <alignment horizontal="center" vertical="center" wrapText="1"/>
    </xf>
    <xf numFmtId="0" fontId="10" fillId="0" borderId="2" xfId="0" applyFont="1" applyBorder="1" applyAlignment="1">
      <alignment horizontal="justify" vertical="top" wrapText="1"/>
    </xf>
    <xf numFmtId="0" fontId="10" fillId="0" borderId="3" xfId="0" applyFont="1" applyBorder="1" applyAlignment="1">
      <alignment horizontal="justify" vertical="top" wrapText="1"/>
    </xf>
    <xf numFmtId="0" fontId="10" fillId="0" borderId="4" xfId="0" applyFont="1" applyBorder="1" applyAlignment="1">
      <alignment horizontal="justify" vertical="top" wrapText="1"/>
    </xf>
    <xf numFmtId="0" fontId="0" fillId="0" borderId="1" xfId="0" applyBorder="1" applyAlignment="1">
      <alignment vertical="center" wrapText="1"/>
    </xf>
    <xf numFmtId="0" fontId="10" fillId="0" borderId="1" xfId="0" applyFont="1" applyBorder="1" applyAlignment="1">
      <alignment horizontal="left" vertical="top"/>
    </xf>
    <xf numFmtId="0" fontId="10" fillId="0" borderId="1" xfId="0" applyFont="1" applyBorder="1" applyAlignment="1">
      <alignment horizontal="left" vertical="top" wrapText="1"/>
    </xf>
    <xf numFmtId="0" fontId="10" fillId="0" borderId="2" xfId="0" applyFont="1" applyBorder="1" applyAlignment="1">
      <alignment horizontal="left" vertical="top" wrapText="1"/>
    </xf>
    <xf numFmtId="0" fontId="10" fillId="0" borderId="3" xfId="0" applyFont="1" applyBorder="1" applyAlignment="1">
      <alignment horizontal="left" vertical="top" wrapText="1"/>
    </xf>
    <xf numFmtId="0" fontId="10" fillId="0" borderId="4" xfId="0" applyFont="1" applyBorder="1" applyAlignment="1">
      <alignment horizontal="left" vertical="top" wrapText="1"/>
    </xf>
    <xf numFmtId="0" fontId="11" fillId="0" borderId="0" xfId="4" applyAlignment="1">
      <alignment horizontal="center"/>
    </xf>
    <xf numFmtId="14" fontId="15" fillId="5" borderId="2" xfId="4" applyNumberFormat="1" applyFont="1" applyFill="1" applyBorder="1" applyAlignment="1">
      <alignment horizontal="center" vertical="center"/>
    </xf>
    <xf numFmtId="0" fontId="15" fillId="5" borderId="3" xfId="4" applyFont="1" applyFill="1" applyBorder="1" applyAlignment="1">
      <alignment horizontal="center" vertical="center"/>
    </xf>
    <xf numFmtId="0" fontId="15" fillId="5" borderId="4" xfId="4" applyFont="1" applyFill="1" applyBorder="1" applyAlignment="1">
      <alignment horizontal="center" vertical="center"/>
    </xf>
    <xf numFmtId="0" fontId="19" fillId="0" borderId="2" xfId="4" applyFont="1" applyBorder="1" applyAlignment="1">
      <alignment vertical="center" wrapText="1"/>
    </xf>
    <xf numFmtId="0" fontId="16" fillId="0" borderId="3" xfId="4" applyFont="1" applyBorder="1" applyAlignment="1">
      <alignment vertical="center" wrapText="1"/>
    </xf>
    <xf numFmtId="0" fontId="16" fillId="0" borderId="4" xfId="4" applyFont="1" applyBorder="1" applyAlignment="1">
      <alignment vertical="center" wrapText="1"/>
    </xf>
    <xf numFmtId="0" fontId="16" fillId="0" borderId="1" xfId="4" applyFont="1" applyBorder="1" applyAlignment="1">
      <alignment horizontal="center" vertical="center"/>
    </xf>
    <xf numFmtId="0" fontId="16" fillId="0" borderId="0" xfId="4" applyFont="1" applyAlignment="1">
      <alignment horizontal="center" vertical="center" wrapText="1"/>
    </xf>
    <xf numFmtId="0" fontId="16" fillId="0" borderId="12" xfId="5" applyFont="1" applyBorder="1" applyAlignment="1">
      <alignment horizontal="center" vertical="center" wrapText="1"/>
    </xf>
    <xf numFmtId="0" fontId="16" fillId="0" borderId="1" xfId="5" applyFont="1" applyBorder="1" applyAlignment="1">
      <alignment horizontal="center" vertical="center" wrapText="1"/>
    </xf>
    <xf numFmtId="0" fontId="16" fillId="0" borderId="13" xfId="5" applyFont="1" applyBorder="1" applyAlignment="1">
      <alignment horizontal="center" vertical="center" wrapText="1"/>
    </xf>
    <xf numFmtId="0" fontId="16" fillId="0" borderId="16" xfId="5" applyFont="1" applyBorder="1" applyAlignment="1">
      <alignment horizontal="center" vertical="center" wrapText="1"/>
    </xf>
    <xf numFmtId="0" fontId="16" fillId="0" borderId="2" xfId="4" applyFont="1" applyBorder="1" applyAlignment="1">
      <alignment horizontal="left" vertical="center" wrapText="1"/>
    </xf>
    <xf numFmtId="0" fontId="16" fillId="0" borderId="4" xfId="4" applyFont="1" applyBorder="1" applyAlignment="1">
      <alignment horizontal="left" vertical="center"/>
    </xf>
    <xf numFmtId="0" fontId="15" fillId="0" borderId="11" xfId="4" applyFont="1" applyBorder="1" applyAlignment="1">
      <alignment horizontal="center" vertical="center"/>
    </xf>
    <xf numFmtId="0" fontId="15" fillId="0" borderId="15" xfId="4" applyFont="1" applyBorder="1" applyAlignment="1">
      <alignment horizontal="center" vertical="center"/>
    </xf>
    <xf numFmtId="0" fontId="15" fillId="0" borderId="11" xfId="4" applyFont="1" applyBorder="1" applyAlignment="1">
      <alignment horizontal="center" vertical="center" wrapText="1"/>
    </xf>
    <xf numFmtId="0" fontId="15" fillId="0" borderId="15" xfId="4" applyFont="1" applyBorder="1" applyAlignment="1">
      <alignment horizontal="center" vertical="center" wrapText="1"/>
    </xf>
    <xf numFmtId="0" fontId="16" fillId="0" borderId="11" xfId="5" applyFont="1" applyBorder="1" applyAlignment="1">
      <alignment horizontal="center" vertical="center" wrapText="1"/>
    </xf>
    <xf numFmtId="0" fontId="16" fillId="0" borderId="15" xfId="5" applyFont="1" applyBorder="1" applyAlignment="1">
      <alignment horizontal="center" vertical="center" wrapText="1"/>
    </xf>
    <xf numFmtId="0" fontId="16" fillId="0" borderId="5" xfId="5" applyFont="1" applyBorder="1" applyAlignment="1">
      <alignment horizontal="center" vertical="center" wrapText="1"/>
    </xf>
    <xf numFmtId="0" fontId="11" fillId="0" borderId="17" xfId="4" applyBorder="1" applyAlignment="1">
      <alignment horizontal="center"/>
    </xf>
    <xf numFmtId="0" fontId="11" fillId="0" borderId="3" xfId="4" applyBorder="1" applyAlignment="1">
      <alignment horizontal="center"/>
    </xf>
    <xf numFmtId="0" fontId="11" fillId="0" borderId="18" xfId="4" applyBorder="1" applyAlignment="1">
      <alignment horizontal="center"/>
    </xf>
    <xf numFmtId="0" fontId="11" fillId="0" borderId="20" xfId="4" applyBorder="1" applyAlignment="1">
      <alignment horizontal="center" wrapText="1"/>
    </xf>
    <xf numFmtId="0" fontId="11" fillId="0" borderId="21" xfId="4" applyBorder="1" applyAlignment="1">
      <alignment horizontal="center" wrapText="1"/>
    </xf>
    <xf numFmtId="0" fontId="11" fillId="0" borderId="22" xfId="4" applyBorder="1" applyAlignment="1">
      <alignment horizontal="center" wrapText="1"/>
    </xf>
    <xf numFmtId="0" fontId="22" fillId="0" borderId="14" xfId="5" applyFont="1" applyBorder="1" applyAlignment="1">
      <alignment horizontal="center" vertical="center"/>
    </xf>
    <xf numFmtId="0" fontId="22" fillId="0" borderId="12" xfId="5" applyFont="1" applyBorder="1" applyAlignment="1">
      <alignment horizontal="center" vertical="center"/>
    </xf>
    <xf numFmtId="0" fontId="22" fillId="0" borderId="13" xfId="5" applyFont="1" applyBorder="1" applyAlignment="1">
      <alignment horizontal="center" vertical="center"/>
    </xf>
    <xf numFmtId="0" fontId="22" fillId="0" borderId="4" xfId="5" applyFont="1" applyBorder="1" applyAlignment="1">
      <alignment horizontal="center" vertical="center"/>
    </xf>
    <xf numFmtId="0" fontId="22" fillId="0" borderId="1" xfId="5" applyFont="1" applyBorder="1" applyAlignment="1">
      <alignment horizontal="center" vertical="center"/>
    </xf>
    <xf numFmtId="0" fontId="22" fillId="0" borderId="16" xfId="5" applyFont="1" applyBorder="1" applyAlignment="1">
      <alignment horizontal="center" vertical="center"/>
    </xf>
    <xf numFmtId="0" fontId="16" fillId="0" borderId="6" xfId="5" applyFont="1" applyBorder="1" applyAlignment="1">
      <alignment horizontal="center" vertical="center" wrapText="1"/>
    </xf>
  </cellXfs>
  <cellStyles count="8">
    <cellStyle name="Comma" xfId="1" builtinId="3"/>
    <cellStyle name="Comma 3" xfId="7" xr:uid="{00000000-0005-0000-0000-000001000000}"/>
    <cellStyle name="Normal" xfId="0" builtinId="0"/>
    <cellStyle name="Normal 2" xfId="3" xr:uid="{00000000-0005-0000-0000-000003000000}"/>
    <cellStyle name="Normal 2 2" xfId="5" xr:uid="{00000000-0005-0000-0000-000004000000}"/>
    <cellStyle name="Normal 2 2 2" xfId="6" xr:uid="{00000000-0005-0000-0000-000005000000}"/>
    <cellStyle name="Normal 6 2" xfId="4" xr:uid="{00000000-0005-0000-0000-00000600000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X20"/>
  <sheetViews>
    <sheetView topLeftCell="M1" workbookViewId="0">
      <selection sqref="A1:CX3"/>
    </sheetView>
  </sheetViews>
  <sheetFormatPr defaultRowHeight="15" x14ac:dyDescent="0.25"/>
  <cols>
    <col min="1" max="2" width="16" customWidth="1"/>
    <col min="3" max="3" width="16.140625" customWidth="1"/>
    <col min="4" max="4" width="69.7109375" customWidth="1"/>
    <col min="5" max="5" width="25" bestFit="1" customWidth="1"/>
    <col min="6" max="17" width="8.85546875" customWidth="1"/>
    <col min="18" max="18" width="37.85546875" bestFit="1" customWidth="1"/>
    <col min="19" max="19" width="8.85546875" customWidth="1"/>
    <col min="20" max="20" width="47" bestFit="1" customWidth="1"/>
    <col min="21" max="21" width="8.85546875" customWidth="1"/>
    <col min="22" max="22" width="14.42578125" bestFit="1" customWidth="1"/>
    <col min="23" max="78" width="8.85546875" customWidth="1"/>
    <col min="79" max="79" width="9.5703125" customWidth="1"/>
    <col min="80" max="82" width="8.85546875" customWidth="1"/>
    <col min="83" max="83" width="10.5703125" customWidth="1"/>
    <col min="84" max="84" width="8.85546875" customWidth="1"/>
    <col min="85" max="85" width="10.5703125" customWidth="1"/>
    <col min="86" max="86" width="11.5703125" customWidth="1"/>
    <col min="87" max="87" width="8.85546875" customWidth="1"/>
    <col min="88" max="88" width="11.5703125" customWidth="1"/>
    <col min="89" max="90" width="8.85546875" customWidth="1"/>
    <col min="91" max="91" width="11.5703125" style="4" bestFit="1" customWidth="1"/>
    <col min="92" max="92" width="8.85546875" customWidth="1"/>
    <col min="93" max="93" width="11.5703125" customWidth="1"/>
    <col min="94" max="94" width="8.85546875" customWidth="1"/>
    <col min="95" max="96" width="11.5703125" customWidth="1"/>
    <col min="99" max="99" width="11.5703125" bestFit="1" customWidth="1"/>
  </cols>
  <sheetData>
    <row r="1" spans="1:102" s="18" customFormat="1" x14ac:dyDescent="0.25">
      <c r="A1" t="s">
        <v>0</v>
      </c>
      <c r="B1" t="s">
        <v>135</v>
      </c>
      <c r="C1" t="s">
        <v>1</v>
      </c>
      <c r="D1" t="s">
        <v>2</v>
      </c>
      <c r="E1" t="s">
        <v>136</v>
      </c>
      <c r="F1" t="s">
        <v>3</v>
      </c>
      <c r="G1" t="s">
        <v>216</v>
      </c>
      <c r="H1" t="s">
        <v>4</v>
      </c>
      <c r="I1" t="s">
        <v>5</v>
      </c>
      <c r="J1" t="s">
        <v>6</v>
      </c>
      <c r="K1" t="s">
        <v>217</v>
      </c>
      <c r="L1" t="s">
        <v>7</v>
      </c>
      <c r="M1" t="s">
        <v>8</v>
      </c>
      <c r="N1" t="s">
        <v>9</v>
      </c>
      <c r="O1" t="s">
        <v>218</v>
      </c>
      <c r="P1" t="s">
        <v>10</v>
      </c>
      <c r="Q1" t="s">
        <v>11</v>
      </c>
      <c r="R1" t="s">
        <v>12</v>
      </c>
      <c r="S1" t="s">
        <v>219</v>
      </c>
      <c r="T1" t="s">
        <v>13</v>
      </c>
      <c r="U1" t="s">
        <v>14</v>
      </c>
      <c r="V1" t="s">
        <v>15</v>
      </c>
      <c r="W1" t="s">
        <v>220</v>
      </c>
      <c r="X1" t="s">
        <v>16</v>
      </c>
      <c r="Y1" t="s">
        <v>17</v>
      </c>
      <c r="Z1" t="s">
        <v>18</v>
      </c>
      <c r="AA1" t="s">
        <v>221</v>
      </c>
      <c r="AB1" t="s">
        <v>19</v>
      </c>
      <c r="AC1" t="s">
        <v>20</v>
      </c>
      <c r="AD1" t="s">
        <v>21</v>
      </c>
      <c r="AE1" t="s">
        <v>222</v>
      </c>
      <c r="AF1" t="s">
        <v>22</v>
      </c>
      <c r="AG1" t="s">
        <v>23</v>
      </c>
      <c r="AH1" t="s">
        <v>24</v>
      </c>
      <c r="AI1" t="s">
        <v>223</v>
      </c>
      <c r="AJ1" t="s">
        <v>25</v>
      </c>
      <c r="AK1" t="s">
        <v>26</v>
      </c>
      <c r="AL1" t="s">
        <v>27</v>
      </c>
      <c r="AM1" t="s">
        <v>224</v>
      </c>
      <c r="AN1" t="s">
        <v>28</v>
      </c>
      <c r="AO1" t="s">
        <v>29</v>
      </c>
      <c r="AP1" t="s">
        <v>30</v>
      </c>
      <c r="AQ1" t="s">
        <v>225</v>
      </c>
      <c r="AR1" t="s">
        <v>31</v>
      </c>
      <c r="AS1" t="s">
        <v>32</v>
      </c>
      <c r="AT1" t="s">
        <v>33</v>
      </c>
      <c r="AU1" t="s">
        <v>226</v>
      </c>
      <c r="AV1" t="s">
        <v>34</v>
      </c>
      <c r="AW1" t="s">
        <v>35</v>
      </c>
      <c r="AX1" t="s">
        <v>36</v>
      </c>
      <c r="AY1" t="s">
        <v>227</v>
      </c>
      <c r="AZ1" t="s">
        <v>37</v>
      </c>
      <c r="BA1" t="s">
        <v>38</v>
      </c>
      <c r="BB1" t="s">
        <v>39</v>
      </c>
      <c r="BC1" t="s">
        <v>228</v>
      </c>
      <c r="BD1" t="s">
        <v>40</v>
      </c>
      <c r="BE1" t="s">
        <v>41</v>
      </c>
      <c r="BF1" t="s">
        <v>42</v>
      </c>
      <c r="BG1" t="s">
        <v>229</v>
      </c>
      <c r="BH1" t="s">
        <v>43</v>
      </c>
      <c r="BI1" t="s">
        <v>44</v>
      </c>
      <c r="BJ1" t="s">
        <v>45</v>
      </c>
      <c r="BK1" t="s">
        <v>230</v>
      </c>
      <c r="BL1" t="s">
        <v>46</v>
      </c>
      <c r="BM1" t="s">
        <v>47</v>
      </c>
      <c r="BN1" t="s">
        <v>48</v>
      </c>
      <c r="BO1" t="s">
        <v>231</v>
      </c>
      <c r="BP1" t="s">
        <v>49</v>
      </c>
      <c r="BQ1" t="s">
        <v>50</v>
      </c>
      <c r="BR1" t="s">
        <v>51</v>
      </c>
      <c r="BS1" t="s">
        <v>232</v>
      </c>
      <c r="BT1" t="s">
        <v>52</v>
      </c>
      <c r="BU1" t="s">
        <v>53</v>
      </c>
      <c r="BV1" t="s">
        <v>54</v>
      </c>
      <c r="BW1" t="s">
        <v>233</v>
      </c>
      <c r="BX1" t="s">
        <v>55</v>
      </c>
      <c r="BY1" t="s">
        <v>56</v>
      </c>
      <c r="BZ1" t="s">
        <v>57</v>
      </c>
      <c r="CA1" t="s">
        <v>58</v>
      </c>
      <c r="CB1" t="s">
        <v>59</v>
      </c>
      <c r="CC1" t="s">
        <v>60</v>
      </c>
      <c r="CD1" t="s">
        <v>61</v>
      </c>
      <c r="CE1" t="s">
        <v>62</v>
      </c>
      <c r="CF1" t="s">
        <v>63</v>
      </c>
      <c r="CG1" t="s">
        <v>64</v>
      </c>
      <c r="CH1" t="s">
        <v>65</v>
      </c>
      <c r="CI1" t="s">
        <v>66</v>
      </c>
      <c r="CJ1" t="s">
        <v>67</v>
      </c>
      <c r="CK1" t="s">
        <v>68</v>
      </c>
      <c r="CL1" t="s">
        <v>69</v>
      </c>
      <c r="CM1" t="s">
        <v>70</v>
      </c>
      <c r="CN1" t="s">
        <v>71</v>
      </c>
      <c r="CO1" t="s">
        <v>72</v>
      </c>
      <c r="CP1" t="s">
        <v>73</v>
      </c>
      <c r="CQ1" t="s">
        <v>74</v>
      </c>
      <c r="CR1" t="s">
        <v>75</v>
      </c>
      <c r="CS1" t="s">
        <v>76</v>
      </c>
      <c r="CT1" t="s">
        <v>77</v>
      </c>
      <c r="CU1" t="s">
        <v>78</v>
      </c>
      <c r="CV1" t="s">
        <v>137</v>
      </c>
      <c r="CW1" t="s">
        <v>138</v>
      </c>
      <c r="CX1" t="s">
        <v>141</v>
      </c>
    </row>
    <row r="2" spans="1:102" x14ac:dyDescent="0.25">
      <c r="A2" t="s">
        <v>234</v>
      </c>
      <c r="B2" s="125">
        <v>45200</v>
      </c>
      <c r="C2" t="s">
        <v>142</v>
      </c>
      <c r="D2" t="s">
        <v>143</v>
      </c>
      <c r="E2" t="s">
        <v>144</v>
      </c>
      <c r="J2" t="s">
        <v>80</v>
      </c>
      <c r="K2">
        <v>219</v>
      </c>
      <c r="L2">
        <v>270</v>
      </c>
      <c r="M2">
        <v>59130</v>
      </c>
      <c r="P2">
        <v>0</v>
      </c>
      <c r="T2">
        <v>0</v>
      </c>
      <c r="V2" t="s">
        <v>103</v>
      </c>
      <c r="W2">
        <v>74.45</v>
      </c>
      <c r="X2">
        <v>160</v>
      </c>
      <c r="Y2">
        <v>11912</v>
      </c>
      <c r="AB2">
        <v>0</v>
      </c>
      <c r="AD2" t="s">
        <v>105</v>
      </c>
      <c r="AE2">
        <v>60.87</v>
      </c>
      <c r="AF2">
        <v>47</v>
      </c>
      <c r="AG2">
        <v>2860.89</v>
      </c>
      <c r="AH2" t="s">
        <v>88</v>
      </c>
      <c r="AI2">
        <v>76.25</v>
      </c>
      <c r="AJ2">
        <v>372</v>
      </c>
      <c r="AK2">
        <v>28365</v>
      </c>
      <c r="AL2" t="s">
        <v>105</v>
      </c>
      <c r="AM2">
        <v>60.87</v>
      </c>
      <c r="AN2">
        <v>177</v>
      </c>
      <c r="AO2">
        <v>10773.99</v>
      </c>
      <c r="AR2">
        <v>0</v>
      </c>
      <c r="AV2">
        <v>0</v>
      </c>
      <c r="AZ2">
        <v>0</v>
      </c>
      <c r="BD2">
        <v>0</v>
      </c>
      <c r="BH2">
        <v>0</v>
      </c>
      <c r="BL2">
        <v>0</v>
      </c>
      <c r="BP2">
        <v>0</v>
      </c>
      <c r="BT2">
        <v>0</v>
      </c>
      <c r="BX2">
        <v>0</v>
      </c>
      <c r="BZ2">
        <v>5151.4799999999996</v>
      </c>
      <c r="CA2">
        <v>118193.36</v>
      </c>
      <c r="CH2">
        <v>118193.36</v>
      </c>
      <c r="CM2">
        <v>118193.36</v>
      </c>
      <c r="CN2">
        <v>1875</v>
      </c>
      <c r="CO2">
        <v>120068.36</v>
      </c>
      <c r="CP2" s="126">
        <v>0.18</v>
      </c>
      <c r="CQ2">
        <v>21612.3</v>
      </c>
      <c r="CR2">
        <v>141680.66</v>
      </c>
      <c r="CS2">
        <v>200</v>
      </c>
      <c r="CT2" t="s">
        <v>145</v>
      </c>
      <c r="CU2" s="127">
        <v>28336133</v>
      </c>
      <c r="CV2" t="s">
        <v>146</v>
      </c>
      <c r="CW2" t="s">
        <v>147</v>
      </c>
      <c r="CX2">
        <v>500</v>
      </c>
    </row>
    <row r="3" spans="1:102" x14ac:dyDescent="0.25">
      <c r="A3" t="s">
        <v>234</v>
      </c>
      <c r="B3" s="125">
        <v>45200</v>
      </c>
      <c r="C3" t="s">
        <v>148</v>
      </c>
      <c r="D3" t="s">
        <v>149</v>
      </c>
      <c r="E3" t="s">
        <v>144</v>
      </c>
      <c r="J3" t="s">
        <v>80</v>
      </c>
      <c r="K3">
        <v>219</v>
      </c>
      <c r="L3">
        <v>108</v>
      </c>
      <c r="M3">
        <v>23652</v>
      </c>
      <c r="P3">
        <v>0</v>
      </c>
      <c r="T3">
        <v>0</v>
      </c>
      <c r="V3" t="s">
        <v>103</v>
      </c>
      <c r="W3">
        <v>74.45</v>
      </c>
      <c r="X3">
        <v>98</v>
      </c>
      <c r="Y3">
        <v>7296.1</v>
      </c>
      <c r="AB3">
        <v>0</v>
      </c>
      <c r="AD3" t="s">
        <v>105</v>
      </c>
      <c r="AE3">
        <v>60.87</v>
      </c>
      <c r="AF3">
        <v>35</v>
      </c>
      <c r="AG3">
        <v>2130.4499999999998</v>
      </c>
      <c r="AH3" t="s">
        <v>88</v>
      </c>
      <c r="AI3">
        <v>76.25</v>
      </c>
      <c r="AJ3">
        <v>281</v>
      </c>
      <c r="AK3">
        <v>21426.25</v>
      </c>
      <c r="AL3" t="s">
        <v>105</v>
      </c>
      <c r="AM3">
        <v>60.87</v>
      </c>
      <c r="AN3">
        <v>139</v>
      </c>
      <c r="AO3">
        <v>8460.93</v>
      </c>
      <c r="AR3">
        <v>0</v>
      </c>
      <c r="AV3">
        <v>0</v>
      </c>
      <c r="AZ3">
        <v>0</v>
      </c>
      <c r="BD3">
        <v>0</v>
      </c>
      <c r="BH3">
        <v>0</v>
      </c>
      <c r="BL3">
        <v>25</v>
      </c>
      <c r="BP3">
        <v>0</v>
      </c>
      <c r="BT3">
        <v>0</v>
      </c>
      <c r="BX3">
        <v>0</v>
      </c>
      <c r="BZ3">
        <v>4610.79</v>
      </c>
      <c r="CA3">
        <v>67576.52</v>
      </c>
      <c r="CH3">
        <v>67576.52</v>
      </c>
      <c r="CM3">
        <v>67576.52</v>
      </c>
      <c r="CN3">
        <v>1250</v>
      </c>
      <c r="CO3">
        <v>68826.52</v>
      </c>
      <c r="CP3" s="126">
        <v>0.18</v>
      </c>
      <c r="CQ3">
        <v>12388.77</v>
      </c>
      <c r="CR3">
        <v>81215.289999999994</v>
      </c>
      <c r="CS3">
        <v>1500</v>
      </c>
      <c r="CT3" t="s">
        <v>145</v>
      </c>
      <c r="CU3" s="127">
        <v>121822940</v>
      </c>
      <c r="CV3" t="s">
        <v>150</v>
      </c>
      <c r="CW3" t="s">
        <v>151</v>
      </c>
      <c r="CX3">
        <v>500</v>
      </c>
    </row>
    <row r="4" spans="1:102" x14ac:dyDescent="0.25">
      <c r="A4" s="2"/>
      <c r="B4" s="51"/>
      <c r="C4" s="2"/>
      <c r="D4" s="2"/>
      <c r="E4" s="2"/>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24"/>
      <c r="AI4" s="10"/>
      <c r="AJ4" s="10"/>
      <c r="AK4" s="10"/>
      <c r="AL4" s="24"/>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1"/>
      <c r="CC4" s="10"/>
      <c r="CD4" s="11"/>
      <c r="CE4" s="10"/>
      <c r="CF4" s="11"/>
      <c r="CG4" s="10"/>
      <c r="CH4" s="10"/>
      <c r="CI4" s="11"/>
      <c r="CJ4" s="10"/>
      <c r="CK4" s="11"/>
      <c r="CL4" s="10"/>
      <c r="CM4" s="10"/>
      <c r="CN4" s="10"/>
      <c r="CO4" s="10"/>
      <c r="CP4" s="11"/>
      <c r="CQ4" s="10"/>
      <c r="CR4" s="10"/>
      <c r="CS4" s="10"/>
      <c r="CT4" s="10"/>
      <c r="CU4" s="12"/>
    </row>
    <row r="5" spans="1:102" x14ac:dyDescent="0.25">
      <c r="A5" s="2"/>
      <c r="B5" s="2"/>
      <c r="C5" s="2"/>
      <c r="D5" s="2"/>
      <c r="E5" s="2"/>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24"/>
      <c r="AI5" s="10"/>
      <c r="AJ5" s="10"/>
      <c r="AK5" s="10"/>
      <c r="AL5" s="24"/>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1"/>
      <c r="CC5" s="10"/>
      <c r="CD5" s="11"/>
      <c r="CE5" s="10"/>
      <c r="CF5" s="11"/>
      <c r="CG5" s="10"/>
      <c r="CH5" s="10"/>
      <c r="CI5" s="11"/>
      <c r="CJ5" s="10"/>
      <c r="CK5" s="11"/>
      <c r="CL5" s="10"/>
      <c r="CM5" s="10"/>
      <c r="CN5" s="10"/>
      <c r="CO5" s="10"/>
      <c r="CP5" s="11"/>
      <c r="CQ5" s="10"/>
      <c r="CR5" s="10"/>
      <c r="CS5" s="10"/>
      <c r="CT5" s="10"/>
      <c r="CU5" s="12"/>
    </row>
    <row r="6" spans="1:102" x14ac:dyDescent="0.25">
      <c r="A6" s="2"/>
      <c r="B6" s="2"/>
      <c r="C6" s="2"/>
      <c r="D6" s="2"/>
      <c r="E6" s="2"/>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24"/>
      <c r="AI6" s="10"/>
      <c r="AJ6" s="10"/>
      <c r="AK6" s="10"/>
      <c r="AL6" s="24"/>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1"/>
      <c r="CC6" s="10"/>
      <c r="CD6" s="11"/>
      <c r="CE6" s="10"/>
      <c r="CF6" s="11"/>
      <c r="CG6" s="10"/>
      <c r="CH6" s="10"/>
      <c r="CI6" s="11"/>
      <c r="CJ6" s="10"/>
      <c r="CK6" s="11"/>
      <c r="CL6" s="10"/>
      <c r="CM6" s="10"/>
      <c r="CN6" s="10"/>
      <c r="CO6" s="10"/>
      <c r="CP6" s="11"/>
      <c r="CQ6" s="10"/>
      <c r="CR6" s="10"/>
      <c r="CS6" s="10"/>
      <c r="CT6" s="10"/>
      <c r="CU6" s="12"/>
    </row>
    <row r="7" spans="1:102" x14ac:dyDescent="0.25">
      <c r="A7" s="2"/>
      <c r="B7" s="2"/>
      <c r="C7" s="2"/>
      <c r="D7" s="2"/>
      <c r="E7" s="2"/>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24"/>
      <c r="AI7" s="10"/>
      <c r="AJ7" s="10"/>
      <c r="AK7" s="10"/>
      <c r="AL7" s="24"/>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1"/>
      <c r="CC7" s="10"/>
      <c r="CD7" s="11"/>
      <c r="CE7" s="10"/>
      <c r="CF7" s="11"/>
      <c r="CG7" s="10"/>
      <c r="CH7" s="10"/>
      <c r="CI7" s="11"/>
      <c r="CJ7" s="10"/>
      <c r="CK7" s="11"/>
      <c r="CL7" s="10"/>
      <c r="CM7" s="10"/>
      <c r="CN7" s="10"/>
      <c r="CO7" s="10"/>
      <c r="CP7" s="11"/>
      <c r="CQ7" s="10"/>
      <c r="CR7" s="10"/>
      <c r="CS7" s="10"/>
      <c r="CT7" s="10"/>
      <c r="CU7" s="12"/>
    </row>
    <row r="8" spans="1:102" x14ac:dyDescent="0.25">
      <c r="A8" s="2"/>
      <c r="B8" s="2"/>
      <c r="C8" s="2"/>
      <c r="D8" s="2"/>
      <c r="E8" s="2"/>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24"/>
      <c r="AI8" s="10"/>
      <c r="AJ8" s="10"/>
      <c r="AK8" s="10"/>
      <c r="AL8" s="24"/>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1"/>
      <c r="CC8" s="10"/>
      <c r="CD8" s="11"/>
      <c r="CE8" s="10"/>
      <c r="CF8" s="11"/>
      <c r="CG8" s="10"/>
      <c r="CH8" s="10"/>
      <c r="CI8" s="11"/>
      <c r="CJ8" s="10"/>
      <c r="CK8" s="11"/>
      <c r="CL8" s="10"/>
      <c r="CM8" s="10"/>
      <c r="CN8" s="10"/>
      <c r="CO8" s="10"/>
      <c r="CP8" s="11"/>
      <c r="CQ8" s="10"/>
      <c r="CR8" s="10"/>
      <c r="CS8" s="10"/>
      <c r="CT8" s="10"/>
      <c r="CU8" s="12"/>
    </row>
    <row r="9" spans="1:102" x14ac:dyDescent="0.25">
      <c r="A9" s="2"/>
      <c r="B9" s="2"/>
      <c r="C9" s="2"/>
      <c r="D9" s="2"/>
      <c r="E9" s="2"/>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24"/>
      <c r="AI9" s="10"/>
      <c r="AJ9" s="10"/>
      <c r="AK9" s="10"/>
      <c r="AL9" s="24"/>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1"/>
      <c r="CC9" s="10"/>
      <c r="CD9" s="11"/>
      <c r="CE9" s="10"/>
      <c r="CF9" s="11"/>
      <c r="CG9" s="10"/>
      <c r="CH9" s="10"/>
      <c r="CI9" s="11"/>
      <c r="CJ9" s="10"/>
      <c r="CK9" s="11"/>
      <c r="CL9" s="10"/>
      <c r="CM9" s="10"/>
      <c r="CN9" s="10"/>
      <c r="CO9" s="10"/>
      <c r="CP9" s="11"/>
      <c r="CQ9" s="10"/>
      <c r="CR9" s="10"/>
      <c r="CS9" s="10"/>
      <c r="CT9" s="10"/>
      <c r="CU9" s="12"/>
    </row>
    <row r="10" spans="1:102" x14ac:dyDescent="0.25">
      <c r="A10" s="2"/>
      <c r="B10" s="2"/>
      <c r="C10" s="2"/>
      <c r="D10" s="2"/>
      <c r="E10" s="2"/>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24"/>
      <c r="AI10" s="10"/>
      <c r="AJ10" s="10"/>
      <c r="AK10" s="10"/>
      <c r="AL10" s="24"/>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1"/>
      <c r="CC10" s="10"/>
      <c r="CD10" s="11"/>
      <c r="CE10" s="10"/>
      <c r="CF10" s="11"/>
      <c r="CG10" s="10"/>
      <c r="CH10" s="10"/>
      <c r="CI10" s="11"/>
      <c r="CJ10" s="10"/>
      <c r="CK10" s="11"/>
      <c r="CL10" s="10"/>
      <c r="CM10" s="10"/>
      <c r="CN10" s="10"/>
      <c r="CO10" s="10"/>
      <c r="CP10" s="11"/>
      <c r="CQ10" s="10"/>
      <c r="CR10" s="10"/>
      <c r="CS10" s="10"/>
      <c r="CT10" s="10"/>
      <c r="CU10" s="12"/>
    </row>
    <row r="11" spans="1:102" x14ac:dyDescent="0.2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0"/>
      <c r="AQ11" s="10"/>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6"/>
      <c r="CC11" s="1"/>
      <c r="CD11" s="16"/>
      <c r="CE11" s="1"/>
      <c r="CF11" s="16"/>
      <c r="CG11" s="1"/>
      <c r="CH11" s="1"/>
      <c r="CI11" s="16"/>
      <c r="CJ11" s="1"/>
      <c r="CK11" s="16"/>
      <c r="CL11" s="1"/>
      <c r="CM11" s="3"/>
      <c r="CN11" s="1"/>
      <c r="CO11" s="1"/>
      <c r="CP11" s="16"/>
      <c r="CQ11" s="1"/>
      <c r="CR11" s="1"/>
      <c r="CS11" s="1"/>
      <c r="CT11" s="1"/>
      <c r="CU11" s="17"/>
    </row>
    <row r="12" spans="1:102"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0"/>
      <c r="AE12" s="10"/>
      <c r="AF12" s="10"/>
      <c r="AG12" s="10"/>
      <c r="AH12" s="1"/>
      <c r="AI12" s="1"/>
      <c r="AJ12" s="1"/>
      <c r="AK12" s="1"/>
      <c r="AL12" s="1"/>
      <c r="AM12" s="1"/>
      <c r="AN12" s="1"/>
      <c r="AO12" s="1"/>
      <c r="AP12" s="10"/>
      <c r="AQ12" s="10"/>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6"/>
      <c r="CC12" s="1"/>
      <c r="CD12" s="16"/>
      <c r="CE12" s="1"/>
      <c r="CF12" s="16"/>
      <c r="CG12" s="1"/>
      <c r="CH12" s="1"/>
      <c r="CI12" s="16"/>
      <c r="CJ12" s="1"/>
      <c r="CK12" s="16"/>
      <c r="CL12" s="1"/>
      <c r="CM12" s="3"/>
      <c r="CN12" s="1"/>
      <c r="CO12" s="1"/>
      <c r="CP12" s="16"/>
      <c r="CQ12" s="1"/>
      <c r="CR12" s="1"/>
      <c r="CS12" s="1"/>
      <c r="CT12" s="1"/>
      <c r="CU12" s="17"/>
    </row>
    <row r="13" spans="1:102"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0"/>
      <c r="AE13" s="10"/>
      <c r="AF13" s="10"/>
      <c r="AG13" s="10"/>
      <c r="AH13" s="1"/>
      <c r="AI13" s="1"/>
      <c r="AJ13" s="1"/>
      <c r="AK13" s="1"/>
      <c r="AL13" s="1"/>
      <c r="AM13" s="1"/>
      <c r="AN13" s="1"/>
      <c r="AO13" s="1"/>
      <c r="AP13" s="10"/>
      <c r="AQ13" s="10"/>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6"/>
      <c r="CC13" s="1"/>
      <c r="CD13" s="16"/>
      <c r="CE13" s="1"/>
      <c r="CF13" s="16"/>
      <c r="CG13" s="1"/>
      <c r="CH13" s="1"/>
      <c r="CI13" s="16"/>
      <c r="CJ13" s="1"/>
      <c r="CK13" s="16"/>
      <c r="CL13" s="1"/>
      <c r="CM13" s="3"/>
      <c r="CN13" s="1"/>
      <c r="CO13" s="1"/>
      <c r="CP13" s="16"/>
      <c r="CQ13" s="1"/>
      <c r="CR13" s="1"/>
      <c r="CS13" s="1"/>
      <c r="CT13" s="1"/>
      <c r="CU13" s="17"/>
    </row>
    <row r="14" spans="1:102" x14ac:dyDescent="0.2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24"/>
      <c r="AE14" s="1"/>
      <c r="AF14" s="1"/>
      <c r="AG14" s="1"/>
      <c r="AH14" s="1"/>
      <c r="AI14" s="1"/>
      <c r="AJ14" s="1"/>
      <c r="AK14" s="1"/>
      <c r="AL14" s="1"/>
      <c r="AM14" s="1"/>
      <c r="AN14" s="1"/>
      <c r="AO14" s="1"/>
      <c r="AP14" s="10"/>
      <c r="AQ14" s="10"/>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6"/>
      <c r="CC14" s="1"/>
      <c r="CD14" s="16"/>
      <c r="CE14" s="1"/>
      <c r="CF14" s="16"/>
      <c r="CG14" s="1"/>
      <c r="CH14" s="1"/>
      <c r="CI14" s="16"/>
      <c r="CJ14" s="1"/>
      <c r="CK14" s="16"/>
      <c r="CL14" s="1"/>
      <c r="CM14" s="3"/>
      <c r="CN14" s="1"/>
      <c r="CO14" s="1"/>
      <c r="CP14" s="16"/>
      <c r="CQ14" s="1"/>
      <c r="CR14" s="1"/>
      <c r="CS14" s="1"/>
      <c r="CT14" s="1"/>
      <c r="CU14" s="17"/>
    </row>
    <row r="15" spans="1:102"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0"/>
      <c r="AQ15" s="10"/>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6"/>
      <c r="CC15" s="1"/>
      <c r="CD15" s="16"/>
      <c r="CE15" s="1"/>
      <c r="CF15" s="16"/>
      <c r="CG15" s="1"/>
      <c r="CH15" s="1"/>
      <c r="CI15" s="16"/>
      <c r="CJ15" s="1"/>
      <c r="CK15" s="16"/>
      <c r="CL15" s="1"/>
      <c r="CM15" s="3"/>
      <c r="CN15" s="1"/>
      <c r="CO15" s="1"/>
      <c r="CP15" s="16"/>
      <c r="CQ15" s="1"/>
      <c r="CR15" s="1"/>
      <c r="CS15" s="1"/>
      <c r="CT15" s="1"/>
      <c r="CU15" s="17"/>
    </row>
    <row r="16" spans="1:102"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0"/>
      <c r="AQ16" s="10"/>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6"/>
      <c r="CC16" s="1"/>
      <c r="CD16" s="16"/>
      <c r="CE16" s="1"/>
      <c r="CF16" s="16"/>
      <c r="CG16" s="1"/>
      <c r="CH16" s="1"/>
      <c r="CI16" s="16"/>
      <c r="CJ16" s="1"/>
      <c r="CK16" s="16"/>
      <c r="CL16" s="1"/>
      <c r="CM16" s="3"/>
      <c r="CN16" s="1"/>
      <c r="CO16" s="1"/>
      <c r="CP16" s="16"/>
      <c r="CQ16" s="1"/>
      <c r="CR16" s="1"/>
      <c r="CS16" s="1"/>
      <c r="CT16" s="1"/>
      <c r="CU16" s="17"/>
    </row>
    <row r="17" spans="1:99"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0"/>
      <c r="AQ17" s="10"/>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6"/>
      <c r="CC17" s="1"/>
      <c r="CD17" s="16"/>
      <c r="CE17" s="1"/>
      <c r="CF17" s="16"/>
      <c r="CG17" s="1"/>
      <c r="CH17" s="1"/>
      <c r="CI17" s="16"/>
      <c r="CJ17" s="1"/>
      <c r="CK17" s="16"/>
      <c r="CL17" s="1"/>
      <c r="CM17" s="3"/>
      <c r="CN17" s="1"/>
      <c r="CO17" s="1"/>
      <c r="CP17" s="16"/>
      <c r="CQ17" s="1"/>
      <c r="CR17" s="1"/>
      <c r="CS17" s="1"/>
      <c r="CT17" s="1"/>
      <c r="CU17" s="17"/>
    </row>
    <row r="18" spans="1:99"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0"/>
      <c r="AQ18" s="10"/>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6"/>
      <c r="CC18" s="1"/>
      <c r="CD18" s="16"/>
      <c r="CE18" s="1"/>
      <c r="CF18" s="16"/>
      <c r="CG18" s="1"/>
      <c r="CH18" s="1"/>
      <c r="CI18" s="16"/>
      <c r="CJ18" s="1"/>
      <c r="CK18" s="16"/>
      <c r="CL18" s="1"/>
      <c r="CM18" s="3"/>
      <c r="CN18" s="1"/>
      <c r="CO18" s="1"/>
      <c r="CP18" s="16"/>
      <c r="CQ18" s="1"/>
      <c r="CR18" s="1"/>
      <c r="CS18" s="1"/>
      <c r="CT18" s="1"/>
      <c r="CU18" s="17"/>
    </row>
    <row r="19" spans="1:99"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6"/>
      <c r="CE19" s="1"/>
      <c r="CF19" s="16"/>
      <c r="CG19" s="1"/>
      <c r="CH19" s="1"/>
      <c r="CI19" s="16"/>
      <c r="CJ19" s="1"/>
      <c r="CK19" s="16"/>
      <c r="CL19" s="1"/>
      <c r="CM19" s="3"/>
      <c r="CN19" s="1"/>
      <c r="CO19" s="1"/>
      <c r="CP19" s="16"/>
      <c r="CQ19" s="1"/>
      <c r="CR19" s="1"/>
      <c r="CS19" s="1"/>
      <c r="CT19" s="1"/>
      <c r="CU19" s="17"/>
    </row>
    <row r="20" spans="1:99"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6"/>
      <c r="CE20" s="1"/>
      <c r="CF20" s="16"/>
      <c r="CG20" s="1"/>
      <c r="CH20" s="1"/>
      <c r="CI20" s="16"/>
      <c r="CJ20" s="1"/>
      <c r="CK20" s="16"/>
      <c r="CL20" s="1"/>
      <c r="CM20" s="3"/>
      <c r="CN20" s="1"/>
      <c r="CO20" s="1"/>
      <c r="CP20" s="16"/>
      <c r="CQ20" s="1"/>
      <c r="CR20" s="1"/>
      <c r="CS20" s="1"/>
      <c r="CT20" s="1"/>
      <c r="CU20" s="17"/>
    </row>
  </sheetData>
  <autoFilter ref="A1:CU1" xr:uid="{00000000-0009-0000-0000-000000000000}"/>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L24"/>
  <sheetViews>
    <sheetView tabSelected="1" topLeftCell="A16" workbookViewId="0">
      <selection activeCell="H33" sqref="H33"/>
    </sheetView>
  </sheetViews>
  <sheetFormatPr defaultRowHeight="15" x14ac:dyDescent="0.25"/>
  <cols>
    <col min="1" max="1" width="15.140625" bestFit="1" customWidth="1"/>
    <col min="2" max="2" width="10.42578125" bestFit="1" customWidth="1"/>
    <col min="3" max="3" width="10.28515625" bestFit="1" customWidth="1"/>
    <col min="4" max="4" width="29.5703125" customWidth="1"/>
    <col min="5" max="5" width="13.85546875" style="4" bestFit="1" customWidth="1"/>
    <col min="6" max="6" width="9.140625" customWidth="1"/>
    <col min="7" max="7" width="13.85546875" bestFit="1" customWidth="1"/>
    <col min="8" max="8" width="10.5703125" style="8" bestFit="1" customWidth="1"/>
    <col min="9" max="9" width="12.28515625" bestFit="1" customWidth="1"/>
    <col min="10" max="10" width="13.85546875" bestFit="1" customWidth="1"/>
    <col min="13" max="13" width="15.28515625" bestFit="1" customWidth="1"/>
    <col min="14" max="14" width="7.85546875" style="30" customWidth="1"/>
    <col min="15" max="33" width="7.85546875" style="30" hidden="1" customWidth="1"/>
    <col min="34" max="34" width="7.85546875" style="30" customWidth="1"/>
    <col min="35" max="40" width="7.85546875" style="30" hidden="1" customWidth="1"/>
    <col min="41" max="41" width="7.85546875" style="30" customWidth="1"/>
    <col min="42" max="49" width="7.85546875" style="30" hidden="1" customWidth="1"/>
    <col min="50" max="50" width="7.85546875" style="30" customWidth="1"/>
    <col min="51" max="60" width="7.85546875" style="30" hidden="1" customWidth="1"/>
    <col min="61" max="61" width="7.85546875" style="30" customWidth="1"/>
    <col min="62" max="73" width="7.85546875" style="30" hidden="1" customWidth="1"/>
    <col min="74" max="74" width="7.85546875" style="30" customWidth="1"/>
    <col min="75" max="75" width="10.7109375" style="30" bestFit="1" customWidth="1"/>
    <col min="76" max="76" width="15.85546875" style="30" customWidth="1"/>
    <col min="77" max="77" width="9.85546875" style="30" customWidth="1"/>
    <col min="78" max="78" width="9.85546875" style="4" bestFit="1" customWidth="1"/>
    <col min="79" max="79" width="13.85546875" style="4" bestFit="1" customWidth="1"/>
    <col min="80" max="80" width="9.140625" style="28" hidden="1" customWidth="1"/>
    <col min="81" max="81" width="9.140625" style="4" hidden="1" customWidth="1"/>
    <col min="82" max="82" width="9.140625" style="14" customWidth="1"/>
    <col min="83" max="83" width="12" style="4" bestFit="1" customWidth="1"/>
    <col min="84" max="84" width="9.140625" style="8" customWidth="1"/>
    <col min="85" max="85" width="12.28515625" style="4" bestFit="1" customWidth="1"/>
    <col min="86" max="86" width="13.85546875" style="4" bestFit="1" customWidth="1"/>
    <col min="87" max="87" width="9.140625" style="8" customWidth="1"/>
    <col min="88" max="88" width="11.5703125" customWidth="1"/>
    <col min="89" max="89" width="9.140625" style="8" customWidth="1"/>
    <col min="90" max="90" width="9.140625" customWidth="1"/>
  </cols>
  <sheetData>
    <row r="1" spans="1:89" s="44" customFormat="1" ht="15.75" thickBot="1" x14ac:dyDescent="0.3"/>
    <row r="2" spans="1:89" s="44" customFormat="1" ht="23.25" thickBot="1" x14ac:dyDescent="0.5">
      <c r="A2" s="129" t="s">
        <v>139</v>
      </c>
      <c r="B2" s="130"/>
      <c r="C2" s="130"/>
      <c r="D2" s="130"/>
      <c r="E2" s="130"/>
      <c r="F2" s="130"/>
      <c r="G2" s="130"/>
      <c r="H2" s="130"/>
      <c r="I2" s="130"/>
      <c r="J2" s="130"/>
      <c r="K2" s="130"/>
      <c r="L2" s="130"/>
      <c r="M2" s="130"/>
      <c r="N2" s="130"/>
      <c r="O2" s="130"/>
      <c r="P2" s="130"/>
      <c r="Q2" s="130"/>
      <c r="R2" s="131"/>
      <c r="S2" s="47"/>
      <c r="T2" s="47"/>
    </row>
    <row r="3" spans="1:89" s="44" customFormat="1" ht="15.75" thickBot="1" x14ac:dyDescent="0.3">
      <c r="A3"/>
      <c r="B3"/>
      <c r="C3"/>
      <c r="D3"/>
      <c r="E3"/>
      <c r="F3"/>
      <c r="G3"/>
      <c r="H3"/>
      <c r="I3"/>
      <c r="J3"/>
      <c r="K3"/>
      <c r="L3"/>
      <c r="M3"/>
      <c r="N3"/>
      <c r="O3"/>
      <c r="P3"/>
      <c r="Q3"/>
      <c r="R3"/>
      <c r="S3"/>
    </row>
    <row r="4" spans="1:89" s="44" customFormat="1" ht="51.75" customHeight="1" thickBot="1" x14ac:dyDescent="0.3">
      <c r="A4" s="45" t="s">
        <v>125</v>
      </c>
      <c r="B4" s="139" t="s">
        <v>206</v>
      </c>
      <c r="C4" s="139"/>
      <c r="D4" s="139"/>
      <c r="E4" s="139"/>
      <c r="F4" s="139"/>
      <c r="G4" s="139"/>
      <c r="H4" s="139"/>
      <c r="I4" s="139"/>
      <c r="J4" s="139"/>
      <c r="K4" s="139"/>
      <c r="L4" s="139"/>
      <c r="M4" s="139"/>
      <c r="N4" s="139"/>
      <c r="O4" s="139"/>
      <c r="P4" s="139"/>
      <c r="Q4" s="139"/>
      <c r="R4" s="139"/>
      <c r="S4"/>
    </row>
    <row r="5" spans="1:89" s="44" customFormat="1" ht="34.5" customHeight="1" x14ac:dyDescent="0.25">
      <c r="A5" s="45" t="s">
        <v>126</v>
      </c>
      <c r="B5" s="139" t="s">
        <v>210</v>
      </c>
      <c r="C5" s="139"/>
      <c r="D5" s="139"/>
      <c r="E5" s="139"/>
      <c r="F5" s="139"/>
      <c r="G5" s="139"/>
      <c r="H5" s="139"/>
      <c r="I5" s="139"/>
      <c r="J5" s="139"/>
      <c r="K5" s="139"/>
      <c r="L5" s="139"/>
      <c r="M5" s="139"/>
      <c r="N5" s="139"/>
      <c r="O5" s="139"/>
      <c r="P5" s="139"/>
      <c r="Q5" s="139"/>
      <c r="R5" s="139"/>
      <c r="S5"/>
    </row>
    <row r="6" spans="1:89" s="44" customFormat="1" ht="45" x14ac:dyDescent="0.25">
      <c r="A6" s="46" t="s">
        <v>127</v>
      </c>
      <c r="B6" s="140" t="s">
        <v>209</v>
      </c>
      <c r="C6" s="139"/>
      <c r="D6" s="139"/>
      <c r="E6" s="139"/>
      <c r="F6" s="139"/>
      <c r="G6" s="139"/>
      <c r="H6" s="139"/>
      <c r="I6" s="139"/>
      <c r="J6" s="139"/>
      <c r="K6" s="139"/>
      <c r="L6" s="139"/>
      <c r="M6" s="139"/>
      <c r="N6" s="139"/>
      <c r="O6" s="139"/>
      <c r="P6" s="139"/>
      <c r="Q6" s="139"/>
      <c r="R6" s="139"/>
      <c r="S6"/>
    </row>
    <row r="7" spans="1:89" s="44" customFormat="1" ht="30" x14ac:dyDescent="0.25">
      <c r="A7" s="46" t="s">
        <v>124</v>
      </c>
      <c r="B7" s="140" t="s">
        <v>208</v>
      </c>
      <c r="C7" s="139"/>
      <c r="D7" s="139"/>
      <c r="E7" s="139"/>
      <c r="F7" s="139"/>
      <c r="G7" s="139"/>
      <c r="H7" s="139"/>
      <c r="I7" s="139"/>
      <c r="J7" s="139"/>
      <c r="K7" s="139"/>
      <c r="L7" s="139"/>
      <c r="M7" s="139"/>
      <c r="N7" s="139"/>
      <c r="O7" s="139"/>
      <c r="P7" s="139"/>
      <c r="Q7" s="139"/>
      <c r="R7" s="139"/>
      <c r="S7"/>
    </row>
    <row r="8" spans="1:89" s="44" customFormat="1" ht="28.5" customHeight="1" x14ac:dyDescent="0.25">
      <c r="A8" s="46" t="s">
        <v>128</v>
      </c>
      <c r="B8" s="140" t="s">
        <v>207</v>
      </c>
      <c r="C8" s="140"/>
      <c r="D8" s="140"/>
      <c r="E8" s="140"/>
      <c r="F8" s="140"/>
      <c r="G8" s="140"/>
      <c r="H8" s="140"/>
      <c r="I8" s="140"/>
      <c r="J8" s="140"/>
      <c r="K8" s="140"/>
      <c r="L8" s="140"/>
      <c r="M8" s="140"/>
      <c r="N8" s="140"/>
      <c r="O8" s="140"/>
      <c r="P8" s="140"/>
      <c r="Q8" s="140"/>
      <c r="R8" s="140"/>
      <c r="S8"/>
    </row>
    <row r="9" spans="1:89" s="44" customFormat="1" ht="39.75" customHeight="1" x14ac:dyDescent="0.25">
      <c r="A9" s="46" t="s">
        <v>129</v>
      </c>
      <c r="B9" s="141" t="s">
        <v>140</v>
      </c>
      <c r="C9" s="142"/>
      <c r="D9" s="142"/>
      <c r="E9" s="142"/>
      <c r="F9" s="142"/>
      <c r="G9" s="142"/>
      <c r="H9" s="142"/>
      <c r="I9" s="142"/>
      <c r="J9" s="142"/>
      <c r="K9" s="142"/>
      <c r="L9" s="142"/>
      <c r="M9" s="142"/>
      <c r="N9" s="142"/>
      <c r="O9" s="142"/>
      <c r="P9" s="142"/>
      <c r="Q9" s="142"/>
      <c r="R9" s="143"/>
    </row>
    <row r="10" spans="1:89" s="44" customFormat="1" ht="90.75" customHeight="1" x14ac:dyDescent="0.25">
      <c r="A10" s="46" t="s">
        <v>130</v>
      </c>
      <c r="B10" s="140" t="s">
        <v>212</v>
      </c>
      <c r="C10" s="140"/>
      <c r="D10" s="140"/>
      <c r="E10" s="140"/>
      <c r="F10" s="140"/>
      <c r="G10" s="140"/>
      <c r="H10" s="140"/>
      <c r="I10" s="140"/>
      <c r="J10" s="140"/>
      <c r="K10" s="140"/>
      <c r="L10" s="140"/>
      <c r="M10" s="140"/>
      <c r="N10" s="140"/>
      <c r="O10" s="140"/>
      <c r="P10" s="140"/>
      <c r="Q10" s="140"/>
      <c r="R10" s="140"/>
      <c r="S10"/>
    </row>
    <row r="11" spans="1:89" s="44" customFormat="1" ht="65.25" customHeight="1" x14ac:dyDescent="0.25">
      <c r="A11" s="46" t="s">
        <v>131</v>
      </c>
      <c r="B11" s="135" t="s">
        <v>211</v>
      </c>
      <c r="C11" s="136"/>
      <c r="D11" s="136"/>
      <c r="E11" s="136"/>
      <c r="F11" s="136"/>
      <c r="G11" s="136"/>
      <c r="H11" s="136"/>
      <c r="I11" s="136"/>
      <c r="J11" s="136"/>
      <c r="K11" s="136"/>
      <c r="L11" s="136"/>
      <c r="M11" s="136"/>
      <c r="N11" s="136"/>
      <c r="O11" s="136"/>
      <c r="P11" s="136"/>
      <c r="Q11" s="136"/>
      <c r="R11" s="137"/>
      <c r="S11"/>
    </row>
    <row r="12" spans="1:89" s="44" customFormat="1" ht="36.75" customHeight="1" x14ac:dyDescent="0.25">
      <c r="A12" s="49" t="s">
        <v>132</v>
      </c>
      <c r="B12" s="138" t="s">
        <v>214</v>
      </c>
      <c r="C12" s="138"/>
      <c r="D12" s="138"/>
      <c r="E12" s="138"/>
      <c r="F12" s="138"/>
      <c r="G12" s="138"/>
      <c r="H12" s="138"/>
      <c r="I12" s="138"/>
      <c r="J12" s="138"/>
      <c r="K12" s="138"/>
      <c r="L12" s="138"/>
      <c r="M12" s="138"/>
      <c r="N12" s="138"/>
      <c r="O12" s="138"/>
      <c r="P12" s="138"/>
      <c r="Q12" s="138"/>
      <c r="R12" s="138"/>
    </row>
    <row r="13" spans="1:89" s="44" customFormat="1" ht="29.25" customHeight="1" x14ac:dyDescent="0.25">
      <c r="A13" s="49" t="s">
        <v>133</v>
      </c>
      <c r="B13" s="138" t="s">
        <v>213</v>
      </c>
      <c r="C13" s="138"/>
      <c r="D13" s="138"/>
      <c r="E13" s="138"/>
      <c r="F13" s="138"/>
      <c r="G13" s="138"/>
      <c r="H13" s="138"/>
      <c r="I13" s="138"/>
      <c r="J13" s="138"/>
      <c r="K13" s="138"/>
      <c r="L13" s="138"/>
      <c r="M13" s="138"/>
      <c r="N13" s="138"/>
      <c r="O13" s="138"/>
      <c r="P13" s="138"/>
      <c r="Q13" s="138"/>
      <c r="R13" s="138"/>
    </row>
    <row r="14" spans="1:89" s="44" customFormat="1" ht="30" x14ac:dyDescent="0.25">
      <c r="A14" s="50" t="s">
        <v>134</v>
      </c>
      <c r="B14" s="138"/>
      <c r="C14" s="138"/>
      <c r="D14" s="138"/>
      <c r="E14" s="138"/>
      <c r="F14" s="138"/>
      <c r="G14" s="138"/>
      <c r="H14" s="138"/>
      <c r="I14" s="138"/>
      <c r="J14" s="138"/>
      <c r="K14" s="138"/>
      <c r="L14" s="138"/>
      <c r="M14" s="138"/>
      <c r="N14" s="138"/>
      <c r="O14" s="138"/>
      <c r="P14" s="138"/>
      <c r="Q14" s="138"/>
      <c r="R14" s="138"/>
    </row>
    <row r="16" spans="1:89" s="37" customFormat="1" ht="28.9" customHeight="1" x14ac:dyDescent="0.25">
      <c r="E16" s="42"/>
      <c r="H16" s="43"/>
      <c r="N16" s="134" t="str">
        <f>Sheet1!J1</f>
        <v>Conductor</v>
      </c>
      <c r="O16" s="134"/>
      <c r="P16" s="134"/>
      <c r="Q16" s="134"/>
      <c r="R16" s="134"/>
      <c r="S16" s="134" t="s">
        <v>9</v>
      </c>
      <c r="T16" s="134"/>
      <c r="U16" s="134" t="s">
        <v>3</v>
      </c>
      <c r="V16" s="134"/>
      <c r="W16" s="134"/>
      <c r="X16" s="134"/>
      <c r="Y16" s="134"/>
      <c r="Z16" s="134"/>
      <c r="AA16" s="134"/>
      <c r="AB16" s="134"/>
      <c r="AC16" s="134" t="s">
        <v>12</v>
      </c>
      <c r="AD16" s="134"/>
      <c r="AE16" s="134" t="s">
        <v>15</v>
      </c>
      <c r="AF16" s="134"/>
      <c r="AG16" s="134"/>
      <c r="AH16" s="134"/>
      <c r="AI16" s="134"/>
      <c r="AJ16" s="134"/>
      <c r="AK16" s="10" t="s">
        <v>18</v>
      </c>
      <c r="AL16" s="132" t="s">
        <v>21</v>
      </c>
      <c r="AM16" s="133"/>
      <c r="AN16" s="133"/>
      <c r="AO16" s="133"/>
      <c r="AP16" s="133"/>
      <c r="AQ16" s="133"/>
      <c r="AR16" s="133"/>
      <c r="AS16" s="134" t="s">
        <v>24</v>
      </c>
      <c r="AT16" s="134"/>
      <c r="AU16" s="134"/>
      <c r="AV16" s="134"/>
      <c r="AW16" s="134"/>
      <c r="AX16" s="134"/>
      <c r="AY16" s="134"/>
      <c r="AZ16" s="134"/>
      <c r="BA16" s="134"/>
      <c r="BB16" s="134"/>
      <c r="BC16" s="134" t="s">
        <v>27</v>
      </c>
      <c r="BD16" s="134"/>
      <c r="BE16" s="134"/>
      <c r="BF16" s="134"/>
      <c r="BG16" s="134"/>
      <c r="BH16" s="134"/>
      <c r="BI16" s="134"/>
      <c r="BJ16" s="134"/>
      <c r="BK16" s="134"/>
      <c r="BL16" s="134"/>
      <c r="BM16" s="38" t="s">
        <v>30</v>
      </c>
      <c r="BN16" s="10" t="s">
        <v>33</v>
      </c>
      <c r="BO16" s="10" t="s">
        <v>36</v>
      </c>
      <c r="BP16" s="10" t="s">
        <v>39</v>
      </c>
      <c r="BQ16" s="10" t="s">
        <v>42</v>
      </c>
      <c r="BR16" s="10" t="s">
        <v>45</v>
      </c>
      <c r="BS16" s="10" t="s">
        <v>48</v>
      </c>
      <c r="BT16" s="10" t="s">
        <v>51</v>
      </c>
      <c r="BU16" s="10" t="s">
        <v>54</v>
      </c>
      <c r="BV16" s="10"/>
      <c r="BW16" s="10"/>
      <c r="BX16" s="10"/>
      <c r="BY16" s="10"/>
      <c r="BZ16" s="39" t="s">
        <v>57</v>
      </c>
      <c r="CA16" s="39" t="s">
        <v>58</v>
      </c>
      <c r="CB16" s="40" t="s">
        <v>79</v>
      </c>
      <c r="CC16" s="39" t="s">
        <v>123</v>
      </c>
      <c r="CD16" s="41"/>
      <c r="CE16" s="42"/>
      <c r="CF16" s="43"/>
      <c r="CG16" s="42"/>
      <c r="CH16" s="42"/>
      <c r="CI16" s="43"/>
      <c r="CK16" s="43"/>
    </row>
    <row r="17" spans="1:90" s="19" customFormat="1" ht="89.25" x14ac:dyDescent="0.25">
      <c r="A17" s="22" t="s">
        <v>0</v>
      </c>
      <c r="B17" s="22" t="str">
        <f>Sheet1!B1</f>
        <v>Base Date</v>
      </c>
      <c r="C17" s="22" t="s">
        <v>1</v>
      </c>
      <c r="D17" s="22" t="s">
        <v>2</v>
      </c>
      <c r="E17" s="5" t="s">
        <v>70</v>
      </c>
      <c r="F17" s="15" t="s">
        <v>71</v>
      </c>
      <c r="G17" s="15" t="s">
        <v>72</v>
      </c>
      <c r="H17" s="6" t="s">
        <v>73</v>
      </c>
      <c r="I17" s="15" t="s">
        <v>74</v>
      </c>
      <c r="J17" s="15" t="s">
        <v>75</v>
      </c>
      <c r="K17" s="15" t="s">
        <v>76</v>
      </c>
      <c r="L17" s="15" t="s">
        <v>77</v>
      </c>
      <c r="M17" s="15" t="s">
        <v>78</v>
      </c>
      <c r="N17" s="23" t="s">
        <v>80</v>
      </c>
      <c r="O17" s="23" t="s">
        <v>85</v>
      </c>
      <c r="P17" s="23" t="s">
        <v>82</v>
      </c>
      <c r="Q17" s="23" t="s">
        <v>83</v>
      </c>
      <c r="R17" s="23" t="s">
        <v>84</v>
      </c>
      <c r="S17" s="23" t="s">
        <v>80</v>
      </c>
      <c r="T17" s="23" t="s">
        <v>85</v>
      </c>
      <c r="U17" s="24" t="s">
        <v>92</v>
      </c>
      <c r="V17" s="24" t="s">
        <v>96</v>
      </c>
      <c r="W17" s="24" t="s">
        <v>99</v>
      </c>
      <c r="X17" s="24" t="s">
        <v>104</v>
      </c>
      <c r="Y17" s="24" t="s">
        <v>108</v>
      </c>
      <c r="Z17" s="24" t="s">
        <v>112</v>
      </c>
      <c r="AA17" s="24" t="s">
        <v>115</v>
      </c>
      <c r="AB17" s="24" t="s">
        <v>117</v>
      </c>
      <c r="AC17" s="24" t="s">
        <v>91</v>
      </c>
      <c r="AD17" s="24" t="s">
        <v>95</v>
      </c>
      <c r="AE17" s="24" t="s">
        <v>90</v>
      </c>
      <c r="AF17" s="24" t="s">
        <v>86</v>
      </c>
      <c r="AG17" s="24" t="s">
        <v>98</v>
      </c>
      <c r="AH17" s="24" t="s">
        <v>103</v>
      </c>
      <c r="AI17" s="24" t="s">
        <v>107</v>
      </c>
      <c r="AJ17" s="24" t="s">
        <v>111</v>
      </c>
      <c r="AK17" s="20" t="s">
        <v>18</v>
      </c>
      <c r="AL17" s="24" t="s">
        <v>93</v>
      </c>
      <c r="AM17" s="24" t="s">
        <v>97</v>
      </c>
      <c r="AN17" s="24" t="s">
        <v>100</v>
      </c>
      <c r="AO17" s="24" t="s">
        <v>105</v>
      </c>
      <c r="AP17" s="24" t="s">
        <v>109</v>
      </c>
      <c r="AQ17" s="24" t="s">
        <v>87</v>
      </c>
      <c r="AR17" s="24" t="s">
        <v>116</v>
      </c>
      <c r="AS17" s="24" t="s">
        <v>94</v>
      </c>
      <c r="AT17" s="24" t="s">
        <v>81</v>
      </c>
      <c r="AU17" s="24" t="s">
        <v>101</v>
      </c>
      <c r="AV17" s="24" t="s">
        <v>106</v>
      </c>
      <c r="AW17" s="24" t="s">
        <v>113</v>
      </c>
      <c r="AX17" s="24" t="s">
        <v>88</v>
      </c>
      <c r="AY17" s="24" t="s">
        <v>118</v>
      </c>
      <c r="AZ17" s="24" t="s">
        <v>119</v>
      </c>
      <c r="BA17" s="24" t="s">
        <v>120</v>
      </c>
      <c r="BB17" s="24" t="s">
        <v>122</v>
      </c>
      <c r="BC17" s="24" t="s">
        <v>93</v>
      </c>
      <c r="BD17" s="24" t="s">
        <v>97</v>
      </c>
      <c r="BE17" s="24" t="s">
        <v>102</v>
      </c>
      <c r="BF17" s="24" t="s">
        <v>100</v>
      </c>
      <c r="BG17" s="24" t="s">
        <v>110</v>
      </c>
      <c r="BH17" s="24" t="s">
        <v>114</v>
      </c>
      <c r="BI17" s="24" t="s">
        <v>105</v>
      </c>
      <c r="BJ17" s="24" t="s">
        <v>87</v>
      </c>
      <c r="BK17" s="24" t="s">
        <v>116</v>
      </c>
      <c r="BL17" s="24" t="s">
        <v>121</v>
      </c>
      <c r="BM17" s="20" t="s">
        <v>30</v>
      </c>
      <c r="BN17" s="20" t="s">
        <v>89</v>
      </c>
      <c r="BO17" s="21" t="s">
        <v>36</v>
      </c>
      <c r="BP17" s="25" t="s">
        <v>39</v>
      </c>
      <c r="BQ17" s="21" t="s">
        <v>42</v>
      </c>
      <c r="BR17" s="21" t="s">
        <v>45</v>
      </c>
      <c r="BS17" s="21" t="s">
        <v>48</v>
      </c>
      <c r="BT17" s="25" t="s">
        <v>51</v>
      </c>
      <c r="BU17" s="21" t="s">
        <v>54</v>
      </c>
      <c r="BV17" s="21" t="str">
        <f>Sheet1!E1</f>
        <v>PROPOSE DRUM TYPE</v>
      </c>
      <c r="BW17" s="54" t="str">
        <f>Sheet1!CV1</f>
        <v>DRUM CODE</v>
      </c>
      <c r="BX17" s="54" t="str">
        <f>Sheet1!CW1</f>
        <v>DRUM SIZE (FxbXtx Ft)</v>
      </c>
      <c r="BY17" s="54" t="str">
        <f>Sheet1!CX1</f>
        <v xml:space="preserve">PARTY STANDARD LENGTH (MTR) </v>
      </c>
      <c r="BZ17" s="29"/>
      <c r="CA17" s="29"/>
      <c r="CB17" s="26"/>
      <c r="CC17" s="29"/>
      <c r="CD17" s="13" t="s">
        <v>61</v>
      </c>
      <c r="CE17" s="5" t="s">
        <v>62</v>
      </c>
      <c r="CF17" s="6" t="s">
        <v>63</v>
      </c>
      <c r="CG17" s="5" t="s">
        <v>64</v>
      </c>
      <c r="CH17" s="5" t="s">
        <v>65</v>
      </c>
      <c r="CI17" s="6" t="s">
        <v>66</v>
      </c>
      <c r="CJ17" s="15" t="s">
        <v>67</v>
      </c>
      <c r="CK17" s="6" t="s">
        <v>68</v>
      </c>
      <c r="CL17" s="15" t="s">
        <v>69</v>
      </c>
    </row>
    <row r="18" spans="1:90" s="29" customFormat="1" x14ac:dyDescent="0.25">
      <c r="A18" s="31"/>
      <c r="B18" s="31"/>
      <c r="C18" s="31"/>
      <c r="D18" s="31"/>
      <c r="E18" s="5"/>
      <c r="F18" s="5"/>
      <c r="G18" s="5"/>
      <c r="H18" s="5"/>
      <c r="I18" s="5"/>
      <c r="J18" s="5"/>
      <c r="K18" s="5"/>
      <c r="L18" s="5"/>
      <c r="M18" s="5"/>
      <c r="N18" s="32">
        <v>214</v>
      </c>
      <c r="O18" s="32">
        <f>+IFERROR(VLOOKUP($O$17,Sheet1!J:L,2,0),0)</f>
        <v>0</v>
      </c>
      <c r="P18" s="32">
        <f>+IFERROR(VLOOKUP($P$17,Sheet1!J:M,2,0),0)</f>
        <v>0</v>
      </c>
      <c r="Q18" s="32">
        <f>+IFERROR(VLOOKUP($Q$17,Sheet1!J:M,2,0),0)</f>
        <v>0</v>
      </c>
      <c r="R18" s="32">
        <f>+IFERROR(VLOOKUP($R$17,Sheet1!J:M,2,0),0)</f>
        <v>0</v>
      </c>
      <c r="S18" s="32">
        <f>+IFERROR(VLOOKUP($S$17,Sheet1!N:Q,2,0),0)</f>
        <v>0</v>
      </c>
      <c r="T18" s="32">
        <f>+IFERROR(VLOOKUP($T$17,Sheet1!N:O,2,0),0)</f>
        <v>0</v>
      </c>
      <c r="U18" s="33">
        <f>+IFERROR(VLOOKUP($U$17,Sheet1!F:I,2,0),0)</f>
        <v>0</v>
      </c>
      <c r="V18" s="33">
        <f>+IFERROR(VLOOKUP($V$17,Sheet1!F:I,2,0),0)</f>
        <v>0</v>
      </c>
      <c r="W18" s="33">
        <f>+IFERROR(VLOOKUP($W$17,Sheet1!F:I,2,0),0)</f>
        <v>0</v>
      </c>
      <c r="X18" s="33">
        <f>+IFERROR(VLOOKUP($X$17,Sheet1!F:I,2,0),0)</f>
        <v>0</v>
      </c>
      <c r="Y18" s="33">
        <f>+IFERROR(VLOOKUP($Y$17,Sheet1!F:I,2,0),0)</f>
        <v>0</v>
      </c>
      <c r="Z18" s="33">
        <f>+IFERROR(VLOOKUP($Z$17,Sheet1!F:I,2,0),0)</f>
        <v>0</v>
      </c>
      <c r="AA18" s="33">
        <f>+IFERROR(VLOOKUP($AA$17,Sheet1!F:I,2,0),0)</f>
        <v>0</v>
      </c>
      <c r="AB18" s="33">
        <f>+IFERROR(VLOOKUP($AB$17,Sheet1!F:I,2,0),0)</f>
        <v>0</v>
      </c>
      <c r="AC18" s="33">
        <f>+IFERROR(VLOOKUP($AC$17,Sheet1!R:U,2,0),0)</f>
        <v>0</v>
      </c>
      <c r="AD18" s="33">
        <f>+IFERROR(VLOOKUP($AD$17,Sheet1!R:U,2,0),0)</f>
        <v>0</v>
      </c>
      <c r="AE18" s="33">
        <f>+IFERROR(VLOOKUP($AE$17,Sheet1!V:Y,2,0),0)</f>
        <v>0</v>
      </c>
      <c r="AF18" s="33">
        <f>+IFERROR(VLOOKUP($AF$17,Sheet1!V:Y,2,0),0)</f>
        <v>0</v>
      </c>
      <c r="AG18" s="33">
        <f>+IFERROR(VLOOKUP($AG$17,Sheet1!V:Y,2,0),0)</f>
        <v>0</v>
      </c>
      <c r="AH18" s="33">
        <v>74</v>
      </c>
      <c r="AI18" s="33">
        <f>+IFERROR(VLOOKUP($AI$17,Sheet1!V:Y,2,0),0)</f>
        <v>0</v>
      </c>
      <c r="AJ18" s="33">
        <f>+IFERROR(VLOOKUP($AJ$17,Sheet1!V:Y,2,0),0)</f>
        <v>0</v>
      </c>
      <c r="AK18" s="34">
        <f>+IFERROR(VLOOKUP($AK$17,Sheet1!Z2:AA840,2,0),0)</f>
        <v>0</v>
      </c>
      <c r="AL18" s="33">
        <f>+IFERROR(VLOOKUP($AL$17,Sheet1!AD2:AG840,2,0),0)</f>
        <v>0</v>
      </c>
      <c r="AM18" s="33">
        <f>+IFERROR(VLOOKUP($AM$17,Sheet1!AD2:AG840,2,0),0)</f>
        <v>0</v>
      </c>
      <c r="AN18" s="33">
        <f>+IFERROR(VLOOKUP($AN$17,Sheet1!AD2:AG840,2,0),0)</f>
        <v>0</v>
      </c>
      <c r="AO18" s="33">
        <v>60</v>
      </c>
      <c r="AP18" s="33">
        <f>+IFERROR(VLOOKUP($AP$17,Sheet1!AD2:AG840,2,0),0)</f>
        <v>0</v>
      </c>
      <c r="AQ18" s="33">
        <f>+IFERROR(VLOOKUP($AQ$17,Sheet1!AD2:AG840,2,0),0)</f>
        <v>0</v>
      </c>
      <c r="AR18" s="33">
        <f>+IFERROR(VLOOKUP($AR$17,Sheet1!AD2:AG840,2,0),0)</f>
        <v>0</v>
      </c>
      <c r="AS18" s="33">
        <f>+IFERROR(VLOOKUP($AS$17,Sheet1!AH2:AK840,2,0),0)</f>
        <v>0</v>
      </c>
      <c r="AT18" s="33">
        <f>+IFERROR(VLOOKUP($AT$17,Sheet1!AH2:AK840,2,0),0)</f>
        <v>0</v>
      </c>
      <c r="AU18" s="33">
        <f>+IFERROR(VLOOKUP($AU$17,Sheet1!AH2:AK840,2,0),0)</f>
        <v>0</v>
      </c>
      <c r="AV18" s="33">
        <f>+IFERROR(VLOOKUP($AV$17,Sheet1!AH2:AK840,2,0),0)</f>
        <v>0</v>
      </c>
      <c r="AW18" s="33">
        <f>+IFERROR(VLOOKUP($AW$17,Sheet1!AH2:AK840,2,0),0)</f>
        <v>0</v>
      </c>
      <c r="AX18" s="33">
        <v>77</v>
      </c>
      <c r="AY18" s="33">
        <f>+IFERROR(VLOOKUP($AY$17,Sheet1!AH2:AK840,2,0),0)</f>
        <v>0</v>
      </c>
      <c r="AZ18" s="33">
        <f>+IFERROR(VLOOKUP($AZ$17,Sheet1!AH2:AK840,2,0),0)</f>
        <v>0</v>
      </c>
      <c r="BA18" s="33">
        <f>+IFERROR(VLOOKUP($BA$17,Sheet1!AH2:AK840,2,0),0)</f>
        <v>0</v>
      </c>
      <c r="BB18" s="33">
        <f>+IFERROR(VLOOKUP($BB$17,Sheet1!AH2:AK840,2,0),0)</f>
        <v>0</v>
      </c>
      <c r="BC18" s="33">
        <f>+IFERROR(VLOOKUP($BC$17,Sheet1!AL2:AO840,2,0),0)</f>
        <v>0</v>
      </c>
      <c r="BD18" s="33">
        <f>+IFERROR(VLOOKUP($BD$17,Sheet1!AL2:AO840,2,0),0)</f>
        <v>0</v>
      </c>
      <c r="BE18" s="33">
        <f>+IFERROR(VLOOKUP($BE$17,Sheet1!AL2:AO840,2,0),0)</f>
        <v>0</v>
      </c>
      <c r="BF18" s="33">
        <f>+IFERROR(VLOOKUP($BF$17,Sheet1!AL2:AO840,2,0),0)</f>
        <v>0</v>
      </c>
      <c r="BG18" s="33">
        <f>+IFERROR(VLOOKUP($BG$17,Sheet1!AL2:AO840,2,0),0)</f>
        <v>0</v>
      </c>
      <c r="BH18" s="33">
        <f>+IFERROR(VLOOKUP($BH$17,Sheet1!AL2:AO840,2,0),0)</f>
        <v>0</v>
      </c>
      <c r="BI18" s="33">
        <v>60</v>
      </c>
      <c r="BJ18" s="33">
        <f>+IFERROR(VLOOKUP($BJ$17,Sheet1!AL2:AO840,2,0),0)</f>
        <v>0</v>
      </c>
      <c r="BK18" s="33">
        <f>+IFERROR(VLOOKUP($BK$17,Sheet1!AL2:AO840,2,0),0)</f>
        <v>0</v>
      </c>
      <c r="BL18" s="33">
        <f>+IFERROR(VLOOKUP($BL$17,Sheet1!AL2:AO840,2,0),0)</f>
        <v>0</v>
      </c>
      <c r="BM18" s="34">
        <f>+IFERROR(VLOOKUP($BM$17,Sheet1!AP2:AS840,2,0),0)</f>
        <v>0</v>
      </c>
      <c r="BN18" s="34">
        <f>+IFERROR(VLOOKUP($BN$17,Sheet1!AT2:AW840,2,0),0)</f>
        <v>0</v>
      </c>
      <c r="BO18" s="35">
        <f>+IFERROR(VLOOKUP($BO$17,Sheet1!AX2:BA840,2,0),0)</f>
        <v>0</v>
      </c>
      <c r="BP18" s="36">
        <f>+IFERROR(VLOOKUP($BP$17,Sheet1!BB2:BE840,2,0),0)</f>
        <v>0</v>
      </c>
      <c r="BQ18" s="35">
        <f>+IFERROR(VLOOKUP($BQ$17,Sheet1!BF2:BI840,2,0),0)</f>
        <v>0</v>
      </c>
      <c r="BR18" s="35">
        <f>+IFERROR(VLOOKUP($BR$17,Sheet1!BJ2:BM840,2,0),0)</f>
        <v>0</v>
      </c>
      <c r="BS18" s="35">
        <f>+IFERROR(VLOOKUP($BS$17,Sheet1!BN2:BQ840,2,0),0)</f>
        <v>0</v>
      </c>
      <c r="BT18" s="36">
        <f>+IFERROR(VLOOKUP($BT$17,Sheet1!BR2:BU840,2,0),0)</f>
        <v>0</v>
      </c>
      <c r="BU18" s="35">
        <f>+IFERROR(VLOOKUP($BU$17,Sheet1!BV2:BY840,2,0),0)</f>
        <v>0</v>
      </c>
      <c r="BV18" s="53"/>
      <c r="BW18" s="53"/>
      <c r="BX18" s="53"/>
      <c r="BY18" s="53"/>
      <c r="CD18" s="5"/>
      <c r="CE18" s="5"/>
      <c r="CF18" s="5"/>
      <c r="CG18" s="5"/>
      <c r="CH18" s="5"/>
      <c r="CI18" s="5"/>
      <c r="CJ18" s="5"/>
      <c r="CK18" s="5"/>
      <c r="CL18" s="5"/>
    </row>
    <row r="19" spans="1:90" ht="30" x14ac:dyDescent="0.25">
      <c r="A19" s="1" t="str">
        <f>Sheet1!A3</f>
        <v>ENQ-11781-22-23</v>
      </c>
      <c r="B19" s="52">
        <f>Sheet1!B3</f>
        <v>45200</v>
      </c>
      <c r="C19" s="1" t="str">
        <f>Sheet1!C3</f>
        <v>FA0900011</v>
      </c>
      <c r="D19" s="1" t="str">
        <f>Sheet1!D3</f>
        <v>4 CORE X 10 SQ. MM. AL/ARD - STRIP (PVC)</v>
      </c>
      <c r="E19" s="3">
        <f>CH19+CJ19+CL19</f>
        <v>89782.346809999988</v>
      </c>
      <c r="F19" s="60">
        <f>ROUNDUP(M23,0)</f>
        <v>1000</v>
      </c>
      <c r="G19" s="9">
        <f>E19+F19</f>
        <v>90782.346809999988</v>
      </c>
      <c r="H19" s="7">
        <f>Sheet1!CP3</f>
        <v>0.18</v>
      </c>
      <c r="I19" s="9">
        <f>G19*H19</f>
        <v>16340.822425799997</v>
      </c>
      <c r="J19" s="9">
        <f>G19+I19</f>
        <v>107123.16923579999</v>
      </c>
      <c r="K19" s="1">
        <f>Sheet1!CS3</f>
        <v>1500</v>
      </c>
      <c r="L19" s="1" t="str">
        <f>Sheet1!CT3</f>
        <v>KMS</v>
      </c>
      <c r="M19" s="3">
        <f>J19*K19</f>
        <v>160684753.85369998</v>
      </c>
      <c r="N19" s="2">
        <f>+IFERROR(VLOOKUP($N$17,Sheet1!J3:L3,3,0),0)</f>
        <v>108</v>
      </c>
      <c r="O19" s="2">
        <f>+IFERROR(VLOOKUP($O$17,Sheet1!J3:L3,3,0),0)</f>
        <v>0</v>
      </c>
      <c r="P19" s="2">
        <f>+IFERROR(VLOOKUP($P$17,Sheet1!J3:M3,3,0),0)</f>
        <v>0</v>
      </c>
      <c r="Q19" s="2">
        <f>+IFERROR(VLOOKUP($Q$17,Sheet1!J3:M3,3,0),0)</f>
        <v>0</v>
      </c>
      <c r="R19" s="2">
        <f>+IFERROR(VLOOKUP($R$17,Sheet1!J3:M3,3,0),0)</f>
        <v>0</v>
      </c>
      <c r="S19" s="2">
        <f>+IFERROR(VLOOKUP($S$17,Sheet1!N3:Q3,3,0),0)</f>
        <v>0</v>
      </c>
      <c r="T19" s="2">
        <f>+IFERROR(VLOOKUP($T$17,Sheet1!N3:Q3,3,0),0)</f>
        <v>0</v>
      </c>
      <c r="U19" s="2">
        <f>+IFERROR(VLOOKUP($U$17,Sheet1!F3:I3,3,0),0)</f>
        <v>0</v>
      </c>
      <c r="V19" s="2">
        <f>+IFERROR(VLOOKUP($V$17,Sheet1!F3:I3,3,0),0)</f>
        <v>0</v>
      </c>
      <c r="W19" s="2">
        <f>+IFERROR(VLOOKUP($W$17,Sheet1!F3:I3,3,0),0)</f>
        <v>0</v>
      </c>
      <c r="X19" s="2">
        <f>+IFERROR(VLOOKUP($X$17,Sheet1!F3:I3,3,0),0)</f>
        <v>0</v>
      </c>
      <c r="Y19" s="2">
        <f>+IFERROR(VLOOKUP($Y$17,Sheet1!F3:I3,3,0),0)</f>
        <v>0</v>
      </c>
      <c r="Z19" s="2">
        <f>+IFERROR(VLOOKUP($Z$17,Sheet1!F3:I3,3,0),0)</f>
        <v>0</v>
      </c>
      <c r="AA19" s="2">
        <f>+IFERROR(VLOOKUP($AA$17,Sheet1!F3:I3,3,0),0)</f>
        <v>0</v>
      </c>
      <c r="AB19" s="2">
        <f>+IFERROR(VLOOKUP($AB$17,Sheet1!F3:I3,3,0),0)</f>
        <v>0</v>
      </c>
      <c r="AC19" s="2">
        <f>+IFERROR(VLOOKUP($AC$17,Sheet1!R3:U3,3,0),0)</f>
        <v>0</v>
      </c>
      <c r="AD19" s="15">
        <f>+IFERROR(VLOOKUP($AD$17,Sheet1!R3:U3,2,0),0)</f>
        <v>0</v>
      </c>
      <c r="AE19" s="2">
        <f>+IFERROR(VLOOKUP($AE$17,Sheet1!V3:Y3,3,0),0)</f>
        <v>0</v>
      </c>
      <c r="AF19" s="15">
        <f>+IFERROR(VLOOKUP($AF$17,Sheet1!V3:Y3,3,0),0)</f>
        <v>0</v>
      </c>
      <c r="AG19" s="15">
        <f>+IFERROR(VLOOKUP($AG$17,Sheet1!V3:Y3,3,0),0)</f>
        <v>0</v>
      </c>
      <c r="AH19" s="15">
        <f>+IFERROR(VLOOKUP($AH$17,Sheet1!V3:Y3,3,0),0)</f>
        <v>98</v>
      </c>
      <c r="AI19" s="15">
        <f>+IFERROR(VLOOKUP($AI$17,Sheet1!V3:Y3,3,0),0)</f>
        <v>0</v>
      </c>
      <c r="AJ19" s="15">
        <f>+IFERROR(VLOOKUP($AJ$17,Sheet1!V3:Y3,3,0),0)</f>
        <v>0</v>
      </c>
      <c r="AK19" s="15">
        <f>+IFERROR(VLOOKUP($AK$17,Sheet1!Z3:AB3,3,0),0)</f>
        <v>0</v>
      </c>
      <c r="AL19" s="15">
        <f>+IFERROR(VLOOKUP($AL$17,Sheet1!AD3:AG3,3,0),0)</f>
        <v>0</v>
      </c>
      <c r="AM19" s="15">
        <f>+IFERROR(VLOOKUP($AM$17,Sheet1!AD3:AG3,3,0),0)</f>
        <v>0</v>
      </c>
      <c r="AN19" s="15">
        <f>+IFERROR(VLOOKUP($AN$17,Sheet1!AD3:AG3,3,0),0)</f>
        <v>0</v>
      </c>
      <c r="AO19" s="15">
        <f>+IFERROR(VLOOKUP($AO$17,Sheet1!AD3:AG3,3,0),0)</f>
        <v>35</v>
      </c>
      <c r="AP19" s="15">
        <f>+IFERROR(VLOOKUP($AP$17,Sheet1!AD3:AG3,3,0),0)</f>
        <v>0</v>
      </c>
      <c r="AQ19" s="15">
        <f>+IFERROR(VLOOKUP($AQ$17,Sheet1!AD3:AG3,3,0),0)</f>
        <v>0</v>
      </c>
      <c r="AR19" s="15">
        <f>+IFERROR(VLOOKUP($AR$17,Sheet1!AD3:AG3,3,0),0)</f>
        <v>0</v>
      </c>
      <c r="AS19" s="15">
        <f>+IFERROR(VLOOKUP($AS$17,Sheet1!AH3:AK3,3,0),0)</f>
        <v>0</v>
      </c>
      <c r="AT19" s="15">
        <f>+IFERROR(VLOOKUP($AT$17,Sheet1!AH3:AK3,3,0),0)</f>
        <v>0</v>
      </c>
      <c r="AU19" s="15">
        <f>+IFERROR(VLOOKUP($AU$17,Sheet1!AH3:AK3,3,0),0)</f>
        <v>0</v>
      </c>
      <c r="AV19" s="15">
        <f>+IFERROR(VLOOKUP($AV$17,Sheet1!AH3:AK3,3,0),0)</f>
        <v>0</v>
      </c>
      <c r="AW19" s="15">
        <f>+IFERROR(VLOOKUP($AW$17,Sheet1!AH3:AK3,3,0),0)</f>
        <v>0</v>
      </c>
      <c r="AX19" s="15">
        <f>+IFERROR(VLOOKUP($AX$17,Sheet1!AH3:AK3,3,0),0)</f>
        <v>281</v>
      </c>
      <c r="AY19" s="15">
        <f>+IFERROR(VLOOKUP($AY$17,Sheet1!AH3:AK3,3,0),0)</f>
        <v>0</v>
      </c>
      <c r="AZ19" s="15">
        <f>+IFERROR(VLOOKUP($AZ$17,Sheet1!AH3:AK3,3,0),0)</f>
        <v>0</v>
      </c>
      <c r="BA19" s="15">
        <f>+IFERROR(VLOOKUP($BA$17,Sheet1!AH3:AK3,3,0),0)</f>
        <v>0</v>
      </c>
      <c r="BB19" s="15">
        <f>+IFERROR(VLOOKUP($BB$17,Sheet1!AH3:AK3,3,0),0)</f>
        <v>0</v>
      </c>
      <c r="BC19" s="15">
        <f>+IFERROR(VLOOKUP($BC$17,Sheet1!AL3:AO3,3,0),0)</f>
        <v>0</v>
      </c>
      <c r="BD19" s="15">
        <f>+IFERROR(VLOOKUP($BD$17,Sheet1!AL3:AO3,3,0),0)</f>
        <v>0</v>
      </c>
      <c r="BE19" s="15">
        <f>+IFERROR(VLOOKUP($BE$17,Sheet1!AL3:AO3,3,0),0)</f>
        <v>0</v>
      </c>
      <c r="BF19" s="15">
        <f>+IFERROR(VLOOKUP($BF$17,Sheet1!AL3:AO3,3,0),0)</f>
        <v>0</v>
      </c>
      <c r="BG19" s="15">
        <f>+IFERROR(VLOOKUP($BG$17,Sheet1!AL3:AO3,3,0),0)</f>
        <v>0</v>
      </c>
      <c r="BH19" s="15">
        <f>+IFERROR(VLOOKUP($BH$17,Sheet1!AL3:AO3,3,0),0)</f>
        <v>0</v>
      </c>
      <c r="BI19" s="15">
        <f>+IFERROR(VLOOKUP($BI$17,Sheet1!AL3:AO3,3,0),0)</f>
        <v>139</v>
      </c>
      <c r="BJ19" s="15">
        <f>+IFERROR(VLOOKUP($BJ$17,Sheet1!AL3:AO3,3,0),0)</f>
        <v>0</v>
      </c>
      <c r="BK19" s="15">
        <f>+IFERROR(VLOOKUP($BK$17,Sheet1!AL3:AO3,3,0),0)</f>
        <v>0</v>
      </c>
      <c r="BL19" s="15">
        <f>+IFERROR(VLOOKUP($BL$17,Sheet1!AL3:AO3,3,0),0)</f>
        <v>0</v>
      </c>
      <c r="BM19" s="15">
        <f>+IFERROR(VLOOKUP($BM$17,Sheet1!AP3:AS3,3,0),0)</f>
        <v>0</v>
      </c>
      <c r="BN19" s="15">
        <f>+IFERROR(VLOOKUP($BN$17,Sheet1!AT3:AW3,3,0),0)</f>
        <v>0</v>
      </c>
      <c r="BO19" s="15">
        <f>+IFERROR(VLOOKUP($BO$17,Sheet1!AX3:BA3,3,0),0)</f>
        <v>0</v>
      </c>
      <c r="BP19" s="15">
        <f>+IFERROR(VLOOKUP($BP$17,Sheet1!BB3:BE3,3,0),0)</f>
        <v>0</v>
      </c>
      <c r="BQ19" s="15">
        <f>+IFERROR(VLOOKUP($BQ$17,Sheet1!BF3:BI3,3,0),0)</f>
        <v>0</v>
      </c>
      <c r="BR19" s="15">
        <f>+IFERROR(VLOOKUP($BR$17,Sheet1!BJ3:BM3,3,0),0)</f>
        <v>0</v>
      </c>
      <c r="BS19" s="15">
        <f>+IFERROR(VLOOKUP($BS$17,Sheet1!BN3:BQ3,3,0),0)</f>
        <v>0</v>
      </c>
      <c r="BT19" s="15">
        <f>+IFERROR(VLOOKUP($BT$17,Sheet1!BR3:BU3,3,0),0)</f>
        <v>0</v>
      </c>
      <c r="BU19" s="15">
        <f>+IFERROR(VLOOKUP($BU$17,Sheet1!BV3:BY3,3,0),0)</f>
        <v>0</v>
      </c>
      <c r="BV19" s="15" t="str">
        <f>Sheet1!E3</f>
        <v>WOOD</v>
      </c>
      <c r="BW19" s="15" t="str">
        <f>Sheet1!CV3</f>
        <v>MD0100005</v>
      </c>
      <c r="BX19" s="15" t="str">
        <f>Sheet1!CW3</f>
        <v>DRUM - 36 X 14 X 23 X 2</v>
      </c>
      <c r="BY19" s="15">
        <f>Sheet1!CX3</f>
        <v>500</v>
      </c>
      <c r="BZ19" s="3">
        <f>Sheet1!BZ3</f>
        <v>4610.79</v>
      </c>
      <c r="CA19" s="3">
        <f>SUMPRODUCT($N$18:$BU$18,N19:BU19)+BZ19</f>
        <v>67051.789999999994</v>
      </c>
      <c r="CB19" s="27">
        <f>Sheet1!CB3</f>
        <v>0</v>
      </c>
      <c r="CC19" s="3">
        <f>CA19*CB19</f>
        <v>0</v>
      </c>
      <c r="CD19" s="48">
        <v>0.3</v>
      </c>
      <c r="CE19" s="3">
        <f>CA19*CD19</f>
        <v>20115.536999999997</v>
      </c>
      <c r="CF19" s="48">
        <v>0</v>
      </c>
      <c r="CG19" s="3">
        <f>CA19*CF19</f>
        <v>0</v>
      </c>
      <c r="CH19" s="3">
        <f>CA19+CC19+CE19+CG19</f>
        <v>87167.32699999999</v>
      </c>
      <c r="CI19" s="48">
        <v>0.02</v>
      </c>
      <c r="CJ19" s="1">
        <f>CH19*CI19</f>
        <v>1743.3465399999998</v>
      </c>
      <c r="CK19" s="48">
        <v>0.01</v>
      </c>
      <c r="CL19" s="1">
        <f>CH19*CK19</f>
        <v>871.67326999999989</v>
      </c>
    </row>
    <row r="20" spans="1:90" ht="30" x14ac:dyDescent="0.25">
      <c r="A20" s="1" t="str">
        <f>Sheet1!A2</f>
        <v>ENQ-11781-22-23</v>
      </c>
      <c r="B20" s="52">
        <f>Sheet1!B2</f>
        <v>45200</v>
      </c>
      <c r="C20" s="1" t="str">
        <f>Sheet1!C2</f>
        <v>FA0900014</v>
      </c>
      <c r="D20" s="1" t="str">
        <f>Sheet1!D2</f>
        <v>4 CORE X 25 SQ. MM. AL/ARD - STRIP (PVC)</v>
      </c>
      <c r="E20" s="3">
        <f>CH20+CJ20+CL20</f>
        <v>156469.48772</v>
      </c>
      <c r="F20" s="60">
        <f>ROUNDUP(M24,0)</f>
        <v>1500</v>
      </c>
      <c r="G20" s="9">
        <f>E20+F20</f>
        <v>157969.48772</v>
      </c>
      <c r="H20" s="7">
        <f>Sheet1!CP2</f>
        <v>0.18</v>
      </c>
      <c r="I20" s="9">
        <f>G20*H20</f>
        <v>28434.5077896</v>
      </c>
      <c r="J20" s="9">
        <f>G20+I20</f>
        <v>186403.9955096</v>
      </c>
      <c r="K20" s="1">
        <f>Sheet1!CS2</f>
        <v>200</v>
      </c>
      <c r="L20" s="1" t="str">
        <f>Sheet1!CT2</f>
        <v>KMS</v>
      </c>
      <c r="M20" s="3">
        <f>J20*K20</f>
        <v>37280799.101920001</v>
      </c>
      <c r="N20" s="2">
        <f>+IFERROR(VLOOKUP($N$17,Sheet1!J2:L2,3,0),0)</f>
        <v>270</v>
      </c>
      <c r="O20" s="2">
        <f>+IFERROR(VLOOKUP($O$17,Sheet1!J2:L2,3,0),0)</f>
        <v>0</v>
      </c>
      <c r="P20" s="2">
        <f>+IFERROR(VLOOKUP($P$17,Sheet1!J2:M2,3,0),0)</f>
        <v>0</v>
      </c>
      <c r="Q20" s="2">
        <f>+IFERROR(VLOOKUP($Q$17,Sheet1!J2:M2,3,0),0)</f>
        <v>0</v>
      </c>
      <c r="R20" s="2">
        <f>+IFERROR(VLOOKUP($R$17,Sheet1!J2:M2,3,0),0)</f>
        <v>0</v>
      </c>
      <c r="S20" s="2">
        <f>+IFERROR(VLOOKUP($S$17,Sheet1!N2:Q2,3,0),0)</f>
        <v>0</v>
      </c>
      <c r="T20" s="2">
        <f>+IFERROR(VLOOKUP($T$17,Sheet1!N2:Q2,3,0),0)</f>
        <v>0</v>
      </c>
      <c r="U20" s="2">
        <f>+IFERROR(VLOOKUP($U$17,Sheet1!F2:I2,3,0),0)</f>
        <v>0</v>
      </c>
      <c r="V20" s="2">
        <f>+IFERROR(VLOOKUP($V$17,Sheet1!F2:I2,3,0),0)</f>
        <v>0</v>
      </c>
      <c r="W20" s="2">
        <f>+IFERROR(VLOOKUP($W$17,Sheet1!F2:I2,3,0),0)</f>
        <v>0</v>
      </c>
      <c r="X20" s="2">
        <f>+IFERROR(VLOOKUP($X$17,Sheet1!F2:I2,3,0),0)</f>
        <v>0</v>
      </c>
      <c r="Y20" s="2">
        <f>+IFERROR(VLOOKUP($Y$17,Sheet1!F2:I2,3,0),0)</f>
        <v>0</v>
      </c>
      <c r="Z20" s="2">
        <f>+IFERROR(VLOOKUP($Z$17,Sheet1!F2:I2,3,0),0)</f>
        <v>0</v>
      </c>
      <c r="AA20" s="2">
        <f>+IFERROR(VLOOKUP($AA$17,Sheet1!F2:I2,3,0),0)</f>
        <v>0</v>
      </c>
      <c r="AB20" s="2">
        <f>+IFERROR(VLOOKUP($AB$17,Sheet1!F2:I2,3,0),0)</f>
        <v>0</v>
      </c>
      <c r="AC20" s="2">
        <f>+IFERROR(VLOOKUP($AC$17,Sheet1!R2:U2,3,0),0)</f>
        <v>0</v>
      </c>
      <c r="AD20" s="15">
        <f>+IFERROR(VLOOKUP($AD$17,Sheet1!R2:U2,2,0),0)</f>
        <v>0</v>
      </c>
      <c r="AE20" s="2">
        <f>+IFERROR(VLOOKUP($AE$17,Sheet1!V2:Y2,3,0),0)</f>
        <v>0</v>
      </c>
      <c r="AF20" s="15">
        <f>+IFERROR(VLOOKUP($AF$17,Sheet1!V2:Y2,3,0),0)</f>
        <v>0</v>
      </c>
      <c r="AG20" s="15">
        <f>+IFERROR(VLOOKUP($AG$17,Sheet1!V2:Y2,3,0),0)</f>
        <v>0</v>
      </c>
      <c r="AH20" s="15">
        <f>+IFERROR(VLOOKUP($AH$17,Sheet1!V2:Y2,3,0),0)</f>
        <v>160</v>
      </c>
      <c r="AI20" s="15">
        <f>+IFERROR(VLOOKUP($AI$17,Sheet1!V2:Y2,3,0),0)</f>
        <v>0</v>
      </c>
      <c r="AJ20" s="15">
        <f>+IFERROR(VLOOKUP($AJ$17,Sheet1!V2:Y2,3,0),0)</f>
        <v>0</v>
      </c>
      <c r="AK20" s="15">
        <f>+IFERROR(VLOOKUP($AK$17,Sheet1!Z2:AB2,3,0),0)</f>
        <v>0</v>
      </c>
      <c r="AL20" s="15">
        <f>+IFERROR(VLOOKUP($AL$17,Sheet1!AD2:AG2,3,0),0)</f>
        <v>0</v>
      </c>
      <c r="AM20" s="15">
        <f>+IFERROR(VLOOKUP($AM$17,Sheet1!AD2:AG2,3,0),0)</f>
        <v>0</v>
      </c>
      <c r="AN20" s="15">
        <f>+IFERROR(VLOOKUP($AN$17,Sheet1!AD2:AG2,3,0),0)</f>
        <v>0</v>
      </c>
      <c r="AO20" s="15">
        <f>+IFERROR(VLOOKUP($AO$17,Sheet1!AD2:AG2,3,0),0)</f>
        <v>47</v>
      </c>
      <c r="AP20" s="15">
        <f>+IFERROR(VLOOKUP($AP$17,Sheet1!AD2:AG2,3,0),0)</f>
        <v>0</v>
      </c>
      <c r="AQ20" s="15">
        <f>+IFERROR(VLOOKUP($AQ$17,Sheet1!AD2:AG2,3,0),0)</f>
        <v>0</v>
      </c>
      <c r="AR20" s="15">
        <f>+IFERROR(VLOOKUP($AR$17,Sheet1!AD2:AG2,3,0),0)</f>
        <v>0</v>
      </c>
      <c r="AS20" s="15">
        <f>+IFERROR(VLOOKUP($AS$17,Sheet1!AH2:AK2,3,0),0)</f>
        <v>0</v>
      </c>
      <c r="AT20" s="15">
        <f>+IFERROR(VLOOKUP($AT$17,Sheet1!AH2:AK2,3,0),0)</f>
        <v>0</v>
      </c>
      <c r="AU20" s="15">
        <f>+IFERROR(VLOOKUP($AU$17,Sheet1!AH2:AK2,3,0),0)</f>
        <v>0</v>
      </c>
      <c r="AV20" s="15">
        <f>+IFERROR(VLOOKUP($AV$17,Sheet1!AH2:AK2,3,0),0)</f>
        <v>0</v>
      </c>
      <c r="AW20" s="15">
        <f>+IFERROR(VLOOKUP($AW$17,Sheet1!AH2:AK2,3,0),0)</f>
        <v>0</v>
      </c>
      <c r="AX20" s="15">
        <f>+IFERROR(VLOOKUP($AX$17,Sheet1!AH2:AK2,3,0),0)</f>
        <v>372</v>
      </c>
      <c r="AY20" s="15">
        <f>+IFERROR(VLOOKUP($AY$17,Sheet1!AH2:AK2,3,0),0)</f>
        <v>0</v>
      </c>
      <c r="AZ20" s="15">
        <f>+IFERROR(VLOOKUP($AZ$17,Sheet1!AH2:AK2,3,0),0)</f>
        <v>0</v>
      </c>
      <c r="BA20" s="15">
        <f>+IFERROR(VLOOKUP($BA$17,Sheet1!AH2:AK2,3,0),0)</f>
        <v>0</v>
      </c>
      <c r="BB20" s="15">
        <f>+IFERROR(VLOOKUP($BB$17,Sheet1!AH2:AK2,3,0),0)</f>
        <v>0</v>
      </c>
      <c r="BC20" s="15">
        <f>+IFERROR(VLOOKUP($BC$17,Sheet1!AL2:AO2,3,0),0)</f>
        <v>0</v>
      </c>
      <c r="BD20" s="15">
        <f>+IFERROR(VLOOKUP($BD$17,Sheet1!AL2:AO2,3,0),0)</f>
        <v>0</v>
      </c>
      <c r="BE20" s="15">
        <f>+IFERROR(VLOOKUP($BE$17,Sheet1!AL2:AO2,3,0),0)</f>
        <v>0</v>
      </c>
      <c r="BF20" s="15">
        <f>+IFERROR(VLOOKUP($BF$17,Sheet1!AL2:AO2,3,0),0)</f>
        <v>0</v>
      </c>
      <c r="BG20" s="15">
        <f>+IFERROR(VLOOKUP($BG$17,Sheet1!AL2:AO2,3,0),0)</f>
        <v>0</v>
      </c>
      <c r="BH20" s="15">
        <f>+IFERROR(VLOOKUP($BH$17,Sheet1!AL2:AO2,3,0),0)</f>
        <v>0</v>
      </c>
      <c r="BI20" s="15">
        <f>+IFERROR(VLOOKUP($BI$17,Sheet1!AL2:AO2,3,0),0)</f>
        <v>177</v>
      </c>
      <c r="BJ20" s="15">
        <f>+IFERROR(VLOOKUP($BJ$17,Sheet1!AL2:AO2,3,0),0)</f>
        <v>0</v>
      </c>
      <c r="BK20" s="15">
        <f>+IFERROR(VLOOKUP($BK$17,Sheet1!AL2:AO2,3,0),0)</f>
        <v>0</v>
      </c>
      <c r="BL20" s="15">
        <f>+IFERROR(VLOOKUP($BL$17,Sheet1!AL2:AO2,3,0),0)</f>
        <v>0</v>
      </c>
      <c r="BM20" s="15">
        <f>+IFERROR(VLOOKUP($BM$17,Sheet1!AP2:AS2,3,0),0)</f>
        <v>0</v>
      </c>
      <c r="BN20" s="15">
        <f>+IFERROR(VLOOKUP($BN$17,Sheet1!AT2:AW2,3,0),0)</f>
        <v>0</v>
      </c>
      <c r="BO20" s="15">
        <f>+IFERROR(VLOOKUP($BO$17,Sheet1!AX2:BA2,3,0),0)</f>
        <v>0</v>
      </c>
      <c r="BP20" s="15">
        <f>+IFERROR(VLOOKUP($BP$17,Sheet1!BB2:BE2,3,0),0)</f>
        <v>0</v>
      </c>
      <c r="BQ20" s="15">
        <f>+IFERROR(VLOOKUP($BQ$17,Sheet1!BF2:BI2,3,0),0)</f>
        <v>0</v>
      </c>
      <c r="BR20" s="15">
        <f>+IFERROR(VLOOKUP($BR$17,Sheet1!BJ2:BM2,3,0),0)</f>
        <v>0</v>
      </c>
      <c r="BS20" s="15">
        <f>+IFERROR(VLOOKUP($BS$17,Sheet1!BN2:BQ2,3,0),0)</f>
        <v>0</v>
      </c>
      <c r="BT20" s="15">
        <f>+IFERROR(VLOOKUP($BT$17,Sheet1!BR2:BU2,3,0),0)</f>
        <v>0</v>
      </c>
      <c r="BU20" s="15">
        <f>+IFERROR(VLOOKUP($BU$17,Sheet1!BV2:BY2,3,0),0)</f>
        <v>0</v>
      </c>
      <c r="BV20" s="15" t="str">
        <f>Sheet1!E2</f>
        <v>WOOD</v>
      </c>
      <c r="BW20" s="15" t="str">
        <f>Sheet1!CV2</f>
        <v>MD0100066</v>
      </c>
      <c r="BX20" s="15" t="str">
        <f>Sheet1!CW2</f>
        <v>DRUM - 40 X 15 X 23 X 2</v>
      </c>
      <c r="BY20" s="15">
        <f>Sheet1!CX2</f>
        <v>500</v>
      </c>
      <c r="BZ20" s="3">
        <f>Sheet1!BZ2</f>
        <v>5151.4799999999996</v>
      </c>
      <c r="CA20" s="3">
        <f>SUMPRODUCT($N$18:$BU$18,N20:BU20)+BZ20</f>
        <v>116855.48</v>
      </c>
      <c r="CB20" s="27">
        <f>Sheet1!CB2</f>
        <v>0</v>
      </c>
      <c r="CC20" s="3">
        <f>CA20*CB20</f>
        <v>0</v>
      </c>
      <c r="CD20" s="48">
        <v>0.3</v>
      </c>
      <c r="CE20" s="3">
        <f>CA20*CD20</f>
        <v>35056.644</v>
      </c>
      <c r="CF20" s="48">
        <v>0</v>
      </c>
      <c r="CG20" s="3">
        <f>CA20*CF20</f>
        <v>0</v>
      </c>
      <c r="CH20" s="3">
        <f>CA20+CC20+CE20+CG20</f>
        <v>151912.12400000001</v>
      </c>
      <c r="CI20" s="48">
        <v>0.02</v>
      </c>
      <c r="CJ20" s="1">
        <f>CH20*CI20</f>
        <v>3038.2424800000003</v>
      </c>
      <c r="CK20" s="48">
        <v>0.01</v>
      </c>
      <c r="CL20" s="1">
        <f>CH20*CK20</f>
        <v>1519.1212400000002</v>
      </c>
    </row>
    <row r="22" spans="1:90" ht="30" x14ac:dyDescent="0.25">
      <c r="E22" s="2" t="s">
        <v>152</v>
      </c>
      <c r="F22" s="2" t="s">
        <v>153</v>
      </c>
      <c r="G22" s="55" t="s">
        <v>154</v>
      </c>
      <c r="H22" s="2" t="s">
        <v>155</v>
      </c>
      <c r="I22" s="2" t="s">
        <v>156</v>
      </c>
      <c r="J22" s="2" t="s">
        <v>157</v>
      </c>
      <c r="K22" s="2" t="s">
        <v>158</v>
      </c>
      <c r="L22" s="2" t="s">
        <v>159</v>
      </c>
      <c r="M22" s="56" t="s">
        <v>160</v>
      </c>
    </row>
    <row r="23" spans="1:90" ht="30" x14ac:dyDescent="0.25">
      <c r="D23" s="30" t="str">
        <f>D19</f>
        <v>4 CORE X 10 SQ. MM. AL/ARD - STRIP (PVC)</v>
      </c>
      <c r="E23" s="55">
        <f>K19</f>
        <v>1500</v>
      </c>
      <c r="F23" s="57">
        <v>0.5</v>
      </c>
      <c r="G23" s="55" t="s">
        <v>161</v>
      </c>
      <c r="H23" s="58">
        <v>20000</v>
      </c>
      <c r="I23" s="57">
        <v>40</v>
      </c>
      <c r="J23" s="55">
        <f>F23*I23</f>
        <v>20</v>
      </c>
      <c r="K23" s="55">
        <f>ROUNDUP((E23/J23),0)</f>
        <v>75</v>
      </c>
      <c r="L23" s="55">
        <f>M23*E23</f>
        <v>1500000</v>
      </c>
      <c r="M23" s="59">
        <f>(H23*K23)/E23</f>
        <v>1000</v>
      </c>
    </row>
    <row r="24" spans="1:90" ht="30" x14ac:dyDescent="0.25">
      <c r="D24" s="30" t="str">
        <f>D20</f>
        <v>4 CORE X 25 SQ. MM. AL/ARD - STRIP (PVC)</v>
      </c>
      <c r="E24" s="55">
        <f>K20</f>
        <v>200</v>
      </c>
      <c r="F24" s="57">
        <v>0.5</v>
      </c>
      <c r="G24" s="55" t="s">
        <v>161</v>
      </c>
      <c r="H24" s="58">
        <v>20000</v>
      </c>
      <c r="I24" s="57">
        <v>27</v>
      </c>
      <c r="J24" s="55">
        <f>F24*I24</f>
        <v>13.5</v>
      </c>
      <c r="K24" s="55">
        <f>ROUNDUP((E24/J24),0)</f>
        <v>15</v>
      </c>
      <c r="L24" s="55">
        <f>M24*E24</f>
        <v>300000</v>
      </c>
      <c r="M24" s="59">
        <f>(H24*K24)/E24</f>
        <v>1500</v>
      </c>
    </row>
  </sheetData>
  <mergeCells count="20">
    <mergeCell ref="B7:R7"/>
    <mergeCell ref="B8:R8"/>
    <mergeCell ref="B9:R9"/>
    <mergeCell ref="B10:R10"/>
    <mergeCell ref="A2:R2"/>
    <mergeCell ref="AL16:AR16"/>
    <mergeCell ref="AS16:BB16"/>
    <mergeCell ref="BC16:BL16"/>
    <mergeCell ref="N16:R16"/>
    <mergeCell ref="S16:T16"/>
    <mergeCell ref="U16:AB16"/>
    <mergeCell ref="AC16:AD16"/>
    <mergeCell ref="AE16:AJ16"/>
    <mergeCell ref="B11:R11"/>
    <mergeCell ref="B12:R12"/>
    <mergeCell ref="B13:R13"/>
    <mergeCell ref="B14:R14"/>
    <mergeCell ref="B4:R4"/>
    <mergeCell ref="B5:R5"/>
    <mergeCell ref="B6:R6"/>
  </mergeCells>
  <dataValidations count="1">
    <dataValidation type="list" allowBlank="1" showInputMessage="1" showErrorMessage="1" sqref="G23:G24" xr:uid="{00000000-0002-0000-0100-000000000000}">
      <formula1>$Q$4:$Q$6</formula1>
    </dataValidation>
  </dataValidations>
  <pageMargins left="0.7" right="0.7" top="0.75" bottom="0.75" header="0.3" footer="0.3"/>
  <pageSetup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AH23"/>
  <sheetViews>
    <sheetView topLeftCell="J16" zoomScaleNormal="100" workbookViewId="0">
      <selection activeCell="AH21" sqref="AH21"/>
    </sheetView>
  </sheetViews>
  <sheetFormatPr defaultRowHeight="12.75" x14ac:dyDescent="0.2"/>
  <cols>
    <col min="1" max="1" width="41.5703125" style="69" customWidth="1"/>
    <col min="2" max="2" width="14.7109375" style="69" customWidth="1"/>
    <col min="3" max="3" width="12.42578125" style="69" customWidth="1"/>
    <col min="4" max="4" width="11" style="69" bestFit="1" customWidth="1"/>
    <col min="5" max="6" width="11.42578125" style="69" bestFit="1" customWidth="1"/>
    <col min="7" max="7" width="10.140625" style="69" customWidth="1"/>
    <col min="8" max="8" width="10.7109375" style="69" bestFit="1" customWidth="1"/>
    <col min="9" max="10" width="10.42578125" style="69" bestFit="1" customWidth="1"/>
    <col min="11" max="11" width="9.140625" style="69"/>
    <col min="12" max="12" width="10.42578125" style="69" customWidth="1"/>
    <col min="13" max="13" width="11.140625" style="69" customWidth="1"/>
    <col min="14" max="14" width="12.140625" style="69" customWidth="1"/>
    <col min="15" max="15" width="10.42578125" style="69" bestFit="1" customWidth="1"/>
    <col min="16" max="16" width="12" style="69" bestFit="1" customWidth="1"/>
    <col min="17" max="17" width="11.42578125" style="69" bestFit="1" customWidth="1"/>
    <col min="18" max="18" width="11" style="69" customWidth="1"/>
    <col min="19" max="19" width="11" style="69" bestFit="1" customWidth="1"/>
    <col min="20" max="20" width="14.42578125" style="69" bestFit="1" customWidth="1"/>
    <col min="21" max="22" width="9.140625" style="69" customWidth="1"/>
    <col min="23" max="24" width="9.5703125" style="69" customWidth="1"/>
    <col min="25" max="25" width="9.85546875" style="69" customWidth="1"/>
    <col min="26" max="26" width="10.42578125" style="69" customWidth="1"/>
    <col min="27" max="27" width="9.5703125" style="69" customWidth="1"/>
    <col min="28" max="28" width="10.5703125" style="69" customWidth="1"/>
    <col min="29" max="29" width="10" style="69" customWidth="1"/>
    <col min="30" max="30" width="10.28515625" style="69" customWidth="1"/>
    <col min="31" max="31" width="9" style="69" customWidth="1"/>
    <col min="32" max="32" width="9.140625" style="69" customWidth="1"/>
    <col min="33" max="253" width="9.140625" style="69"/>
    <col min="254" max="254" width="54.140625" style="69" bestFit="1" customWidth="1"/>
    <col min="255" max="255" width="14.7109375" style="69" customWidth="1"/>
    <col min="256" max="256" width="10.140625" style="69" customWidth="1"/>
    <col min="257" max="257" width="10.42578125" style="69" bestFit="1" customWidth="1"/>
    <col min="258" max="259" width="9.42578125" style="69" bestFit="1" customWidth="1"/>
    <col min="260" max="261" width="9.42578125" style="69" customWidth="1"/>
    <col min="262" max="262" width="10.140625" style="69" bestFit="1" customWidth="1"/>
    <col min="263" max="266" width="9.140625" style="69"/>
    <col min="267" max="267" width="7.28515625" style="69" customWidth="1"/>
    <col min="268" max="270" width="7.42578125" style="69" customWidth="1"/>
    <col min="271" max="271" width="10.42578125" style="69" bestFit="1" customWidth="1"/>
    <col min="272" max="272" width="12" style="69" bestFit="1" customWidth="1"/>
    <col min="273" max="273" width="11" style="69" bestFit="1" customWidth="1"/>
    <col min="274" max="275" width="11" style="69" customWidth="1"/>
    <col min="276" max="276" width="10" style="69" bestFit="1" customWidth="1"/>
    <col min="277" max="277" width="14.42578125" style="69" bestFit="1" customWidth="1"/>
    <col min="278" max="288" width="0" style="69" hidden="1" customWidth="1"/>
    <col min="289" max="509" width="9.140625" style="69"/>
    <col min="510" max="510" width="54.140625" style="69" bestFit="1" customWidth="1"/>
    <col min="511" max="511" width="14.7109375" style="69" customWidth="1"/>
    <col min="512" max="512" width="10.140625" style="69" customWidth="1"/>
    <col min="513" max="513" width="10.42578125" style="69" bestFit="1" customWidth="1"/>
    <col min="514" max="515" width="9.42578125" style="69" bestFit="1" customWidth="1"/>
    <col min="516" max="517" width="9.42578125" style="69" customWidth="1"/>
    <col min="518" max="518" width="10.140625" style="69" bestFit="1" customWidth="1"/>
    <col min="519" max="522" width="9.140625" style="69"/>
    <col min="523" max="523" width="7.28515625" style="69" customWidth="1"/>
    <col min="524" max="526" width="7.42578125" style="69" customWidth="1"/>
    <col min="527" max="527" width="10.42578125" style="69" bestFit="1" customWidth="1"/>
    <col min="528" max="528" width="12" style="69" bestFit="1" customWidth="1"/>
    <col min="529" max="529" width="11" style="69" bestFit="1" customWidth="1"/>
    <col min="530" max="531" width="11" style="69" customWidth="1"/>
    <col min="532" max="532" width="10" style="69" bestFit="1" customWidth="1"/>
    <col min="533" max="533" width="14.42578125" style="69" bestFit="1" customWidth="1"/>
    <col min="534" max="544" width="0" style="69" hidden="1" customWidth="1"/>
    <col min="545" max="765" width="9.140625" style="69"/>
    <col min="766" max="766" width="54.140625" style="69" bestFit="1" customWidth="1"/>
    <col min="767" max="767" width="14.7109375" style="69" customWidth="1"/>
    <col min="768" max="768" width="10.140625" style="69" customWidth="1"/>
    <col min="769" max="769" width="10.42578125" style="69" bestFit="1" customWidth="1"/>
    <col min="770" max="771" width="9.42578125" style="69" bestFit="1" customWidth="1"/>
    <col min="772" max="773" width="9.42578125" style="69" customWidth="1"/>
    <col min="774" max="774" width="10.140625" style="69" bestFit="1" customWidth="1"/>
    <col min="775" max="778" width="9.140625" style="69"/>
    <col min="779" max="779" width="7.28515625" style="69" customWidth="1"/>
    <col min="780" max="782" width="7.42578125" style="69" customWidth="1"/>
    <col min="783" max="783" width="10.42578125" style="69" bestFit="1" customWidth="1"/>
    <col min="784" max="784" width="12" style="69" bestFit="1" customWidth="1"/>
    <col min="785" max="785" width="11" style="69" bestFit="1" customWidth="1"/>
    <col min="786" max="787" width="11" style="69" customWidth="1"/>
    <col min="788" max="788" width="10" style="69" bestFit="1" customWidth="1"/>
    <col min="789" max="789" width="14.42578125" style="69" bestFit="1" customWidth="1"/>
    <col min="790" max="800" width="0" style="69" hidden="1" customWidth="1"/>
    <col min="801" max="1021" width="9.140625" style="69"/>
    <col min="1022" max="1022" width="54.140625" style="69" bestFit="1" customWidth="1"/>
    <col min="1023" max="1023" width="14.7109375" style="69" customWidth="1"/>
    <col min="1024" max="1024" width="10.140625" style="69" customWidth="1"/>
    <col min="1025" max="1025" width="10.42578125" style="69" bestFit="1" customWidth="1"/>
    <col min="1026" max="1027" width="9.42578125" style="69" bestFit="1" customWidth="1"/>
    <col min="1028" max="1029" width="9.42578125" style="69" customWidth="1"/>
    <col min="1030" max="1030" width="10.140625" style="69" bestFit="1" customWidth="1"/>
    <col min="1031" max="1034" width="9.140625" style="69"/>
    <col min="1035" max="1035" width="7.28515625" style="69" customWidth="1"/>
    <col min="1036" max="1038" width="7.42578125" style="69" customWidth="1"/>
    <col min="1039" max="1039" width="10.42578125" style="69" bestFit="1" customWidth="1"/>
    <col min="1040" max="1040" width="12" style="69" bestFit="1" customWidth="1"/>
    <col min="1041" max="1041" width="11" style="69" bestFit="1" customWidth="1"/>
    <col min="1042" max="1043" width="11" style="69" customWidth="1"/>
    <col min="1044" max="1044" width="10" style="69" bestFit="1" customWidth="1"/>
    <col min="1045" max="1045" width="14.42578125" style="69" bestFit="1" customWidth="1"/>
    <col min="1046" max="1056" width="0" style="69" hidden="1" customWidth="1"/>
    <col min="1057" max="1277" width="9.140625" style="69"/>
    <col min="1278" max="1278" width="54.140625" style="69" bestFit="1" customWidth="1"/>
    <col min="1279" max="1279" width="14.7109375" style="69" customWidth="1"/>
    <col min="1280" max="1280" width="10.140625" style="69" customWidth="1"/>
    <col min="1281" max="1281" width="10.42578125" style="69" bestFit="1" customWidth="1"/>
    <col min="1282" max="1283" width="9.42578125" style="69" bestFit="1" customWidth="1"/>
    <col min="1284" max="1285" width="9.42578125" style="69" customWidth="1"/>
    <col min="1286" max="1286" width="10.140625" style="69" bestFit="1" customWidth="1"/>
    <col min="1287" max="1290" width="9.140625" style="69"/>
    <col min="1291" max="1291" width="7.28515625" style="69" customWidth="1"/>
    <col min="1292" max="1294" width="7.42578125" style="69" customWidth="1"/>
    <col min="1295" max="1295" width="10.42578125" style="69" bestFit="1" customWidth="1"/>
    <col min="1296" max="1296" width="12" style="69" bestFit="1" customWidth="1"/>
    <col min="1297" max="1297" width="11" style="69" bestFit="1" customWidth="1"/>
    <col min="1298" max="1299" width="11" style="69" customWidth="1"/>
    <col min="1300" max="1300" width="10" style="69" bestFit="1" customWidth="1"/>
    <col min="1301" max="1301" width="14.42578125" style="69" bestFit="1" customWidth="1"/>
    <col min="1302" max="1312" width="0" style="69" hidden="1" customWidth="1"/>
    <col min="1313" max="1533" width="9.140625" style="69"/>
    <col min="1534" max="1534" width="54.140625" style="69" bestFit="1" customWidth="1"/>
    <col min="1535" max="1535" width="14.7109375" style="69" customWidth="1"/>
    <col min="1536" max="1536" width="10.140625" style="69" customWidth="1"/>
    <col min="1537" max="1537" width="10.42578125" style="69" bestFit="1" customWidth="1"/>
    <col min="1538" max="1539" width="9.42578125" style="69" bestFit="1" customWidth="1"/>
    <col min="1540" max="1541" width="9.42578125" style="69" customWidth="1"/>
    <col min="1542" max="1542" width="10.140625" style="69" bestFit="1" customWidth="1"/>
    <col min="1543" max="1546" width="9.140625" style="69"/>
    <col min="1547" max="1547" width="7.28515625" style="69" customWidth="1"/>
    <col min="1548" max="1550" width="7.42578125" style="69" customWidth="1"/>
    <col min="1551" max="1551" width="10.42578125" style="69" bestFit="1" customWidth="1"/>
    <col min="1552" max="1552" width="12" style="69" bestFit="1" customWidth="1"/>
    <col min="1553" max="1553" width="11" style="69" bestFit="1" customWidth="1"/>
    <col min="1554" max="1555" width="11" style="69" customWidth="1"/>
    <col min="1556" max="1556" width="10" style="69" bestFit="1" customWidth="1"/>
    <col min="1557" max="1557" width="14.42578125" style="69" bestFit="1" customWidth="1"/>
    <col min="1558" max="1568" width="0" style="69" hidden="1" customWidth="1"/>
    <col min="1569" max="1789" width="9.140625" style="69"/>
    <col min="1790" max="1790" width="54.140625" style="69" bestFit="1" customWidth="1"/>
    <col min="1791" max="1791" width="14.7109375" style="69" customWidth="1"/>
    <col min="1792" max="1792" width="10.140625" style="69" customWidth="1"/>
    <col min="1793" max="1793" width="10.42578125" style="69" bestFit="1" customWidth="1"/>
    <col min="1794" max="1795" width="9.42578125" style="69" bestFit="1" customWidth="1"/>
    <col min="1796" max="1797" width="9.42578125" style="69" customWidth="1"/>
    <col min="1798" max="1798" width="10.140625" style="69" bestFit="1" customWidth="1"/>
    <col min="1799" max="1802" width="9.140625" style="69"/>
    <col min="1803" max="1803" width="7.28515625" style="69" customWidth="1"/>
    <col min="1804" max="1806" width="7.42578125" style="69" customWidth="1"/>
    <col min="1807" max="1807" width="10.42578125" style="69" bestFit="1" customWidth="1"/>
    <col min="1808" max="1808" width="12" style="69" bestFit="1" customWidth="1"/>
    <col min="1809" max="1809" width="11" style="69" bestFit="1" customWidth="1"/>
    <col min="1810" max="1811" width="11" style="69" customWidth="1"/>
    <col min="1812" max="1812" width="10" style="69" bestFit="1" customWidth="1"/>
    <col min="1813" max="1813" width="14.42578125" style="69" bestFit="1" customWidth="1"/>
    <col min="1814" max="1824" width="0" style="69" hidden="1" customWidth="1"/>
    <col min="1825" max="2045" width="9.140625" style="69"/>
    <col min="2046" max="2046" width="54.140625" style="69" bestFit="1" customWidth="1"/>
    <col min="2047" max="2047" width="14.7109375" style="69" customWidth="1"/>
    <col min="2048" max="2048" width="10.140625" style="69" customWidth="1"/>
    <col min="2049" max="2049" width="10.42578125" style="69" bestFit="1" customWidth="1"/>
    <col min="2050" max="2051" width="9.42578125" style="69" bestFit="1" customWidth="1"/>
    <col min="2052" max="2053" width="9.42578125" style="69" customWidth="1"/>
    <col min="2054" max="2054" width="10.140625" style="69" bestFit="1" customWidth="1"/>
    <col min="2055" max="2058" width="9.140625" style="69"/>
    <col min="2059" max="2059" width="7.28515625" style="69" customWidth="1"/>
    <col min="2060" max="2062" width="7.42578125" style="69" customWidth="1"/>
    <col min="2063" max="2063" width="10.42578125" style="69" bestFit="1" customWidth="1"/>
    <col min="2064" max="2064" width="12" style="69" bestFit="1" customWidth="1"/>
    <col min="2065" max="2065" width="11" style="69" bestFit="1" customWidth="1"/>
    <col min="2066" max="2067" width="11" style="69" customWidth="1"/>
    <col min="2068" max="2068" width="10" style="69" bestFit="1" customWidth="1"/>
    <col min="2069" max="2069" width="14.42578125" style="69" bestFit="1" customWidth="1"/>
    <col min="2070" max="2080" width="0" style="69" hidden="1" customWidth="1"/>
    <col min="2081" max="2301" width="9.140625" style="69"/>
    <col min="2302" max="2302" width="54.140625" style="69" bestFit="1" customWidth="1"/>
    <col min="2303" max="2303" width="14.7109375" style="69" customWidth="1"/>
    <col min="2304" max="2304" width="10.140625" style="69" customWidth="1"/>
    <col min="2305" max="2305" width="10.42578125" style="69" bestFit="1" customWidth="1"/>
    <col min="2306" max="2307" width="9.42578125" style="69" bestFit="1" customWidth="1"/>
    <col min="2308" max="2309" width="9.42578125" style="69" customWidth="1"/>
    <col min="2310" max="2310" width="10.140625" style="69" bestFit="1" customWidth="1"/>
    <col min="2311" max="2314" width="9.140625" style="69"/>
    <col min="2315" max="2315" width="7.28515625" style="69" customWidth="1"/>
    <col min="2316" max="2318" width="7.42578125" style="69" customWidth="1"/>
    <col min="2319" max="2319" width="10.42578125" style="69" bestFit="1" customWidth="1"/>
    <col min="2320" max="2320" width="12" style="69" bestFit="1" customWidth="1"/>
    <col min="2321" max="2321" width="11" style="69" bestFit="1" customWidth="1"/>
    <col min="2322" max="2323" width="11" style="69" customWidth="1"/>
    <col min="2324" max="2324" width="10" style="69" bestFit="1" customWidth="1"/>
    <col min="2325" max="2325" width="14.42578125" style="69" bestFit="1" customWidth="1"/>
    <col min="2326" max="2336" width="0" style="69" hidden="1" customWidth="1"/>
    <col min="2337" max="2557" width="9.140625" style="69"/>
    <col min="2558" max="2558" width="54.140625" style="69" bestFit="1" customWidth="1"/>
    <col min="2559" max="2559" width="14.7109375" style="69" customWidth="1"/>
    <col min="2560" max="2560" width="10.140625" style="69" customWidth="1"/>
    <col min="2561" max="2561" width="10.42578125" style="69" bestFit="1" customWidth="1"/>
    <col min="2562" max="2563" width="9.42578125" style="69" bestFit="1" customWidth="1"/>
    <col min="2564" max="2565" width="9.42578125" style="69" customWidth="1"/>
    <col min="2566" max="2566" width="10.140625" style="69" bestFit="1" customWidth="1"/>
    <col min="2567" max="2570" width="9.140625" style="69"/>
    <col min="2571" max="2571" width="7.28515625" style="69" customWidth="1"/>
    <col min="2572" max="2574" width="7.42578125" style="69" customWidth="1"/>
    <col min="2575" max="2575" width="10.42578125" style="69" bestFit="1" customWidth="1"/>
    <col min="2576" max="2576" width="12" style="69" bestFit="1" customWidth="1"/>
    <col min="2577" max="2577" width="11" style="69" bestFit="1" customWidth="1"/>
    <col min="2578" max="2579" width="11" style="69" customWidth="1"/>
    <col min="2580" max="2580" width="10" style="69" bestFit="1" customWidth="1"/>
    <col min="2581" max="2581" width="14.42578125" style="69" bestFit="1" customWidth="1"/>
    <col min="2582" max="2592" width="0" style="69" hidden="1" customWidth="1"/>
    <col min="2593" max="2813" width="9.140625" style="69"/>
    <col min="2814" max="2814" width="54.140625" style="69" bestFit="1" customWidth="1"/>
    <col min="2815" max="2815" width="14.7109375" style="69" customWidth="1"/>
    <col min="2816" max="2816" width="10.140625" style="69" customWidth="1"/>
    <col min="2817" max="2817" width="10.42578125" style="69" bestFit="1" customWidth="1"/>
    <col min="2818" max="2819" width="9.42578125" style="69" bestFit="1" customWidth="1"/>
    <col min="2820" max="2821" width="9.42578125" style="69" customWidth="1"/>
    <col min="2822" max="2822" width="10.140625" style="69" bestFit="1" customWidth="1"/>
    <col min="2823" max="2826" width="9.140625" style="69"/>
    <col min="2827" max="2827" width="7.28515625" style="69" customWidth="1"/>
    <col min="2828" max="2830" width="7.42578125" style="69" customWidth="1"/>
    <col min="2831" max="2831" width="10.42578125" style="69" bestFit="1" customWidth="1"/>
    <col min="2832" max="2832" width="12" style="69" bestFit="1" customWidth="1"/>
    <col min="2833" max="2833" width="11" style="69" bestFit="1" customWidth="1"/>
    <col min="2834" max="2835" width="11" style="69" customWidth="1"/>
    <col min="2836" max="2836" width="10" style="69" bestFit="1" customWidth="1"/>
    <col min="2837" max="2837" width="14.42578125" style="69" bestFit="1" customWidth="1"/>
    <col min="2838" max="2848" width="0" style="69" hidden="1" customWidth="1"/>
    <col min="2849" max="3069" width="9.140625" style="69"/>
    <col min="3070" max="3070" width="54.140625" style="69" bestFit="1" customWidth="1"/>
    <col min="3071" max="3071" width="14.7109375" style="69" customWidth="1"/>
    <col min="3072" max="3072" width="10.140625" style="69" customWidth="1"/>
    <col min="3073" max="3073" width="10.42578125" style="69" bestFit="1" customWidth="1"/>
    <col min="3074" max="3075" width="9.42578125" style="69" bestFit="1" customWidth="1"/>
    <col min="3076" max="3077" width="9.42578125" style="69" customWidth="1"/>
    <col min="3078" max="3078" width="10.140625" style="69" bestFit="1" customWidth="1"/>
    <col min="3079" max="3082" width="9.140625" style="69"/>
    <col min="3083" max="3083" width="7.28515625" style="69" customWidth="1"/>
    <col min="3084" max="3086" width="7.42578125" style="69" customWidth="1"/>
    <col min="3087" max="3087" width="10.42578125" style="69" bestFit="1" customWidth="1"/>
    <col min="3088" max="3088" width="12" style="69" bestFit="1" customWidth="1"/>
    <col min="3089" max="3089" width="11" style="69" bestFit="1" customWidth="1"/>
    <col min="3090" max="3091" width="11" style="69" customWidth="1"/>
    <col min="3092" max="3092" width="10" style="69" bestFit="1" customWidth="1"/>
    <col min="3093" max="3093" width="14.42578125" style="69" bestFit="1" customWidth="1"/>
    <col min="3094" max="3104" width="0" style="69" hidden="1" customWidth="1"/>
    <col min="3105" max="3325" width="9.140625" style="69"/>
    <col min="3326" max="3326" width="54.140625" style="69" bestFit="1" customWidth="1"/>
    <col min="3327" max="3327" width="14.7109375" style="69" customWidth="1"/>
    <col min="3328" max="3328" width="10.140625" style="69" customWidth="1"/>
    <col min="3329" max="3329" width="10.42578125" style="69" bestFit="1" customWidth="1"/>
    <col min="3330" max="3331" width="9.42578125" style="69" bestFit="1" customWidth="1"/>
    <col min="3332" max="3333" width="9.42578125" style="69" customWidth="1"/>
    <col min="3334" max="3334" width="10.140625" style="69" bestFit="1" customWidth="1"/>
    <col min="3335" max="3338" width="9.140625" style="69"/>
    <col min="3339" max="3339" width="7.28515625" style="69" customWidth="1"/>
    <col min="3340" max="3342" width="7.42578125" style="69" customWidth="1"/>
    <col min="3343" max="3343" width="10.42578125" style="69" bestFit="1" customWidth="1"/>
    <col min="3344" max="3344" width="12" style="69" bestFit="1" customWidth="1"/>
    <col min="3345" max="3345" width="11" style="69" bestFit="1" customWidth="1"/>
    <col min="3346" max="3347" width="11" style="69" customWidth="1"/>
    <col min="3348" max="3348" width="10" style="69" bestFit="1" customWidth="1"/>
    <col min="3349" max="3349" width="14.42578125" style="69" bestFit="1" customWidth="1"/>
    <col min="3350" max="3360" width="0" style="69" hidden="1" customWidth="1"/>
    <col min="3361" max="3581" width="9.140625" style="69"/>
    <col min="3582" max="3582" width="54.140625" style="69" bestFit="1" customWidth="1"/>
    <col min="3583" max="3583" width="14.7109375" style="69" customWidth="1"/>
    <col min="3584" max="3584" width="10.140625" style="69" customWidth="1"/>
    <col min="3585" max="3585" width="10.42578125" style="69" bestFit="1" customWidth="1"/>
    <col min="3586" max="3587" width="9.42578125" style="69" bestFit="1" customWidth="1"/>
    <col min="3588" max="3589" width="9.42578125" style="69" customWidth="1"/>
    <col min="3590" max="3590" width="10.140625" style="69" bestFit="1" customWidth="1"/>
    <col min="3591" max="3594" width="9.140625" style="69"/>
    <col min="3595" max="3595" width="7.28515625" style="69" customWidth="1"/>
    <col min="3596" max="3598" width="7.42578125" style="69" customWidth="1"/>
    <col min="3599" max="3599" width="10.42578125" style="69" bestFit="1" customWidth="1"/>
    <col min="3600" max="3600" width="12" style="69" bestFit="1" customWidth="1"/>
    <col min="3601" max="3601" width="11" style="69" bestFit="1" customWidth="1"/>
    <col min="3602" max="3603" width="11" style="69" customWidth="1"/>
    <col min="3604" max="3604" width="10" style="69" bestFit="1" customWidth="1"/>
    <col min="3605" max="3605" width="14.42578125" style="69" bestFit="1" customWidth="1"/>
    <col min="3606" max="3616" width="0" style="69" hidden="1" customWidth="1"/>
    <col min="3617" max="3837" width="9.140625" style="69"/>
    <col min="3838" max="3838" width="54.140625" style="69" bestFit="1" customWidth="1"/>
    <col min="3839" max="3839" width="14.7109375" style="69" customWidth="1"/>
    <col min="3840" max="3840" width="10.140625" style="69" customWidth="1"/>
    <col min="3841" max="3841" width="10.42578125" style="69" bestFit="1" customWidth="1"/>
    <col min="3842" max="3843" width="9.42578125" style="69" bestFit="1" customWidth="1"/>
    <col min="3844" max="3845" width="9.42578125" style="69" customWidth="1"/>
    <col min="3846" max="3846" width="10.140625" style="69" bestFit="1" customWidth="1"/>
    <col min="3847" max="3850" width="9.140625" style="69"/>
    <col min="3851" max="3851" width="7.28515625" style="69" customWidth="1"/>
    <col min="3852" max="3854" width="7.42578125" style="69" customWidth="1"/>
    <col min="3855" max="3855" width="10.42578125" style="69" bestFit="1" customWidth="1"/>
    <col min="3856" max="3856" width="12" style="69" bestFit="1" customWidth="1"/>
    <col min="3857" max="3857" width="11" style="69" bestFit="1" customWidth="1"/>
    <col min="3858" max="3859" width="11" style="69" customWidth="1"/>
    <col min="3860" max="3860" width="10" style="69" bestFit="1" customWidth="1"/>
    <col min="3861" max="3861" width="14.42578125" style="69" bestFit="1" customWidth="1"/>
    <col min="3862" max="3872" width="0" style="69" hidden="1" customWidth="1"/>
    <col min="3873" max="4093" width="9.140625" style="69"/>
    <col min="4094" max="4094" width="54.140625" style="69" bestFit="1" customWidth="1"/>
    <col min="4095" max="4095" width="14.7109375" style="69" customWidth="1"/>
    <col min="4096" max="4096" width="10.140625" style="69" customWidth="1"/>
    <col min="4097" max="4097" width="10.42578125" style="69" bestFit="1" customWidth="1"/>
    <col min="4098" max="4099" width="9.42578125" style="69" bestFit="1" customWidth="1"/>
    <col min="4100" max="4101" width="9.42578125" style="69" customWidth="1"/>
    <col min="4102" max="4102" width="10.140625" style="69" bestFit="1" customWidth="1"/>
    <col min="4103" max="4106" width="9.140625" style="69"/>
    <col min="4107" max="4107" width="7.28515625" style="69" customWidth="1"/>
    <col min="4108" max="4110" width="7.42578125" style="69" customWidth="1"/>
    <col min="4111" max="4111" width="10.42578125" style="69" bestFit="1" customWidth="1"/>
    <col min="4112" max="4112" width="12" style="69" bestFit="1" customWidth="1"/>
    <col min="4113" max="4113" width="11" style="69" bestFit="1" customWidth="1"/>
    <col min="4114" max="4115" width="11" style="69" customWidth="1"/>
    <col min="4116" max="4116" width="10" style="69" bestFit="1" customWidth="1"/>
    <col min="4117" max="4117" width="14.42578125" style="69" bestFit="1" customWidth="1"/>
    <col min="4118" max="4128" width="0" style="69" hidden="1" customWidth="1"/>
    <col min="4129" max="4349" width="9.140625" style="69"/>
    <col min="4350" max="4350" width="54.140625" style="69" bestFit="1" customWidth="1"/>
    <col min="4351" max="4351" width="14.7109375" style="69" customWidth="1"/>
    <col min="4352" max="4352" width="10.140625" style="69" customWidth="1"/>
    <col min="4353" max="4353" width="10.42578125" style="69" bestFit="1" customWidth="1"/>
    <col min="4354" max="4355" width="9.42578125" style="69" bestFit="1" customWidth="1"/>
    <col min="4356" max="4357" width="9.42578125" style="69" customWidth="1"/>
    <col min="4358" max="4358" width="10.140625" style="69" bestFit="1" customWidth="1"/>
    <col min="4359" max="4362" width="9.140625" style="69"/>
    <col min="4363" max="4363" width="7.28515625" style="69" customWidth="1"/>
    <col min="4364" max="4366" width="7.42578125" style="69" customWidth="1"/>
    <col min="4367" max="4367" width="10.42578125" style="69" bestFit="1" customWidth="1"/>
    <col min="4368" max="4368" width="12" style="69" bestFit="1" customWidth="1"/>
    <col min="4369" max="4369" width="11" style="69" bestFit="1" customWidth="1"/>
    <col min="4370" max="4371" width="11" style="69" customWidth="1"/>
    <col min="4372" max="4372" width="10" style="69" bestFit="1" customWidth="1"/>
    <col min="4373" max="4373" width="14.42578125" style="69" bestFit="1" customWidth="1"/>
    <col min="4374" max="4384" width="0" style="69" hidden="1" customWidth="1"/>
    <col min="4385" max="4605" width="9.140625" style="69"/>
    <col min="4606" max="4606" width="54.140625" style="69" bestFit="1" customWidth="1"/>
    <col min="4607" max="4607" width="14.7109375" style="69" customWidth="1"/>
    <col min="4608" max="4608" width="10.140625" style="69" customWidth="1"/>
    <col min="4609" max="4609" width="10.42578125" style="69" bestFit="1" customWidth="1"/>
    <col min="4610" max="4611" width="9.42578125" style="69" bestFit="1" customWidth="1"/>
    <col min="4612" max="4613" width="9.42578125" style="69" customWidth="1"/>
    <col min="4614" max="4614" width="10.140625" style="69" bestFit="1" customWidth="1"/>
    <col min="4615" max="4618" width="9.140625" style="69"/>
    <col min="4619" max="4619" width="7.28515625" style="69" customWidth="1"/>
    <col min="4620" max="4622" width="7.42578125" style="69" customWidth="1"/>
    <col min="4623" max="4623" width="10.42578125" style="69" bestFit="1" customWidth="1"/>
    <col min="4624" max="4624" width="12" style="69" bestFit="1" customWidth="1"/>
    <col min="4625" max="4625" width="11" style="69" bestFit="1" customWidth="1"/>
    <col min="4626" max="4627" width="11" style="69" customWidth="1"/>
    <col min="4628" max="4628" width="10" style="69" bestFit="1" customWidth="1"/>
    <col min="4629" max="4629" width="14.42578125" style="69" bestFit="1" customWidth="1"/>
    <col min="4630" max="4640" width="0" style="69" hidden="1" customWidth="1"/>
    <col min="4641" max="4861" width="9.140625" style="69"/>
    <col min="4862" max="4862" width="54.140625" style="69" bestFit="1" customWidth="1"/>
    <col min="4863" max="4863" width="14.7109375" style="69" customWidth="1"/>
    <col min="4864" max="4864" width="10.140625" style="69" customWidth="1"/>
    <col min="4865" max="4865" width="10.42578125" style="69" bestFit="1" customWidth="1"/>
    <col min="4866" max="4867" width="9.42578125" style="69" bestFit="1" customWidth="1"/>
    <col min="4868" max="4869" width="9.42578125" style="69" customWidth="1"/>
    <col min="4870" max="4870" width="10.140625" style="69" bestFit="1" customWidth="1"/>
    <col min="4871" max="4874" width="9.140625" style="69"/>
    <col min="4875" max="4875" width="7.28515625" style="69" customWidth="1"/>
    <col min="4876" max="4878" width="7.42578125" style="69" customWidth="1"/>
    <col min="4879" max="4879" width="10.42578125" style="69" bestFit="1" customWidth="1"/>
    <col min="4880" max="4880" width="12" style="69" bestFit="1" customWidth="1"/>
    <col min="4881" max="4881" width="11" style="69" bestFit="1" customWidth="1"/>
    <col min="4882" max="4883" width="11" style="69" customWidth="1"/>
    <col min="4884" max="4884" width="10" style="69" bestFit="1" customWidth="1"/>
    <col min="4885" max="4885" width="14.42578125" style="69" bestFit="1" customWidth="1"/>
    <col min="4886" max="4896" width="0" style="69" hidden="1" customWidth="1"/>
    <col min="4897" max="5117" width="9.140625" style="69"/>
    <col min="5118" max="5118" width="54.140625" style="69" bestFit="1" customWidth="1"/>
    <col min="5119" max="5119" width="14.7109375" style="69" customWidth="1"/>
    <col min="5120" max="5120" width="10.140625" style="69" customWidth="1"/>
    <col min="5121" max="5121" width="10.42578125" style="69" bestFit="1" customWidth="1"/>
    <col min="5122" max="5123" width="9.42578125" style="69" bestFit="1" customWidth="1"/>
    <col min="5124" max="5125" width="9.42578125" style="69" customWidth="1"/>
    <col min="5126" max="5126" width="10.140625" style="69" bestFit="1" customWidth="1"/>
    <col min="5127" max="5130" width="9.140625" style="69"/>
    <col min="5131" max="5131" width="7.28515625" style="69" customWidth="1"/>
    <col min="5132" max="5134" width="7.42578125" style="69" customWidth="1"/>
    <col min="5135" max="5135" width="10.42578125" style="69" bestFit="1" customWidth="1"/>
    <col min="5136" max="5136" width="12" style="69" bestFit="1" customWidth="1"/>
    <col min="5137" max="5137" width="11" style="69" bestFit="1" customWidth="1"/>
    <col min="5138" max="5139" width="11" style="69" customWidth="1"/>
    <col min="5140" max="5140" width="10" style="69" bestFit="1" customWidth="1"/>
    <col min="5141" max="5141" width="14.42578125" style="69" bestFit="1" customWidth="1"/>
    <col min="5142" max="5152" width="0" style="69" hidden="1" customWidth="1"/>
    <col min="5153" max="5373" width="9.140625" style="69"/>
    <col min="5374" max="5374" width="54.140625" style="69" bestFit="1" customWidth="1"/>
    <col min="5375" max="5375" width="14.7109375" style="69" customWidth="1"/>
    <col min="5376" max="5376" width="10.140625" style="69" customWidth="1"/>
    <col min="5377" max="5377" width="10.42578125" style="69" bestFit="1" customWidth="1"/>
    <col min="5378" max="5379" width="9.42578125" style="69" bestFit="1" customWidth="1"/>
    <col min="5380" max="5381" width="9.42578125" style="69" customWidth="1"/>
    <col min="5382" max="5382" width="10.140625" style="69" bestFit="1" customWidth="1"/>
    <col min="5383" max="5386" width="9.140625" style="69"/>
    <col min="5387" max="5387" width="7.28515625" style="69" customWidth="1"/>
    <col min="5388" max="5390" width="7.42578125" style="69" customWidth="1"/>
    <col min="5391" max="5391" width="10.42578125" style="69" bestFit="1" customWidth="1"/>
    <col min="5392" max="5392" width="12" style="69" bestFit="1" customWidth="1"/>
    <col min="5393" max="5393" width="11" style="69" bestFit="1" customWidth="1"/>
    <col min="5394" max="5395" width="11" style="69" customWidth="1"/>
    <col min="5396" max="5396" width="10" style="69" bestFit="1" customWidth="1"/>
    <col min="5397" max="5397" width="14.42578125" style="69" bestFit="1" customWidth="1"/>
    <col min="5398" max="5408" width="0" style="69" hidden="1" customWidth="1"/>
    <col min="5409" max="5629" width="9.140625" style="69"/>
    <col min="5630" max="5630" width="54.140625" style="69" bestFit="1" customWidth="1"/>
    <col min="5631" max="5631" width="14.7109375" style="69" customWidth="1"/>
    <col min="5632" max="5632" width="10.140625" style="69" customWidth="1"/>
    <col min="5633" max="5633" width="10.42578125" style="69" bestFit="1" customWidth="1"/>
    <col min="5634" max="5635" width="9.42578125" style="69" bestFit="1" customWidth="1"/>
    <col min="5636" max="5637" width="9.42578125" style="69" customWidth="1"/>
    <col min="5638" max="5638" width="10.140625" style="69" bestFit="1" customWidth="1"/>
    <col min="5639" max="5642" width="9.140625" style="69"/>
    <col min="5643" max="5643" width="7.28515625" style="69" customWidth="1"/>
    <col min="5644" max="5646" width="7.42578125" style="69" customWidth="1"/>
    <col min="5647" max="5647" width="10.42578125" style="69" bestFit="1" customWidth="1"/>
    <col min="5648" max="5648" width="12" style="69" bestFit="1" customWidth="1"/>
    <col min="5649" max="5649" width="11" style="69" bestFit="1" customWidth="1"/>
    <col min="5650" max="5651" width="11" style="69" customWidth="1"/>
    <col min="5652" max="5652" width="10" style="69" bestFit="1" customWidth="1"/>
    <col min="5653" max="5653" width="14.42578125" style="69" bestFit="1" customWidth="1"/>
    <col min="5654" max="5664" width="0" style="69" hidden="1" customWidth="1"/>
    <col min="5665" max="5885" width="9.140625" style="69"/>
    <col min="5886" max="5886" width="54.140625" style="69" bestFit="1" customWidth="1"/>
    <col min="5887" max="5887" width="14.7109375" style="69" customWidth="1"/>
    <col min="5888" max="5888" width="10.140625" style="69" customWidth="1"/>
    <col min="5889" max="5889" width="10.42578125" style="69" bestFit="1" customWidth="1"/>
    <col min="5890" max="5891" width="9.42578125" style="69" bestFit="1" customWidth="1"/>
    <col min="5892" max="5893" width="9.42578125" style="69" customWidth="1"/>
    <col min="5894" max="5894" width="10.140625" style="69" bestFit="1" customWidth="1"/>
    <col min="5895" max="5898" width="9.140625" style="69"/>
    <col min="5899" max="5899" width="7.28515625" style="69" customWidth="1"/>
    <col min="5900" max="5902" width="7.42578125" style="69" customWidth="1"/>
    <col min="5903" max="5903" width="10.42578125" style="69" bestFit="1" customWidth="1"/>
    <col min="5904" max="5904" width="12" style="69" bestFit="1" customWidth="1"/>
    <col min="5905" max="5905" width="11" style="69" bestFit="1" customWidth="1"/>
    <col min="5906" max="5907" width="11" style="69" customWidth="1"/>
    <col min="5908" max="5908" width="10" style="69" bestFit="1" customWidth="1"/>
    <col min="5909" max="5909" width="14.42578125" style="69" bestFit="1" customWidth="1"/>
    <col min="5910" max="5920" width="0" style="69" hidden="1" customWidth="1"/>
    <col min="5921" max="6141" width="9.140625" style="69"/>
    <col min="6142" max="6142" width="54.140625" style="69" bestFit="1" customWidth="1"/>
    <col min="6143" max="6143" width="14.7109375" style="69" customWidth="1"/>
    <col min="6144" max="6144" width="10.140625" style="69" customWidth="1"/>
    <col min="6145" max="6145" width="10.42578125" style="69" bestFit="1" customWidth="1"/>
    <col min="6146" max="6147" width="9.42578125" style="69" bestFit="1" customWidth="1"/>
    <col min="6148" max="6149" width="9.42578125" style="69" customWidth="1"/>
    <col min="6150" max="6150" width="10.140625" style="69" bestFit="1" customWidth="1"/>
    <col min="6151" max="6154" width="9.140625" style="69"/>
    <col min="6155" max="6155" width="7.28515625" style="69" customWidth="1"/>
    <col min="6156" max="6158" width="7.42578125" style="69" customWidth="1"/>
    <col min="6159" max="6159" width="10.42578125" style="69" bestFit="1" customWidth="1"/>
    <col min="6160" max="6160" width="12" style="69" bestFit="1" customWidth="1"/>
    <col min="6161" max="6161" width="11" style="69" bestFit="1" customWidth="1"/>
    <col min="6162" max="6163" width="11" style="69" customWidth="1"/>
    <col min="6164" max="6164" width="10" style="69" bestFit="1" customWidth="1"/>
    <col min="6165" max="6165" width="14.42578125" style="69" bestFit="1" customWidth="1"/>
    <col min="6166" max="6176" width="0" style="69" hidden="1" customWidth="1"/>
    <col min="6177" max="6397" width="9.140625" style="69"/>
    <col min="6398" max="6398" width="54.140625" style="69" bestFit="1" customWidth="1"/>
    <col min="6399" max="6399" width="14.7109375" style="69" customWidth="1"/>
    <col min="6400" max="6400" width="10.140625" style="69" customWidth="1"/>
    <col min="6401" max="6401" width="10.42578125" style="69" bestFit="1" customWidth="1"/>
    <col min="6402" max="6403" width="9.42578125" style="69" bestFit="1" customWidth="1"/>
    <col min="6404" max="6405" width="9.42578125" style="69" customWidth="1"/>
    <col min="6406" max="6406" width="10.140625" style="69" bestFit="1" customWidth="1"/>
    <col min="6407" max="6410" width="9.140625" style="69"/>
    <col min="6411" max="6411" width="7.28515625" style="69" customWidth="1"/>
    <col min="6412" max="6414" width="7.42578125" style="69" customWidth="1"/>
    <col min="6415" max="6415" width="10.42578125" style="69" bestFit="1" customWidth="1"/>
    <col min="6416" max="6416" width="12" style="69" bestFit="1" customWidth="1"/>
    <col min="6417" max="6417" width="11" style="69" bestFit="1" customWidth="1"/>
    <col min="6418" max="6419" width="11" style="69" customWidth="1"/>
    <col min="6420" max="6420" width="10" style="69" bestFit="1" customWidth="1"/>
    <col min="6421" max="6421" width="14.42578125" style="69" bestFit="1" customWidth="1"/>
    <col min="6422" max="6432" width="0" style="69" hidden="1" customWidth="1"/>
    <col min="6433" max="6653" width="9.140625" style="69"/>
    <col min="6654" max="6654" width="54.140625" style="69" bestFit="1" customWidth="1"/>
    <col min="6655" max="6655" width="14.7109375" style="69" customWidth="1"/>
    <col min="6656" max="6656" width="10.140625" style="69" customWidth="1"/>
    <col min="6657" max="6657" width="10.42578125" style="69" bestFit="1" customWidth="1"/>
    <col min="6658" max="6659" width="9.42578125" style="69" bestFit="1" customWidth="1"/>
    <col min="6660" max="6661" width="9.42578125" style="69" customWidth="1"/>
    <col min="6662" max="6662" width="10.140625" style="69" bestFit="1" customWidth="1"/>
    <col min="6663" max="6666" width="9.140625" style="69"/>
    <col min="6667" max="6667" width="7.28515625" style="69" customWidth="1"/>
    <col min="6668" max="6670" width="7.42578125" style="69" customWidth="1"/>
    <col min="6671" max="6671" width="10.42578125" style="69" bestFit="1" customWidth="1"/>
    <col min="6672" max="6672" width="12" style="69" bestFit="1" customWidth="1"/>
    <col min="6673" max="6673" width="11" style="69" bestFit="1" customWidth="1"/>
    <col min="6674" max="6675" width="11" style="69" customWidth="1"/>
    <col min="6676" max="6676" width="10" style="69" bestFit="1" customWidth="1"/>
    <col min="6677" max="6677" width="14.42578125" style="69" bestFit="1" customWidth="1"/>
    <col min="6678" max="6688" width="0" style="69" hidden="1" customWidth="1"/>
    <col min="6689" max="6909" width="9.140625" style="69"/>
    <col min="6910" max="6910" width="54.140625" style="69" bestFit="1" customWidth="1"/>
    <col min="6911" max="6911" width="14.7109375" style="69" customWidth="1"/>
    <col min="6912" max="6912" width="10.140625" style="69" customWidth="1"/>
    <col min="6913" max="6913" width="10.42578125" style="69" bestFit="1" customWidth="1"/>
    <col min="6914" max="6915" width="9.42578125" style="69" bestFit="1" customWidth="1"/>
    <col min="6916" max="6917" width="9.42578125" style="69" customWidth="1"/>
    <col min="6918" max="6918" width="10.140625" style="69" bestFit="1" customWidth="1"/>
    <col min="6919" max="6922" width="9.140625" style="69"/>
    <col min="6923" max="6923" width="7.28515625" style="69" customWidth="1"/>
    <col min="6924" max="6926" width="7.42578125" style="69" customWidth="1"/>
    <col min="6927" max="6927" width="10.42578125" style="69" bestFit="1" customWidth="1"/>
    <col min="6928" max="6928" width="12" style="69" bestFit="1" customWidth="1"/>
    <col min="6929" max="6929" width="11" style="69" bestFit="1" customWidth="1"/>
    <col min="6930" max="6931" width="11" style="69" customWidth="1"/>
    <col min="6932" max="6932" width="10" style="69" bestFit="1" customWidth="1"/>
    <col min="6933" max="6933" width="14.42578125" style="69" bestFit="1" customWidth="1"/>
    <col min="6934" max="6944" width="0" style="69" hidden="1" customWidth="1"/>
    <col min="6945" max="7165" width="9.140625" style="69"/>
    <col min="7166" max="7166" width="54.140625" style="69" bestFit="1" customWidth="1"/>
    <col min="7167" max="7167" width="14.7109375" style="69" customWidth="1"/>
    <col min="7168" max="7168" width="10.140625" style="69" customWidth="1"/>
    <col min="7169" max="7169" width="10.42578125" style="69" bestFit="1" customWidth="1"/>
    <col min="7170" max="7171" width="9.42578125" style="69" bestFit="1" customWidth="1"/>
    <col min="7172" max="7173" width="9.42578125" style="69" customWidth="1"/>
    <col min="7174" max="7174" width="10.140625" style="69" bestFit="1" customWidth="1"/>
    <col min="7175" max="7178" width="9.140625" style="69"/>
    <col min="7179" max="7179" width="7.28515625" style="69" customWidth="1"/>
    <col min="7180" max="7182" width="7.42578125" style="69" customWidth="1"/>
    <col min="7183" max="7183" width="10.42578125" style="69" bestFit="1" customWidth="1"/>
    <col min="7184" max="7184" width="12" style="69" bestFit="1" customWidth="1"/>
    <col min="7185" max="7185" width="11" style="69" bestFit="1" customWidth="1"/>
    <col min="7186" max="7187" width="11" style="69" customWidth="1"/>
    <col min="7188" max="7188" width="10" style="69" bestFit="1" customWidth="1"/>
    <col min="7189" max="7189" width="14.42578125" style="69" bestFit="1" customWidth="1"/>
    <col min="7190" max="7200" width="0" style="69" hidden="1" customWidth="1"/>
    <col min="7201" max="7421" width="9.140625" style="69"/>
    <col min="7422" max="7422" width="54.140625" style="69" bestFit="1" customWidth="1"/>
    <col min="7423" max="7423" width="14.7109375" style="69" customWidth="1"/>
    <col min="7424" max="7424" width="10.140625" style="69" customWidth="1"/>
    <col min="7425" max="7425" width="10.42578125" style="69" bestFit="1" customWidth="1"/>
    <col min="7426" max="7427" width="9.42578125" style="69" bestFit="1" customWidth="1"/>
    <col min="7428" max="7429" width="9.42578125" style="69" customWidth="1"/>
    <col min="7430" max="7430" width="10.140625" style="69" bestFit="1" customWidth="1"/>
    <col min="7431" max="7434" width="9.140625" style="69"/>
    <col min="7435" max="7435" width="7.28515625" style="69" customWidth="1"/>
    <col min="7436" max="7438" width="7.42578125" style="69" customWidth="1"/>
    <col min="7439" max="7439" width="10.42578125" style="69" bestFit="1" customWidth="1"/>
    <col min="7440" max="7440" width="12" style="69" bestFit="1" customWidth="1"/>
    <col min="7441" max="7441" width="11" style="69" bestFit="1" customWidth="1"/>
    <col min="7442" max="7443" width="11" style="69" customWidth="1"/>
    <col min="7444" max="7444" width="10" style="69" bestFit="1" customWidth="1"/>
    <col min="7445" max="7445" width="14.42578125" style="69" bestFit="1" customWidth="1"/>
    <col min="7446" max="7456" width="0" style="69" hidden="1" customWidth="1"/>
    <col min="7457" max="7677" width="9.140625" style="69"/>
    <col min="7678" max="7678" width="54.140625" style="69" bestFit="1" customWidth="1"/>
    <col min="7679" max="7679" width="14.7109375" style="69" customWidth="1"/>
    <col min="7680" max="7680" width="10.140625" style="69" customWidth="1"/>
    <col min="7681" max="7681" width="10.42578125" style="69" bestFit="1" customWidth="1"/>
    <col min="7682" max="7683" width="9.42578125" style="69" bestFit="1" customWidth="1"/>
    <col min="7684" max="7685" width="9.42578125" style="69" customWidth="1"/>
    <col min="7686" max="7686" width="10.140625" style="69" bestFit="1" customWidth="1"/>
    <col min="7687" max="7690" width="9.140625" style="69"/>
    <col min="7691" max="7691" width="7.28515625" style="69" customWidth="1"/>
    <col min="7692" max="7694" width="7.42578125" style="69" customWidth="1"/>
    <col min="7695" max="7695" width="10.42578125" style="69" bestFit="1" customWidth="1"/>
    <col min="7696" max="7696" width="12" style="69" bestFit="1" customWidth="1"/>
    <col min="7697" max="7697" width="11" style="69" bestFit="1" customWidth="1"/>
    <col min="7698" max="7699" width="11" style="69" customWidth="1"/>
    <col min="7700" max="7700" width="10" style="69" bestFit="1" customWidth="1"/>
    <col min="7701" max="7701" width="14.42578125" style="69" bestFit="1" customWidth="1"/>
    <col min="7702" max="7712" width="0" style="69" hidden="1" customWidth="1"/>
    <col min="7713" max="7933" width="9.140625" style="69"/>
    <col min="7934" max="7934" width="54.140625" style="69" bestFit="1" customWidth="1"/>
    <col min="7935" max="7935" width="14.7109375" style="69" customWidth="1"/>
    <col min="7936" max="7936" width="10.140625" style="69" customWidth="1"/>
    <col min="7937" max="7937" width="10.42578125" style="69" bestFit="1" customWidth="1"/>
    <col min="7938" max="7939" width="9.42578125" style="69" bestFit="1" customWidth="1"/>
    <col min="7940" max="7941" width="9.42578125" style="69" customWidth="1"/>
    <col min="7942" max="7942" width="10.140625" style="69" bestFit="1" customWidth="1"/>
    <col min="7943" max="7946" width="9.140625" style="69"/>
    <col min="7947" max="7947" width="7.28515625" style="69" customWidth="1"/>
    <col min="7948" max="7950" width="7.42578125" style="69" customWidth="1"/>
    <col min="7951" max="7951" width="10.42578125" style="69" bestFit="1" customWidth="1"/>
    <col min="7952" max="7952" width="12" style="69" bestFit="1" customWidth="1"/>
    <col min="7953" max="7953" width="11" style="69" bestFit="1" customWidth="1"/>
    <col min="7954" max="7955" width="11" style="69" customWidth="1"/>
    <col min="7956" max="7956" width="10" style="69" bestFit="1" customWidth="1"/>
    <col min="7957" max="7957" width="14.42578125" style="69" bestFit="1" customWidth="1"/>
    <col min="7958" max="7968" width="0" style="69" hidden="1" customWidth="1"/>
    <col min="7969" max="8189" width="9.140625" style="69"/>
    <col min="8190" max="8190" width="54.140625" style="69" bestFit="1" customWidth="1"/>
    <col min="8191" max="8191" width="14.7109375" style="69" customWidth="1"/>
    <col min="8192" max="8192" width="10.140625" style="69" customWidth="1"/>
    <col min="8193" max="8193" width="10.42578125" style="69" bestFit="1" customWidth="1"/>
    <col min="8194" max="8195" width="9.42578125" style="69" bestFit="1" customWidth="1"/>
    <col min="8196" max="8197" width="9.42578125" style="69" customWidth="1"/>
    <col min="8198" max="8198" width="10.140625" style="69" bestFit="1" customWidth="1"/>
    <col min="8199" max="8202" width="9.140625" style="69"/>
    <col min="8203" max="8203" width="7.28515625" style="69" customWidth="1"/>
    <col min="8204" max="8206" width="7.42578125" style="69" customWidth="1"/>
    <col min="8207" max="8207" width="10.42578125" style="69" bestFit="1" customWidth="1"/>
    <col min="8208" max="8208" width="12" style="69" bestFit="1" customWidth="1"/>
    <col min="8209" max="8209" width="11" style="69" bestFit="1" customWidth="1"/>
    <col min="8210" max="8211" width="11" style="69" customWidth="1"/>
    <col min="8212" max="8212" width="10" style="69" bestFit="1" customWidth="1"/>
    <col min="8213" max="8213" width="14.42578125" style="69" bestFit="1" customWidth="1"/>
    <col min="8214" max="8224" width="0" style="69" hidden="1" customWidth="1"/>
    <col min="8225" max="8445" width="9.140625" style="69"/>
    <col min="8446" max="8446" width="54.140625" style="69" bestFit="1" customWidth="1"/>
    <col min="8447" max="8447" width="14.7109375" style="69" customWidth="1"/>
    <col min="8448" max="8448" width="10.140625" style="69" customWidth="1"/>
    <col min="8449" max="8449" width="10.42578125" style="69" bestFit="1" customWidth="1"/>
    <col min="8450" max="8451" width="9.42578125" style="69" bestFit="1" customWidth="1"/>
    <col min="8452" max="8453" width="9.42578125" style="69" customWidth="1"/>
    <col min="8454" max="8454" width="10.140625" style="69" bestFit="1" customWidth="1"/>
    <col min="8455" max="8458" width="9.140625" style="69"/>
    <col min="8459" max="8459" width="7.28515625" style="69" customWidth="1"/>
    <col min="8460" max="8462" width="7.42578125" style="69" customWidth="1"/>
    <col min="8463" max="8463" width="10.42578125" style="69" bestFit="1" customWidth="1"/>
    <col min="8464" max="8464" width="12" style="69" bestFit="1" customWidth="1"/>
    <col min="8465" max="8465" width="11" style="69" bestFit="1" customWidth="1"/>
    <col min="8466" max="8467" width="11" style="69" customWidth="1"/>
    <col min="8468" max="8468" width="10" style="69" bestFit="1" customWidth="1"/>
    <col min="8469" max="8469" width="14.42578125" style="69" bestFit="1" customWidth="1"/>
    <col min="8470" max="8480" width="0" style="69" hidden="1" customWidth="1"/>
    <col min="8481" max="8701" width="9.140625" style="69"/>
    <col min="8702" max="8702" width="54.140625" style="69" bestFit="1" customWidth="1"/>
    <col min="8703" max="8703" width="14.7109375" style="69" customWidth="1"/>
    <col min="8704" max="8704" width="10.140625" style="69" customWidth="1"/>
    <col min="8705" max="8705" width="10.42578125" style="69" bestFit="1" customWidth="1"/>
    <col min="8706" max="8707" width="9.42578125" style="69" bestFit="1" customWidth="1"/>
    <col min="8708" max="8709" width="9.42578125" style="69" customWidth="1"/>
    <col min="8710" max="8710" width="10.140625" style="69" bestFit="1" customWidth="1"/>
    <col min="8711" max="8714" width="9.140625" style="69"/>
    <col min="8715" max="8715" width="7.28515625" style="69" customWidth="1"/>
    <col min="8716" max="8718" width="7.42578125" style="69" customWidth="1"/>
    <col min="8719" max="8719" width="10.42578125" style="69" bestFit="1" customWidth="1"/>
    <col min="8720" max="8720" width="12" style="69" bestFit="1" customWidth="1"/>
    <col min="8721" max="8721" width="11" style="69" bestFit="1" customWidth="1"/>
    <col min="8722" max="8723" width="11" style="69" customWidth="1"/>
    <col min="8724" max="8724" width="10" style="69" bestFit="1" customWidth="1"/>
    <col min="8725" max="8725" width="14.42578125" style="69" bestFit="1" customWidth="1"/>
    <col min="8726" max="8736" width="0" style="69" hidden="1" customWidth="1"/>
    <col min="8737" max="8957" width="9.140625" style="69"/>
    <col min="8958" max="8958" width="54.140625" style="69" bestFit="1" customWidth="1"/>
    <col min="8959" max="8959" width="14.7109375" style="69" customWidth="1"/>
    <col min="8960" max="8960" width="10.140625" style="69" customWidth="1"/>
    <col min="8961" max="8961" width="10.42578125" style="69" bestFit="1" customWidth="1"/>
    <col min="8962" max="8963" width="9.42578125" style="69" bestFit="1" customWidth="1"/>
    <col min="8964" max="8965" width="9.42578125" style="69" customWidth="1"/>
    <col min="8966" max="8966" width="10.140625" style="69" bestFit="1" customWidth="1"/>
    <col min="8967" max="8970" width="9.140625" style="69"/>
    <col min="8971" max="8971" width="7.28515625" style="69" customWidth="1"/>
    <col min="8972" max="8974" width="7.42578125" style="69" customWidth="1"/>
    <col min="8975" max="8975" width="10.42578125" style="69" bestFit="1" customWidth="1"/>
    <col min="8976" max="8976" width="12" style="69" bestFit="1" customWidth="1"/>
    <col min="8977" max="8977" width="11" style="69" bestFit="1" customWidth="1"/>
    <col min="8978" max="8979" width="11" style="69" customWidth="1"/>
    <col min="8980" max="8980" width="10" style="69" bestFit="1" customWidth="1"/>
    <col min="8981" max="8981" width="14.42578125" style="69" bestFit="1" customWidth="1"/>
    <col min="8982" max="8992" width="0" style="69" hidden="1" customWidth="1"/>
    <col min="8993" max="9213" width="9.140625" style="69"/>
    <col min="9214" max="9214" width="54.140625" style="69" bestFit="1" customWidth="1"/>
    <col min="9215" max="9215" width="14.7109375" style="69" customWidth="1"/>
    <col min="9216" max="9216" width="10.140625" style="69" customWidth="1"/>
    <col min="9217" max="9217" width="10.42578125" style="69" bestFit="1" customWidth="1"/>
    <col min="9218" max="9219" width="9.42578125" style="69" bestFit="1" customWidth="1"/>
    <col min="9220" max="9221" width="9.42578125" style="69" customWidth="1"/>
    <col min="9222" max="9222" width="10.140625" style="69" bestFit="1" customWidth="1"/>
    <col min="9223" max="9226" width="9.140625" style="69"/>
    <col min="9227" max="9227" width="7.28515625" style="69" customWidth="1"/>
    <col min="9228" max="9230" width="7.42578125" style="69" customWidth="1"/>
    <col min="9231" max="9231" width="10.42578125" style="69" bestFit="1" customWidth="1"/>
    <col min="9232" max="9232" width="12" style="69" bestFit="1" customWidth="1"/>
    <col min="9233" max="9233" width="11" style="69" bestFit="1" customWidth="1"/>
    <col min="9234" max="9235" width="11" style="69" customWidth="1"/>
    <col min="9236" max="9236" width="10" style="69" bestFit="1" customWidth="1"/>
    <col min="9237" max="9237" width="14.42578125" style="69" bestFit="1" customWidth="1"/>
    <col min="9238" max="9248" width="0" style="69" hidden="1" customWidth="1"/>
    <col min="9249" max="9469" width="9.140625" style="69"/>
    <col min="9470" max="9470" width="54.140625" style="69" bestFit="1" customWidth="1"/>
    <col min="9471" max="9471" width="14.7109375" style="69" customWidth="1"/>
    <col min="9472" max="9472" width="10.140625" style="69" customWidth="1"/>
    <col min="9473" max="9473" width="10.42578125" style="69" bestFit="1" customWidth="1"/>
    <col min="9474" max="9475" width="9.42578125" style="69" bestFit="1" customWidth="1"/>
    <col min="9476" max="9477" width="9.42578125" style="69" customWidth="1"/>
    <col min="9478" max="9478" width="10.140625" style="69" bestFit="1" customWidth="1"/>
    <col min="9479" max="9482" width="9.140625" style="69"/>
    <col min="9483" max="9483" width="7.28515625" style="69" customWidth="1"/>
    <col min="9484" max="9486" width="7.42578125" style="69" customWidth="1"/>
    <col min="9487" max="9487" width="10.42578125" style="69" bestFit="1" customWidth="1"/>
    <col min="9488" max="9488" width="12" style="69" bestFit="1" customWidth="1"/>
    <col min="9489" max="9489" width="11" style="69" bestFit="1" customWidth="1"/>
    <col min="9490" max="9491" width="11" style="69" customWidth="1"/>
    <col min="9492" max="9492" width="10" style="69" bestFit="1" customWidth="1"/>
    <col min="9493" max="9493" width="14.42578125" style="69" bestFit="1" customWidth="1"/>
    <col min="9494" max="9504" width="0" style="69" hidden="1" customWidth="1"/>
    <col min="9505" max="9725" width="9.140625" style="69"/>
    <col min="9726" max="9726" width="54.140625" style="69" bestFit="1" customWidth="1"/>
    <col min="9727" max="9727" width="14.7109375" style="69" customWidth="1"/>
    <col min="9728" max="9728" width="10.140625" style="69" customWidth="1"/>
    <col min="9729" max="9729" width="10.42578125" style="69" bestFit="1" customWidth="1"/>
    <col min="9730" max="9731" width="9.42578125" style="69" bestFit="1" customWidth="1"/>
    <col min="9732" max="9733" width="9.42578125" style="69" customWidth="1"/>
    <col min="9734" max="9734" width="10.140625" style="69" bestFit="1" customWidth="1"/>
    <col min="9735" max="9738" width="9.140625" style="69"/>
    <col min="9739" max="9739" width="7.28515625" style="69" customWidth="1"/>
    <col min="9740" max="9742" width="7.42578125" style="69" customWidth="1"/>
    <col min="9743" max="9743" width="10.42578125" style="69" bestFit="1" customWidth="1"/>
    <col min="9744" max="9744" width="12" style="69" bestFit="1" customWidth="1"/>
    <col min="9745" max="9745" width="11" style="69" bestFit="1" customWidth="1"/>
    <col min="9746" max="9747" width="11" style="69" customWidth="1"/>
    <col min="9748" max="9748" width="10" style="69" bestFit="1" customWidth="1"/>
    <col min="9749" max="9749" width="14.42578125" style="69" bestFit="1" customWidth="1"/>
    <col min="9750" max="9760" width="0" style="69" hidden="1" customWidth="1"/>
    <col min="9761" max="9981" width="9.140625" style="69"/>
    <col min="9982" max="9982" width="54.140625" style="69" bestFit="1" customWidth="1"/>
    <col min="9983" max="9983" width="14.7109375" style="69" customWidth="1"/>
    <col min="9984" max="9984" width="10.140625" style="69" customWidth="1"/>
    <col min="9985" max="9985" width="10.42578125" style="69" bestFit="1" customWidth="1"/>
    <col min="9986" max="9987" width="9.42578125" style="69" bestFit="1" customWidth="1"/>
    <col min="9988" max="9989" width="9.42578125" style="69" customWidth="1"/>
    <col min="9990" max="9990" width="10.140625" style="69" bestFit="1" customWidth="1"/>
    <col min="9991" max="9994" width="9.140625" style="69"/>
    <col min="9995" max="9995" width="7.28515625" style="69" customWidth="1"/>
    <col min="9996" max="9998" width="7.42578125" style="69" customWidth="1"/>
    <col min="9999" max="9999" width="10.42578125" style="69" bestFit="1" customWidth="1"/>
    <col min="10000" max="10000" width="12" style="69" bestFit="1" customWidth="1"/>
    <col min="10001" max="10001" width="11" style="69" bestFit="1" customWidth="1"/>
    <col min="10002" max="10003" width="11" style="69" customWidth="1"/>
    <col min="10004" max="10004" width="10" style="69" bestFit="1" customWidth="1"/>
    <col min="10005" max="10005" width="14.42578125" style="69" bestFit="1" customWidth="1"/>
    <col min="10006" max="10016" width="0" style="69" hidden="1" customWidth="1"/>
    <col min="10017" max="10237" width="9.140625" style="69"/>
    <col min="10238" max="10238" width="54.140625" style="69" bestFit="1" customWidth="1"/>
    <col min="10239" max="10239" width="14.7109375" style="69" customWidth="1"/>
    <col min="10240" max="10240" width="10.140625" style="69" customWidth="1"/>
    <col min="10241" max="10241" width="10.42578125" style="69" bestFit="1" customWidth="1"/>
    <col min="10242" max="10243" width="9.42578125" style="69" bestFit="1" customWidth="1"/>
    <col min="10244" max="10245" width="9.42578125" style="69" customWidth="1"/>
    <col min="10246" max="10246" width="10.140625" style="69" bestFit="1" customWidth="1"/>
    <col min="10247" max="10250" width="9.140625" style="69"/>
    <col min="10251" max="10251" width="7.28515625" style="69" customWidth="1"/>
    <col min="10252" max="10254" width="7.42578125" style="69" customWidth="1"/>
    <col min="10255" max="10255" width="10.42578125" style="69" bestFit="1" customWidth="1"/>
    <col min="10256" max="10256" width="12" style="69" bestFit="1" customWidth="1"/>
    <col min="10257" max="10257" width="11" style="69" bestFit="1" customWidth="1"/>
    <col min="10258" max="10259" width="11" style="69" customWidth="1"/>
    <col min="10260" max="10260" width="10" style="69" bestFit="1" customWidth="1"/>
    <col min="10261" max="10261" width="14.42578125" style="69" bestFit="1" customWidth="1"/>
    <col min="10262" max="10272" width="0" style="69" hidden="1" customWidth="1"/>
    <col min="10273" max="10493" width="9.140625" style="69"/>
    <col min="10494" max="10494" width="54.140625" style="69" bestFit="1" customWidth="1"/>
    <col min="10495" max="10495" width="14.7109375" style="69" customWidth="1"/>
    <col min="10496" max="10496" width="10.140625" style="69" customWidth="1"/>
    <col min="10497" max="10497" width="10.42578125" style="69" bestFit="1" customWidth="1"/>
    <col min="10498" max="10499" width="9.42578125" style="69" bestFit="1" customWidth="1"/>
    <col min="10500" max="10501" width="9.42578125" style="69" customWidth="1"/>
    <col min="10502" max="10502" width="10.140625" style="69" bestFit="1" customWidth="1"/>
    <col min="10503" max="10506" width="9.140625" style="69"/>
    <col min="10507" max="10507" width="7.28515625" style="69" customWidth="1"/>
    <col min="10508" max="10510" width="7.42578125" style="69" customWidth="1"/>
    <col min="10511" max="10511" width="10.42578125" style="69" bestFit="1" customWidth="1"/>
    <col min="10512" max="10512" width="12" style="69" bestFit="1" customWidth="1"/>
    <col min="10513" max="10513" width="11" style="69" bestFit="1" customWidth="1"/>
    <col min="10514" max="10515" width="11" style="69" customWidth="1"/>
    <col min="10516" max="10516" width="10" style="69" bestFit="1" customWidth="1"/>
    <col min="10517" max="10517" width="14.42578125" style="69" bestFit="1" customWidth="1"/>
    <col min="10518" max="10528" width="0" style="69" hidden="1" customWidth="1"/>
    <col min="10529" max="10749" width="9.140625" style="69"/>
    <col min="10750" max="10750" width="54.140625" style="69" bestFit="1" customWidth="1"/>
    <col min="10751" max="10751" width="14.7109375" style="69" customWidth="1"/>
    <col min="10752" max="10752" width="10.140625" style="69" customWidth="1"/>
    <col min="10753" max="10753" width="10.42578125" style="69" bestFit="1" customWidth="1"/>
    <col min="10754" max="10755" width="9.42578125" style="69" bestFit="1" customWidth="1"/>
    <col min="10756" max="10757" width="9.42578125" style="69" customWidth="1"/>
    <col min="10758" max="10758" width="10.140625" style="69" bestFit="1" customWidth="1"/>
    <col min="10759" max="10762" width="9.140625" style="69"/>
    <col min="10763" max="10763" width="7.28515625" style="69" customWidth="1"/>
    <col min="10764" max="10766" width="7.42578125" style="69" customWidth="1"/>
    <col min="10767" max="10767" width="10.42578125" style="69" bestFit="1" customWidth="1"/>
    <col min="10768" max="10768" width="12" style="69" bestFit="1" customWidth="1"/>
    <col min="10769" max="10769" width="11" style="69" bestFit="1" customWidth="1"/>
    <col min="10770" max="10771" width="11" style="69" customWidth="1"/>
    <col min="10772" max="10772" width="10" style="69" bestFit="1" customWidth="1"/>
    <col min="10773" max="10773" width="14.42578125" style="69" bestFit="1" customWidth="1"/>
    <col min="10774" max="10784" width="0" style="69" hidden="1" customWidth="1"/>
    <col min="10785" max="11005" width="9.140625" style="69"/>
    <col min="11006" max="11006" width="54.140625" style="69" bestFit="1" customWidth="1"/>
    <col min="11007" max="11007" width="14.7109375" style="69" customWidth="1"/>
    <col min="11008" max="11008" width="10.140625" style="69" customWidth="1"/>
    <col min="11009" max="11009" width="10.42578125" style="69" bestFit="1" customWidth="1"/>
    <col min="11010" max="11011" width="9.42578125" style="69" bestFit="1" customWidth="1"/>
    <col min="11012" max="11013" width="9.42578125" style="69" customWidth="1"/>
    <col min="11014" max="11014" width="10.140625" style="69" bestFit="1" customWidth="1"/>
    <col min="11015" max="11018" width="9.140625" style="69"/>
    <col min="11019" max="11019" width="7.28515625" style="69" customWidth="1"/>
    <col min="11020" max="11022" width="7.42578125" style="69" customWidth="1"/>
    <col min="11023" max="11023" width="10.42578125" style="69" bestFit="1" customWidth="1"/>
    <col min="11024" max="11024" width="12" style="69" bestFit="1" customWidth="1"/>
    <col min="11025" max="11025" width="11" style="69" bestFit="1" customWidth="1"/>
    <col min="11026" max="11027" width="11" style="69" customWidth="1"/>
    <col min="11028" max="11028" width="10" style="69" bestFit="1" customWidth="1"/>
    <col min="11029" max="11029" width="14.42578125" style="69" bestFit="1" customWidth="1"/>
    <col min="11030" max="11040" width="0" style="69" hidden="1" customWidth="1"/>
    <col min="11041" max="11261" width="9.140625" style="69"/>
    <col min="11262" max="11262" width="54.140625" style="69" bestFit="1" customWidth="1"/>
    <col min="11263" max="11263" width="14.7109375" style="69" customWidth="1"/>
    <col min="11264" max="11264" width="10.140625" style="69" customWidth="1"/>
    <col min="11265" max="11265" width="10.42578125" style="69" bestFit="1" customWidth="1"/>
    <col min="11266" max="11267" width="9.42578125" style="69" bestFit="1" customWidth="1"/>
    <col min="11268" max="11269" width="9.42578125" style="69" customWidth="1"/>
    <col min="11270" max="11270" width="10.140625" style="69" bestFit="1" customWidth="1"/>
    <col min="11271" max="11274" width="9.140625" style="69"/>
    <col min="11275" max="11275" width="7.28515625" style="69" customWidth="1"/>
    <col min="11276" max="11278" width="7.42578125" style="69" customWidth="1"/>
    <col min="11279" max="11279" width="10.42578125" style="69" bestFit="1" customWidth="1"/>
    <col min="11280" max="11280" width="12" style="69" bestFit="1" customWidth="1"/>
    <col min="11281" max="11281" width="11" style="69" bestFit="1" customWidth="1"/>
    <col min="11282" max="11283" width="11" style="69" customWidth="1"/>
    <col min="11284" max="11284" width="10" style="69" bestFit="1" customWidth="1"/>
    <col min="11285" max="11285" width="14.42578125" style="69" bestFit="1" customWidth="1"/>
    <col min="11286" max="11296" width="0" style="69" hidden="1" customWidth="1"/>
    <col min="11297" max="11517" width="9.140625" style="69"/>
    <col min="11518" max="11518" width="54.140625" style="69" bestFit="1" customWidth="1"/>
    <col min="11519" max="11519" width="14.7109375" style="69" customWidth="1"/>
    <col min="11520" max="11520" width="10.140625" style="69" customWidth="1"/>
    <col min="11521" max="11521" width="10.42578125" style="69" bestFit="1" customWidth="1"/>
    <col min="11522" max="11523" width="9.42578125" style="69" bestFit="1" customWidth="1"/>
    <col min="11524" max="11525" width="9.42578125" style="69" customWidth="1"/>
    <col min="11526" max="11526" width="10.140625" style="69" bestFit="1" customWidth="1"/>
    <col min="11527" max="11530" width="9.140625" style="69"/>
    <col min="11531" max="11531" width="7.28515625" style="69" customWidth="1"/>
    <col min="11532" max="11534" width="7.42578125" style="69" customWidth="1"/>
    <col min="11535" max="11535" width="10.42578125" style="69" bestFit="1" customWidth="1"/>
    <col min="11536" max="11536" width="12" style="69" bestFit="1" customWidth="1"/>
    <col min="11537" max="11537" width="11" style="69" bestFit="1" customWidth="1"/>
    <col min="11538" max="11539" width="11" style="69" customWidth="1"/>
    <col min="11540" max="11540" width="10" style="69" bestFit="1" customWidth="1"/>
    <col min="11541" max="11541" width="14.42578125" style="69" bestFit="1" customWidth="1"/>
    <col min="11542" max="11552" width="0" style="69" hidden="1" customWidth="1"/>
    <col min="11553" max="11773" width="9.140625" style="69"/>
    <col min="11774" max="11774" width="54.140625" style="69" bestFit="1" customWidth="1"/>
    <col min="11775" max="11775" width="14.7109375" style="69" customWidth="1"/>
    <col min="11776" max="11776" width="10.140625" style="69" customWidth="1"/>
    <col min="11777" max="11777" width="10.42578125" style="69" bestFit="1" customWidth="1"/>
    <col min="11778" max="11779" width="9.42578125" style="69" bestFit="1" customWidth="1"/>
    <col min="11780" max="11781" width="9.42578125" style="69" customWidth="1"/>
    <col min="11782" max="11782" width="10.140625" style="69" bestFit="1" customWidth="1"/>
    <col min="11783" max="11786" width="9.140625" style="69"/>
    <col min="11787" max="11787" width="7.28515625" style="69" customWidth="1"/>
    <col min="11788" max="11790" width="7.42578125" style="69" customWidth="1"/>
    <col min="11791" max="11791" width="10.42578125" style="69" bestFit="1" customWidth="1"/>
    <col min="11792" max="11792" width="12" style="69" bestFit="1" customWidth="1"/>
    <col min="11793" max="11793" width="11" style="69" bestFit="1" customWidth="1"/>
    <col min="11794" max="11795" width="11" style="69" customWidth="1"/>
    <col min="11796" max="11796" width="10" style="69" bestFit="1" customWidth="1"/>
    <col min="11797" max="11797" width="14.42578125" style="69" bestFit="1" customWidth="1"/>
    <col min="11798" max="11808" width="0" style="69" hidden="1" customWidth="1"/>
    <col min="11809" max="12029" width="9.140625" style="69"/>
    <col min="12030" max="12030" width="54.140625" style="69" bestFit="1" customWidth="1"/>
    <col min="12031" max="12031" width="14.7109375" style="69" customWidth="1"/>
    <col min="12032" max="12032" width="10.140625" style="69" customWidth="1"/>
    <col min="12033" max="12033" width="10.42578125" style="69" bestFit="1" customWidth="1"/>
    <col min="12034" max="12035" width="9.42578125" style="69" bestFit="1" customWidth="1"/>
    <col min="12036" max="12037" width="9.42578125" style="69" customWidth="1"/>
    <col min="12038" max="12038" width="10.140625" style="69" bestFit="1" customWidth="1"/>
    <col min="12039" max="12042" width="9.140625" style="69"/>
    <col min="12043" max="12043" width="7.28515625" style="69" customWidth="1"/>
    <col min="12044" max="12046" width="7.42578125" style="69" customWidth="1"/>
    <col min="12047" max="12047" width="10.42578125" style="69" bestFit="1" customWidth="1"/>
    <col min="12048" max="12048" width="12" style="69" bestFit="1" customWidth="1"/>
    <col min="12049" max="12049" width="11" style="69" bestFit="1" customWidth="1"/>
    <col min="12050" max="12051" width="11" style="69" customWidth="1"/>
    <col min="12052" max="12052" width="10" style="69" bestFit="1" customWidth="1"/>
    <col min="12053" max="12053" width="14.42578125" style="69" bestFit="1" customWidth="1"/>
    <col min="12054" max="12064" width="0" style="69" hidden="1" customWidth="1"/>
    <col min="12065" max="12285" width="9.140625" style="69"/>
    <col min="12286" max="12286" width="54.140625" style="69" bestFit="1" customWidth="1"/>
    <col min="12287" max="12287" width="14.7109375" style="69" customWidth="1"/>
    <col min="12288" max="12288" width="10.140625" style="69" customWidth="1"/>
    <col min="12289" max="12289" width="10.42578125" style="69" bestFit="1" customWidth="1"/>
    <col min="12290" max="12291" width="9.42578125" style="69" bestFit="1" customWidth="1"/>
    <col min="12292" max="12293" width="9.42578125" style="69" customWidth="1"/>
    <col min="12294" max="12294" width="10.140625" style="69" bestFit="1" customWidth="1"/>
    <col min="12295" max="12298" width="9.140625" style="69"/>
    <col min="12299" max="12299" width="7.28515625" style="69" customWidth="1"/>
    <col min="12300" max="12302" width="7.42578125" style="69" customWidth="1"/>
    <col min="12303" max="12303" width="10.42578125" style="69" bestFit="1" customWidth="1"/>
    <col min="12304" max="12304" width="12" style="69" bestFit="1" customWidth="1"/>
    <col min="12305" max="12305" width="11" style="69" bestFit="1" customWidth="1"/>
    <col min="12306" max="12307" width="11" style="69" customWidth="1"/>
    <col min="12308" max="12308" width="10" style="69" bestFit="1" customWidth="1"/>
    <col min="12309" max="12309" width="14.42578125" style="69" bestFit="1" customWidth="1"/>
    <col min="12310" max="12320" width="0" style="69" hidden="1" customWidth="1"/>
    <col min="12321" max="12541" width="9.140625" style="69"/>
    <col min="12542" max="12542" width="54.140625" style="69" bestFit="1" customWidth="1"/>
    <col min="12543" max="12543" width="14.7109375" style="69" customWidth="1"/>
    <col min="12544" max="12544" width="10.140625" style="69" customWidth="1"/>
    <col min="12545" max="12545" width="10.42578125" style="69" bestFit="1" customWidth="1"/>
    <col min="12546" max="12547" width="9.42578125" style="69" bestFit="1" customWidth="1"/>
    <col min="12548" max="12549" width="9.42578125" style="69" customWidth="1"/>
    <col min="12550" max="12550" width="10.140625" style="69" bestFit="1" customWidth="1"/>
    <col min="12551" max="12554" width="9.140625" style="69"/>
    <col min="12555" max="12555" width="7.28515625" style="69" customWidth="1"/>
    <col min="12556" max="12558" width="7.42578125" style="69" customWidth="1"/>
    <col min="12559" max="12559" width="10.42578125" style="69" bestFit="1" customWidth="1"/>
    <col min="12560" max="12560" width="12" style="69" bestFit="1" customWidth="1"/>
    <col min="12561" max="12561" width="11" style="69" bestFit="1" customWidth="1"/>
    <col min="12562" max="12563" width="11" style="69" customWidth="1"/>
    <col min="12564" max="12564" width="10" style="69" bestFit="1" customWidth="1"/>
    <col min="12565" max="12565" width="14.42578125" style="69" bestFit="1" customWidth="1"/>
    <col min="12566" max="12576" width="0" style="69" hidden="1" customWidth="1"/>
    <col min="12577" max="12797" width="9.140625" style="69"/>
    <col min="12798" max="12798" width="54.140625" style="69" bestFit="1" customWidth="1"/>
    <col min="12799" max="12799" width="14.7109375" style="69" customWidth="1"/>
    <col min="12800" max="12800" width="10.140625" style="69" customWidth="1"/>
    <col min="12801" max="12801" width="10.42578125" style="69" bestFit="1" customWidth="1"/>
    <col min="12802" max="12803" width="9.42578125" style="69" bestFit="1" customWidth="1"/>
    <col min="12804" max="12805" width="9.42578125" style="69" customWidth="1"/>
    <col min="12806" max="12806" width="10.140625" style="69" bestFit="1" customWidth="1"/>
    <col min="12807" max="12810" width="9.140625" style="69"/>
    <col min="12811" max="12811" width="7.28515625" style="69" customWidth="1"/>
    <col min="12812" max="12814" width="7.42578125" style="69" customWidth="1"/>
    <col min="12815" max="12815" width="10.42578125" style="69" bestFit="1" customWidth="1"/>
    <col min="12816" max="12816" width="12" style="69" bestFit="1" customWidth="1"/>
    <col min="12817" max="12817" width="11" style="69" bestFit="1" customWidth="1"/>
    <col min="12818" max="12819" width="11" style="69" customWidth="1"/>
    <col min="12820" max="12820" width="10" style="69" bestFit="1" customWidth="1"/>
    <col min="12821" max="12821" width="14.42578125" style="69" bestFit="1" customWidth="1"/>
    <col min="12822" max="12832" width="0" style="69" hidden="1" customWidth="1"/>
    <col min="12833" max="13053" width="9.140625" style="69"/>
    <col min="13054" max="13054" width="54.140625" style="69" bestFit="1" customWidth="1"/>
    <col min="13055" max="13055" width="14.7109375" style="69" customWidth="1"/>
    <col min="13056" max="13056" width="10.140625" style="69" customWidth="1"/>
    <col min="13057" max="13057" width="10.42578125" style="69" bestFit="1" customWidth="1"/>
    <col min="13058" max="13059" width="9.42578125" style="69" bestFit="1" customWidth="1"/>
    <col min="13060" max="13061" width="9.42578125" style="69" customWidth="1"/>
    <col min="13062" max="13062" width="10.140625" style="69" bestFit="1" customWidth="1"/>
    <col min="13063" max="13066" width="9.140625" style="69"/>
    <col min="13067" max="13067" width="7.28515625" style="69" customWidth="1"/>
    <col min="13068" max="13070" width="7.42578125" style="69" customWidth="1"/>
    <col min="13071" max="13071" width="10.42578125" style="69" bestFit="1" customWidth="1"/>
    <col min="13072" max="13072" width="12" style="69" bestFit="1" customWidth="1"/>
    <col min="13073" max="13073" width="11" style="69" bestFit="1" customWidth="1"/>
    <col min="13074" max="13075" width="11" style="69" customWidth="1"/>
    <col min="13076" max="13076" width="10" style="69" bestFit="1" customWidth="1"/>
    <col min="13077" max="13077" width="14.42578125" style="69" bestFit="1" customWidth="1"/>
    <col min="13078" max="13088" width="0" style="69" hidden="1" customWidth="1"/>
    <col min="13089" max="13309" width="9.140625" style="69"/>
    <col min="13310" max="13310" width="54.140625" style="69" bestFit="1" customWidth="1"/>
    <col min="13311" max="13311" width="14.7109375" style="69" customWidth="1"/>
    <col min="13312" max="13312" width="10.140625" style="69" customWidth="1"/>
    <col min="13313" max="13313" width="10.42578125" style="69" bestFit="1" customWidth="1"/>
    <col min="13314" max="13315" width="9.42578125" style="69" bestFit="1" customWidth="1"/>
    <col min="13316" max="13317" width="9.42578125" style="69" customWidth="1"/>
    <col min="13318" max="13318" width="10.140625" style="69" bestFit="1" customWidth="1"/>
    <col min="13319" max="13322" width="9.140625" style="69"/>
    <col min="13323" max="13323" width="7.28515625" style="69" customWidth="1"/>
    <col min="13324" max="13326" width="7.42578125" style="69" customWidth="1"/>
    <col min="13327" max="13327" width="10.42578125" style="69" bestFit="1" customWidth="1"/>
    <col min="13328" max="13328" width="12" style="69" bestFit="1" customWidth="1"/>
    <col min="13329" max="13329" width="11" style="69" bestFit="1" customWidth="1"/>
    <col min="13330" max="13331" width="11" style="69" customWidth="1"/>
    <col min="13332" max="13332" width="10" style="69" bestFit="1" customWidth="1"/>
    <col min="13333" max="13333" width="14.42578125" style="69" bestFit="1" customWidth="1"/>
    <col min="13334" max="13344" width="0" style="69" hidden="1" customWidth="1"/>
    <col min="13345" max="13565" width="9.140625" style="69"/>
    <col min="13566" max="13566" width="54.140625" style="69" bestFit="1" customWidth="1"/>
    <col min="13567" max="13567" width="14.7109375" style="69" customWidth="1"/>
    <col min="13568" max="13568" width="10.140625" style="69" customWidth="1"/>
    <col min="13569" max="13569" width="10.42578125" style="69" bestFit="1" customWidth="1"/>
    <col min="13570" max="13571" width="9.42578125" style="69" bestFit="1" customWidth="1"/>
    <col min="13572" max="13573" width="9.42578125" style="69" customWidth="1"/>
    <col min="13574" max="13574" width="10.140625" style="69" bestFit="1" customWidth="1"/>
    <col min="13575" max="13578" width="9.140625" style="69"/>
    <col min="13579" max="13579" width="7.28515625" style="69" customWidth="1"/>
    <col min="13580" max="13582" width="7.42578125" style="69" customWidth="1"/>
    <col min="13583" max="13583" width="10.42578125" style="69" bestFit="1" customWidth="1"/>
    <col min="13584" max="13584" width="12" style="69" bestFit="1" customWidth="1"/>
    <col min="13585" max="13585" width="11" style="69" bestFit="1" customWidth="1"/>
    <col min="13586" max="13587" width="11" style="69" customWidth="1"/>
    <col min="13588" max="13588" width="10" style="69" bestFit="1" customWidth="1"/>
    <col min="13589" max="13589" width="14.42578125" style="69" bestFit="1" customWidth="1"/>
    <col min="13590" max="13600" width="0" style="69" hidden="1" customWidth="1"/>
    <col min="13601" max="13821" width="9.140625" style="69"/>
    <col min="13822" max="13822" width="54.140625" style="69" bestFit="1" customWidth="1"/>
    <col min="13823" max="13823" width="14.7109375" style="69" customWidth="1"/>
    <col min="13824" max="13824" width="10.140625" style="69" customWidth="1"/>
    <col min="13825" max="13825" width="10.42578125" style="69" bestFit="1" customWidth="1"/>
    <col min="13826" max="13827" width="9.42578125" style="69" bestFit="1" customWidth="1"/>
    <col min="13828" max="13829" width="9.42578125" style="69" customWidth="1"/>
    <col min="13830" max="13830" width="10.140625" style="69" bestFit="1" customWidth="1"/>
    <col min="13831" max="13834" width="9.140625" style="69"/>
    <col min="13835" max="13835" width="7.28515625" style="69" customWidth="1"/>
    <col min="13836" max="13838" width="7.42578125" style="69" customWidth="1"/>
    <col min="13839" max="13839" width="10.42578125" style="69" bestFit="1" customWidth="1"/>
    <col min="13840" max="13840" width="12" style="69" bestFit="1" customWidth="1"/>
    <col min="13841" max="13841" width="11" style="69" bestFit="1" customWidth="1"/>
    <col min="13842" max="13843" width="11" style="69" customWidth="1"/>
    <col min="13844" max="13844" width="10" style="69" bestFit="1" customWidth="1"/>
    <col min="13845" max="13845" width="14.42578125" style="69" bestFit="1" customWidth="1"/>
    <col min="13846" max="13856" width="0" style="69" hidden="1" customWidth="1"/>
    <col min="13857" max="14077" width="9.140625" style="69"/>
    <col min="14078" max="14078" width="54.140625" style="69" bestFit="1" customWidth="1"/>
    <col min="14079" max="14079" width="14.7109375" style="69" customWidth="1"/>
    <col min="14080" max="14080" width="10.140625" style="69" customWidth="1"/>
    <col min="14081" max="14081" width="10.42578125" style="69" bestFit="1" customWidth="1"/>
    <col min="14082" max="14083" width="9.42578125" style="69" bestFit="1" customWidth="1"/>
    <col min="14084" max="14085" width="9.42578125" style="69" customWidth="1"/>
    <col min="14086" max="14086" width="10.140625" style="69" bestFit="1" customWidth="1"/>
    <col min="14087" max="14090" width="9.140625" style="69"/>
    <col min="14091" max="14091" width="7.28515625" style="69" customWidth="1"/>
    <col min="14092" max="14094" width="7.42578125" style="69" customWidth="1"/>
    <col min="14095" max="14095" width="10.42578125" style="69" bestFit="1" customWidth="1"/>
    <col min="14096" max="14096" width="12" style="69" bestFit="1" customWidth="1"/>
    <col min="14097" max="14097" width="11" style="69" bestFit="1" customWidth="1"/>
    <col min="14098" max="14099" width="11" style="69" customWidth="1"/>
    <col min="14100" max="14100" width="10" style="69" bestFit="1" customWidth="1"/>
    <col min="14101" max="14101" width="14.42578125" style="69" bestFit="1" customWidth="1"/>
    <col min="14102" max="14112" width="0" style="69" hidden="1" customWidth="1"/>
    <col min="14113" max="14333" width="9.140625" style="69"/>
    <col min="14334" max="14334" width="54.140625" style="69" bestFit="1" customWidth="1"/>
    <col min="14335" max="14335" width="14.7109375" style="69" customWidth="1"/>
    <col min="14336" max="14336" width="10.140625" style="69" customWidth="1"/>
    <col min="14337" max="14337" width="10.42578125" style="69" bestFit="1" customWidth="1"/>
    <col min="14338" max="14339" width="9.42578125" style="69" bestFit="1" customWidth="1"/>
    <col min="14340" max="14341" width="9.42578125" style="69" customWidth="1"/>
    <col min="14342" max="14342" width="10.140625" style="69" bestFit="1" customWidth="1"/>
    <col min="14343" max="14346" width="9.140625" style="69"/>
    <col min="14347" max="14347" width="7.28515625" style="69" customWidth="1"/>
    <col min="14348" max="14350" width="7.42578125" style="69" customWidth="1"/>
    <col min="14351" max="14351" width="10.42578125" style="69" bestFit="1" customWidth="1"/>
    <col min="14352" max="14352" width="12" style="69" bestFit="1" customWidth="1"/>
    <col min="14353" max="14353" width="11" style="69" bestFit="1" customWidth="1"/>
    <col min="14354" max="14355" width="11" style="69" customWidth="1"/>
    <col min="14356" max="14356" width="10" style="69" bestFit="1" customWidth="1"/>
    <col min="14357" max="14357" width="14.42578125" style="69" bestFit="1" customWidth="1"/>
    <col min="14358" max="14368" width="0" style="69" hidden="1" customWidth="1"/>
    <col min="14369" max="14589" width="9.140625" style="69"/>
    <col min="14590" max="14590" width="54.140625" style="69" bestFit="1" customWidth="1"/>
    <col min="14591" max="14591" width="14.7109375" style="69" customWidth="1"/>
    <col min="14592" max="14592" width="10.140625" style="69" customWidth="1"/>
    <col min="14593" max="14593" width="10.42578125" style="69" bestFit="1" customWidth="1"/>
    <col min="14594" max="14595" width="9.42578125" style="69" bestFit="1" customWidth="1"/>
    <col min="14596" max="14597" width="9.42578125" style="69" customWidth="1"/>
    <col min="14598" max="14598" width="10.140625" style="69" bestFit="1" customWidth="1"/>
    <col min="14599" max="14602" width="9.140625" style="69"/>
    <col min="14603" max="14603" width="7.28515625" style="69" customWidth="1"/>
    <col min="14604" max="14606" width="7.42578125" style="69" customWidth="1"/>
    <col min="14607" max="14607" width="10.42578125" style="69" bestFit="1" customWidth="1"/>
    <col min="14608" max="14608" width="12" style="69" bestFit="1" customWidth="1"/>
    <col min="14609" max="14609" width="11" style="69" bestFit="1" customWidth="1"/>
    <col min="14610" max="14611" width="11" style="69" customWidth="1"/>
    <col min="14612" max="14612" width="10" style="69" bestFit="1" customWidth="1"/>
    <col min="14613" max="14613" width="14.42578125" style="69" bestFit="1" customWidth="1"/>
    <col min="14614" max="14624" width="0" style="69" hidden="1" customWidth="1"/>
    <col min="14625" max="14845" width="9.140625" style="69"/>
    <col min="14846" max="14846" width="54.140625" style="69" bestFit="1" customWidth="1"/>
    <col min="14847" max="14847" width="14.7109375" style="69" customWidth="1"/>
    <col min="14848" max="14848" width="10.140625" style="69" customWidth="1"/>
    <col min="14849" max="14849" width="10.42578125" style="69" bestFit="1" customWidth="1"/>
    <col min="14850" max="14851" width="9.42578125" style="69" bestFit="1" customWidth="1"/>
    <col min="14852" max="14853" width="9.42578125" style="69" customWidth="1"/>
    <col min="14854" max="14854" width="10.140625" style="69" bestFit="1" customWidth="1"/>
    <col min="14855" max="14858" width="9.140625" style="69"/>
    <col min="14859" max="14859" width="7.28515625" style="69" customWidth="1"/>
    <col min="14860" max="14862" width="7.42578125" style="69" customWidth="1"/>
    <col min="14863" max="14863" width="10.42578125" style="69" bestFit="1" customWidth="1"/>
    <col min="14864" max="14864" width="12" style="69" bestFit="1" customWidth="1"/>
    <col min="14865" max="14865" width="11" style="69" bestFit="1" customWidth="1"/>
    <col min="14866" max="14867" width="11" style="69" customWidth="1"/>
    <col min="14868" max="14868" width="10" style="69" bestFit="1" customWidth="1"/>
    <col min="14869" max="14869" width="14.42578125" style="69" bestFit="1" customWidth="1"/>
    <col min="14870" max="14880" width="0" style="69" hidden="1" customWidth="1"/>
    <col min="14881" max="15101" width="9.140625" style="69"/>
    <col min="15102" max="15102" width="54.140625" style="69" bestFit="1" customWidth="1"/>
    <col min="15103" max="15103" width="14.7109375" style="69" customWidth="1"/>
    <col min="15104" max="15104" width="10.140625" style="69" customWidth="1"/>
    <col min="15105" max="15105" width="10.42578125" style="69" bestFit="1" customWidth="1"/>
    <col min="15106" max="15107" width="9.42578125" style="69" bestFit="1" customWidth="1"/>
    <col min="15108" max="15109" width="9.42578125" style="69" customWidth="1"/>
    <col min="15110" max="15110" width="10.140625" style="69" bestFit="1" customWidth="1"/>
    <col min="15111" max="15114" width="9.140625" style="69"/>
    <col min="15115" max="15115" width="7.28515625" style="69" customWidth="1"/>
    <col min="15116" max="15118" width="7.42578125" style="69" customWidth="1"/>
    <col min="15119" max="15119" width="10.42578125" style="69" bestFit="1" customWidth="1"/>
    <col min="15120" max="15120" width="12" style="69" bestFit="1" customWidth="1"/>
    <col min="15121" max="15121" width="11" style="69" bestFit="1" customWidth="1"/>
    <col min="15122" max="15123" width="11" style="69" customWidth="1"/>
    <col min="15124" max="15124" width="10" style="69" bestFit="1" customWidth="1"/>
    <col min="15125" max="15125" width="14.42578125" style="69" bestFit="1" customWidth="1"/>
    <col min="15126" max="15136" width="0" style="69" hidden="1" customWidth="1"/>
    <col min="15137" max="15357" width="9.140625" style="69"/>
    <col min="15358" max="15358" width="54.140625" style="69" bestFit="1" customWidth="1"/>
    <col min="15359" max="15359" width="14.7109375" style="69" customWidth="1"/>
    <col min="15360" max="15360" width="10.140625" style="69" customWidth="1"/>
    <col min="15361" max="15361" width="10.42578125" style="69" bestFit="1" customWidth="1"/>
    <col min="15362" max="15363" width="9.42578125" style="69" bestFit="1" customWidth="1"/>
    <col min="15364" max="15365" width="9.42578125" style="69" customWidth="1"/>
    <col min="15366" max="15366" width="10.140625" style="69" bestFit="1" customWidth="1"/>
    <col min="15367" max="15370" width="9.140625" style="69"/>
    <col min="15371" max="15371" width="7.28515625" style="69" customWidth="1"/>
    <col min="15372" max="15374" width="7.42578125" style="69" customWidth="1"/>
    <col min="15375" max="15375" width="10.42578125" style="69" bestFit="1" customWidth="1"/>
    <col min="15376" max="15376" width="12" style="69" bestFit="1" customWidth="1"/>
    <col min="15377" max="15377" width="11" style="69" bestFit="1" customWidth="1"/>
    <col min="15378" max="15379" width="11" style="69" customWidth="1"/>
    <col min="15380" max="15380" width="10" style="69" bestFit="1" customWidth="1"/>
    <col min="15381" max="15381" width="14.42578125" style="69" bestFit="1" customWidth="1"/>
    <col min="15382" max="15392" width="0" style="69" hidden="1" customWidth="1"/>
    <col min="15393" max="15613" width="9.140625" style="69"/>
    <col min="15614" max="15614" width="54.140625" style="69" bestFit="1" customWidth="1"/>
    <col min="15615" max="15615" width="14.7109375" style="69" customWidth="1"/>
    <col min="15616" max="15616" width="10.140625" style="69" customWidth="1"/>
    <col min="15617" max="15617" width="10.42578125" style="69" bestFit="1" customWidth="1"/>
    <col min="15618" max="15619" width="9.42578125" style="69" bestFit="1" customWidth="1"/>
    <col min="15620" max="15621" width="9.42578125" style="69" customWidth="1"/>
    <col min="15622" max="15622" width="10.140625" style="69" bestFit="1" customWidth="1"/>
    <col min="15623" max="15626" width="9.140625" style="69"/>
    <col min="15627" max="15627" width="7.28515625" style="69" customWidth="1"/>
    <col min="15628" max="15630" width="7.42578125" style="69" customWidth="1"/>
    <col min="15631" max="15631" width="10.42578125" style="69" bestFit="1" customWidth="1"/>
    <col min="15632" max="15632" width="12" style="69" bestFit="1" customWidth="1"/>
    <col min="15633" max="15633" width="11" style="69" bestFit="1" customWidth="1"/>
    <col min="15634" max="15635" width="11" style="69" customWidth="1"/>
    <col min="15636" max="15636" width="10" style="69" bestFit="1" customWidth="1"/>
    <col min="15637" max="15637" width="14.42578125" style="69" bestFit="1" customWidth="1"/>
    <col min="15638" max="15648" width="0" style="69" hidden="1" customWidth="1"/>
    <col min="15649" max="15869" width="9.140625" style="69"/>
    <col min="15870" max="15870" width="54.140625" style="69" bestFit="1" customWidth="1"/>
    <col min="15871" max="15871" width="14.7109375" style="69" customWidth="1"/>
    <col min="15872" max="15872" width="10.140625" style="69" customWidth="1"/>
    <col min="15873" max="15873" width="10.42578125" style="69" bestFit="1" customWidth="1"/>
    <col min="15874" max="15875" width="9.42578125" style="69" bestFit="1" customWidth="1"/>
    <col min="15876" max="15877" width="9.42578125" style="69" customWidth="1"/>
    <col min="15878" max="15878" width="10.140625" style="69" bestFit="1" customWidth="1"/>
    <col min="15879" max="15882" width="9.140625" style="69"/>
    <col min="15883" max="15883" width="7.28515625" style="69" customWidth="1"/>
    <col min="15884" max="15886" width="7.42578125" style="69" customWidth="1"/>
    <col min="15887" max="15887" width="10.42578125" style="69" bestFit="1" customWidth="1"/>
    <col min="15888" max="15888" width="12" style="69" bestFit="1" customWidth="1"/>
    <col min="15889" max="15889" width="11" style="69" bestFit="1" customWidth="1"/>
    <col min="15890" max="15891" width="11" style="69" customWidth="1"/>
    <col min="15892" max="15892" width="10" style="69" bestFit="1" customWidth="1"/>
    <col min="15893" max="15893" width="14.42578125" style="69" bestFit="1" customWidth="1"/>
    <col min="15894" max="15904" width="0" style="69" hidden="1" customWidth="1"/>
    <col min="15905" max="16125" width="9.140625" style="69"/>
    <col min="16126" max="16126" width="54.140625" style="69" bestFit="1" customWidth="1"/>
    <col min="16127" max="16127" width="14.7109375" style="69" customWidth="1"/>
    <col min="16128" max="16128" width="10.140625" style="69" customWidth="1"/>
    <col min="16129" max="16129" width="10.42578125" style="69" bestFit="1" customWidth="1"/>
    <col min="16130" max="16131" width="9.42578125" style="69" bestFit="1" customWidth="1"/>
    <col min="16132" max="16133" width="9.42578125" style="69" customWidth="1"/>
    <col min="16134" max="16134" width="10.140625" style="69" bestFit="1" customWidth="1"/>
    <col min="16135" max="16138" width="9.140625" style="69"/>
    <col min="16139" max="16139" width="7.28515625" style="69" customWidth="1"/>
    <col min="16140" max="16142" width="7.42578125" style="69" customWidth="1"/>
    <col min="16143" max="16143" width="10.42578125" style="69" bestFit="1" customWidth="1"/>
    <col min="16144" max="16144" width="12" style="69" bestFit="1" customWidth="1"/>
    <col min="16145" max="16145" width="11" style="69" bestFit="1" customWidth="1"/>
    <col min="16146" max="16147" width="11" style="69" customWidth="1"/>
    <col min="16148" max="16148" width="10" style="69" bestFit="1" customWidth="1"/>
    <col min="16149" max="16149" width="14.42578125" style="69" bestFit="1" customWidth="1"/>
    <col min="16150" max="16160" width="0" style="69" hidden="1" customWidth="1"/>
    <col min="16161" max="16384" width="9.140625" style="69"/>
  </cols>
  <sheetData>
    <row r="1" spans="1:34" s="64" customFormat="1" ht="24" customHeight="1" x14ac:dyDescent="0.25">
      <c r="A1" s="61" t="s">
        <v>135</v>
      </c>
      <c r="B1" s="145">
        <v>45200</v>
      </c>
      <c r="C1" s="146"/>
      <c r="D1" s="146"/>
      <c r="E1" s="146"/>
      <c r="F1" s="146"/>
      <c r="G1" s="146"/>
      <c r="H1" s="146"/>
      <c r="I1" s="146"/>
      <c r="J1" s="147"/>
      <c r="K1" s="62"/>
      <c r="L1" s="62"/>
      <c r="M1" s="62"/>
      <c r="N1" s="62"/>
      <c r="O1" s="62"/>
      <c r="P1" s="62"/>
      <c r="Q1" s="62"/>
      <c r="R1" s="62"/>
      <c r="S1" s="63"/>
      <c r="T1" s="63"/>
    </row>
    <row r="2" spans="1:34" ht="41.25" customHeight="1" x14ac:dyDescent="0.2">
      <c r="A2" s="65" t="s">
        <v>162</v>
      </c>
      <c r="B2" s="148" t="s">
        <v>215</v>
      </c>
      <c r="C2" s="149"/>
      <c r="D2" s="149"/>
      <c r="E2" s="149"/>
      <c r="F2" s="149"/>
      <c r="G2" s="149"/>
      <c r="H2" s="149"/>
      <c r="I2" s="149"/>
      <c r="J2" s="150"/>
      <c r="K2" s="66"/>
      <c r="L2" s="67"/>
      <c r="M2" s="67"/>
      <c r="N2" s="67"/>
      <c r="O2" s="67"/>
      <c r="P2" s="67"/>
      <c r="Q2" s="67"/>
      <c r="R2" s="67"/>
      <c r="S2" s="68"/>
      <c r="T2" s="68"/>
    </row>
    <row r="3" spans="1:34" ht="28.5" customHeight="1" x14ac:dyDescent="0.2">
      <c r="A3" s="151" t="s">
        <v>163</v>
      </c>
      <c r="B3" s="151"/>
      <c r="C3" s="151"/>
      <c r="D3" s="151"/>
      <c r="E3" s="151"/>
      <c r="F3" s="151"/>
      <c r="G3" s="151"/>
      <c r="H3" s="151"/>
      <c r="I3" s="151"/>
      <c r="J3" s="151"/>
      <c r="K3" s="70"/>
      <c r="L3" s="71"/>
      <c r="M3" s="71"/>
      <c r="N3" s="71"/>
      <c r="O3" s="71"/>
      <c r="P3" s="71"/>
      <c r="Q3" s="71"/>
      <c r="R3" s="71"/>
      <c r="S3" s="68"/>
      <c r="T3" s="68"/>
    </row>
    <row r="4" spans="1:34" x14ac:dyDescent="0.2">
      <c r="A4" s="151" t="s">
        <v>164</v>
      </c>
      <c r="B4" s="151"/>
      <c r="C4" s="151"/>
      <c r="D4" s="151"/>
      <c r="E4" s="151"/>
      <c r="F4" s="151"/>
      <c r="G4" s="151"/>
      <c r="H4" s="151"/>
      <c r="I4" s="151"/>
      <c r="J4" s="151"/>
      <c r="K4" s="72"/>
      <c r="L4" s="71"/>
      <c r="M4" s="71"/>
      <c r="N4" s="71"/>
      <c r="O4" s="71"/>
    </row>
    <row r="5" spans="1:34" x14ac:dyDescent="0.2">
      <c r="A5" s="151"/>
      <c r="B5" s="151"/>
      <c r="C5" s="151"/>
      <c r="D5" s="151"/>
      <c r="E5" s="151"/>
      <c r="F5" s="151"/>
      <c r="G5" s="151"/>
      <c r="H5" s="151"/>
      <c r="I5" s="151"/>
      <c r="J5" s="151"/>
      <c r="K5" s="62"/>
      <c r="L5" s="73"/>
      <c r="M5" s="73"/>
      <c r="N5" s="73"/>
      <c r="O5" s="73"/>
      <c r="P5" s="73"/>
      <c r="Q5" s="73"/>
      <c r="R5" s="73"/>
      <c r="S5" s="68"/>
      <c r="T5" s="68"/>
    </row>
    <row r="6" spans="1:34" ht="38.25" customHeight="1" x14ac:dyDescent="0.2">
      <c r="A6" s="74"/>
      <c r="B6" s="74"/>
      <c r="C6" s="62"/>
      <c r="D6" s="152"/>
      <c r="E6" s="152"/>
      <c r="F6" s="152"/>
      <c r="G6" s="152"/>
      <c r="H6" s="62"/>
      <c r="I6" s="62"/>
      <c r="J6" s="62"/>
      <c r="K6" s="62"/>
      <c r="L6" s="73"/>
      <c r="M6" s="73"/>
      <c r="N6" s="73"/>
      <c r="O6" s="73"/>
      <c r="P6" s="73"/>
      <c r="Q6" s="73"/>
      <c r="R6" s="73"/>
      <c r="S6" s="144"/>
      <c r="T6" s="144"/>
    </row>
    <row r="7" spans="1:34" ht="25.5" x14ac:dyDescent="0.2">
      <c r="A7" s="75" t="s">
        <v>165</v>
      </c>
      <c r="B7" s="76" t="s">
        <v>166</v>
      </c>
      <c r="C7" s="62"/>
      <c r="D7" s="77"/>
      <c r="E7" s="62"/>
      <c r="F7" s="62"/>
      <c r="G7" s="62"/>
      <c r="H7" s="62"/>
      <c r="I7" s="62"/>
      <c r="J7" s="62"/>
      <c r="K7" s="62"/>
      <c r="L7" s="73"/>
      <c r="M7" s="73"/>
      <c r="N7" s="73"/>
      <c r="O7" s="73"/>
      <c r="P7" s="73"/>
      <c r="Q7" s="73"/>
      <c r="R7" s="73"/>
      <c r="S7" s="78"/>
      <c r="T7" s="78"/>
    </row>
    <row r="8" spans="1:34" ht="76.5" x14ac:dyDescent="0.2">
      <c r="A8" s="75" t="s">
        <v>167</v>
      </c>
      <c r="B8" s="76" t="s">
        <v>168</v>
      </c>
      <c r="C8" s="62"/>
      <c r="D8" s="62"/>
      <c r="E8" s="62"/>
      <c r="F8" s="62"/>
      <c r="G8" s="62"/>
      <c r="H8" s="62"/>
      <c r="I8" s="62"/>
      <c r="J8" s="62"/>
      <c r="K8" s="62"/>
      <c r="L8" s="73"/>
      <c r="M8" s="73"/>
      <c r="N8" s="73"/>
      <c r="O8" s="73"/>
      <c r="P8" s="73"/>
      <c r="Q8" s="73"/>
      <c r="R8" s="73"/>
      <c r="S8" s="78"/>
      <c r="T8" s="78"/>
    </row>
    <row r="9" spans="1:34" ht="25.5" x14ac:dyDescent="0.25">
      <c r="A9" s="79" t="s">
        <v>169</v>
      </c>
      <c r="B9" s="76" t="s">
        <v>170</v>
      </c>
      <c r="C9" s="62"/>
      <c r="D9" s="62"/>
      <c r="E9" s="62"/>
      <c r="F9" s="62"/>
      <c r="G9" s="62"/>
      <c r="H9" s="62"/>
      <c r="I9" s="62"/>
      <c r="J9" s="62"/>
      <c r="K9" s="62"/>
      <c r="L9" s="73"/>
      <c r="M9" s="73"/>
      <c r="N9" s="73"/>
      <c r="O9" s="73"/>
      <c r="P9" s="73"/>
      <c r="Q9" s="73"/>
      <c r="R9" s="73"/>
      <c r="S9" s="78"/>
      <c r="T9" s="78"/>
    </row>
    <row r="10" spans="1:34" x14ac:dyDescent="0.2">
      <c r="A10" s="157"/>
      <c r="B10" s="158"/>
      <c r="C10" s="62"/>
      <c r="D10" s="62"/>
      <c r="E10" s="62"/>
      <c r="F10" s="62"/>
      <c r="G10" s="62"/>
      <c r="H10" s="62"/>
      <c r="I10" s="62"/>
      <c r="J10" s="62"/>
      <c r="K10" s="62"/>
      <c r="L10" s="73"/>
      <c r="M10" s="73"/>
      <c r="N10" s="73"/>
      <c r="O10" s="73"/>
      <c r="P10" s="80"/>
      <c r="Q10" s="73"/>
      <c r="R10" s="73"/>
      <c r="S10" s="78"/>
      <c r="T10" s="78"/>
    </row>
    <row r="11" spans="1:34" ht="18" customHeight="1" x14ac:dyDescent="0.2">
      <c r="B11" s="62"/>
      <c r="C11" s="62"/>
      <c r="D11" s="62"/>
      <c r="E11" s="62"/>
      <c r="F11" s="62"/>
      <c r="G11" s="62"/>
      <c r="H11" s="62"/>
      <c r="I11" s="62"/>
      <c r="J11" s="62"/>
      <c r="K11" s="62"/>
      <c r="L11" s="73"/>
      <c r="M11" s="73"/>
      <c r="N11" s="73"/>
      <c r="O11" s="73"/>
      <c r="P11" s="80"/>
      <c r="Q11" s="73"/>
      <c r="R11" s="73"/>
      <c r="S11" s="78"/>
      <c r="T11" s="78"/>
    </row>
    <row r="12" spans="1:34" x14ac:dyDescent="0.2">
      <c r="A12" s="81" t="s">
        <v>171</v>
      </c>
      <c r="B12" s="82" t="s">
        <v>172</v>
      </c>
      <c r="C12" s="62"/>
      <c r="D12" s="62"/>
      <c r="E12" s="62"/>
      <c r="F12" s="62"/>
      <c r="G12" s="62"/>
      <c r="H12" s="62"/>
      <c r="I12" s="62"/>
      <c r="J12" s="62"/>
      <c r="K12" s="62"/>
      <c r="L12" s="73"/>
      <c r="M12" s="73"/>
      <c r="N12" s="73"/>
      <c r="O12" s="73"/>
      <c r="P12" s="73"/>
      <c r="Q12" s="73"/>
      <c r="R12" s="73"/>
      <c r="S12" s="78"/>
      <c r="T12" s="78"/>
    </row>
    <row r="13" spans="1:34" ht="34.5" customHeight="1" x14ac:dyDescent="0.2">
      <c r="A13" s="83" t="str">
        <f>'AUTO CALCULATION SHEET (2)'!D19</f>
        <v>4 CORE X 10 SQ. MM. AL/ARD - STRIP (PVC)</v>
      </c>
      <c r="B13" s="84">
        <f>'AUTO CALCULATION SHEET (2)'!E19</f>
        <v>89782.346809999988</v>
      </c>
      <c r="C13" s="62"/>
      <c r="D13" s="62"/>
      <c r="E13" s="62"/>
      <c r="F13" s="62"/>
      <c r="G13" s="62"/>
      <c r="H13" s="62"/>
      <c r="I13" s="62"/>
      <c r="J13" s="62"/>
      <c r="K13" s="62"/>
      <c r="L13" s="73"/>
      <c r="M13" s="73"/>
      <c r="N13" s="73"/>
      <c r="O13" s="73"/>
      <c r="P13" s="73"/>
      <c r="Q13" s="73"/>
      <c r="R13" s="73"/>
      <c r="S13" s="78"/>
      <c r="T13" s="78"/>
    </row>
    <row r="14" spans="1:34" ht="34.5" customHeight="1" x14ac:dyDescent="0.2">
      <c r="A14" s="83" t="str">
        <f>'AUTO CALCULATION SHEET (2)'!D20</f>
        <v>4 CORE X 25 SQ. MM. AL/ARD - STRIP (PVC)</v>
      </c>
      <c r="B14" s="84">
        <f>'AUTO CALCULATION SHEET (2)'!E20</f>
        <v>156469.48772</v>
      </c>
      <c r="C14" s="62"/>
      <c r="D14" s="62"/>
      <c r="E14" s="62"/>
      <c r="F14" s="62"/>
      <c r="G14" s="62"/>
      <c r="H14" s="62"/>
      <c r="I14" s="62"/>
      <c r="J14" s="62"/>
      <c r="K14" s="62"/>
      <c r="L14" s="73"/>
      <c r="M14" s="73"/>
      <c r="N14" s="73"/>
      <c r="O14" s="73"/>
      <c r="P14" s="73"/>
      <c r="Q14" s="73"/>
      <c r="R14" s="73"/>
      <c r="S14" s="78"/>
      <c r="T14" s="78"/>
    </row>
    <row r="15" spans="1:34" ht="13.5" thickBot="1" x14ac:dyDescent="0.25">
      <c r="C15" s="67"/>
      <c r="D15" s="85"/>
      <c r="E15" s="73"/>
      <c r="F15" s="73"/>
      <c r="G15" s="73"/>
      <c r="H15" s="73"/>
      <c r="I15" s="73"/>
      <c r="J15" s="73"/>
      <c r="K15" s="62"/>
      <c r="L15" s="73"/>
      <c r="M15" s="73"/>
      <c r="N15" s="73"/>
      <c r="O15" s="73"/>
      <c r="P15" s="73"/>
      <c r="Q15" s="73"/>
      <c r="R15" s="73"/>
      <c r="S15" s="78"/>
      <c r="T15" s="78"/>
    </row>
    <row r="16" spans="1:34" ht="26.25" customHeight="1" x14ac:dyDescent="0.2">
      <c r="A16" s="159" t="s">
        <v>171</v>
      </c>
      <c r="B16" s="161" t="s">
        <v>173</v>
      </c>
      <c r="C16" s="163" t="s">
        <v>174</v>
      </c>
      <c r="D16" s="165" t="s">
        <v>175</v>
      </c>
      <c r="E16" s="153"/>
      <c r="F16" s="153"/>
      <c r="G16" s="155"/>
      <c r="H16" s="165" t="s">
        <v>176</v>
      </c>
      <c r="I16" s="153"/>
      <c r="J16" s="153"/>
      <c r="K16" s="155"/>
      <c r="L16" s="165" t="s">
        <v>177</v>
      </c>
      <c r="M16" s="153"/>
      <c r="N16" s="155"/>
      <c r="O16" s="163" t="s">
        <v>178</v>
      </c>
      <c r="P16" s="165" t="s">
        <v>179</v>
      </c>
      <c r="Q16" s="153" t="s">
        <v>180</v>
      </c>
      <c r="R16" s="153" t="s">
        <v>181</v>
      </c>
      <c r="S16" s="155" t="s">
        <v>182</v>
      </c>
      <c r="T16" s="163" t="s">
        <v>183</v>
      </c>
      <c r="U16" s="172" t="s">
        <v>184</v>
      </c>
      <c r="V16" s="173"/>
      <c r="W16" s="173"/>
      <c r="X16" s="173"/>
      <c r="Y16" s="173"/>
      <c r="Z16" s="173"/>
      <c r="AA16" s="173"/>
      <c r="AB16" s="173"/>
      <c r="AC16" s="173"/>
      <c r="AD16" s="173"/>
      <c r="AE16" s="173"/>
      <c r="AF16" s="173"/>
      <c r="AG16" s="173"/>
      <c r="AH16" s="174"/>
    </row>
    <row r="17" spans="1:34" ht="12.75" customHeight="1" x14ac:dyDescent="0.2">
      <c r="A17" s="160"/>
      <c r="B17" s="162"/>
      <c r="C17" s="164"/>
      <c r="D17" s="178" t="s">
        <v>185</v>
      </c>
      <c r="E17" s="154" t="s">
        <v>186</v>
      </c>
      <c r="F17" s="154" t="s">
        <v>187</v>
      </c>
      <c r="G17" s="156" t="s">
        <v>188</v>
      </c>
      <c r="H17" s="178" t="s">
        <v>185</v>
      </c>
      <c r="I17" s="154" t="s">
        <v>189</v>
      </c>
      <c r="J17" s="154" t="s">
        <v>190</v>
      </c>
      <c r="K17" s="156" t="s">
        <v>191</v>
      </c>
      <c r="L17" s="178"/>
      <c r="M17" s="154"/>
      <c r="N17" s="156"/>
      <c r="O17" s="164"/>
      <c r="P17" s="178"/>
      <c r="Q17" s="154"/>
      <c r="R17" s="154"/>
      <c r="S17" s="156"/>
      <c r="T17" s="164"/>
      <c r="U17" s="175"/>
      <c r="V17" s="176"/>
      <c r="W17" s="176"/>
      <c r="X17" s="176"/>
      <c r="Y17" s="176"/>
      <c r="Z17" s="176"/>
      <c r="AA17" s="176"/>
      <c r="AB17" s="176"/>
      <c r="AC17" s="176"/>
      <c r="AD17" s="176"/>
      <c r="AE17" s="176"/>
      <c r="AF17" s="176"/>
      <c r="AG17" s="176"/>
      <c r="AH17" s="177"/>
    </row>
    <row r="18" spans="1:34" ht="42" customHeight="1" x14ac:dyDescent="0.2">
      <c r="A18" s="160"/>
      <c r="B18" s="162"/>
      <c r="C18" s="164"/>
      <c r="D18" s="178"/>
      <c r="E18" s="154"/>
      <c r="F18" s="154"/>
      <c r="G18" s="156"/>
      <c r="H18" s="178"/>
      <c r="I18" s="154"/>
      <c r="J18" s="154"/>
      <c r="K18" s="156"/>
      <c r="L18" s="86" t="s">
        <v>165</v>
      </c>
      <c r="M18" s="87" t="s">
        <v>167</v>
      </c>
      <c r="N18" s="88" t="s">
        <v>192</v>
      </c>
      <c r="O18" s="164"/>
      <c r="P18" s="178"/>
      <c r="Q18" s="154"/>
      <c r="R18" s="154"/>
      <c r="S18" s="156"/>
      <c r="T18" s="164"/>
      <c r="U18" s="89" t="s">
        <v>80</v>
      </c>
      <c r="V18" s="90" t="s">
        <v>193</v>
      </c>
      <c r="W18" s="90" t="s">
        <v>194</v>
      </c>
      <c r="X18" s="90" t="s">
        <v>195</v>
      </c>
      <c r="Y18" s="90" t="s">
        <v>196</v>
      </c>
      <c r="Z18" s="90" t="s">
        <v>197</v>
      </c>
      <c r="AA18" s="90" t="s">
        <v>198</v>
      </c>
      <c r="AB18" s="90" t="s">
        <v>199</v>
      </c>
      <c r="AC18" s="90" t="s">
        <v>200</v>
      </c>
      <c r="AD18" s="90" t="s">
        <v>201</v>
      </c>
      <c r="AE18" s="90" t="s">
        <v>202</v>
      </c>
      <c r="AF18" s="90" t="s">
        <v>203</v>
      </c>
      <c r="AG18" s="90" t="s">
        <v>204</v>
      </c>
      <c r="AH18" s="91" t="s">
        <v>205</v>
      </c>
    </row>
    <row r="19" spans="1:34" ht="14.25" customHeight="1" x14ac:dyDescent="0.2">
      <c r="A19" s="92"/>
      <c r="B19" s="166"/>
      <c r="C19" s="167"/>
      <c r="D19" s="167"/>
      <c r="E19" s="167"/>
      <c r="F19" s="167"/>
      <c r="G19" s="167"/>
      <c r="H19" s="167"/>
      <c r="I19" s="167"/>
      <c r="J19" s="167"/>
      <c r="K19" s="167"/>
      <c r="L19" s="167"/>
      <c r="M19" s="167"/>
      <c r="N19" s="167"/>
      <c r="O19" s="167"/>
      <c r="P19" s="167"/>
      <c r="Q19" s="167"/>
      <c r="R19" s="167"/>
      <c r="S19" s="167"/>
      <c r="T19" s="168"/>
      <c r="U19" s="93">
        <v>211</v>
      </c>
      <c r="V19" s="94">
        <v>70</v>
      </c>
      <c r="W19" s="94">
        <v>57</v>
      </c>
      <c r="X19" s="94">
        <v>73</v>
      </c>
      <c r="Y19" s="94">
        <v>57</v>
      </c>
      <c r="Z19" s="95"/>
      <c r="AA19" s="95"/>
      <c r="AB19" s="95"/>
      <c r="AC19" s="95"/>
      <c r="AD19" s="95"/>
      <c r="AE19" s="95"/>
      <c r="AF19" s="96"/>
      <c r="AG19" s="95"/>
      <c r="AH19" s="97"/>
    </row>
    <row r="20" spans="1:34" ht="34.5" customHeight="1" x14ac:dyDescent="0.2">
      <c r="A20" s="98" t="str">
        <f>A13</f>
        <v>4 CORE X 10 SQ. MM. AL/ARD - STRIP (PVC)</v>
      </c>
      <c r="B20" s="99"/>
      <c r="C20" s="100"/>
      <c r="D20" s="123">
        <v>45274</v>
      </c>
      <c r="E20" s="128">
        <v>202884.87</v>
      </c>
      <c r="F20" s="101">
        <v>150825</v>
      </c>
      <c r="G20" s="102">
        <v>78250</v>
      </c>
      <c r="H20" s="122">
        <f>$B$1</f>
        <v>45200</v>
      </c>
      <c r="I20" s="101">
        <v>211416</v>
      </c>
      <c r="J20" s="101">
        <v>154575</v>
      </c>
      <c r="K20" s="102">
        <v>80250</v>
      </c>
      <c r="L20" s="103">
        <v>0.11600000000000001</v>
      </c>
      <c r="M20" s="104">
        <v>0.27700000000000002</v>
      </c>
      <c r="N20" s="105">
        <v>0.29299999999999998</v>
      </c>
      <c r="O20" s="106">
        <f>B13</f>
        <v>89782.346809999988</v>
      </c>
      <c r="P20" s="107">
        <f>(L20*(E20-I20))</f>
        <v>-989.61108000000058</v>
      </c>
      <c r="Q20" s="108">
        <f>M20*(F20-J20)</f>
        <v>-1038.75</v>
      </c>
      <c r="R20" s="108">
        <f>N20*(G20-K20)</f>
        <v>-586</v>
      </c>
      <c r="S20" s="124">
        <f>P20+Q20+R20</f>
        <v>-2614.3610800000006</v>
      </c>
      <c r="T20" s="109">
        <f>O20+S20</f>
        <v>87167.985729999986</v>
      </c>
      <c r="U20" s="110">
        <f>'AUTO CALCULATION SHEET (2)'!N19</f>
        <v>108</v>
      </c>
      <c r="V20" s="111">
        <f>'AUTO CALCULATION SHEET (2)'!AH19</f>
        <v>98</v>
      </c>
      <c r="W20" s="111">
        <f>'AUTO CALCULATION SHEET (2)'!AO19</f>
        <v>35</v>
      </c>
      <c r="X20" s="111">
        <f>'AUTO CALCULATION SHEET (2)'!AX19</f>
        <v>281</v>
      </c>
      <c r="Y20" s="111">
        <f>'AUTO CALCULATION SHEET (2)'!BI19</f>
        <v>139</v>
      </c>
      <c r="Z20" s="112">
        <f>SUMPRODUCT(U20:Y20,$U$19:$Y$19)</f>
        <v>60079</v>
      </c>
      <c r="AA20" s="111">
        <f>'AUTO CALCULATION SHEET (2)'!BZ19</f>
        <v>4610.79</v>
      </c>
      <c r="AB20" s="112">
        <f>Z20+AA20</f>
        <v>64689.79</v>
      </c>
      <c r="AC20" s="111">
        <f>T20-AB20</f>
        <v>22478.195729999985</v>
      </c>
      <c r="AD20" s="112">
        <f>ROUND((AC20/AB20)*100,2)</f>
        <v>34.75</v>
      </c>
      <c r="AE20" s="111"/>
      <c r="AF20" s="112">
        <v>2</v>
      </c>
      <c r="AG20" s="111">
        <v>1</v>
      </c>
      <c r="AH20" s="113">
        <f>AD20-AE20-AF20-AG20</f>
        <v>31.75</v>
      </c>
    </row>
    <row r="21" spans="1:34" ht="34.5" customHeight="1" x14ac:dyDescent="0.2">
      <c r="A21" s="98" t="str">
        <f>A14</f>
        <v>4 CORE X 25 SQ. MM. AL/ARD - STRIP (PVC)</v>
      </c>
      <c r="B21" s="99"/>
      <c r="C21" s="100"/>
      <c r="D21" s="123">
        <v>45274</v>
      </c>
      <c r="E21" s="128">
        <v>202884.87</v>
      </c>
      <c r="F21" s="101">
        <v>150825</v>
      </c>
      <c r="G21" s="102">
        <v>78250</v>
      </c>
      <c r="H21" s="122">
        <f>$B$1</f>
        <v>45200</v>
      </c>
      <c r="I21" s="101">
        <v>211416</v>
      </c>
      <c r="J21" s="101">
        <v>154575</v>
      </c>
      <c r="K21" s="102">
        <v>80250</v>
      </c>
      <c r="L21" s="103">
        <v>0.29199999999999998</v>
      </c>
      <c r="M21" s="104">
        <v>0.46600000000000003</v>
      </c>
      <c r="N21" s="105">
        <v>0.38200000000000001</v>
      </c>
      <c r="O21" s="106">
        <f>B14</f>
        <v>156469.48772</v>
      </c>
      <c r="P21" s="107">
        <f>(L21*(E21-I21))</f>
        <v>-2491.0899600000012</v>
      </c>
      <c r="Q21" s="108">
        <f>M21*(F21-J21)</f>
        <v>-1747.5</v>
      </c>
      <c r="R21" s="108">
        <f>N21*(G21-K21)</f>
        <v>-764</v>
      </c>
      <c r="S21" s="124">
        <f>P21+Q21+R21</f>
        <v>-5002.5899600000012</v>
      </c>
      <c r="T21" s="109">
        <f>O21+S21</f>
        <v>151466.89775999999</v>
      </c>
      <c r="U21" s="110">
        <f>'AUTO CALCULATION SHEET (2)'!N20</f>
        <v>270</v>
      </c>
      <c r="V21" s="111">
        <f>'AUTO CALCULATION SHEET (2)'!AH20</f>
        <v>160</v>
      </c>
      <c r="W21" s="111">
        <f>'AUTO CALCULATION SHEET (2)'!AO20</f>
        <v>47</v>
      </c>
      <c r="X21" s="111">
        <f>'AUTO CALCULATION SHEET (2)'!AX20</f>
        <v>372</v>
      </c>
      <c r="Y21" s="111">
        <f>'AUTO CALCULATION SHEET (2)'!BI20</f>
        <v>177</v>
      </c>
      <c r="Z21" s="112">
        <f>SUMPRODUCT(U21:Y21,$U$19:$Y$19)</f>
        <v>108094</v>
      </c>
      <c r="AA21" s="111">
        <f>'AUTO CALCULATION SHEET (2)'!BZ20</f>
        <v>5151.4799999999996</v>
      </c>
      <c r="AB21" s="112">
        <f>Z21+AA21</f>
        <v>113245.48</v>
      </c>
      <c r="AC21" s="111">
        <f>T21-AB21</f>
        <v>38221.417759999997</v>
      </c>
      <c r="AD21" s="112">
        <f>ROUND((AC21/AB21)*100,2)</f>
        <v>33.75</v>
      </c>
      <c r="AE21" s="111"/>
      <c r="AF21" s="112">
        <v>2</v>
      </c>
      <c r="AG21" s="111">
        <v>1</v>
      </c>
      <c r="AH21" s="113">
        <f>AD21-AE21-AF21-AG21</f>
        <v>30.75</v>
      </c>
    </row>
    <row r="22" spans="1:34" s="119" customFormat="1" ht="21" customHeight="1" thickBot="1" x14ac:dyDescent="0.25">
      <c r="A22" s="114"/>
      <c r="B22" s="169"/>
      <c r="C22" s="170"/>
      <c r="D22" s="170"/>
      <c r="E22" s="170"/>
      <c r="F22" s="170"/>
      <c r="G22" s="170"/>
      <c r="H22" s="170"/>
      <c r="I22" s="170"/>
      <c r="J22" s="170"/>
      <c r="K22" s="170"/>
      <c r="L22" s="170"/>
      <c r="M22" s="170"/>
      <c r="N22" s="170"/>
      <c r="O22" s="170"/>
      <c r="P22" s="170"/>
      <c r="Q22" s="170"/>
      <c r="R22" s="170"/>
      <c r="S22" s="170"/>
      <c r="T22" s="171"/>
      <c r="U22" s="115"/>
      <c r="V22" s="116"/>
      <c r="W22" s="116"/>
      <c r="X22" s="116"/>
      <c r="Y22" s="116"/>
      <c r="Z22" s="117"/>
      <c r="AA22" s="116"/>
      <c r="AB22" s="117"/>
      <c r="AC22" s="116"/>
      <c r="AD22" s="117"/>
      <c r="AE22" s="116"/>
      <c r="AF22" s="116"/>
      <c r="AG22" s="116"/>
      <c r="AH22" s="118"/>
    </row>
    <row r="23" spans="1:34" s="119" customFormat="1" x14ac:dyDescent="0.2">
      <c r="A23" s="69"/>
      <c r="B23" s="69"/>
      <c r="C23" s="69"/>
      <c r="D23" s="69"/>
      <c r="E23" s="120"/>
      <c r="F23" s="69"/>
      <c r="G23" s="69"/>
      <c r="H23" s="69"/>
      <c r="I23" s="69"/>
      <c r="J23" s="69"/>
      <c r="U23" s="121"/>
      <c r="V23" s="121"/>
      <c r="W23" s="121"/>
      <c r="X23" s="121"/>
      <c r="Y23" s="121"/>
      <c r="Z23" s="121"/>
      <c r="AA23" s="121"/>
      <c r="AB23" s="121"/>
      <c r="AC23" s="121"/>
      <c r="AD23" s="121"/>
      <c r="AE23" s="121"/>
      <c r="AF23" s="121"/>
      <c r="AG23" s="121"/>
      <c r="AH23" s="121"/>
    </row>
  </sheetData>
  <mergeCells count="30">
    <mergeCell ref="B19:T19"/>
    <mergeCell ref="B22:T22"/>
    <mergeCell ref="T16:T18"/>
    <mergeCell ref="U16:AH17"/>
    <mergeCell ref="D17:D18"/>
    <mergeCell ref="E17:E18"/>
    <mergeCell ref="F17:F18"/>
    <mergeCell ref="G17:G18"/>
    <mergeCell ref="H17:H18"/>
    <mergeCell ref="I17:I18"/>
    <mergeCell ref="J17:J18"/>
    <mergeCell ref="K17:K18"/>
    <mergeCell ref="L16:N17"/>
    <mergeCell ref="O16:O18"/>
    <mergeCell ref="P16:P18"/>
    <mergeCell ref="Q16:Q18"/>
    <mergeCell ref="R16:R18"/>
    <mergeCell ref="S16:S18"/>
    <mergeCell ref="A10:B10"/>
    <mergeCell ref="A16:A18"/>
    <mergeCell ref="B16:B18"/>
    <mergeCell ref="C16:C18"/>
    <mergeCell ref="D16:G16"/>
    <mergeCell ref="H16:K16"/>
    <mergeCell ref="S6:T6"/>
    <mergeCell ref="B1:J1"/>
    <mergeCell ref="B2:J2"/>
    <mergeCell ref="A3:J3"/>
    <mergeCell ref="A4:J5"/>
    <mergeCell ref="D6:G6"/>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AUTO CALCULATION SHEET (2)</vt:lpstr>
      <vt:lpstr>PV ON IS</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Puja_Lapy</dc:creator>
  <cp:lastModifiedBy>DIPANKAR ROY</cp:lastModifiedBy>
  <dcterms:created xsi:type="dcterms:W3CDTF">2021-04-03T12:13:55Z</dcterms:created>
  <dcterms:modified xsi:type="dcterms:W3CDTF">2023-12-15T12:32:56Z</dcterms:modified>
</cp:coreProperties>
</file>