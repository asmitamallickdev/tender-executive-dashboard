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01_JANUARY 2025\TPWODL-2CX6-15073\"/>
    </mc:Choice>
  </mc:AlternateContent>
  <xr:revisionPtr revIDLastSave="0" documentId="13_ncr:1_{6FBF1228-3F75-4D4B-943D-6963DF768281}" xr6:coauthVersionLast="47" xr6:coauthVersionMax="47" xr10:uidLastSave="{00000000-0000-0000-0000-000000000000}"/>
  <bookViews>
    <workbookView xWindow="-420" yWindow="7815" windowWidth="28800" windowHeight="9660" firstSheet="1" activeTab="1" xr2:uid="{00000000-000D-0000-FFFF-FFFF00000000}"/>
  </bookViews>
  <sheets>
    <sheet name="Sheet1" sheetId="1" state="hidden" r:id="rId1"/>
    <sheet name="AUTO CALCULATION SHEET (2)" sheetId="4" r:id="rId2"/>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3" i="4" l="1"/>
  <c r="H33" i="4"/>
  <c r="D33" i="4"/>
  <c r="C33" i="4"/>
  <c r="B33" i="4"/>
  <c r="A33" i="4"/>
  <c r="BF22" i="4"/>
  <c r="BA22" i="4"/>
  <c r="AR22" i="4"/>
  <c r="AF22" i="4"/>
  <c r="BF18" i="4" l="1"/>
  <c r="F22" i="4"/>
  <c r="J22" i="4" s="1"/>
  <c r="E22" i="4"/>
  <c r="K22" i="4" l="1"/>
  <c r="M22" i="4" s="1"/>
  <c r="BY19" i="4"/>
  <c r="BY17" i="4"/>
  <c r="L22" i="4" l="1"/>
  <c r="F19" i="4"/>
  <c r="F33" i="4" s="1"/>
  <c r="BX19" i="4" l="1"/>
  <c r="BW19" i="4"/>
  <c r="BX17" i="4"/>
  <c r="BW17" i="4"/>
  <c r="BV19" i="4"/>
  <c r="BV17" i="4"/>
  <c r="B17" i="4"/>
  <c r="T18" i="4" l="1"/>
  <c r="S18" i="4"/>
  <c r="AB19" i="4" l="1"/>
  <c r="AA19" i="4"/>
  <c r="Z19" i="4"/>
  <c r="Y19" i="4"/>
  <c r="X19" i="4"/>
  <c r="W19" i="4"/>
  <c r="V19" i="4"/>
  <c r="U19" i="4"/>
  <c r="T19" i="4"/>
  <c r="S19" i="4"/>
  <c r="BU19" i="4"/>
  <c r="BS19" i="4"/>
  <c r="BR19" i="4"/>
  <c r="BQ19" i="4"/>
  <c r="BP19" i="4"/>
  <c r="BO19" i="4"/>
  <c r="BN19" i="4"/>
  <c r="BS18" i="4"/>
  <c r="BU18" i="4"/>
  <c r="BR18" i="4"/>
  <c r="BQ18" i="4"/>
  <c r="BP18" i="4"/>
  <c r="BN18" i="4"/>
  <c r="BO18" i="4"/>
  <c r="BM18" i="4"/>
  <c r="BM19" i="4"/>
  <c r="BL19" i="4"/>
  <c r="BK19" i="4"/>
  <c r="BJ19" i="4"/>
  <c r="BI19" i="4"/>
  <c r="BH19" i="4"/>
  <c r="BG19" i="4"/>
  <c r="BE19" i="4"/>
  <c r="BD19" i="4"/>
  <c r="BC19" i="4"/>
  <c r="BL18" i="4"/>
  <c r="BK18" i="4"/>
  <c r="BJ18" i="4"/>
  <c r="BI18" i="4"/>
  <c r="BH18" i="4"/>
  <c r="BG18" i="4"/>
  <c r="BE18" i="4"/>
  <c r="BD18" i="4"/>
  <c r="BC18" i="4"/>
  <c r="BB19" i="4"/>
  <c r="AZ19" i="4"/>
  <c r="AY19" i="4"/>
  <c r="AX19" i="4"/>
  <c r="AW19" i="4"/>
  <c r="AV19" i="4"/>
  <c r="AU19" i="4"/>
  <c r="AT19" i="4"/>
  <c r="AS19" i="4"/>
  <c r="BB18" i="4"/>
  <c r="AZ18" i="4"/>
  <c r="AY18" i="4"/>
  <c r="AX18" i="4"/>
  <c r="AW18" i="4"/>
  <c r="AV18" i="4"/>
  <c r="AU18" i="4"/>
  <c r="AT18" i="4"/>
  <c r="AS18" i="4"/>
  <c r="AR18" i="4"/>
  <c r="AQ19" i="4"/>
  <c r="AP19" i="4"/>
  <c r="AO19" i="4"/>
  <c r="AN19" i="4"/>
  <c r="AM19" i="4"/>
  <c r="AL19" i="4"/>
  <c r="AQ18" i="4"/>
  <c r="AP18" i="4"/>
  <c r="AO18" i="4"/>
  <c r="AN18" i="4"/>
  <c r="AM18" i="4"/>
  <c r="AL18" i="4"/>
  <c r="AK18" i="4"/>
  <c r="AK19" i="4"/>
  <c r="AJ19" i="4"/>
  <c r="AI19" i="4"/>
  <c r="AH19" i="4"/>
  <c r="AG19" i="4"/>
  <c r="AE19" i="4"/>
  <c r="AJ18" i="4"/>
  <c r="AI18" i="4"/>
  <c r="AH18" i="4"/>
  <c r="AE18" i="4"/>
  <c r="AG18" i="4"/>
  <c r="AF18" i="4"/>
  <c r="AD18" i="4"/>
  <c r="AD19" i="4"/>
  <c r="AC19" i="4"/>
  <c r="AC18" i="4"/>
  <c r="AB18" i="4" l="1"/>
  <c r="AA18" i="4"/>
  <c r="Z18" i="4"/>
  <c r="Y18" i="4"/>
  <c r="X18" i="4"/>
  <c r="W18" i="4"/>
  <c r="V18" i="4"/>
  <c r="U18" i="4"/>
  <c r="R18" i="4" l="1"/>
  <c r="Q18" i="4"/>
  <c r="P18" i="4"/>
  <c r="O18" i="4"/>
  <c r="R19" i="4"/>
  <c r="Q19" i="4"/>
  <c r="P19" i="4"/>
  <c r="O19" i="4"/>
  <c r="N16" i="4"/>
  <c r="L19" i="4"/>
  <c r="K19" i="4"/>
  <c r="H19" i="4"/>
  <c r="CB19" i="4"/>
  <c r="BZ19" i="4"/>
  <c r="D19" i="4"/>
  <c r="C19" i="4"/>
  <c r="A19" i="4"/>
  <c r="CA19" i="4" l="1"/>
  <c r="CC19" i="4" l="1"/>
  <c r="CE19" i="4"/>
  <c r="CG19" i="4"/>
  <c r="CH19" i="4" l="1"/>
  <c r="CJ19" i="4" l="1"/>
  <c r="CL19" i="4"/>
  <c r="E19" i="4" l="1"/>
  <c r="E33" i="4" s="1"/>
  <c r="G33" i="4" s="1"/>
  <c r="I33" i="4" l="1"/>
  <c r="J33" i="4" s="1"/>
  <c r="M33" i="4" s="1"/>
  <c r="G19" i="4"/>
  <c r="I19" i="4" s="1"/>
  <c r="J19" i="4" s="1"/>
  <c r="M19" i="4" s="1"/>
  <c r="M3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EB93088B-1AD3-4314-A708-584350C26DC2}">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<sst xmlns="http://schemas.openxmlformats.org/spreadsheetml/2006/main" count="271" uniqueCount="223">
  <si>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</si>
  <si>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</si>
  <si>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</si>
  <si>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</si>
  <si>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</si>
  <si>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</si>
  <si>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</si>
  <si>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</si>
  <si>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</si>
  <si>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</si>
  <si>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</si>
  <si>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</si>
  <si>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</si>
  <si>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</si>
  <si>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</si>
  <si>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</si>
  <si>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</si>
  <si>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</si>
  <si>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</si>
  <si>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</si>
  <si>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</si>
  <si>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</si>
  <si>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</si>
  <si>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</si>
  <si>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</si>
  <si>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</si>
  <si>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</si>
  <si>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</si>
  <si>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</si>
  <si>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</si>
  <si>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</si>
  <si>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</si>
  <si>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</si>
  <si>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</si>
  <si>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</si>
  <si>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</si>
  <si>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</si>
  <si>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</si>
  <si>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</si>
  <si>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</si>
  <si>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</si>
  <si>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</si>
  <si>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</si>
  <si>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</si>
  <si>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</si>
  <si>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</si>
  <si>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</si>
  <si>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</si>
  <si>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</si>
  <si>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</si>
  <si>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</si>
  <si>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</si>
  <si>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</si>
  <si>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</si>
  <si>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</si>
  <si>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</si>
  <si>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</si>
  <si>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</si>
  <si>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</si>
  <si>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</si>
  <si>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</si>
  <si>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</si>
  <si>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</si>
  <si>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</si>
  <si>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</si>
  <si>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</si>
  <si>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</si>
  <si>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</si>
  <si>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</si>
  <si>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</si>
  <si>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</si>
  <si>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</si>
  <si>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</si>
  <si>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</si>
  <si>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</si>
  <si>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</si>
  <si>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</si>
  <si>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</si>
  <si>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</si>
  <si>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</si>
  <si>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</si>
  <si>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</si>
  <si>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</si>
  <si>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</si>
  <si>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</si>
  <si>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</si>
  <si>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</si>
  <si>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</si>
  <si>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</si>
  <si>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</si>
  <si>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</si>
  <si>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</si>
  <si>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</si>
  <si>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</si>
  <si>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</si>
  <si>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</si>
  <si>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</si>
  <si>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</si>
  <si>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</si>
  <si>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</si>
  <si>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</si>
  <si>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</si>
  <si>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Enquiry for Supply of 2Cx6 Sqmm AL Conductor GI wire armoured XLPE insulated Cable at Various store locations at TPWODL.</t>
  </si>
  <si>
    <t xml:space="preserve">Within 60 days from the date of PO or GTP approval whichever is later. </t>
  </si>
  <si>
    <t xml:space="preserve">100% within 60 days from the date of receipt of material in acceptable condition Payment shall be made within 60 days of the submission of invoices in the name of TP Western Odisha Distribution Ltd. to Business associate portal (SIGITEK) along with requisite documents. </t>
  </si>
  <si>
    <t xml:space="preserve">Wooden drums shall be free from sharp edges and visual defects. </t>
  </si>
  <si>
    <t xml:space="preserve">Cable length on one drum shall be: 
(a) 4 Core Cable – 95 sq.mm. to 300 sq.mm. – 500 meters with + 5% tolerance 
(b) 4 Core Cable – 16 sq.mm. to 50 sq.mm. – 1000 meters with + 5% tolerance  
(c) 2 Core &amp; 1 Core Cables – 1000 meters with + 5% tolerance (as per PO terms and conditions) </t>
  </si>
  <si>
    <t xml:space="preserve">Bids shall remain valid for 180 days from the due date of submission of the bid. </t>
  </si>
  <si>
    <t xml:space="preserve">Firm for the entire contract period. </t>
  </si>
  <si>
    <t>TPWODL reserves right to conduct Reverse Action between the qualified BAs.</t>
  </si>
  <si>
    <t>TPWODL/AK/SU/LT/FY25/101</t>
  </si>
  <si>
    <t>TP WESTERN ODISHA DISTRIBUTION LIMITED</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</si>
  <si>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</si>
  <si>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</si>
  <si>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</si>
  <si>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</si>
  <si>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</si>
  <si>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</si>
  <si>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</si>
  <si>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</si>
  <si>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</si>
  <si>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</si>
  <si>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</si>
  <si>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</si>
  <si>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</si>
  <si>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</si>
  <si>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</si>
  <si>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</si>
  <si>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</si>
  <si>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</si>
  <si>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</si>
  <si>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</si>
  <si>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</si>
  <si>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</si>
  <si>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</si>
  <si>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</si>
  <si>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</si>
  <si>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</si>
  <si>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</si>
  <si>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</si>
  <si>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</si>
  <si>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</si>
  <si>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</si>
  <si>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</si>
  <si>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</si>
  <si>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</si>
  <si>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</si>
  <si>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</si>
  <si>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</si>
  <si>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</si>
  <si>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</si>
  <si>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</si>
  <si>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</si>
  <si>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</si>
  <si>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</si>
  <si>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</si>
  <si>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</si>
  <si>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</si>
  <si>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</si>
  <si>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</si>
  <si>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</si>
  <si>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</si>
  <si>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</si>
  <si>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</si>
  <si>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</si>
  <si>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</si>
  <si>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</si>
  <si>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</si>
  <si>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</si>
  <si>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</si>
  <si>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</si>
  <si>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</si>
  <si>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</si>
  <si>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</si>
  <si>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</si>
  <si>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</si>
  <si>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</si>
  <si>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</si>
  <si>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</si>
  <si>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</si>
  <si>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</si>
  <si>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</si>
  <si>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</si>
  <si>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</si>
  <si>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</si>
  <si>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</si>
  <si>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</si>
  <si>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</si>
  <si>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</si>
  <si>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</si>
  <si>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</si>
  <si>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ENQ-15073-22-23</t>
  </si>
  <si>
    <t>FA0900020</t>
  </si>
  <si>
    <t>2 CORE X 6 SQ. MM. AL/ARD - WIRE (XLPE)</t>
  </si>
  <si>
    <t>WOOD</t>
  </si>
  <si>
    <t>KMS</t>
  </si>
  <si>
    <t>MD0100066</t>
  </si>
  <si>
    <t>DRUM - 40 X 15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</si>
  <si>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</si>
  <si>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</si>
  <si>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</si>
  <si>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</si>
  <si>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</si>
  <si>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</si>
  <si>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</si>
  <si>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</si>
  <si>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</si>
  <si>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</si>
  <si>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Consider heavy coated mass of zinc rate for armour</t>
  </si>
  <si>
    <t>Rate of Al- Balco, Hindalco, Nalco,VEDANTA.</t>
  </si>
  <si>
    <t xml:space="preserve">Rate of XLPE- DOW, BOREALIS, HANWA, KALPANA, KLJ. </t>
  </si>
  <si>
    <t>Rate of PVC- Shakun, K Kalpana, KLJ, DCM SHRIRAM.</t>
  </si>
  <si>
    <t>Rate of Armour- TATA, R Jindal, Sail Bansal.</t>
  </si>
  <si>
    <t>Rate of outer sheath extra for UV resistance  RS-5/kg</t>
  </si>
  <si>
    <t>CABLE WEIGHT KG/KM</t>
  </si>
  <si>
    <t>DRUM WEIGHT</t>
  </si>
  <si>
    <t>CABLE+DRUM WEIGHT</t>
  </si>
  <si>
    <t>TRUCK WEIGHT</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</si>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</sst>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1"/>
      <color rgb="FF222222"/>
      <name val="Calibri"/>
      <family val="2"/>
      <scheme val="minor"/>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86">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0" fontId="2"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0" borderId="1" xfId="0" applyFont="1" applyBorder="1" applyAlignment="1">
      <alignment vertical="center"/>
    </xf>
    <xf numFmtId="0" fontId="15" fillId="0" borderId="1" xfId="0" applyFont="1" applyBorder="1" applyAlignment="1">
      <alignment vertical="center"/>
    </xf>
    <xf numFmtId="43" fontId="0" fillId="0" borderId="1" xfId="0" applyNumberFormat="1" applyBorder="1" applyAlignment="1">
      <alignment wrapText="1"/>
    </xf>
    <xf numFmtId="43" fontId="0" fillId="0" borderId="0" xfId="0" applyNumberFormat="1"/>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14" fontId="10" fillId="0" borderId="1" xfId="0" applyNumberFormat="1" applyFont="1" applyBorder="1" applyAlignment="1">
      <alignment horizontal="left" vertical="top" wrapText="1"/>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activeCell="B1"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99</v>
      </c>
      <c r="C1" t="s">
        <v>1</v>
      </c>
      <c r="D1" t="s">
        <v>2</v>
      </c>
      <c r="E1" t="s">
        <v>112</v>
      </c>
      <c r="F1" t="s">
        <v>113</v>
      </c>
      <c r="G1" t="s">
        <v>114</v>
      </c>
      <c r="H1" t="s">
        <v>4</v>
      </c>
      <c r="I1" t="s">
        <v>115</v>
      </c>
      <c r="J1" t="s">
        <v>5</v>
      </c>
      <c r="K1" t="s">
        <v>116</v>
      </c>
      <c r="L1" t="s">
        <v>117</v>
      </c>
      <c r="M1" t="s">
        <v>118</v>
      </c>
      <c r="N1" t="s">
        <v>6</v>
      </c>
      <c r="O1" t="s">
        <v>119</v>
      </c>
      <c r="P1" t="s">
        <v>120</v>
      </c>
      <c r="Q1" t="s">
        <v>121</v>
      </c>
      <c r="R1" t="s">
        <v>122</v>
      </c>
      <c r="S1" t="s">
        <v>123</v>
      </c>
      <c r="T1" t="s">
        <v>124</v>
      </c>
      <c r="U1" t="s">
        <v>125</v>
      </c>
      <c r="V1" t="s">
        <v>8</v>
      </c>
      <c r="W1" t="s">
        <v>126</v>
      </c>
      <c r="X1" t="s">
        <v>127</v>
      </c>
      <c r="Y1" t="s">
        <v>128</v>
      </c>
      <c r="Z1" t="s">
        <v>129</v>
      </c>
      <c r="AA1" t="s">
        <v>130</v>
      </c>
      <c r="AB1" t="s">
        <v>131</v>
      </c>
      <c r="AC1" t="s">
        <v>132</v>
      </c>
      <c r="AD1" t="s">
        <v>10</v>
      </c>
      <c r="AE1" t="s">
        <v>133</v>
      </c>
      <c r="AF1" t="s">
        <v>134</v>
      </c>
      <c r="AG1" t="s">
        <v>135</v>
      </c>
      <c r="AH1" t="s">
        <v>11</v>
      </c>
      <c r="AI1" t="s">
        <v>136</v>
      </c>
      <c r="AJ1" t="s">
        <v>137</v>
      </c>
      <c r="AK1" t="s">
        <v>138</v>
      </c>
      <c r="AL1" t="s">
        <v>12</v>
      </c>
      <c r="AM1" t="s">
        <v>139</v>
      </c>
      <c r="AN1" t="s">
        <v>140</v>
      </c>
      <c r="AO1" t="s">
        <v>141</v>
      </c>
      <c r="AP1" t="s">
        <v>142</v>
      </c>
      <c r="AQ1" t="s">
        <v>143</v>
      </c>
      <c r="AR1" t="s">
        <v>144</v>
      </c>
      <c r="AS1" t="s">
        <v>145</v>
      </c>
      <c r="AT1" t="s">
        <v>53</v>
      </c>
      <c r="AU1" t="s">
        <v>146</v>
      </c>
      <c r="AV1" t="s">
        <v>147</v>
      </c>
      <c r="AW1" t="s">
        <v>148</v>
      </c>
      <c r="AX1" t="s">
        <v>149</v>
      </c>
      <c r="AY1" t="s">
        <v>150</v>
      </c>
      <c r="AZ1" t="s">
        <v>151</v>
      </c>
      <c r="BA1" t="s">
        <v>152</v>
      </c>
      <c r="BB1" t="s">
        <v>153</v>
      </c>
      <c r="BC1" t="s">
        <v>154</v>
      </c>
      <c r="BD1" t="s">
        <v>155</v>
      </c>
      <c r="BE1" t="s">
        <v>156</v>
      </c>
      <c r="BF1" t="s">
        <v>157</v>
      </c>
      <c r="BG1" t="s">
        <v>158</v>
      </c>
      <c r="BH1" t="s">
        <v>159</v>
      </c>
      <c r="BI1" t="s">
        <v>160</v>
      </c>
      <c r="BJ1" t="s">
        <v>161</v>
      </c>
      <c r="BK1" t="s">
        <v>162</v>
      </c>
      <c r="BL1" t="s">
        <v>163</v>
      </c>
      <c r="BM1" t="s">
        <v>164</v>
      </c>
      <c r="BN1" t="s">
        <v>165</v>
      </c>
      <c r="BO1" t="s">
        <v>166</v>
      </c>
      <c r="BP1" t="s">
        <v>167</v>
      </c>
      <c r="BQ1" t="s">
        <v>168</v>
      </c>
      <c r="BR1" t="s">
        <v>169</v>
      </c>
      <c r="BS1" t="s">
        <v>170</v>
      </c>
      <c r="BT1" t="s">
        <v>171</v>
      </c>
      <c r="BU1" t="s">
        <v>172</v>
      </c>
      <c r="BV1" t="s">
        <v>21</v>
      </c>
      <c r="BW1" t="s">
        <v>173</v>
      </c>
      <c r="BX1" t="s">
        <v>174</v>
      </c>
      <c r="BY1" t="s">
        <v>175</v>
      </c>
      <c r="BZ1" t="s">
        <v>176</v>
      </c>
      <c r="CA1" t="s">
        <v>177</v>
      </c>
      <c r="CB1" t="s">
        <v>24</v>
      </c>
      <c r="CC1" t="s">
        <v>178</v>
      </c>
      <c r="CD1" t="s">
        <v>25</v>
      </c>
      <c r="CE1" t="s">
        <v>179</v>
      </c>
      <c r="CF1" t="s">
        <v>27</v>
      </c>
      <c r="CG1" t="s">
        <v>180</v>
      </c>
      <c r="CH1" t="s">
        <v>181</v>
      </c>
      <c r="CI1" t="s">
        <v>30</v>
      </c>
      <c r="CJ1" t="s">
        <v>182</v>
      </c>
      <c r="CK1" t="s">
        <v>32</v>
      </c>
      <c r="CL1" t="s">
        <v>183</v>
      </c>
      <c r="CM1" t="s">
        <v>184</v>
      </c>
      <c r="CN1" t="s">
        <v>185</v>
      </c>
      <c r="CO1" t="s">
        <v>186</v>
      </c>
      <c r="CP1" t="s">
        <v>37</v>
      </c>
      <c r="CQ1" t="s">
        <v>187</v>
      </c>
      <c r="CR1" t="s">
        <v>188</v>
      </c>
      <c r="CS1" t="s">
        <v>40</v>
      </c>
      <c r="CT1" t="s">
        <v>41</v>
      </c>
      <c r="CU1" t="s">
        <v>189</v>
      </c>
      <c r="CV1" t="s">
        <v>100</v>
      </c>
      <c r="CW1" t="s">
        <v>101</v>
      </c>
      <c r="CX1" t="s">
        <v>190</v>
      </c>
    </row>
    <row r="2" spans="1:102" x14ac:dyDescent="0.25">
      <c r="A2" t="s">
        <v>191</v>
      </c>
      <c r="B2" s="55">
        <v>45681</v>
      </c>
      <c r="C2" t="s">
        <v>192</v>
      </c>
      <c r="D2" t="s">
        <v>193</v>
      </c>
      <c r="E2" t="s">
        <v>194</v>
      </c>
      <c r="H2">
        <v>0</v>
      </c>
      <c r="J2" t="s">
        <v>44</v>
      </c>
      <c r="K2">
        <v>266.2</v>
      </c>
      <c r="L2">
        <v>32</v>
      </c>
      <c r="M2">
        <v>8518.4</v>
      </c>
      <c r="P2">
        <v>0</v>
      </c>
      <c r="T2">
        <v>0</v>
      </c>
      <c r="V2" t="s">
        <v>50</v>
      </c>
      <c r="W2">
        <v>114</v>
      </c>
      <c r="X2">
        <v>22</v>
      </c>
      <c r="Y2" s="56">
        <v>2508</v>
      </c>
      <c r="AB2">
        <v>0</v>
      </c>
      <c r="AD2" t="s">
        <v>80</v>
      </c>
      <c r="AE2">
        <v>88</v>
      </c>
      <c r="AF2">
        <v>59</v>
      </c>
      <c r="AG2">
        <v>5192</v>
      </c>
      <c r="AH2" t="s">
        <v>84</v>
      </c>
      <c r="AI2">
        <v>86.75</v>
      </c>
      <c r="AJ2">
        <v>289</v>
      </c>
      <c r="AK2">
        <v>25070.75</v>
      </c>
      <c r="AL2" t="s">
        <v>64</v>
      </c>
      <c r="AM2">
        <v>87</v>
      </c>
      <c r="AN2">
        <v>112</v>
      </c>
      <c r="AO2">
        <v>9744</v>
      </c>
      <c r="AR2">
        <v>0</v>
      </c>
      <c r="AV2">
        <v>0</v>
      </c>
      <c r="AZ2">
        <v>0</v>
      </c>
      <c r="BD2">
        <v>0</v>
      </c>
      <c r="BH2">
        <v>0</v>
      </c>
      <c r="BL2">
        <v>0</v>
      </c>
      <c r="BP2">
        <v>0</v>
      </c>
      <c r="BT2">
        <v>0</v>
      </c>
      <c r="BX2">
        <v>0</v>
      </c>
      <c r="BZ2">
        <v>2550</v>
      </c>
      <c r="CA2">
        <v>53583.15</v>
      </c>
      <c r="CH2">
        <v>53583.15</v>
      </c>
      <c r="CM2">
        <v>53583.15</v>
      </c>
      <c r="CO2">
        <v>53583.15</v>
      </c>
      <c r="CP2" s="57">
        <v>0.18</v>
      </c>
      <c r="CQ2">
        <v>9644.9699999999993</v>
      </c>
      <c r="CR2">
        <v>63228.12</v>
      </c>
      <c r="CS2">
        <v>250</v>
      </c>
      <c r="CT2" t="s">
        <v>195</v>
      </c>
      <c r="CU2" s="58">
        <v>15807029</v>
      </c>
      <c r="CV2" t="s">
        <v>196</v>
      </c>
      <c r="CW2" t="s">
        <v>197</v>
      </c>
      <c r="CX2">
        <v>1000</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34"/>
  <sheetViews>
    <sheetView tabSelected="1" topLeftCell="A15" workbookViewId="0">
      <selection activeCell="BT18" sqref="BT18"/>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31" width="7.85546875" style="30" hidden="1" customWidth="1"/>
    <col min="32" max="32" width="7.85546875" style="30" customWidth="1"/>
    <col min="33" max="43" width="7.85546875" style="30" hidden="1" customWidth="1"/>
    <col min="44" max="44" width="7.85546875" style="30" customWidth="1"/>
    <col min="45" max="52" width="7.85546875" style="30" hidden="1" customWidth="1"/>
    <col min="53" max="53" width="7.85546875" style="30" customWidth="1"/>
    <col min="54" max="57" width="7.85546875" style="30" hidden="1" customWidth="1"/>
    <col min="58" max="58" width="7.85546875" style="30" customWidth="1"/>
    <col min="59" max="71" width="7.85546875" style="30" hidden="1" customWidth="1"/>
    <col min="72" max="72" width="7.85546875" style="30" customWidth="1"/>
    <col min="73" max="73" width="7.85546875" style="30" hidden="1" customWidth="1"/>
    <col min="74" max="74" width="7.85546875" style="30" customWidth="1"/>
    <col min="75" max="75" width="11.85546875" style="30" customWidth="1"/>
    <col min="76" max="76" width="19.85546875" style="30" customWidth="1"/>
    <col min="77" max="77" width="11.57031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7.140625" style="14" bestFit="1" customWidth="1"/>
    <col min="83" max="83" width="12" style="4" bestFit="1" customWidth="1"/>
    <col min="84" max="84" width="6.42578125" style="8" bestFit="1" customWidth="1"/>
    <col min="85" max="85" width="12.28515625" style="4" bestFit="1" customWidth="1"/>
    <col min="86" max="86" width="13.85546875" style="4" bestFit="1" customWidth="1"/>
    <col min="87" max="87" width="6.140625" style="8" bestFit="1" customWidth="1"/>
    <col min="88" max="88" width="11.5703125" customWidth="1"/>
    <col min="89" max="89" width="6.140625" style="8" bestFit="1" customWidth="1"/>
    <col min="90" max="90" width="9.140625" customWidth="1"/>
  </cols>
  <sheetData>
    <row r="1" spans="1:89" s="44" customFormat="1" ht="15.75" thickBot="1" x14ac:dyDescent="0.3"/>
    <row r="2" spans="1:89" s="44" customFormat="1" ht="23.25" thickBot="1" x14ac:dyDescent="0.5">
      <c r="A2" s="70" t="s">
        <v>111</v>
      </c>
      <c r="B2" s="71"/>
      <c r="C2" s="71"/>
      <c r="D2" s="71"/>
      <c r="E2" s="71"/>
      <c r="F2" s="71"/>
      <c r="G2" s="71"/>
      <c r="H2" s="71"/>
      <c r="I2" s="71"/>
      <c r="J2" s="71"/>
      <c r="K2" s="71"/>
      <c r="L2" s="71"/>
      <c r="M2" s="71"/>
      <c r="N2" s="71"/>
      <c r="O2" s="71"/>
      <c r="P2" s="71"/>
      <c r="Q2" s="71"/>
      <c r="R2" s="72"/>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89</v>
      </c>
      <c r="B4" s="80" t="s">
        <v>110</v>
      </c>
      <c r="C4" s="80"/>
      <c r="D4" s="80"/>
      <c r="E4" s="80"/>
      <c r="F4" s="80"/>
      <c r="G4" s="80"/>
      <c r="H4" s="80"/>
      <c r="I4" s="80"/>
      <c r="J4" s="80"/>
      <c r="K4" s="80"/>
      <c r="L4" s="80"/>
      <c r="M4" s="80"/>
      <c r="N4" s="80"/>
      <c r="O4" s="80"/>
      <c r="P4" s="80"/>
      <c r="Q4" s="80"/>
      <c r="R4" s="80"/>
      <c r="S4"/>
    </row>
    <row r="5" spans="1:89" s="44" customFormat="1" ht="34.5" customHeight="1" x14ac:dyDescent="0.25">
      <c r="A5" s="45" t="s">
        <v>90</v>
      </c>
      <c r="B5" s="80" t="s">
        <v>102</v>
      </c>
      <c r="C5" s="80"/>
      <c r="D5" s="80"/>
      <c r="E5" s="80"/>
      <c r="F5" s="80"/>
      <c r="G5" s="80"/>
      <c r="H5" s="80"/>
      <c r="I5" s="80"/>
      <c r="J5" s="80"/>
      <c r="K5" s="80"/>
      <c r="L5" s="80"/>
      <c r="M5" s="80"/>
      <c r="N5" s="80"/>
      <c r="O5" s="80"/>
      <c r="P5" s="80"/>
      <c r="Q5" s="80"/>
      <c r="R5" s="80"/>
      <c r="S5"/>
    </row>
    <row r="6" spans="1:89" s="44" customFormat="1" ht="48" customHeight="1" x14ac:dyDescent="0.25">
      <c r="A6" s="46" t="s">
        <v>91</v>
      </c>
      <c r="B6" s="81">
        <v>45684</v>
      </c>
      <c r="C6" s="80"/>
      <c r="D6" s="80"/>
      <c r="E6" s="80"/>
      <c r="F6" s="80"/>
      <c r="G6" s="80"/>
      <c r="H6" s="80"/>
      <c r="I6" s="80"/>
      <c r="J6" s="80"/>
      <c r="K6" s="80"/>
      <c r="L6" s="80"/>
      <c r="M6" s="80"/>
      <c r="N6" s="80"/>
      <c r="O6" s="80"/>
      <c r="P6" s="80"/>
      <c r="Q6" s="80"/>
      <c r="R6" s="80"/>
      <c r="S6"/>
    </row>
    <row r="7" spans="1:89" s="44" customFormat="1" ht="30" x14ac:dyDescent="0.25">
      <c r="A7" s="46" t="s">
        <v>88</v>
      </c>
      <c r="B7" s="82" t="s">
        <v>109</v>
      </c>
      <c r="C7" s="80"/>
      <c r="D7" s="80"/>
      <c r="E7" s="80"/>
      <c r="F7" s="80"/>
      <c r="G7" s="80"/>
      <c r="H7" s="80"/>
      <c r="I7" s="80"/>
      <c r="J7" s="80"/>
      <c r="K7" s="80"/>
      <c r="L7" s="80"/>
      <c r="M7" s="80"/>
      <c r="N7" s="80"/>
      <c r="O7" s="80"/>
      <c r="P7" s="80"/>
      <c r="Q7" s="80"/>
      <c r="R7" s="80"/>
      <c r="S7"/>
    </row>
    <row r="8" spans="1:89" s="44" customFormat="1" ht="28.5" customHeight="1" x14ac:dyDescent="0.25">
      <c r="A8" s="46" t="s">
        <v>92</v>
      </c>
      <c r="B8" s="82" t="s">
        <v>108</v>
      </c>
      <c r="C8" s="82"/>
      <c r="D8" s="82"/>
      <c r="E8" s="82"/>
      <c r="F8" s="82"/>
      <c r="G8" s="82"/>
      <c r="H8" s="82"/>
      <c r="I8" s="82"/>
      <c r="J8" s="82"/>
      <c r="K8" s="82"/>
      <c r="L8" s="82"/>
      <c r="M8" s="82"/>
      <c r="N8" s="82"/>
      <c r="O8" s="82"/>
      <c r="P8" s="82"/>
      <c r="Q8" s="82"/>
      <c r="R8" s="82"/>
      <c r="S8"/>
    </row>
    <row r="9" spans="1:89" s="44" customFormat="1" ht="39.75" customHeight="1" x14ac:dyDescent="0.25">
      <c r="A9" s="46" t="s">
        <v>93</v>
      </c>
      <c r="B9" s="83" t="s">
        <v>107</v>
      </c>
      <c r="C9" s="84"/>
      <c r="D9" s="84"/>
      <c r="E9" s="84"/>
      <c r="F9" s="84"/>
      <c r="G9" s="84"/>
      <c r="H9" s="84"/>
      <c r="I9" s="84"/>
      <c r="J9" s="84"/>
      <c r="K9" s="84"/>
      <c r="L9" s="84"/>
      <c r="M9" s="84"/>
      <c r="N9" s="84"/>
      <c r="O9" s="84"/>
      <c r="P9" s="84"/>
      <c r="Q9" s="84"/>
      <c r="R9" s="85"/>
    </row>
    <row r="10" spans="1:89" s="44" customFormat="1" ht="37.5" customHeight="1" x14ac:dyDescent="0.25">
      <c r="A10" s="46" t="s">
        <v>94</v>
      </c>
      <c r="B10" s="82" t="s">
        <v>103</v>
      </c>
      <c r="C10" s="82"/>
      <c r="D10" s="82"/>
      <c r="E10" s="82"/>
      <c r="F10" s="82"/>
      <c r="G10" s="82"/>
      <c r="H10" s="82"/>
      <c r="I10" s="82"/>
      <c r="J10" s="82"/>
      <c r="K10" s="82"/>
      <c r="L10" s="82"/>
      <c r="M10" s="82"/>
      <c r="N10" s="82"/>
      <c r="O10" s="82"/>
      <c r="P10" s="82"/>
      <c r="Q10" s="82"/>
      <c r="R10" s="82"/>
      <c r="S10"/>
    </row>
    <row r="11" spans="1:89" s="44" customFormat="1" ht="37.5" customHeight="1" x14ac:dyDescent="0.25">
      <c r="A11" s="46" t="s">
        <v>95</v>
      </c>
      <c r="B11" s="76" t="s">
        <v>104</v>
      </c>
      <c r="C11" s="77"/>
      <c r="D11" s="77"/>
      <c r="E11" s="77"/>
      <c r="F11" s="77"/>
      <c r="G11" s="77"/>
      <c r="H11" s="77"/>
      <c r="I11" s="77"/>
      <c r="J11" s="77"/>
      <c r="K11" s="77"/>
      <c r="L11" s="77"/>
      <c r="M11" s="77"/>
      <c r="N11" s="77"/>
      <c r="O11" s="77"/>
      <c r="P11" s="77"/>
      <c r="Q11" s="77"/>
      <c r="R11" s="78"/>
      <c r="S11"/>
    </row>
    <row r="12" spans="1:89" s="44" customFormat="1" ht="66" customHeight="1" x14ac:dyDescent="0.25">
      <c r="A12" s="49" t="s">
        <v>96</v>
      </c>
      <c r="B12" s="79" t="s">
        <v>106</v>
      </c>
      <c r="C12" s="79"/>
      <c r="D12" s="79"/>
      <c r="E12" s="79"/>
      <c r="F12" s="79"/>
      <c r="G12" s="79"/>
      <c r="H12" s="79"/>
      <c r="I12" s="79"/>
      <c r="J12" s="79"/>
      <c r="K12" s="79"/>
      <c r="L12" s="79"/>
      <c r="M12" s="79"/>
      <c r="N12" s="79"/>
      <c r="O12" s="79"/>
      <c r="P12" s="79"/>
      <c r="Q12" s="79"/>
      <c r="R12" s="79"/>
    </row>
    <row r="13" spans="1:89" s="44" customFormat="1" ht="24.75" customHeight="1" x14ac:dyDescent="0.25">
      <c r="A13" s="49" t="s">
        <v>97</v>
      </c>
      <c r="B13" s="79" t="s">
        <v>105</v>
      </c>
      <c r="C13" s="79"/>
      <c r="D13" s="79"/>
      <c r="E13" s="79"/>
      <c r="F13" s="79"/>
      <c r="G13" s="79"/>
      <c r="H13" s="79"/>
      <c r="I13" s="79"/>
      <c r="J13" s="79"/>
      <c r="K13" s="79"/>
      <c r="L13" s="79"/>
      <c r="M13" s="79"/>
      <c r="N13" s="79"/>
      <c r="O13" s="79"/>
      <c r="P13" s="79"/>
      <c r="Q13" s="79"/>
      <c r="R13" s="79"/>
    </row>
    <row r="14" spans="1:89" s="44" customFormat="1" ht="30" x14ac:dyDescent="0.25">
      <c r="A14" s="50" t="s">
        <v>98</v>
      </c>
      <c r="B14" s="79"/>
      <c r="C14" s="79"/>
      <c r="D14" s="79"/>
      <c r="E14" s="79"/>
      <c r="F14" s="79"/>
      <c r="G14" s="79"/>
      <c r="H14" s="79"/>
      <c r="I14" s="79"/>
      <c r="J14" s="79"/>
      <c r="K14" s="79"/>
      <c r="L14" s="79"/>
      <c r="M14" s="79"/>
      <c r="N14" s="79"/>
      <c r="O14" s="79"/>
      <c r="P14" s="79"/>
      <c r="Q14" s="79"/>
      <c r="R14" s="79"/>
    </row>
    <row r="16" spans="1:89" s="37" customFormat="1" ht="28.9" customHeight="1" x14ac:dyDescent="0.25">
      <c r="E16" s="42"/>
      <c r="H16" s="43"/>
      <c r="N16" s="75" t="str">
        <f>Sheet1!J1</f>
        <v>Conductor</v>
      </c>
      <c r="O16" s="75"/>
      <c r="P16" s="75"/>
      <c r="Q16" s="75"/>
      <c r="R16" s="75"/>
      <c r="S16" s="75" t="s">
        <v>6</v>
      </c>
      <c r="T16" s="75"/>
      <c r="U16" s="75" t="s">
        <v>3</v>
      </c>
      <c r="V16" s="75"/>
      <c r="W16" s="75"/>
      <c r="X16" s="75"/>
      <c r="Y16" s="75"/>
      <c r="Z16" s="75"/>
      <c r="AA16" s="75"/>
      <c r="AB16" s="75"/>
      <c r="AC16" s="75" t="s">
        <v>7</v>
      </c>
      <c r="AD16" s="75"/>
      <c r="AE16" s="75" t="s">
        <v>8</v>
      </c>
      <c r="AF16" s="75"/>
      <c r="AG16" s="75"/>
      <c r="AH16" s="75"/>
      <c r="AI16" s="75"/>
      <c r="AJ16" s="75"/>
      <c r="AK16" s="10" t="s">
        <v>9</v>
      </c>
      <c r="AL16" s="73" t="s">
        <v>10</v>
      </c>
      <c r="AM16" s="74"/>
      <c r="AN16" s="74"/>
      <c r="AO16" s="74"/>
      <c r="AP16" s="74"/>
      <c r="AQ16" s="74"/>
      <c r="AR16" s="74"/>
      <c r="AS16" s="75" t="s">
        <v>11</v>
      </c>
      <c r="AT16" s="75"/>
      <c r="AU16" s="75"/>
      <c r="AV16" s="75"/>
      <c r="AW16" s="75"/>
      <c r="AX16" s="75"/>
      <c r="AY16" s="75"/>
      <c r="AZ16" s="75"/>
      <c r="BA16" s="75"/>
      <c r="BB16" s="75"/>
      <c r="BC16" s="75" t="s">
        <v>12</v>
      </c>
      <c r="BD16" s="75"/>
      <c r="BE16" s="75"/>
      <c r="BF16" s="75"/>
      <c r="BG16" s="75"/>
      <c r="BH16" s="75"/>
      <c r="BI16" s="75"/>
      <c r="BJ16" s="75"/>
      <c r="BK16" s="75"/>
      <c r="BL16" s="75"/>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69</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4" t="str">
        <f>Sheet1!CV1</f>
        <v>DRUM CODE</v>
      </c>
      <c r="BX17" s="54" t="str">
        <f>Sheet1!CW1</f>
        <v>DRUM SIZE (FxbXtx Ft)</v>
      </c>
      <c r="BY17" s="54"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v>269</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114</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88</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v>87</v>
      </c>
      <c r="BB18" s="33">
        <f>+IFERROR(VLOOKUP($BB$17,Sheet1!AH2:AK840,2,0),0)</f>
        <v>0</v>
      </c>
      <c r="BC18" s="33">
        <f>+IFERROR(VLOOKUP($BC$17,Sheet1!AL2:AO840,2,0),0)</f>
        <v>0</v>
      </c>
      <c r="BD18" s="33">
        <f>+IFERROR(VLOOKUP($BD$17,Sheet1!AL2:AO840,2,0),0)</f>
        <v>0</v>
      </c>
      <c r="BE18" s="33">
        <f>+IFERROR(VLOOKUP($BE$17,Sheet1!AL2:AO840,2,0),0)</f>
        <v>0</v>
      </c>
      <c r="BF18" s="33">
        <f>+IFERROR(VLOOKUP($BF$17,Sheet1!AL2:AO840,2,0),0)+5</f>
        <v>92</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v>375</v>
      </c>
      <c r="BU18" s="35">
        <f>+IFERROR(VLOOKUP($BU$17,Sheet1!BV2:BY840,2,0),0)</f>
        <v>0</v>
      </c>
      <c r="BV18" s="53"/>
      <c r="BW18" s="53"/>
      <c r="BX18" s="53"/>
      <c r="BY18" s="53"/>
      <c r="CD18" s="5"/>
      <c r="CE18" s="5"/>
      <c r="CF18" s="5"/>
      <c r="CG18" s="5"/>
      <c r="CH18" s="5"/>
      <c r="CI18" s="5"/>
      <c r="CJ18" s="5"/>
      <c r="CK18" s="5"/>
      <c r="CL18" s="5"/>
    </row>
    <row r="19" spans="1:90" ht="30" x14ac:dyDescent="0.25">
      <c r="A19" s="1" t="str">
        <f>Sheet1!A2</f>
        <v>ENQ-15073-22-23</v>
      </c>
      <c r="B19" s="52">
        <v>45684</v>
      </c>
      <c r="C19" s="1" t="str">
        <f>Sheet1!C2</f>
        <v>FA0900020</v>
      </c>
      <c r="D19" s="1" t="str">
        <f>Sheet1!D2</f>
        <v>2 CORE X 6 SQ. MM. AL/ARD - WIRE (XLPE)</v>
      </c>
      <c r="E19" s="3">
        <f>CH19+CJ19+CL19</f>
        <v>72443.195999999996</v>
      </c>
      <c r="F19" s="68">
        <f>ROUNDUP(M22,2)</f>
        <v>1200</v>
      </c>
      <c r="G19" s="9">
        <f>E19+F19</f>
        <v>73643.195999999996</v>
      </c>
      <c r="H19" s="7">
        <f>Sheet1!CP2</f>
        <v>0.18</v>
      </c>
      <c r="I19" s="9">
        <f>G19*H19</f>
        <v>13255.775279999998</v>
      </c>
      <c r="J19" s="9">
        <f>G19+I19</f>
        <v>86898.971279999998</v>
      </c>
      <c r="K19" s="1">
        <f>Sheet1!CS2</f>
        <v>250</v>
      </c>
      <c r="L19" s="1" t="str">
        <f>Sheet1!CT2</f>
        <v>KMS</v>
      </c>
      <c r="M19" s="3">
        <f>J19*K19</f>
        <v>21724742.82</v>
      </c>
      <c r="N19" s="64">
        <v>33</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65">
        <v>23</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65">
        <v>78</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65">
        <v>276</v>
      </c>
      <c r="BB19" s="15">
        <f>+IFERROR(VLOOKUP($BB$17,Sheet1!AH2:AK2,3,0),0)</f>
        <v>0</v>
      </c>
      <c r="BC19" s="15">
        <f>+IFERROR(VLOOKUP($BC$17,Sheet1!AL2:AO2,3,0),0)</f>
        <v>0</v>
      </c>
      <c r="BD19" s="15">
        <f>+IFERROR(VLOOKUP($BD$17,Sheet1!AL2:AO2,3,0),0)</f>
        <v>0</v>
      </c>
      <c r="BE19" s="15">
        <f>+IFERROR(VLOOKUP($BE$17,Sheet1!AL2:AO2,3,0),0)</f>
        <v>0</v>
      </c>
      <c r="BF19" s="65">
        <v>108</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65">
        <v>10</v>
      </c>
      <c r="BU19" s="15">
        <f>+IFERROR(VLOOKUP($BU$17,Sheet1!BV2:BY2,3,0),0)</f>
        <v>0</v>
      </c>
      <c r="BV19" s="15" t="str">
        <f>Sheet1!E2</f>
        <v>WOOD</v>
      </c>
      <c r="BW19" s="15" t="str">
        <f>Sheet1!CV2</f>
        <v>MD0100066</v>
      </c>
      <c r="BX19" s="15" t="str">
        <f>Sheet1!CW2</f>
        <v>DRUM - 40 X 15 X 23 X 2</v>
      </c>
      <c r="BY19" s="15">
        <f>Sheet1!CX2</f>
        <v>1000</v>
      </c>
      <c r="BZ19" s="3">
        <f>Sheet1!BZ2</f>
        <v>2550</v>
      </c>
      <c r="CA19" s="3">
        <f>SUMPRODUCT($N$18:$BU$18,N19:BU19)+BZ19</f>
        <v>58611</v>
      </c>
      <c r="CB19" s="27">
        <f>Sheet1!CB2</f>
        <v>0</v>
      </c>
      <c r="CC19" s="3">
        <f>CA19*CB19</f>
        <v>0</v>
      </c>
      <c r="CD19" s="48">
        <v>0.2</v>
      </c>
      <c r="CE19" s="3">
        <f>CA19*CD19</f>
        <v>11722.2</v>
      </c>
      <c r="CF19" s="48">
        <v>0</v>
      </c>
      <c r="CG19" s="3">
        <f>CA19*CF19</f>
        <v>0</v>
      </c>
      <c r="CH19" s="3">
        <f>CA19+CC19+CE19+CG19</f>
        <v>70333.2</v>
      </c>
      <c r="CI19" s="48">
        <v>0.02</v>
      </c>
      <c r="CJ19" s="1">
        <f>CH19*CI19</f>
        <v>1406.664</v>
      </c>
      <c r="CK19" s="48">
        <v>0.01</v>
      </c>
      <c r="CL19" s="1">
        <f>CH19*CK19</f>
        <v>703.33199999999999</v>
      </c>
    </row>
    <row r="21" spans="1:90" ht="60" x14ac:dyDescent="0.25">
      <c r="E21" s="2" t="s">
        <v>198</v>
      </c>
      <c r="F21" s="2" t="s">
        <v>199</v>
      </c>
      <c r="G21" s="59" t="s">
        <v>200</v>
      </c>
      <c r="H21" s="2" t="s">
        <v>201</v>
      </c>
      <c r="I21" s="2" t="s">
        <v>202</v>
      </c>
      <c r="J21" s="2" t="s">
        <v>203</v>
      </c>
      <c r="K21" s="2" t="s">
        <v>204</v>
      </c>
      <c r="L21" s="2" t="s">
        <v>205</v>
      </c>
      <c r="M21" s="60" t="s">
        <v>206</v>
      </c>
      <c r="AF21" s="30" t="s">
        <v>214</v>
      </c>
      <c r="AR21" s="30" t="s">
        <v>215</v>
      </c>
      <c r="BA21" s="30" t="s">
        <v>216</v>
      </c>
      <c r="BF21" s="30" t="s">
        <v>217</v>
      </c>
    </row>
    <row r="22" spans="1:90" x14ac:dyDescent="0.25">
      <c r="E22" s="59">
        <f>K19</f>
        <v>250</v>
      </c>
      <c r="F22" s="61">
        <f>BY19/1000</f>
        <v>1</v>
      </c>
      <c r="G22" s="59" t="s">
        <v>207</v>
      </c>
      <c r="H22" s="62">
        <v>30000</v>
      </c>
      <c r="I22" s="61">
        <v>25</v>
      </c>
      <c r="J22" s="59">
        <f>F22*I22</f>
        <v>25</v>
      </c>
      <c r="K22" s="59">
        <f>ROUNDUP((E22/J22),0)</f>
        <v>10</v>
      </c>
      <c r="L22" s="59">
        <f>M22*E22</f>
        <v>300000</v>
      </c>
      <c r="M22" s="63">
        <f>(H22*K22)/E22</f>
        <v>1200</v>
      </c>
      <c r="AF22" s="30">
        <f>SUM(N19:BT19)</f>
        <v>528</v>
      </c>
      <c r="AR22" s="30">
        <f>75+25</f>
        <v>100</v>
      </c>
      <c r="BA22" s="30">
        <f>((AF22*F22)+AR22)</f>
        <v>628</v>
      </c>
      <c r="BF22" s="30">
        <f>BA22*I22</f>
        <v>15700</v>
      </c>
    </row>
    <row r="24" spans="1:90" x14ac:dyDescent="0.25">
      <c r="E24" s="59">
        <v>1</v>
      </c>
      <c r="F24" s="66" t="s">
        <v>208</v>
      </c>
    </row>
    <row r="25" spans="1:90" x14ac:dyDescent="0.25">
      <c r="E25" s="59">
        <v>2</v>
      </c>
      <c r="F25" s="67" t="s">
        <v>209</v>
      </c>
    </row>
    <row r="26" spans="1:90" x14ac:dyDescent="0.25">
      <c r="E26" s="59">
        <v>3</v>
      </c>
      <c r="F26" s="67" t="s">
        <v>210</v>
      </c>
    </row>
    <row r="27" spans="1:90" x14ac:dyDescent="0.25">
      <c r="E27" s="59">
        <v>4</v>
      </c>
      <c r="F27" s="67" t="s">
        <v>211</v>
      </c>
    </row>
    <row r="28" spans="1:90" x14ac:dyDescent="0.25">
      <c r="E28" s="59">
        <v>5</v>
      </c>
      <c r="F28" s="67" t="s">
        <v>212</v>
      </c>
    </row>
    <row r="29" spans="1:90" x14ac:dyDescent="0.25">
      <c r="E29" s="59">
        <v>6</v>
      </c>
      <c r="F29" s="67" t="s">
        <v>213</v>
      </c>
    </row>
    <row r="31" spans="1:90" ht="51" x14ac:dyDescent="0.25">
      <c r="A31" s="22" t="s">
        <v>0</v>
      </c>
      <c r="B31" s="22" t="s">
        <v>99</v>
      </c>
      <c r="C31" s="22" t="s">
        <v>1</v>
      </c>
      <c r="D31" s="22" t="s">
        <v>2</v>
      </c>
      <c r="E31" s="5" t="s">
        <v>218</v>
      </c>
      <c r="F31" s="15" t="s">
        <v>219</v>
      </c>
      <c r="G31" s="15" t="s">
        <v>220</v>
      </c>
      <c r="H31" s="6" t="s">
        <v>37</v>
      </c>
      <c r="I31" s="15" t="s">
        <v>38</v>
      </c>
      <c r="J31" s="15" t="s">
        <v>221</v>
      </c>
      <c r="K31" s="15" t="s">
        <v>40</v>
      </c>
      <c r="L31" s="15" t="s">
        <v>41</v>
      </c>
      <c r="M31" s="15" t="s">
        <v>42</v>
      </c>
    </row>
    <row r="32" spans="1:90" x14ac:dyDescent="0.25">
      <c r="A32" s="31"/>
      <c r="B32" s="31"/>
      <c r="C32" s="31"/>
      <c r="D32" s="31"/>
      <c r="E32" s="5"/>
      <c r="F32" s="5"/>
      <c r="G32" s="5"/>
      <c r="H32" s="5"/>
      <c r="I32" s="5"/>
      <c r="J32" s="5"/>
      <c r="K32" s="5"/>
      <c r="L32" s="5"/>
      <c r="M32" s="5"/>
    </row>
    <row r="33" spans="1:13" ht="30" x14ac:dyDescent="0.25">
      <c r="A33" s="1" t="str">
        <f>A19</f>
        <v>ENQ-15073-22-23</v>
      </c>
      <c r="B33" s="52">
        <f>B19</f>
        <v>45684</v>
      </c>
      <c r="C33" s="1" t="str">
        <f>C19</f>
        <v>FA0900020</v>
      </c>
      <c r="D33" s="1" t="str">
        <f>D19</f>
        <v>2 CORE X 6 SQ. MM. AL/ARD - WIRE (XLPE)</v>
      </c>
      <c r="E33" s="3">
        <f>ROUNDUP(E19/1000,2)</f>
        <v>72.45</v>
      </c>
      <c r="F33" s="1">
        <f>ROUNDUP(F19/1000,2)</f>
        <v>1.2</v>
      </c>
      <c r="G33" s="9">
        <f>E33+F33</f>
        <v>73.650000000000006</v>
      </c>
      <c r="H33" s="7">
        <f>H19</f>
        <v>0.18</v>
      </c>
      <c r="I33" s="9">
        <f>G33*H33</f>
        <v>13.257</v>
      </c>
      <c r="J33" s="9">
        <f>G33+I33</f>
        <v>86.907000000000011</v>
      </c>
      <c r="K33" s="1">
        <f>K19*1000</f>
        <v>250000</v>
      </c>
      <c r="L33" s="1" t="s">
        <v>222</v>
      </c>
      <c r="M33" s="3">
        <f>J33*K33</f>
        <v>21726750.000000004</v>
      </c>
    </row>
    <row r="34" spans="1:13" x14ac:dyDescent="0.25">
      <c r="M34" s="69">
        <f>M33-M19</f>
        <v>2007.1800000034273</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2" xr:uid="{2102B1D1-DB19-455F-9359-9E136C5A41E4}">
      <formula1>$Q$4:$Q$6</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2025-01-27T07:58:51Z</dcterms:modified>
</cp:coreProperties>
</file>