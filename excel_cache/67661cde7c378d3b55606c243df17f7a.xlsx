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3-24\01_JANUARY 2024\TATAPOWER-MUMBAI-HTCABLE-12006\"/>
    </mc:Choice>
  </mc:AlternateContent>
  <xr:revisionPtr revIDLastSave="0" documentId="13_ncr:1_{112A7C19-2D5F-45B4-9257-883C5BC1FD48}"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HT PV" sheetId="7"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3" i="4" l="1"/>
  <c r="K32" i="4"/>
  <c r="K31" i="4"/>
  <c r="K30" i="4"/>
  <c r="K29" i="4"/>
  <c r="K28" i="4"/>
  <c r="K34" i="4"/>
  <c r="AQ15" i="7"/>
  <c r="AQ14" i="7"/>
  <c r="AQ13" i="7"/>
  <c r="AQ12" i="7"/>
  <c r="AQ11" i="7"/>
  <c r="AQ10" i="7"/>
  <c r="AQ9" i="7"/>
  <c r="AB15" i="7" l="1"/>
  <c r="AB14" i="7"/>
  <c r="AB13" i="7"/>
  <c r="AB12" i="7"/>
  <c r="AB11" i="7"/>
  <c r="AB10" i="7"/>
  <c r="AB9" i="7"/>
  <c r="AA15" i="7"/>
  <c r="AA14" i="7"/>
  <c r="AA13" i="7"/>
  <c r="AA12" i="7"/>
  <c r="AA11" i="7"/>
  <c r="AA10" i="7"/>
  <c r="AA9" i="7"/>
  <c r="Z15" i="7"/>
  <c r="Z14" i="7"/>
  <c r="Z13" i="7"/>
  <c r="Z12" i="7"/>
  <c r="Z11" i="7"/>
  <c r="Z10" i="7"/>
  <c r="Z9" i="7"/>
  <c r="Y15" i="7"/>
  <c r="Y14" i="7"/>
  <c r="Y13" i="7"/>
  <c r="Y12" i="7"/>
  <c r="Y11" i="7"/>
  <c r="Y10" i="7"/>
  <c r="Y9" i="7"/>
  <c r="X15" i="7"/>
  <c r="X14" i="7"/>
  <c r="X13" i="7"/>
  <c r="X12" i="7"/>
  <c r="X11" i="7"/>
  <c r="X10" i="7"/>
  <c r="X9" i="7"/>
  <c r="W15" i="7"/>
  <c r="W14" i="7"/>
  <c r="W13" i="7"/>
  <c r="W12" i="7"/>
  <c r="W11" i="7"/>
  <c r="W10" i="7"/>
  <c r="W9" i="7"/>
  <c r="V15" i="7"/>
  <c r="V14" i="7"/>
  <c r="V13" i="7"/>
  <c r="V12" i="7"/>
  <c r="V11" i="7"/>
  <c r="V10" i="7"/>
  <c r="V9" i="7"/>
  <c r="K46" i="4"/>
  <c r="K45" i="4"/>
  <c r="K44" i="4"/>
  <c r="K43" i="4"/>
  <c r="K42" i="4"/>
  <c r="K41" i="4"/>
  <c r="K40" i="4"/>
  <c r="E46" i="4"/>
  <c r="E45" i="4"/>
  <c r="E44" i="4"/>
  <c r="E43" i="4"/>
  <c r="E42" i="4"/>
  <c r="E41" i="4"/>
  <c r="E40" i="4"/>
  <c r="A41" i="4"/>
  <c r="B41" i="4"/>
  <c r="C41" i="4"/>
  <c r="D41" i="4"/>
  <c r="A42" i="4"/>
  <c r="B42" i="4"/>
  <c r="C42" i="4"/>
  <c r="D42" i="4"/>
  <c r="A43" i="4"/>
  <c r="B43" i="4"/>
  <c r="C43" i="4"/>
  <c r="D43" i="4"/>
  <c r="A44" i="4"/>
  <c r="B44" i="4"/>
  <c r="C44" i="4"/>
  <c r="D44" i="4"/>
  <c r="A45" i="4"/>
  <c r="B45" i="4"/>
  <c r="C45" i="4"/>
  <c r="D45" i="4"/>
  <c r="A46" i="4"/>
  <c r="B46" i="4"/>
  <c r="C46" i="4"/>
  <c r="D46" i="4"/>
  <c r="D40" i="4"/>
  <c r="C40" i="4"/>
  <c r="B40" i="4"/>
  <c r="A40" i="4"/>
  <c r="H46" i="4"/>
  <c r="H45" i="4"/>
  <c r="H44" i="4"/>
  <c r="H43" i="4"/>
  <c r="H42" i="4"/>
  <c r="H41" i="4"/>
  <c r="H40" i="4"/>
  <c r="AD10" i="7" l="1"/>
  <c r="AE10" i="7"/>
  <c r="AF10" i="7"/>
  <c r="AH10" i="7"/>
  <c r="AJ10" i="7"/>
  <c r="AK10" i="7"/>
  <c r="AL10" i="7"/>
  <c r="AM10" i="7"/>
  <c r="AN10" i="7"/>
  <c r="AO10" i="7"/>
  <c r="AD11" i="7"/>
  <c r="AE11" i="7"/>
  <c r="AF11" i="7"/>
  <c r="AH11" i="7"/>
  <c r="AJ11" i="7"/>
  <c r="AK11" i="7"/>
  <c r="AL11" i="7"/>
  <c r="AM11" i="7"/>
  <c r="AN11" i="7"/>
  <c r="AO11" i="7"/>
  <c r="AD12" i="7"/>
  <c r="AE12" i="7"/>
  <c r="AF12" i="7"/>
  <c r="AG12" i="7"/>
  <c r="AH12" i="7"/>
  <c r="AI12" i="7"/>
  <c r="AK12" i="7"/>
  <c r="AM12" i="7"/>
  <c r="AN12" i="7"/>
  <c r="AO12" i="7"/>
  <c r="AC13" i="7"/>
  <c r="AD13" i="7"/>
  <c r="AE13" i="7"/>
  <c r="AF13" i="7"/>
  <c r="AG13" i="7"/>
  <c r="AH13" i="7"/>
  <c r="AI13" i="7"/>
  <c r="AK13" i="7"/>
  <c r="AM13" i="7"/>
  <c r="AN13" i="7"/>
  <c r="AO13" i="7"/>
  <c r="AC14" i="7"/>
  <c r="AD14" i="7"/>
  <c r="AE14" i="7"/>
  <c r="AF14" i="7"/>
  <c r="AG14" i="7"/>
  <c r="AH14" i="7"/>
  <c r="AI14" i="7"/>
  <c r="AK14" i="7"/>
  <c r="AM14" i="7"/>
  <c r="AN14" i="7"/>
  <c r="AO14" i="7"/>
  <c r="AC15" i="7"/>
  <c r="AD15" i="7"/>
  <c r="AE15" i="7"/>
  <c r="AF15" i="7"/>
  <c r="AG15" i="7"/>
  <c r="AH15" i="7"/>
  <c r="AI15" i="7"/>
  <c r="AK15" i="7"/>
  <c r="AM15" i="7"/>
  <c r="AN15" i="7"/>
  <c r="AO15" i="7"/>
  <c r="AP15" i="7"/>
  <c r="AO9" i="7"/>
  <c r="AN9" i="7"/>
  <c r="AM9" i="7"/>
  <c r="AL9" i="7"/>
  <c r="AK9" i="7"/>
  <c r="AJ9" i="7"/>
  <c r="AH9" i="7"/>
  <c r="AF9" i="7"/>
  <c r="AE9" i="7"/>
  <c r="AD9" i="7"/>
  <c r="AC9" i="7"/>
  <c r="AP6" i="7"/>
  <c r="AO6" i="7"/>
  <c r="AN6" i="7"/>
  <c r="AM6" i="7"/>
  <c r="AL6" i="7"/>
  <c r="AK6" i="7"/>
  <c r="AJ6" i="7"/>
  <c r="AI6" i="7"/>
  <c r="AH6" i="7"/>
  <c r="AG6" i="7"/>
  <c r="AF6" i="7"/>
  <c r="AE6" i="7"/>
  <c r="AD6" i="7"/>
  <c r="AC6" i="7"/>
  <c r="J10" i="7"/>
  <c r="J11" i="7"/>
  <c r="J12" i="7"/>
  <c r="J13" i="7"/>
  <c r="J14" i="7"/>
  <c r="J15" i="7"/>
  <c r="J9" i="7"/>
  <c r="BZ24" i="4" l="1"/>
  <c r="F33" i="4" s="1"/>
  <c r="J33" i="4" s="1"/>
  <c r="BZ25" i="4"/>
  <c r="F34" i="4" s="1"/>
  <c r="J34" i="4" s="1"/>
  <c r="BZ23" i="4"/>
  <c r="F32" i="4" s="1"/>
  <c r="J32" i="4" s="1"/>
  <c r="BZ20" i="4"/>
  <c r="F29" i="4" s="1"/>
  <c r="J29" i="4" s="1"/>
  <c r="BZ19" i="4"/>
  <c r="F28" i="4" s="1"/>
  <c r="J28" i="4" s="1"/>
  <c r="BZ21" i="4"/>
  <c r="F30" i="4" s="1"/>
  <c r="J30" i="4" s="1"/>
  <c r="BZ22" i="4"/>
  <c r="F31" i="4" s="1"/>
  <c r="J31" i="4" s="1"/>
  <c r="BZ17" i="4"/>
  <c r="A24" i="4"/>
  <c r="B24" i="4"/>
  <c r="C24" i="4"/>
  <c r="D24" i="4"/>
  <c r="H24" i="4"/>
  <c r="K24" i="4"/>
  <c r="E33" i="4" s="1"/>
  <c r="L24" i="4"/>
  <c r="O24" i="4"/>
  <c r="P24" i="4"/>
  <c r="Q24" i="4"/>
  <c r="R24" i="4"/>
  <c r="S24" i="4"/>
  <c r="T24" i="4"/>
  <c r="U24" i="4"/>
  <c r="V24" i="4"/>
  <c r="W24" i="4"/>
  <c r="X24" i="4"/>
  <c r="Z24" i="4"/>
  <c r="AA24" i="4"/>
  <c r="AB24" i="4"/>
  <c r="AC24" i="4"/>
  <c r="AF24" i="4"/>
  <c r="AG24" i="4"/>
  <c r="AH24" i="4"/>
  <c r="AI24" i="4"/>
  <c r="AJ24" i="4"/>
  <c r="AL24" i="4"/>
  <c r="AM24" i="4"/>
  <c r="AN24" i="4"/>
  <c r="AO24" i="4"/>
  <c r="AP24" i="4"/>
  <c r="AQ24" i="4"/>
  <c r="AS24" i="4"/>
  <c r="AT24" i="4"/>
  <c r="AU24" i="4"/>
  <c r="AW24" i="4"/>
  <c r="AX24" i="4"/>
  <c r="AY24" i="4"/>
  <c r="AZ24" i="4"/>
  <c r="BA24" i="4"/>
  <c r="AJ14" i="7" s="1"/>
  <c r="BB24" i="4"/>
  <c r="BC24" i="4"/>
  <c r="BD24" i="4"/>
  <c r="BE24" i="4"/>
  <c r="BG24" i="4"/>
  <c r="BH24" i="4"/>
  <c r="BI24" i="4"/>
  <c r="BK24" i="4"/>
  <c r="BL24" i="4"/>
  <c r="AL14" i="7" s="1"/>
  <c r="BM24" i="4"/>
  <c r="BN24" i="4"/>
  <c r="BO24" i="4"/>
  <c r="BR24" i="4"/>
  <c r="BS24" i="4"/>
  <c r="BT24" i="4"/>
  <c r="BV24" i="4"/>
  <c r="AP14" i="7" s="1"/>
  <c r="BW24" i="4"/>
  <c r="BX24" i="4"/>
  <c r="BY24" i="4"/>
  <c r="CA24" i="4"/>
  <c r="AR14" i="7" s="1"/>
  <c r="CC24" i="4"/>
  <c r="A25" i="4"/>
  <c r="B25" i="4"/>
  <c r="C25" i="4"/>
  <c r="D25" i="4"/>
  <c r="H25" i="4"/>
  <c r="K25" i="4"/>
  <c r="E34" i="4" s="1"/>
  <c r="L25" i="4"/>
  <c r="O25" i="4"/>
  <c r="P25" i="4"/>
  <c r="Q25" i="4"/>
  <c r="R25" i="4"/>
  <c r="S25" i="4"/>
  <c r="T25" i="4"/>
  <c r="U25" i="4"/>
  <c r="V25" i="4"/>
  <c r="W25" i="4"/>
  <c r="X25" i="4"/>
  <c r="Z25" i="4"/>
  <c r="AA25" i="4"/>
  <c r="AB25" i="4"/>
  <c r="AC25" i="4"/>
  <c r="AF25" i="4"/>
  <c r="AG25" i="4"/>
  <c r="AH25" i="4"/>
  <c r="AI25" i="4"/>
  <c r="AJ25" i="4"/>
  <c r="AL25" i="4"/>
  <c r="AM25" i="4"/>
  <c r="AN25" i="4"/>
  <c r="AO25" i="4"/>
  <c r="AP25" i="4"/>
  <c r="AQ25" i="4"/>
  <c r="AS25" i="4"/>
  <c r="AT25" i="4"/>
  <c r="AU25" i="4"/>
  <c r="AW25" i="4"/>
  <c r="AX25" i="4"/>
  <c r="AY25" i="4"/>
  <c r="AZ25" i="4"/>
  <c r="BA25" i="4"/>
  <c r="AJ15" i="7" s="1"/>
  <c r="AS15" i="7" s="1"/>
  <c r="BB25" i="4"/>
  <c r="BC25" i="4"/>
  <c r="BD25" i="4"/>
  <c r="BE25" i="4"/>
  <c r="BG25" i="4"/>
  <c r="BH25" i="4"/>
  <c r="BI25" i="4"/>
  <c r="BJ25" i="4"/>
  <c r="BK25" i="4"/>
  <c r="BL25" i="4"/>
  <c r="AL15" i="7" s="1"/>
  <c r="BM25" i="4"/>
  <c r="BN25" i="4"/>
  <c r="BO25" i="4"/>
  <c r="BS25" i="4"/>
  <c r="BT25" i="4"/>
  <c r="BW25" i="4"/>
  <c r="BX25" i="4"/>
  <c r="BY25" i="4"/>
  <c r="CA25" i="4"/>
  <c r="AR15" i="7" s="1"/>
  <c r="A23" i="4"/>
  <c r="B23" i="4"/>
  <c r="C23" i="4"/>
  <c r="D23" i="4"/>
  <c r="H23" i="4"/>
  <c r="K23" i="4"/>
  <c r="E32" i="4" s="1"/>
  <c r="L23" i="4"/>
  <c r="O23" i="4"/>
  <c r="P23" i="4"/>
  <c r="Q23" i="4"/>
  <c r="R23" i="4"/>
  <c r="S23" i="4"/>
  <c r="T23" i="4"/>
  <c r="U23" i="4"/>
  <c r="V23" i="4"/>
  <c r="W23" i="4"/>
  <c r="X23" i="4"/>
  <c r="Z23" i="4"/>
  <c r="AA23" i="4"/>
  <c r="AB23" i="4"/>
  <c r="AC23" i="4"/>
  <c r="AF23" i="4"/>
  <c r="AG23" i="4"/>
  <c r="AH23" i="4"/>
  <c r="AI23" i="4"/>
  <c r="AJ23" i="4"/>
  <c r="AL23" i="4"/>
  <c r="AM23" i="4"/>
  <c r="AN23" i="4"/>
  <c r="AO23" i="4"/>
  <c r="AP23" i="4"/>
  <c r="AQ23" i="4"/>
  <c r="AS23" i="4"/>
  <c r="AT23" i="4"/>
  <c r="AU23" i="4"/>
  <c r="AW23" i="4"/>
  <c r="AX23" i="4"/>
  <c r="AY23" i="4"/>
  <c r="AZ23" i="4"/>
  <c r="BA23" i="4"/>
  <c r="AJ13" i="7" s="1"/>
  <c r="BB23" i="4"/>
  <c r="BC23" i="4"/>
  <c r="BD23" i="4"/>
  <c r="BE23" i="4"/>
  <c r="BG23" i="4"/>
  <c r="BH23" i="4"/>
  <c r="BI23" i="4"/>
  <c r="BK23" i="4"/>
  <c r="BL23" i="4"/>
  <c r="AL13" i="7" s="1"/>
  <c r="BM23" i="4"/>
  <c r="BN23" i="4"/>
  <c r="BO23" i="4"/>
  <c r="BR23" i="4"/>
  <c r="BS23" i="4"/>
  <c r="BT23" i="4"/>
  <c r="BV23" i="4"/>
  <c r="AP13" i="7" s="1"/>
  <c r="BW23" i="4"/>
  <c r="BX23" i="4"/>
  <c r="BY23" i="4"/>
  <c r="CA23" i="4"/>
  <c r="AR13" i="7" s="1"/>
  <c r="CC23" i="4"/>
  <c r="A20" i="4"/>
  <c r="B20" i="4"/>
  <c r="C20" i="4"/>
  <c r="D20" i="4"/>
  <c r="H20" i="4"/>
  <c r="K20" i="4"/>
  <c r="E29" i="4" s="1"/>
  <c r="L20" i="4"/>
  <c r="N20" i="4"/>
  <c r="AC10" i="7" s="1"/>
  <c r="O20" i="4"/>
  <c r="P20" i="4"/>
  <c r="Q20" i="4"/>
  <c r="R20" i="4"/>
  <c r="S20" i="4"/>
  <c r="T20" i="4"/>
  <c r="U20" i="4"/>
  <c r="V20" i="4"/>
  <c r="W20" i="4"/>
  <c r="X20" i="4"/>
  <c r="Z20" i="4"/>
  <c r="AA20" i="4"/>
  <c r="AB20" i="4"/>
  <c r="AC20" i="4"/>
  <c r="AF20" i="4"/>
  <c r="AG20" i="4"/>
  <c r="AH20" i="4"/>
  <c r="AI20" i="4"/>
  <c r="AJ20" i="4"/>
  <c r="AK20" i="4"/>
  <c r="AG10" i="7" s="1"/>
  <c r="AL20" i="4"/>
  <c r="AM20" i="4"/>
  <c r="AN20" i="4"/>
  <c r="AO20" i="4"/>
  <c r="AP20" i="4"/>
  <c r="AQ20" i="4"/>
  <c r="AS20" i="4"/>
  <c r="AT20" i="4"/>
  <c r="AU20" i="4"/>
  <c r="AV20" i="4"/>
  <c r="AI10" i="7" s="1"/>
  <c r="AW20" i="4"/>
  <c r="AX20" i="4"/>
  <c r="AY20" i="4"/>
  <c r="AZ20" i="4"/>
  <c r="BB20" i="4"/>
  <c r="BC20" i="4"/>
  <c r="BD20" i="4"/>
  <c r="BE20" i="4"/>
  <c r="BG20" i="4"/>
  <c r="BH20" i="4"/>
  <c r="BI20" i="4"/>
  <c r="BK20" i="4"/>
  <c r="BN20" i="4"/>
  <c r="BO20" i="4"/>
  <c r="BR20" i="4"/>
  <c r="BS20" i="4"/>
  <c r="BT20" i="4"/>
  <c r="BV20" i="4"/>
  <c r="AP10" i="7" s="1"/>
  <c r="BW20" i="4"/>
  <c r="BX20" i="4"/>
  <c r="BY20" i="4"/>
  <c r="CA20" i="4"/>
  <c r="AR10" i="7" s="1"/>
  <c r="CC20" i="4"/>
  <c r="A19" i="4"/>
  <c r="B19" i="4"/>
  <c r="C19" i="4"/>
  <c r="D19" i="4"/>
  <c r="H19" i="4"/>
  <c r="K19" i="4"/>
  <c r="E28" i="4" s="1"/>
  <c r="L19" i="4"/>
  <c r="O19" i="4"/>
  <c r="P19" i="4"/>
  <c r="Q19" i="4"/>
  <c r="R19" i="4"/>
  <c r="S19" i="4"/>
  <c r="T19" i="4"/>
  <c r="U19" i="4"/>
  <c r="V19" i="4"/>
  <c r="W19" i="4"/>
  <c r="X19" i="4"/>
  <c r="Z19" i="4"/>
  <c r="AA19" i="4"/>
  <c r="AB19" i="4"/>
  <c r="AF19" i="4"/>
  <c r="AG19" i="4"/>
  <c r="AH19" i="4"/>
  <c r="AI19" i="4"/>
  <c r="AJ19" i="4"/>
  <c r="AK19" i="4"/>
  <c r="AG9" i="7" s="1"/>
  <c r="AL19" i="4"/>
  <c r="AM19" i="4"/>
  <c r="AN19" i="4"/>
  <c r="AO19" i="4"/>
  <c r="AP19" i="4"/>
  <c r="AQ19" i="4"/>
  <c r="AS19" i="4"/>
  <c r="AT19" i="4"/>
  <c r="AU19" i="4"/>
  <c r="AV19" i="4"/>
  <c r="AI9" i="7" s="1"/>
  <c r="AW19" i="4"/>
  <c r="AX19" i="4"/>
  <c r="AY19" i="4"/>
  <c r="AZ19" i="4"/>
  <c r="BB19" i="4"/>
  <c r="BC19" i="4"/>
  <c r="BD19" i="4"/>
  <c r="BE19" i="4"/>
  <c r="BG19" i="4"/>
  <c r="BH19" i="4"/>
  <c r="BI19" i="4"/>
  <c r="BJ19" i="4"/>
  <c r="BK19" i="4"/>
  <c r="BN19" i="4"/>
  <c r="BS19" i="4"/>
  <c r="BT19" i="4"/>
  <c r="BV19" i="4"/>
  <c r="AP9" i="7" s="1"/>
  <c r="BW19" i="4"/>
  <c r="BX19" i="4"/>
  <c r="BY19" i="4"/>
  <c r="CA19" i="4"/>
  <c r="AR9" i="7" s="1"/>
  <c r="CC19" i="4"/>
  <c r="A21" i="4"/>
  <c r="B21" i="4"/>
  <c r="C21" i="4"/>
  <c r="D21" i="4"/>
  <c r="H21" i="4"/>
  <c r="K21" i="4"/>
  <c r="E30" i="4" s="1"/>
  <c r="L21" i="4"/>
  <c r="N21" i="4"/>
  <c r="AC11" i="7" s="1"/>
  <c r="O21" i="4"/>
  <c r="P21" i="4"/>
  <c r="Q21" i="4"/>
  <c r="R21" i="4"/>
  <c r="S21" i="4"/>
  <c r="T21" i="4"/>
  <c r="U21" i="4"/>
  <c r="V21" i="4"/>
  <c r="W21" i="4"/>
  <c r="X21" i="4"/>
  <c r="Z21" i="4"/>
  <c r="AA21" i="4"/>
  <c r="AB21" i="4"/>
  <c r="AC21" i="4"/>
  <c r="AF21" i="4"/>
  <c r="AG21" i="4"/>
  <c r="AH21" i="4"/>
  <c r="AI21" i="4"/>
  <c r="AJ21" i="4"/>
  <c r="AK21" i="4"/>
  <c r="AG11" i="7" s="1"/>
  <c r="AL21" i="4"/>
  <c r="AM21" i="4"/>
  <c r="AN21" i="4"/>
  <c r="AO21" i="4"/>
  <c r="AP21" i="4"/>
  <c r="AQ21" i="4"/>
  <c r="AS21" i="4"/>
  <c r="AT21" i="4"/>
  <c r="AU21" i="4"/>
  <c r="AV21" i="4"/>
  <c r="AI11" i="7" s="1"/>
  <c r="AW21" i="4"/>
  <c r="AX21" i="4"/>
  <c r="AY21" i="4"/>
  <c r="AZ21" i="4"/>
  <c r="BB21" i="4"/>
  <c r="BC21" i="4"/>
  <c r="BD21" i="4"/>
  <c r="BE21" i="4"/>
  <c r="BG21" i="4"/>
  <c r="BH21" i="4"/>
  <c r="BI21" i="4"/>
  <c r="BJ21" i="4"/>
  <c r="BK21" i="4"/>
  <c r="BM21" i="4"/>
  <c r="BN21" i="4"/>
  <c r="BO21" i="4"/>
  <c r="BS21" i="4"/>
  <c r="BT21" i="4"/>
  <c r="BV21" i="4"/>
  <c r="AP11" i="7" s="1"/>
  <c r="BW21" i="4"/>
  <c r="BX21" i="4"/>
  <c r="BY21" i="4"/>
  <c r="CA21" i="4"/>
  <c r="AR11" i="7" s="1"/>
  <c r="CC21" i="4"/>
  <c r="M28" i="4" l="1"/>
  <c r="F19" i="4" s="1"/>
  <c r="F40" i="4" s="1"/>
  <c r="G40" i="4" s="1"/>
  <c r="I40" i="4" s="1"/>
  <c r="J40" i="4" s="1"/>
  <c r="M40" i="4" s="1"/>
  <c r="M33" i="4"/>
  <c r="AS13" i="7"/>
  <c r="AS11" i="7"/>
  <c r="D28" i="4"/>
  <c r="A9" i="7"/>
  <c r="D32" i="4"/>
  <c r="A13" i="7"/>
  <c r="D34" i="4"/>
  <c r="A15" i="7"/>
  <c r="D30" i="4"/>
  <c r="A11" i="7"/>
  <c r="AS9" i="7"/>
  <c r="AS10" i="7"/>
  <c r="M32" i="4"/>
  <c r="M34" i="4"/>
  <c r="F25" i="4" s="1"/>
  <c r="F46" i="4" s="1"/>
  <c r="G46" i="4" s="1"/>
  <c r="I46" i="4" s="1"/>
  <c r="J46" i="4" s="1"/>
  <c r="M46" i="4" s="1"/>
  <c r="AS14" i="7"/>
  <c r="M30" i="4"/>
  <c r="D29" i="4"/>
  <c r="A10" i="7"/>
  <c r="D33" i="4"/>
  <c r="A14" i="7"/>
  <c r="M29" i="4"/>
  <c r="F20" i="4" s="1"/>
  <c r="F41" i="4" s="1"/>
  <c r="G41" i="4" s="1"/>
  <c r="I41" i="4" s="1"/>
  <c r="J41" i="4" s="1"/>
  <c r="M41" i="4" s="1"/>
  <c r="B22" i="4"/>
  <c r="L30" i="4" l="1"/>
  <c r="F21" i="4"/>
  <c r="F42" i="4" s="1"/>
  <c r="G42" i="4" s="1"/>
  <c r="I42" i="4" s="1"/>
  <c r="J42" i="4" s="1"/>
  <c r="M42" i="4" s="1"/>
  <c r="L33" i="4"/>
  <c r="F24" i="4"/>
  <c r="F45" i="4" s="1"/>
  <c r="G45" i="4" s="1"/>
  <c r="I45" i="4" s="1"/>
  <c r="J45" i="4" s="1"/>
  <c r="M45" i="4" s="1"/>
  <c r="L32" i="4"/>
  <c r="F23" i="4"/>
  <c r="F44" i="4" s="1"/>
  <c r="G44" i="4" s="1"/>
  <c r="I44" i="4" s="1"/>
  <c r="J44" i="4" s="1"/>
  <c r="M44" i="4" s="1"/>
  <c r="L28" i="4"/>
  <c r="L29" i="4"/>
  <c r="L34" i="4"/>
  <c r="BY22" i="4"/>
  <c r="BX22" i="4"/>
  <c r="BY17" i="4"/>
  <c r="BX17" i="4"/>
  <c r="BW22" i="4"/>
  <c r="BW17" i="4"/>
  <c r="B17" i="4"/>
  <c r="T18" i="4" l="1"/>
  <c r="S18" i="4"/>
  <c r="AB22" i="4" l="1"/>
  <c r="AA22" i="4"/>
  <c r="Z22" i="4"/>
  <c r="X22" i="4"/>
  <c r="W22" i="4"/>
  <c r="V22" i="4"/>
  <c r="U22" i="4"/>
  <c r="T22" i="4"/>
  <c r="S22" i="4"/>
  <c r="BV22" i="4"/>
  <c r="AP12" i="7" s="1"/>
  <c r="BT22" i="4"/>
  <c r="BS22" i="4"/>
  <c r="BR22" i="4"/>
  <c r="BO22" i="4"/>
  <c r="BN22" i="4"/>
  <c r="BT18" i="4"/>
  <c r="BS18" i="4"/>
  <c r="BN18" i="4"/>
  <c r="BM22" i="4"/>
  <c r="BL22" i="4"/>
  <c r="AL12" i="7" s="1"/>
  <c r="BK22" i="4"/>
  <c r="BI22" i="4"/>
  <c r="BH22" i="4"/>
  <c r="BG22" i="4"/>
  <c r="BE22" i="4"/>
  <c r="BD22" i="4"/>
  <c r="BC22" i="4"/>
  <c r="BK18" i="4"/>
  <c r="BI18" i="4"/>
  <c r="BH18" i="4"/>
  <c r="BG18" i="4"/>
  <c r="BB22" i="4"/>
  <c r="BA22" i="4"/>
  <c r="AJ12" i="7" s="1"/>
  <c r="AZ22" i="4"/>
  <c r="AY22" i="4"/>
  <c r="AX22" i="4"/>
  <c r="AW22" i="4"/>
  <c r="AU22" i="4"/>
  <c r="AT22" i="4"/>
  <c r="AS22" i="4"/>
  <c r="AQ22" i="4"/>
  <c r="AP22" i="4"/>
  <c r="AO22" i="4"/>
  <c r="AN22" i="4"/>
  <c r="AM22" i="4"/>
  <c r="AL22" i="4"/>
  <c r="AJ22" i="4"/>
  <c r="AI22" i="4"/>
  <c r="AH22" i="4"/>
  <c r="AG22" i="4"/>
  <c r="AF22" i="4"/>
  <c r="AC22" i="4"/>
  <c r="X18" i="4" l="1"/>
  <c r="W18" i="4"/>
  <c r="V18" i="4"/>
  <c r="U18" i="4"/>
  <c r="R18" i="4" l="1"/>
  <c r="Q18" i="4"/>
  <c r="P18" i="4"/>
  <c r="O18" i="4"/>
  <c r="N22" i="4"/>
  <c r="AC12" i="7" s="1"/>
  <c r="R22" i="4"/>
  <c r="Q22" i="4"/>
  <c r="P22" i="4"/>
  <c r="O22" i="4"/>
  <c r="N16" i="4"/>
  <c r="L22" i="4"/>
  <c r="K22" i="4"/>
  <c r="E31" i="4" s="1"/>
  <c r="M31" i="4" s="1"/>
  <c r="F22" i="4" s="1"/>
  <c r="F43" i="4" s="1"/>
  <c r="G43" i="4" s="1"/>
  <c r="I43" i="4" s="1"/>
  <c r="J43" i="4" s="1"/>
  <c r="M43" i="4" s="1"/>
  <c r="M47" i="4" s="1"/>
  <c r="H22" i="4"/>
  <c r="CC22" i="4"/>
  <c r="CA22" i="4"/>
  <c r="AR12" i="7" s="1"/>
  <c r="D22" i="4"/>
  <c r="C22" i="4"/>
  <c r="A22" i="4"/>
  <c r="M48" i="4" l="1"/>
  <c r="M49" i="4" s="1"/>
  <c r="L31" i="4"/>
  <c r="D31" i="4"/>
  <c r="A12" i="7"/>
  <c r="AS12" i="7"/>
  <c r="CB23" i="4"/>
  <c r="CB19" i="4"/>
  <c r="CB21" i="4"/>
  <c r="CB20" i="4"/>
  <c r="CB25" i="4"/>
  <c r="CB24" i="4"/>
  <c r="CB22" i="4"/>
  <c r="CF24" i="4" l="1"/>
  <c r="CH24" i="4"/>
  <c r="CD24" i="4"/>
  <c r="CH21" i="4"/>
  <c r="CF21" i="4"/>
  <c r="CD21" i="4"/>
  <c r="CD25" i="4"/>
  <c r="CH25" i="4"/>
  <c r="CF25" i="4"/>
  <c r="CF19" i="4"/>
  <c r="CD19" i="4"/>
  <c r="CH19" i="4"/>
  <c r="CD20" i="4"/>
  <c r="CH20" i="4"/>
  <c r="CF20" i="4"/>
  <c r="CD23" i="4"/>
  <c r="CH23" i="4"/>
  <c r="CF23" i="4"/>
  <c r="CD22" i="4"/>
  <c r="CF22" i="4"/>
  <c r="CH22" i="4"/>
  <c r="CI24" i="4" l="1"/>
  <c r="CK24" i="4" s="1"/>
  <c r="CI21" i="4"/>
  <c r="CK21" i="4" s="1"/>
  <c r="CI20" i="4"/>
  <c r="CI23" i="4"/>
  <c r="CI19" i="4"/>
  <c r="CI25" i="4"/>
  <c r="CI22" i="4"/>
  <c r="CM24" i="4" l="1"/>
  <c r="E24" i="4" s="1"/>
  <c r="CM21" i="4"/>
  <c r="E21" i="4" s="1"/>
  <c r="CK25" i="4"/>
  <c r="CM25" i="4"/>
  <c r="CM19" i="4"/>
  <c r="CK19" i="4"/>
  <c r="CM20" i="4"/>
  <c r="CK20" i="4"/>
  <c r="CK23" i="4"/>
  <c r="CM23" i="4"/>
  <c r="CK22" i="4"/>
  <c r="CM22" i="4"/>
  <c r="G21" i="4" l="1"/>
  <c r="I21" i="4" s="1"/>
  <c r="J21" i="4" s="1"/>
  <c r="M21" i="4" s="1"/>
  <c r="U11" i="7"/>
  <c r="AT11" i="7" s="1"/>
  <c r="G24" i="4"/>
  <c r="I24" i="4" s="1"/>
  <c r="J24" i="4" s="1"/>
  <c r="M24" i="4" s="1"/>
  <c r="U14" i="7"/>
  <c r="AT14" i="7" s="1"/>
  <c r="E20" i="4"/>
  <c r="E25" i="4"/>
  <c r="E19" i="4"/>
  <c r="E23" i="4"/>
  <c r="E22" i="4"/>
  <c r="U12" i="7" s="1"/>
  <c r="AT12" i="7" s="1"/>
  <c r="AU14" i="7" l="1"/>
  <c r="AY14" i="7" s="1"/>
  <c r="AU11" i="7"/>
  <c r="AY11" i="7" s="1"/>
  <c r="AU12" i="7"/>
  <c r="AY12" i="7" s="1"/>
  <c r="G25" i="4"/>
  <c r="I25" i="4" s="1"/>
  <c r="J25" i="4" s="1"/>
  <c r="M25" i="4" s="1"/>
  <c r="U15" i="7"/>
  <c r="AT15" i="7" s="1"/>
  <c r="G23" i="4"/>
  <c r="I23" i="4" s="1"/>
  <c r="J23" i="4" s="1"/>
  <c r="M23" i="4" s="1"/>
  <c r="U13" i="7"/>
  <c r="AT13" i="7" s="1"/>
  <c r="G19" i="4"/>
  <c r="I19" i="4" s="1"/>
  <c r="U9" i="7"/>
  <c r="AT9" i="7" s="1"/>
  <c r="G20" i="4"/>
  <c r="I20" i="4" s="1"/>
  <c r="J20" i="4" s="1"/>
  <c r="M20" i="4" s="1"/>
  <c r="U10" i="7"/>
  <c r="AT10" i="7" s="1"/>
  <c r="G22" i="4"/>
  <c r="I22" i="4" s="1"/>
  <c r="J22" i="4" s="1"/>
  <c r="M22" i="4" s="1"/>
  <c r="J19" i="4" l="1"/>
  <c r="M19" i="4" s="1"/>
  <c r="AU9" i="7"/>
  <c r="AY9" i="7" s="1"/>
  <c r="AU15" i="7"/>
  <c r="AY15" i="7" s="1"/>
  <c r="AU10" i="7"/>
  <c r="AY10" i="7" s="1"/>
  <c r="AU13" i="7"/>
  <c r="AY13"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7" authorId="0" shapeId="0" xr:uid="{E7FF4A01-19CB-4FEA-B63B-78A82FEED84F}">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<sst xmlns="http://schemas.openxmlformats.org/spreadsheetml/2006/main" count="448" uniqueCount="263">
  <si>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</si>
  <si>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</si>
  <si>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</si>
  <si>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</si>
  <si>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</si>
  <si>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</si>
  <si>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</si>
  <si>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</si>
  <si>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</si>
  <si>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</si>
  <si>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</si>
  <si>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</si>
  <si>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</si>
  <si>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</si>
  <si>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</si>
  <si>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</si>
  <si>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</si>
  <si>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</si>
  <si>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</si>
  <si>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</si>
  <si>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</si>
  <si>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</si>
  <si>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</si>
  <si>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</si>
  <si>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</si>
  <si>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</si>
  <si>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</si>
  <si>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</si>
  <si>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</si>
  <si>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</si>
  <si>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</si>
  <si>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</si>
  <si>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</si>
  <si>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</si>
  <si>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</si>
  <si>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</si>
  <si>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</si>
  <si>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</si>
  <si>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</si>
  <si>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</si>
  <si>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</si>
  <si>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</si>
  <si>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</si>
  <si>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</si>
  <si>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</si>
  <si>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</si>
  <si>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</si>
  <si>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</si>
  <si>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</si>
  <si>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</si>
  <si>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</si>
  <si>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</si>
  <si>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</si>
  <si>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</si>
  <si>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</si>
  <si>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</si>
  <si>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</si>
  <si>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</si>
  <si>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</si>
  <si>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</si>
  <si>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</si>
  <si>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</si>
  <si>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</si>
  <si>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</si>
  <si>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</si>
  <si>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</si>
  <si>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</si>
  <si>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</si>
  <si>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</si>
  <si>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</si>
  <si>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</si>
  <si>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</si>
  <si>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</si>
  <si>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</si>
  <si>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</si>
  <si>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</si>
  <si>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</si>
  <si>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</si>
  <si>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</si>
  <si>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</si>
  <si>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</si>
  <si>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</si>
  <si>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</si>
  <si>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</si>
  <si>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</si>
  <si>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</si>
  <si>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</si>
  <si>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</si>
  <si>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</si>
  <si>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</si>
  <si>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</si>
  <si>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</si>
  <si>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</si>
  <si>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</si>
  <si>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</si>
  <si>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</si>
  <si>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</si>
  <si>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</si>
  <si>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</si>
  <si>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</si>
  <si>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</si>
  <si>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</si>
  <si>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</si>
  <si>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</si>
  <si>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</si>
  <si>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</si>
  <si>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</si>
  <si>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</si>
  <si>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</si>
  <si>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</si>
  <si>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</si>
  <si>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</si>
  <si>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</si>
  <si>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</si>
  <si>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</si>
  <si>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</si>
  <si>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</si>
  <si>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</si>
  <si>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</si>
  <si>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</si>
  <si>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</si>
  <si>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</si>
  <si>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</si>
  <si>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</si>
  <si>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</si>
  <si>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</si>
  <si>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</si>
  <si>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</si>
  <si>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</si>
  <si>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</si>
  <si>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</si>
  <si>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</si>
  <si>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</si>
  <si>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</si>
  <si>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</si>
  <si>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</si>
  <si>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</si>
  <si>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</si>
  <si>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Out Line Agreement for 1 year for procurement of HT Cable of Various Ratings 11kV, 22kV, 33 kV for Mumbai Distribution. </t>
  </si>
  <si>
    <t xml:space="preserve">CC24VJS048 </t>
  </si>
  <si>
    <t>The Tata Power Company Limited (Tata Power)</t>
  </si>
  <si>
    <t>19th January 2024 by 15:00 Hrs.*</t>
  </si>
  <si>
    <t>Tata Power reserves the right to go for Reverse Auction (RA) for price negotiation and discover the most competitive price on ARIBA portal, Tata Power’s official e‐tendering platform. This will be decided after techno‐commercial evaluation of the bids. Bidders need to give their acceptance with the offer for participation in RA. Non‐acceptance to participate in RA may result in non‐consideration of their bids, in case Tata Power decides to go for RA. </t>
  </si>
  <si>
    <t>On Price Variation Basis.
Base circular shall be December 2023 circular issued in January 2024. Base month for Bid Price shall remain same throughout the negotiation process till Outline Agreement / Rate Contract is finalized. Base month circular has to be attached in the price bid. </t>
  </si>
  <si>
    <t>Bids shall remain valid for 180 days from the due date of submission of the bid. Notwithstanding clause above, Tata Power may solicit the Bidder’s consent to an extension of the Period of Bid Validity. The request and responses thereto shall be made in writing. </t>
  </si>
  <si>
    <t xml:space="preserve">The material should be delivered at TPC, Mumbai stores within 45 days from the date of manufacturing, same shall be checked during delivery and overdue material shall not be accepted. Bidders to plan the delivery accordingly. </t>
  </si>
  <si>
    <t>100% payment shall be made within 60 days from the receipt and acceptance of the material at the Consignee Stores/Site/Location as per the Contractual Terms and Conditions.</t>
  </si>
  <si>
    <t xml:space="preserve">The cable shall be supplied in continuous standard length of 250 mtrs (3 cores) &amp; 500 mtrs (Single core) running meters with +/- 5% tolerance. </t>
  </si>
  <si>
    <t>The cable shall be wound on non-returnable steel drums without any extra cost.</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</si>
  <si>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</si>
  <si>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</si>
  <si>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</si>
  <si>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</si>
  <si>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</si>
  <si>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</si>
  <si>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</si>
  <si>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</si>
  <si>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</si>
  <si>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</si>
  <si>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</si>
  <si>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</si>
  <si>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</si>
  <si>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</si>
  <si>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</si>
  <si>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</si>
  <si>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</si>
  <si>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</si>
  <si>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</si>
  <si>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ENQ-12006-22-23</t>
  </si>
  <si>
    <t>FA1300027</t>
  </si>
  <si>
    <t>1 CORE X 630 SQ. MM. AL/ARM (XLPE)  - 33 KV</t>
  </si>
  <si>
    <t>STEEL</t>
  </si>
  <si>
    <t>KMS</t>
  </si>
  <si>
    <t>SP0400123</t>
  </si>
  <si>
    <t>CORRUGATED DISPATCH STEEL DRUM 2000 X 1000 X 1200 MM</t>
  </si>
  <si>
    <t>FA1300020</t>
  </si>
  <si>
    <t>1 CORE X 185 SQ. MM. AL./ARM (XLPE)  - 11 KV</t>
  </si>
  <si>
    <t>SP0400125</t>
  </si>
  <si>
    <t>CORRUGATED DISPATCH STEEL DRUM 1600 X 700 X 915 MM</t>
  </si>
  <si>
    <t>FA1300066</t>
  </si>
  <si>
    <t>1 CORE X 1000 SQ. MM. AL/ARM (XLPE) - 11 KV</t>
  </si>
  <si>
    <t>SP0400107</t>
  </si>
  <si>
    <t>CORRUGATED DISPATCH STEEL DRUM 2150 X 1080 X 1240 MM</t>
  </si>
  <si>
    <t>FA1300122</t>
  </si>
  <si>
    <t>1 CORE X 185 SQ. MM. AL/ARM - WIRE (XLPE) - 22 KV</t>
  </si>
  <si>
    <t>FA1300202</t>
  </si>
  <si>
    <t>3 CORE X 240 SQ. MM. AL/ARM - WIRE (XLPE) - 22 KV</t>
  </si>
  <si>
    <t>SP0400081</t>
  </si>
  <si>
    <t>CORRUGATED DISPATCH STEEL  DRUM 2500 X 1400 X 1250 MM</t>
  </si>
  <si>
    <t>FA1300080</t>
  </si>
  <si>
    <t>3 CORE X 400 SQ. MM AL/ARM - WIRE (XLPE) - 33 KV</t>
  </si>
  <si>
    <t>Extruded Semiconductive</t>
  </si>
  <si>
    <t>SP0400137</t>
  </si>
  <si>
    <t>CORRUGATED DISPATCH STEEL DRUM 2600 X 1600 X 1600 MM</t>
  </si>
  <si>
    <t>FA1300091</t>
  </si>
  <si>
    <t>3 CORE X 300 SQ. MM. AL/ARM - WIRE (XLPE) - 11 KV</t>
  </si>
  <si>
    <t>Polypropylene Filler</t>
  </si>
  <si>
    <t>SP0400136</t>
  </si>
  <si>
    <t>CORRUGATED DISPATCH STEEL DRUM 2200 X 1300 X 1200 MM</t>
  </si>
  <si>
    <t>NCWBT</t>
  </si>
  <si>
    <t>PP FILLER</t>
  </si>
  <si>
    <t>LDPE TAPE</t>
  </si>
  <si>
    <t>PV FORMULA</t>
  </si>
  <si>
    <t/>
  </si>
  <si>
    <t>VALUE ADDITION CALCULATION</t>
  </si>
  <si>
    <t>Item</t>
  </si>
  <si>
    <t>Calculation part</t>
  </si>
  <si>
    <t>Applicable Date</t>
  </si>
  <si>
    <t>BASE DATE</t>
  </si>
  <si>
    <t>FACTORS</t>
  </si>
  <si>
    <t>Ex-Work
Po</t>
  </si>
  <si>
    <t>PVC of al</t>
  </si>
  <si>
    <t>PVC of Cu</t>
  </si>
  <si>
    <t>PVC of XLPE</t>
  </si>
  <si>
    <t>PVC OF PVC</t>
  </si>
  <si>
    <t>PVC OF FE</t>
  </si>
  <si>
    <t>PV/PKM</t>
  </si>
  <si>
    <t>Billing Price/PKM</t>
  </si>
  <si>
    <t>Date</t>
  </si>
  <si>
    <t>Al</t>
  </si>
  <si>
    <t>Cu</t>
  </si>
  <si>
    <t>Cc</t>
  </si>
  <si>
    <t>PVCc</t>
  </si>
  <si>
    <t>Fe</t>
  </si>
  <si>
    <t>Alo</t>
  </si>
  <si>
    <t>Cuo</t>
  </si>
  <si>
    <t>Cco</t>
  </si>
  <si>
    <t>PVCco</t>
  </si>
  <si>
    <t>Feo</t>
  </si>
  <si>
    <t>RMC</t>
  </si>
  <si>
    <t>Drum</t>
  </si>
  <si>
    <t>RMC+Drum</t>
  </si>
  <si>
    <t>VA</t>
  </si>
  <si>
    <t>Groos VA%</t>
  </si>
  <si>
    <t>Mfg %</t>
  </si>
  <si>
    <t>Int %</t>
  </si>
  <si>
    <t>Ins%</t>
  </si>
  <si>
    <t>Net VA</t>
  </si>
  <si>
    <t>Alf</t>
  </si>
  <si>
    <t>Smif/CuF</t>
  </si>
  <si>
    <t>XLFAL</t>
  </si>
  <si>
    <t>CCFAI/
CCFCu</t>
  </si>
  <si>
    <t>FeF</t>
  </si>
  <si>
    <t>Kg/Km</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</si>
  <si>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</si>
  <si>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</si>
  <si>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</si>
  <si>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</si>
  <si>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</si>
  <si>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</si>
  <si>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</si>
  <si>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</si>
  <si>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</si>
  <si>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28 MT TRAILER</t>
  </si>
  <si>
    <t>SOMBHU SIR CONFIRMED OVER PHONE</t>
  </si>
  <si>
    <t>AVG OF DEC'23</t>
  </si>
  <si>
    <t>EX-WORKS (PER MTR)</t>
  </si>
  <si>
    <t>FREIGHT PER MTR</t>
  </si>
  <si>
    <t>PRICE INCLUDING FREIGHT (PER MTR)</t>
  </si>
  <si>
    <t>PRICE INCLUDING GST &amp; FREIGHT (PER MTR)</t>
  </si>
  <si>
    <t>MTR</t>
  </si>
  <si>
    <t>GST 18%</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</si>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</sst>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 #,##0.00_ ;_ * \-#,##0.00_ ;_ * &quot;-&quot;??_ ;_ @_ "/>
    <numFmt numFmtId="165" formatCode="0.000%"/>
    <numFmt numFmtId="166" formatCode="&quot;Rs. &quot;#,##0.00"/>
    <numFmt numFmtId="167" formatCode="&quot;Rs.&quot;#,##0"/>
    <numFmt numFmtId="168" formatCode="0.0"/>
    <numFmt numFmtId="169" formatCode="0.000"/>
    <numFmt numFmtId="170" formatCode="0.0000"/>
    <numFmt numFmtId="171" formatCode="0.00000"/>
  </numFmts>
  <fonts count="21"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0"/>
      <name val="Verdana"/>
      <family val="2"/>
    </font>
    <font>
      <b/>
      <sz val="10"/>
      <name val="Calibri"/>
      <family val="2"/>
      <scheme val="minor"/>
    </font>
    <font>
      <sz val="10"/>
      <name val="Calibri"/>
      <family val="2"/>
      <scheme val="minor"/>
    </font>
    <font>
      <b/>
      <sz val="10"/>
      <color rgb="FF000000"/>
      <name val="Arial"/>
      <family val="2"/>
    </font>
    <font>
      <b/>
      <sz val="10"/>
      <name val="Arial"/>
      <family val="2"/>
    </font>
    <font>
      <sz val="10"/>
      <color rgb="FFFF0000"/>
      <name val="Calibri"/>
      <family val="2"/>
      <scheme val="minor"/>
    </font>
    <font>
      <b/>
      <sz val="9"/>
      <color indexed="81"/>
      <name val="Tahoma"/>
      <family val="2"/>
    </font>
    <font>
      <sz val="9"/>
      <color indexed="81"/>
      <name val="Tahoma"/>
      <family val="2"/>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00B0F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3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4" fontId="0" fillId="0" borderId="0" xfId="0" applyNumberFormat="1"/>
    <xf numFmtId="0" fontId="7" fillId="3" borderId="1" xfId="0" applyFont="1" applyFill="1" applyBorder="1" applyAlignment="1">
      <alignment vertical="center" wrapText="1"/>
    </xf>
    <xf numFmtId="164" fontId="4" fillId="6" borderId="1" xfId="1" applyFont="1" applyFill="1" applyBorder="1" applyAlignment="1">
      <alignment vertical="center" wrapText="1"/>
    </xf>
    <xf numFmtId="164" fontId="8" fillId="6" borderId="1" xfId="1" applyFont="1" applyFill="1" applyBorder="1" applyAlignment="1">
      <alignment vertical="center" wrapText="1"/>
    </xf>
    <xf numFmtId="164" fontId="7" fillId="6" borderId="1" xfId="1" applyFont="1" applyFill="1" applyBorder="1" applyAlignment="1">
      <alignment vertical="center" wrapText="1"/>
    </xf>
    <xf numFmtId="0" fontId="13" fillId="0" borderId="10" xfId="4" applyFont="1" applyBorder="1" applyAlignment="1">
      <alignment horizontal="center" vertical="center"/>
    </xf>
    <xf numFmtId="0" fontId="14" fillId="0" borderId="0" xfId="4" applyFont="1" applyAlignment="1">
      <alignment horizontal="center" vertical="center"/>
    </xf>
    <xf numFmtId="0" fontId="15" fillId="0" borderId="0" xfId="6" applyFont="1" applyAlignment="1">
      <alignment horizontal="center" vertical="center"/>
    </xf>
    <xf numFmtId="0" fontId="11" fillId="0" borderId="0" xfId="4" applyAlignment="1">
      <alignment horizontal="center" vertical="center"/>
    </xf>
    <xf numFmtId="0" fontId="14" fillId="0" borderId="0" xfId="4" applyFont="1" applyAlignment="1">
      <alignment horizontal="left" vertical="center" wrapText="1"/>
    </xf>
    <xf numFmtId="0" fontId="14" fillId="0" borderId="0" xfId="4" applyFont="1"/>
    <xf numFmtId="0" fontId="15" fillId="0" borderId="0" xfId="6" applyFont="1"/>
    <xf numFmtId="0" fontId="11" fillId="0" borderId="0" xfId="4"/>
    <xf numFmtId="0" fontId="16" fillId="0" borderId="0" xfId="0" applyFont="1" applyAlignment="1">
      <alignment horizontal="center" vertical="center"/>
    </xf>
    <xf numFmtId="166" fontId="14" fillId="0" borderId="0" xfId="4" applyNumberFormat="1" applyFont="1" applyAlignment="1">
      <alignment horizontal="center" vertical="center"/>
    </xf>
    <xf numFmtId="0" fontId="11" fillId="0" borderId="0" xfId="4" quotePrefix="1"/>
    <xf numFmtId="0" fontId="15" fillId="0" borderId="0" xfId="4" applyFont="1" applyAlignment="1">
      <alignment horizontal="center"/>
    </xf>
    <xf numFmtId="14" fontId="15" fillId="0" borderId="0" xfId="4" applyNumberFormat="1" applyFont="1" applyAlignment="1">
      <alignment horizontal="center"/>
    </xf>
    <xf numFmtId="0" fontId="14" fillId="0" borderId="0" xfId="4" applyFont="1" applyAlignment="1">
      <alignment vertical="center"/>
    </xf>
    <xf numFmtId="0" fontId="11" fillId="0" borderId="0" xfId="4" applyAlignment="1">
      <alignment horizontal="center"/>
    </xf>
    <xf numFmtId="0" fontId="14" fillId="0" borderId="1" xfId="6" applyFont="1" applyBorder="1" applyAlignment="1">
      <alignment horizontal="center" vertical="center" wrapText="1"/>
    </xf>
    <xf numFmtId="0" fontId="14" fillId="0" borderId="33" xfId="6" applyFont="1" applyBorder="1" applyAlignment="1">
      <alignment horizontal="center" vertical="center" wrapText="1"/>
    </xf>
    <xf numFmtId="0" fontId="14" fillId="0" borderId="34" xfId="6" applyFont="1" applyBorder="1" applyAlignment="1">
      <alignment horizontal="center" vertical="center" wrapText="1"/>
    </xf>
    <xf numFmtId="0" fontId="17" fillId="0" borderId="36" xfId="6" applyFont="1" applyBorder="1" applyAlignment="1">
      <alignment horizontal="center" vertical="center" wrapText="1"/>
    </xf>
    <xf numFmtId="0" fontId="17" fillId="0" borderId="24" xfId="6" applyFont="1" applyBorder="1" applyAlignment="1">
      <alignment horizontal="center" vertical="center" wrapText="1"/>
    </xf>
    <xf numFmtId="0" fontId="14" fillId="0" borderId="42" xfId="6" applyFont="1" applyBorder="1" applyAlignment="1">
      <alignment horizontal="center" vertical="center" wrapText="1"/>
    </xf>
    <xf numFmtId="0" fontId="14" fillId="0" borderId="43" xfId="6" applyFont="1" applyBorder="1" applyAlignment="1">
      <alignment horizontal="center" vertical="center" wrapText="1"/>
    </xf>
    <xf numFmtId="167" fontId="17" fillId="0" borderId="6" xfId="6" applyNumberFormat="1" applyFont="1" applyBorder="1" applyAlignment="1">
      <alignment horizontal="center" vertical="center" wrapText="1"/>
    </xf>
    <xf numFmtId="167" fontId="17" fillId="0" borderId="1" xfId="6" applyNumberFormat="1" applyFont="1" applyBorder="1" applyAlignment="1">
      <alignment horizontal="center"/>
    </xf>
    <xf numFmtId="167" fontId="17" fillId="0" borderId="1" xfId="6" applyNumberFormat="1" applyFont="1" applyBorder="1" applyAlignment="1">
      <alignment horizontal="center" vertical="center" wrapText="1"/>
    </xf>
    <xf numFmtId="0" fontId="11" fillId="0" borderId="28" xfId="4" applyBorder="1"/>
    <xf numFmtId="0" fontId="15" fillId="0" borderId="29" xfId="6" applyFont="1" applyBorder="1"/>
    <xf numFmtId="0" fontId="15" fillId="0" borderId="44" xfId="6" applyFont="1" applyBorder="1" applyAlignment="1">
      <alignment horizontal="left" vertical="center" wrapText="1"/>
    </xf>
    <xf numFmtId="14" fontId="15" fillId="0" borderId="34" xfId="6" applyNumberFormat="1" applyFont="1" applyBorder="1" applyAlignment="1">
      <alignment horizontal="center" vertical="center" wrapText="1"/>
    </xf>
    <xf numFmtId="14" fontId="15" fillId="0" borderId="26" xfId="6" applyNumberFormat="1" applyFont="1" applyBorder="1" applyAlignment="1">
      <alignment horizontal="center" vertical="center" wrapText="1"/>
    </xf>
    <xf numFmtId="14" fontId="15" fillId="0" borderId="0" xfId="6" applyNumberFormat="1" applyFont="1" applyAlignment="1">
      <alignment horizontal="center" vertical="center" wrapText="1"/>
    </xf>
    <xf numFmtId="14" fontId="15" fillId="0" borderId="2" xfId="6" applyNumberFormat="1" applyFont="1" applyBorder="1" applyAlignment="1">
      <alignment horizontal="center" vertical="center" wrapText="1"/>
    </xf>
    <xf numFmtId="14" fontId="15" fillId="0" borderId="25" xfId="6" applyNumberFormat="1" applyFont="1" applyBorder="1" applyAlignment="1">
      <alignment horizontal="center" vertical="center" wrapText="1"/>
    </xf>
    <xf numFmtId="14" fontId="15" fillId="0" borderId="33" xfId="6" applyNumberFormat="1" applyFont="1" applyBorder="1" applyAlignment="1">
      <alignment horizontal="center" vertical="center" wrapText="1"/>
    </xf>
    <xf numFmtId="14" fontId="15" fillId="0" borderId="35" xfId="6" applyNumberFormat="1" applyFont="1" applyBorder="1" applyAlignment="1">
      <alignment horizontal="center" vertical="center" wrapText="1"/>
    </xf>
    <xf numFmtId="14" fontId="15" fillId="0" borderId="1" xfId="6" applyNumberFormat="1" applyFont="1" applyBorder="1" applyAlignment="1">
      <alignment horizontal="center" vertical="center" wrapText="1"/>
    </xf>
    <xf numFmtId="14" fontId="15" fillId="0" borderId="27" xfId="6" applyNumberFormat="1" applyFont="1" applyBorder="1" applyAlignment="1">
      <alignment horizontal="center" vertical="center" wrapText="1"/>
    </xf>
    <xf numFmtId="2" fontId="14" fillId="0" borderId="45" xfId="6" applyNumberFormat="1" applyFont="1" applyBorder="1" applyAlignment="1">
      <alignment horizontal="center" vertical="center" wrapText="1"/>
    </xf>
    <xf numFmtId="0" fontId="15" fillId="0" borderId="1" xfId="6" applyFont="1" applyBorder="1" applyAlignment="1">
      <alignment horizontal="center" vertical="center" wrapText="1"/>
    </xf>
    <xf numFmtId="0" fontId="15" fillId="0" borderId="29" xfId="6" applyFont="1" applyBorder="1" applyAlignment="1">
      <alignment horizontal="center" vertical="center" wrapText="1"/>
    </xf>
    <xf numFmtId="167" fontId="17" fillId="0" borderId="46" xfId="6" applyNumberFormat="1" applyFont="1" applyBorder="1" applyAlignment="1">
      <alignment horizontal="center" vertical="center" wrapText="1"/>
    </xf>
    <xf numFmtId="167" fontId="17" fillId="0" borderId="47" xfId="6" applyNumberFormat="1" applyFont="1" applyBorder="1" applyAlignment="1">
      <alignment horizontal="center" vertical="center" wrapText="1"/>
    </xf>
    <xf numFmtId="0" fontId="11" fillId="0" borderId="49" xfId="4" applyBorder="1" applyAlignment="1">
      <alignment horizontal="center" vertical="center" wrapText="1"/>
    </xf>
    <xf numFmtId="0" fontId="11" fillId="0" borderId="28" xfId="4" applyBorder="1" applyAlignment="1">
      <alignment wrapText="1"/>
    </xf>
    <xf numFmtId="14" fontId="15" fillId="0" borderId="50" xfId="6" applyNumberFormat="1" applyFont="1" applyBorder="1" applyAlignment="1">
      <alignment horizontal="center" vertical="center" wrapText="1"/>
    </xf>
    <xf numFmtId="168" fontId="15" fillId="0" borderId="1" xfId="6" applyNumberFormat="1" applyFont="1" applyBorder="1" applyAlignment="1">
      <alignment horizontal="center" vertical="center" wrapText="1"/>
    </xf>
    <xf numFmtId="14" fontId="14" fillId="7" borderId="6" xfId="6" applyNumberFormat="1" applyFont="1" applyFill="1" applyBorder="1" applyAlignment="1">
      <alignment horizontal="center" vertical="center" wrapText="1"/>
    </xf>
    <xf numFmtId="169" fontId="15" fillId="0" borderId="6" xfId="6" applyNumberFormat="1" applyFont="1" applyBorder="1" applyAlignment="1">
      <alignment horizontal="center" vertical="center" wrapText="1"/>
    </xf>
    <xf numFmtId="170" fontId="15" fillId="0" borderId="4" xfId="6" applyNumberFormat="1" applyFont="1" applyBorder="1" applyAlignment="1">
      <alignment horizontal="center" vertical="center" wrapText="1"/>
    </xf>
    <xf numFmtId="169" fontId="15" fillId="0" borderId="1" xfId="6" applyNumberFormat="1" applyFont="1" applyBorder="1" applyAlignment="1">
      <alignment horizontal="center" vertical="center" wrapText="1"/>
    </xf>
    <xf numFmtId="169" fontId="15" fillId="0" borderId="3" xfId="6" applyNumberFormat="1" applyFont="1" applyBorder="1" applyAlignment="1">
      <alignment horizontal="center" vertical="center" wrapText="1"/>
    </xf>
    <xf numFmtId="170" fontId="15" fillId="0" borderId="4" xfId="6" applyNumberFormat="1" applyFont="1" applyBorder="1" applyAlignment="1">
      <alignment vertical="center" wrapText="1"/>
    </xf>
    <xf numFmtId="169" fontId="15" fillId="0" borderId="4" xfId="6" applyNumberFormat="1" applyFont="1" applyBorder="1" applyAlignment="1">
      <alignment horizontal="center" vertical="center" wrapText="1"/>
    </xf>
    <xf numFmtId="2" fontId="15" fillId="8" borderId="1" xfId="6" applyNumberFormat="1" applyFont="1" applyFill="1" applyBorder="1" applyAlignment="1">
      <alignment horizontal="center" vertical="center" wrapText="1"/>
    </xf>
    <xf numFmtId="2" fontId="15" fillId="9" borderId="50" xfId="6" applyNumberFormat="1" applyFont="1" applyFill="1" applyBorder="1" applyAlignment="1">
      <alignment horizontal="center" vertical="center" wrapText="1"/>
    </xf>
    <xf numFmtId="2" fontId="12" fillId="0" borderId="6" xfId="6" applyNumberFormat="1" applyBorder="1" applyAlignment="1">
      <alignment vertical="center"/>
    </xf>
    <xf numFmtId="2" fontId="12" fillId="0" borderId="1" xfId="6" applyNumberFormat="1" applyBorder="1" applyAlignment="1">
      <alignment vertical="center"/>
    </xf>
    <xf numFmtId="2" fontId="12" fillId="0" borderId="10" xfId="6" applyNumberFormat="1" applyBorder="1" applyAlignment="1">
      <alignment vertical="center"/>
    </xf>
    <xf numFmtId="2" fontId="17" fillId="0" borderId="1" xfId="6" applyNumberFormat="1" applyFont="1" applyBorder="1" applyAlignment="1">
      <alignment vertical="center"/>
    </xf>
    <xf numFmtId="2" fontId="17" fillId="0" borderId="27" xfId="6" applyNumberFormat="1" applyFont="1" applyBorder="1" applyAlignment="1">
      <alignment vertical="center"/>
    </xf>
    <xf numFmtId="0" fontId="11" fillId="0" borderId="39" xfId="4" applyBorder="1" applyAlignment="1">
      <alignment wrapText="1"/>
    </xf>
    <xf numFmtId="14" fontId="15" fillId="0" borderId="51" xfId="6" applyNumberFormat="1" applyFont="1" applyBorder="1" applyAlignment="1">
      <alignment horizontal="center" vertical="center" wrapText="1"/>
    </xf>
    <xf numFmtId="14" fontId="15" fillId="0" borderId="46" xfId="6" applyNumberFormat="1" applyFont="1" applyBorder="1" applyAlignment="1">
      <alignment horizontal="center" vertical="center" wrapText="1"/>
    </xf>
    <xf numFmtId="2" fontId="15" fillId="0" borderId="47" xfId="6" applyNumberFormat="1" applyFont="1" applyBorder="1" applyAlignment="1">
      <alignment horizontal="center" vertical="center" wrapText="1"/>
    </xf>
    <xf numFmtId="2" fontId="15" fillId="0" borderId="52" xfId="6" applyNumberFormat="1" applyFont="1" applyBorder="1" applyAlignment="1">
      <alignment horizontal="center" vertical="center" wrapText="1"/>
    </xf>
    <xf numFmtId="2" fontId="15" fillId="0" borderId="53" xfId="6" applyNumberFormat="1" applyFont="1" applyBorder="1" applyAlignment="1">
      <alignment horizontal="center" vertical="center" wrapText="1"/>
    </xf>
    <xf numFmtId="2" fontId="15" fillId="0" borderId="46" xfId="6" applyNumberFormat="1" applyFont="1" applyBorder="1" applyAlignment="1">
      <alignment horizontal="center" vertical="center" wrapText="1"/>
    </xf>
    <xf numFmtId="168" fontId="15" fillId="0" borderId="54" xfId="6" applyNumberFormat="1" applyFont="1" applyBorder="1" applyAlignment="1">
      <alignment horizontal="center" vertical="center" wrapText="1"/>
    </xf>
    <xf numFmtId="168" fontId="15" fillId="0" borderId="52" xfId="6" applyNumberFormat="1" applyFont="1" applyBorder="1" applyAlignment="1">
      <alignment horizontal="center" vertical="center" wrapText="1"/>
    </xf>
    <xf numFmtId="168" fontId="15" fillId="0" borderId="53" xfId="6" applyNumberFormat="1" applyFont="1" applyBorder="1" applyAlignment="1">
      <alignment horizontal="center" vertical="center" wrapText="1"/>
    </xf>
    <xf numFmtId="168" fontId="15" fillId="0" borderId="47" xfId="6" applyNumberFormat="1" applyFont="1" applyBorder="1" applyAlignment="1">
      <alignment horizontal="center" vertical="center" wrapText="1"/>
    </xf>
    <xf numFmtId="168" fontId="15" fillId="0" borderId="55" xfId="6" applyNumberFormat="1" applyFont="1" applyBorder="1" applyAlignment="1">
      <alignment horizontal="center" vertical="center" wrapText="1"/>
    </xf>
    <xf numFmtId="2" fontId="15" fillId="0" borderId="56" xfId="6" applyNumberFormat="1" applyFont="1" applyBorder="1" applyAlignment="1">
      <alignment horizontal="center" vertical="center" wrapText="1"/>
    </xf>
    <xf numFmtId="2" fontId="15" fillId="0" borderId="32" xfId="6" applyNumberFormat="1" applyFont="1" applyBorder="1" applyAlignment="1">
      <alignment horizontal="center" vertical="center" wrapText="1"/>
    </xf>
    <xf numFmtId="2" fontId="15" fillId="0" borderId="57" xfId="6" applyNumberFormat="1" applyFont="1" applyBorder="1" applyAlignment="1">
      <alignment horizontal="center" vertical="center" wrapText="1"/>
    </xf>
    <xf numFmtId="2" fontId="15" fillId="0" borderId="58" xfId="6" applyNumberFormat="1" applyFont="1" applyBorder="1" applyAlignment="1">
      <alignment horizontal="center" vertical="center" wrapText="1"/>
    </xf>
    <xf numFmtId="2" fontId="15" fillId="0" borderId="59" xfId="6" applyNumberFormat="1" applyFont="1" applyBorder="1" applyAlignment="1">
      <alignment horizontal="center" vertical="center" wrapText="1"/>
    </xf>
    <xf numFmtId="171" fontId="15" fillId="0" borderId="54" xfId="6" applyNumberFormat="1" applyFont="1" applyBorder="1" applyAlignment="1">
      <alignment vertical="center" wrapText="1"/>
    </xf>
    <xf numFmtId="171" fontId="15" fillId="0" borderId="47" xfId="6" applyNumberFormat="1" applyFont="1" applyBorder="1" applyAlignment="1">
      <alignment vertical="center" wrapText="1"/>
    </xf>
    <xf numFmtId="171" fontId="15" fillId="0" borderId="52" xfId="6" applyNumberFormat="1" applyFont="1" applyBorder="1" applyAlignment="1">
      <alignment vertical="center" wrapText="1"/>
    </xf>
    <xf numFmtId="170" fontId="15" fillId="0" borderId="53" xfId="6" applyNumberFormat="1" applyFont="1" applyBorder="1" applyAlignment="1">
      <alignment horizontal="center" vertical="center" wrapText="1"/>
    </xf>
    <xf numFmtId="2" fontId="15" fillId="0" borderId="51" xfId="6" applyNumberFormat="1" applyFont="1" applyBorder="1" applyAlignment="1">
      <alignment horizontal="center" vertical="center" wrapText="1"/>
    </xf>
    <xf numFmtId="0" fontId="11" fillId="0" borderId="31" xfId="4" applyBorder="1"/>
    <xf numFmtId="0" fontId="11" fillId="0" borderId="32" xfId="4" applyBorder="1"/>
    <xf numFmtId="0" fontId="11" fillId="0" borderId="60" xfId="4" applyBorder="1"/>
    <xf numFmtId="0" fontId="11" fillId="0" borderId="0" xfId="4" applyAlignment="1">
      <alignment wrapText="1"/>
    </xf>
    <xf numFmtId="0" fontId="13" fillId="0" borderId="0" xfId="4" applyFont="1"/>
    <xf numFmtId="2" fontId="11" fillId="0" borderId="0" xfId="4" applyNumberFormat="1"/>
    <xf numFmtId="168" fontId="15" fillId="0" borderId="50" xfId="6" applyNumberFormat="1" applyFont="1" applyBorder="1" applyAlignment="1">
      <alignment horizontal="center" vertical="center" wrapText="1"/>
    </xf>
    <xf numFmtId="168" fontId="18" fillId="0" borderId="1" xfId="6" applyNumberFormat="1" applyFont="1" applyBorder="1" applyAlignment="1">
      <alignment horizontal="center" vertical="center" wrapText="1"/>
    </xf>
    <xf numFmtId="2" fontId="18" fillId="0" borderId="1" xfId="6" applyNumberFormat="1" applyFont="1" applyBorder="1" applyAlignment="1">
      <alignment horizontal="center" vertical="center" wrapText="1"/>
    </xf>
    <xf numFmtId="0" fontId="2" fillId="0" borderId="1" xfId="0" applyFont="1" applyBorder="1" applyAlignment="1">
      <alignment horizontal="center" vertical="center"/>
    </xf>
    <xf numFmtId="0" fontId="2" fillId="10" borderId="1" xfId="0" applyFont="1" applyFill="1" applyBorder="1" applyAlignment="1">
      <alignment horizontal="center" vertical="center" wrapText="1"/>
    </xf>
    <xf numFmtId="0" fontId="2" fillId="8"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2" fillId="6"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0" applyFont="1"/>
    <xf numFmtId="164" fontId="2" fillId="0" borderId="0" xfId="0" applyNumberFormat="1" applyFont="1"/>
    <xf numFmtId="0" fontId="2" fillId="0" borderId="0" xfId="0" applyFont="1" applyAlignment="1">
      <alignment wrapText="1"/>
    </xf>
    <xf numFmtId="43" fontId="2" fillId="0" borderId="0" xfId="0" applyNumberFormat="1" applyFont="1"/>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17" fillId="0" borderId="37" xfId="6" applyFont="1" applyBorder="1" applyAlignment="1">
      <alignment horizontal="center" vertical="center" wrapText="1"/>
    </xf>
    <xf numFmtId="0" fontId="17" fillId="0" borderId="43" xfId="6" applyFont="1" applyBorder="1" applyAlignment="1">
      <alignment horizontal="center" vertical="center" wrapText="1"/>
    </xf>
    <xf numFmtId="0" fontId="17" fillId="0" borderId="48" xfId="6" applyFont="1" applyBorder="1" applyAlignment="1">
      <alignment horizontal="center" vertical="center" wrapText="1"/>
    </xf>
    <xf numFmtId="2" fontId="14" fillId="0" borderId="21" xfId="6" applyNumberFormat="1" applyFont="1" applyBorder="1" applyAlignment="1">
      <alignment horizontal="center" vertical="center" wrapText="1"/>
    </xf>
    <xf numFmtId="2" fontId="14" fillId="0" borderId="22" xfId="6" applyNumberFormat="1" applyFont="1" applyBorder="1" applyAlignment="1">
      <alignment horizontal="center" vertical="center" wrapText="1"/>
    </xf>
    <xf numFmtId="0" fontId="17" fillId="0" borderId="26" xfId="6" applyFont="1" applyBorder="1" applyAlignment="1">
      <alignment horizontal="center" vertical="center" wrapText="1"/>
    </xf>
    <xf numFmtId="0" fontId="17" fillId="0" borderId="34" xfId="6" applyFont="1" applyBorder="1" applyAlignment="1">
      <alignment horizontal="center" vertical="center" wrapText="1"/>
    </xf>
    <xf numFmtId="0" fontId="17" fillId="0" borderId="10" xfId="6" applyFont="1" applyBorder="1" applyAlignment="1">
      <alignment horizontal="center" vertical="center" wrapText="1"/>
    </xf>
    <xf numFmtId="0" fontId="14" fillId="0" borderId="2" xfId="6" applyFont="1" applyBorder="1" applyAlignment="1">
      <alignment horizontal="center" vertical="center" wrapText="1"/>
    </xf>
    <xf numFmtId="0" fontId="14" fillId="0" borderId="27" xfId="6" applyFont="1" applyBorder="1" applyAlignment="1">
      <alignment horizontal="center" vertical="center" wrapText="1"/>
    </xf>
    <xf numFmtId="0" fontId="14" fillId="0" borderId="17" xfId="6" applyFont="1" applyBorder="1" applyAlignment="1">
      <alignment horizontal="center" vertical="center" wrapText="1"/>
    </xf>
    <xf numFmtId="0" fontId="14" fillId="0" borderId="29" xfId="6" applyFont="1" applyBorder="1" applyAlignment="1">
      <alignment horizontal="center" vertical="center" wrapText="1"/>
    </xf>
    <xf numFmtId="0" fontId="14" fillId="0" borderId="40" xfId="6" applyFont="1" applyBorder="1" applyAlignment="1">
      <alignment horizontal="center" vertical="center" wrapText="1"/>
    </xf>
    <xf numFmtId="0" fontId="14" fillId="0" borderId="24" xfId="6" applyFont="1" applyBorder="1" applyAlignment="1">
      <alignment horizontal="center" vertical="center" wrapText="1"/>
    </xf>
    <xf numFmtId="0" fontId="14" fillId="0" borderId="34" xfId="6" applyFont="1" applyBorder="1" applyAlignment="1">
      <alignment horizontal="center" vertical="center" wrapText="1"/>
    </xf>
    <xf numFmtId="0" fontId="14" fillId="0" borderId="10" xfId="6" applyFont="1" applyBorder="1" applyAlignment="1">
      <alignment horizontal="center" vertical="center" wrapText="1"/>
    </xf>
    <xf numFmtId="0" fontId="14" fillId="0" borderId="1" xfId="6" applyFont="1" applyBorder="1" applyAlignment="1">
      <alignment horizontal="center" vertical="center" wrapText="1"/>
    </xf>
    <xf numFmtId="0" fontId="14" fillId="0" borderId="26" xfId="6" applyFont="1" applyBorder="1" applyAlignment="1">
      <alignment horizontal="center" vertical="center" wrapText="1"/>
    </xf>
    <xf numFmtId="14" fontId="13" fillId="5" borderId="11" xfId="4" applyNumberFormat="1" applyFont="1" applyFill="1" applyBorder="1" applyAlignment="1">
      <alignment horizontal="center" vertical="center"/>
    </xf>
    <xf numFmtId="0" fontId="13" fillId="5" borderId="12" xfId="4" applyFont="1" applyFill="1" applyBorder="1" applyAlignment="1">
      <alignment horizontal="center" vertical="center"/>
    </xf>
    <xf numFmtId="0" fontId="13" fillId="5" borderId="13" xfId="4" applyFont="1" applyFill="1" applyBorder="1" applyAlignment="1">
      <alignment horizontal="center" vertical="center"/>
    </xf>
    <xf numFmtId="0" fontId="14" fillId="0" borderId="1" xfId="4" applyFont="1" applyBorder="1" applyAlignment="1">
      <alignment horizontal="center" vertical="center"/>
    </xf>
    <xf numFmtId="0" fontId="17" fillId="0" borderId="5" xfId="6" applyFont="1" applyBorder="1" applyAlignment="1">
      <alignment horizontal="center" vertical="center"/>
    </xf>
    <xf numFmtId="0" fontId="17" fillId="0" borderId="14" xfId="6" applyFont="1" applyBorder="1" applyAlignment="1">
      <alignment horizontal="center" vertical="center"/>
    </xf>
    <xf numFmtId="0" fontId="17" fillId="0" borderId="15" xfId="6" applyFont="1" applyBorder="1" applyAlignment="1">
      <alignment horizontal="center" vertical="center"/>
    </xf>
    <xf numFmtId="0" fontId="17" fillId="0" borderId="25" xfId="6" applyFont="1" applyBorder="1" applyAlignment="1">
      <alignment horizontal="center" vertical="center"/>
    </xf>
    <xf numFmtId="0" fontId="17" fillId="0" borderId="26" xfId="6" applyFont="1" applyBorder="1" applyAlignment="1">
      <alignment horizontal="center" vertical="center"/>
    </xf>
    <xf numFmtId="0" fontId="17" fillId="0" borderId="1" xfId="6" applyFont="1" applyBorder="1" applyAlignment="1">
      <alignment horizontal="center" vertical="center"/>
    </xf>
    <xf numFmtId="0" fontId="17" fillId="0" borderId="27" xfId="6" applyFont="1" applyBorder="1" applyAlignment="1">
      <alignment horizontal="center" vertical="center"/>
    </xf>
    <xf numFmtId="0" fontId="13" fillId="0" borderId="16" xfId="4" applyFont="1" applyBorder="1" applyAlignment="1">
      <alignment horizontal="center" vertical="center"/>
    </xf>
    <xf numFmtId="0" fontId="13" fillId="0" borderId="28" xfId="4" applyFont="1" applyBorder="1" applyAlignment="1">
      <alignment horizontal="center" vertical="center"/>
    </xf>
    <xf numFmtId="0" fontId="13" fillId="0" borderId="38" xfId="4" applyFont="1" applyBorder="1" applyAlignment="1">
      <alignment horizontal="center" vertical="center"/>
    </xf>
    <xf numFmtId="0" fontId="13" fillId="0" borderId="16" xfId="4" applyFont="1" applyBorder="1" applyAlignment="1">
      <alignment horizontal="center" vertical="center" wrapText="1"/>
    </xf>
    <xf numFmtId="0" fontId="13" fillId="0" borderId="28" xfId="4" applyFont="1" applyBorder="1" applyAlignment="1">
      <alignment horizontal="center" vertical="center" wrapText="1"/>
    </xf>
    <xf numFmtId="0" fontId="13" fillId="0" borderId="39" xfId="4" applyFont="1" applyBorder="1" applyAlignment="1">
      <alignment horizontal="center" vertical="center" wrapText="1"/>
    </xf>
    <xf numFmtId="0" fontId="14" fillId="0" borderId="18" xfId="6" applyFont="1" applyBorder="1" applyAlignment="1">
      <alignment horizontal="center" vertical="center" wrapText="1"/>
    </xf>
    <xf numFmtId="0" fontId="14" fillId="0" borderId="19" xfId="6" applyFont="1" applyBorder="1" applyAlignment="1">
      <alignment horizontal="center" vertical="center" wrapText="1"/>
    </xf>
    <xf numFmtId="0" fontId="14" fillId="0" borderId="20" xfId="6" applyFont="1" applyBorder="1" applyAlignment="1">
      <alignment horizontal="center" vertical="center" wrapText="1"/>
    </xf>
    <xf numFmtId="0" fontId="14" fillId="0" borderId="21" xfId="6" applyFont="1" applyBorder="1" applyAlignment="1">
      <alignment horizontal="center" vertical="center" wrapText="1"/>
    </xf>
    <xf numFmtId="0" fontId="14" fillId="0" borderId="22" xfId="6" applyFont="1" applyBorder="1" applyAlignment="1">
      <alignment horizontal="center" vertical="center" wrapText="1"/>
    </xf>
    <xf numFmtId="0" fontId="14" fillId="0" borderId="31" xfId="6" applyFont="1" applyBorder="1" applyAlignment="1">
      <alignment horizontal="center" vertical="center" wrapText="1"/>
    </xf>
    <xf numFmtId="0" fontId="14" fillId="0" borderId="32" xfId="6" applyFont="1" applyBorder="1" applyAlignment="1">
      <alignment horizontal="center" vertical="center" wrapText="1"/>
    </xf>
    <xf numFmtId="0" fontId="14" fillId="0" borderId="16" xfId="6" applyFont="1" applyBorder="1" applyAlignment="1">
      <alignment horizontal="center" vertical="center" wrapText="1"/>
    </xf>
    <xf numFmtId="0" fontId="14" fillId="0" borderId="28" xfId="6" applyFont="1" applyBorder="1" applyAlignment="1">
      <alignment horizontal="center" vertical="center" wrapText="1"/>
    </xf>
    <xf numFmtId="0" fontId="14" fillId="0" borderId="38" xfId="6" applyFont="1" applyBorder="1" applyAlignment="1">
      <alignment horizontal="center" vertical="center" wrapText="1"/>
    </xf>
    <xf numFmtId="0" fontId="14" fillId="0" borderId="30" xfId="6" applyFont="1" applyBorder="1" applyAlignment="1">
      <alignment horizontal="center" vertical="center" wrapText="1"/>
    </xf>
    <xf numFmtId="0" fontId="14" fillId="0" borderId="41" xfId="6" applyFont="1" applyBorder="1" applyAlignment="1">
      <alignment horizontal="center" vertical="center" wrapText="1"/>
    </xf>
    <xf numFmtId="0" fontId="14" fillId="0" borderId="23" xfId="6" applyFont="1" applyBorder="1" applyAlignment="1">
      <alignment horizontal="center" vertical="center" wrapText="1"/>
    </xf>
    <xf numFmtId="0" fontId="14" fillId="0" borderId="33" xfId="6" applyFont="1" applyBorder="1" applyAlignment="1">
      <alignment horizontal="center" vertical="center" wrapText="1"/>
    </xf>
    <xf numFmtId="0" fontId="14" fillId="0" borderId="13" xfId="6" applyFont="1" applyBorder="1" applyAlignment="1">
      <alignment horizontal="center" vertical="center" wrapText="1"/>
    </xf>
    <xf numFmtId="0" fontId="14" fillId="0" borderId="6" xfId="6"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20"/>
  <sheetViews>
    <sheetView topLeftCell="BX1" workbookViewId="0">
      <selection sqref="A1:CX8"/>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8" customFormat="1" x14ac:dyDescent="0.25">
      <c r="A1" t="s">
        <v>0</v>
      </c>
      <c r="B1" t="s">
        <v>134</v>
      </c>
      <c r="C1" t="s">
        <v>1</v>
      </c>
      <c r="D1" t="s">
        <v>2</v>
      </c>
      <c r="E1" t="s">
        <v>135</v>
      </c>
      <c r="F1" t="s">
        <v>3</v>
      </c>
      <c r="G1" t="s">
        <v>149</v>
      </c>
      <c r="H1" t="s">
        <v>4</v>
      </c>
      <c r="I1" t="s">
        <v>5</v>
      </c>
      <c r="J1" t="s">
        <v>6</v>
      </c>
      <c r="K1" t="s">
        <v>150</v>
      </c>
      <c r="L1" t="s">
        <v>7</v>
      </c>
      <c r="M1" t="s">
        <v>8</v>
      </c>
      <c r="N1" t="s">
        <v>9</v>
      </c>
      <c r="O1" t="s">
        <v>151</v>
      </c>
      <c r="P1" t="s">
        <v>10</v>
      </c>
      <c r="Q1" t="s">
        <v>11</v>
      </c>
      <c r="R1" t="s">
        <v>12</v>
      </c>
      <c r="S1" t="s">
        <v>152</v>
      </c>
      <c r="T1" t="s">
        <v>13</v>
      </c>
      <c r="U1" t="s">
        <v>14</v>
      </c>
      <c r="V1" t="s">
        <v>15</v>
      </c>
      <c r="W1" t="s">
        <v>153</v>
      </c>
      <c r="X1" t="s">
        <v>16</v>
      </c>
      <c r="Y1" t="s">
        <v>17</v>
      </c>
      <c r="Z1" t="s">
        <v>18</v>
      </c>
      <c r="AA1" t="s">
        <v>154</v>
      </c>
      <c r="AB1" t="s">
        <v>19</v>
      </c>
      <c r="AC1" t="s">
        <v>20</v>
      </c>
      <c r="AD1" t="s">
        <v>21</v>
      </c>
      <c r="AE1" t="s">
        <v>155</v>
      </c>
      <c r="AF1" t="s">
        <v>22</v>
      </c>
      <c r="AG1" t="s">
        <v>23</v>
      </c>
      <c r="AH1" t="s">
        <v>24</v>
      </c>
      <c r="AI1" t="s">
        <v>156</v>
      </c>
      <c r="AJ1" t="s">
        <v>25</v>
      </c>
      <c r="AK1" t="s">
        <v>26</v>
      </c>
      <c r="AL1" t="s">
        <v>27</v>
      </c>
      <c r="AM1" t="s">
        <v>157</v>
      </c>
      <c r="AN1" t="s">
        <v>28</v>
      </c>
      <c r="AO1" t="s">
        <v>29</v>
      </c>
      <c r="AP1" t="s">
        <v>30</v>
      </c>
      <c r="AQ1" t="s">
        <v>158</v>
      </c>
      <c r="AR1" t="s">
        <v>31</v>
      </c>
      <c r="AS1" t="s">
        <v>32</v>
      </c>
      <c r="AT1" t="s">
        <v>33</v>
      </c>
      <c r="AU1" t="s">
        <v>159</v>
      </c>
      <c r="AV1" t="s">
        <v>34</v>
      </c>
      <c r="AW1" t="s">
        <v>35</v>
      </c>
      <c r="AX1" t="s">
        <v>36</v>
      </c>
      <c r="AY1" t="s">
        <v>160</v>
      </c>
      <c r="AZ1" t="s">
        <v>37</v>
      </c>
      <c r="BA1" t="s">
        <v>38</v>
      </c>
      <c r="BB1" t="s">
        <v>39</v>
      </c>
      <c r="BC1" t="s">
        <v>161</v>
      </c>
      <c r="BD1" t="s">
        <v>40</v>
      </c>
      <c r="BE1" t="s">
        <v>41</v>
      </c>
      <c r="BF1" t="s">
        <v>42</v>
      </c>
      <c r="BG1" t="s">
        <v>162</v>
      </c>
      <c r="BH1" t="s">
        <v>43</v>
      </c>
      <c r="BI1" t="s">
        <v>44</v>
      </c>
      <c r="BJ1" t="s">
        <v>45</v>
      </c>
      <c r="BK1" t="s">
        <v>163</v>
      </c>
      <c r="BL1" t="s">
        <v>46</v>
      </c>
      <c r="BM1" t="s">
        <v>47</v>
      </c>
      <c r="BN1" t="s">
        <v>48</v>
      </c>
      <c r="BO1" t="s">
        <v>164</v>
      </c>
      <c r="BP1" t="s">
        <v>49</v>
      </c>
      <c r="BQ1" t="s">
        <v>50</v>
      </c>
      <c r="BR1" t="s">
        <v>51</v>
      </c>
      <c r="BS1" t="s">
        <v>165</v>
      </c>
      <c r="BT1" t="s">
        <v>52</v>
      </c>
      <c r="BU1" t="s">
        <v>53</v>
      </c>
      <c r="BV1" t="s">
        <v>54</v>
      </c>
      <c r="BW1" t="s">
        <v>166</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136</v>
      </c>
      <c r="CW1" t="s">
        <v>137</v>
      </c>
      <c r="CX1" t="s">
        <v>167</v>
      </c>
    </row>
    <row r="2" spans="1:102" x14ac:dyDescent="0.25">
      <c r="A2" t="s">
        <v>168</v>
      </c>
      <c r="B2" s="54">
        <v>45261</v>
      </c>
      <c r="C2" t="s">
        <v>169</v>
      </c>
      <c r="D2" t="s">
        <v>170</v>
      </c>
      <c r="E2" t="s">
        <v>171</v>
      </c>
      <c r="F2" t="s">
        <v>108</v>
      </c>
      <c r="G2">
        <v>853.6</v>
      </c>
      <c r="H2">
        <v>68.736999999999995</v>
      </c>
      <c r="I2">
        <v>58673.91</v>
      </c>
      <c r="J2" t="s">
        <v>80</v>
      </c>
      <c r="K2">
        <v>217</v>
      </c>
      <c r="L2">
        <v>1701</v>
      </c>
      <c r="M2">
        <v>369117</v>
      </c>
      <c r="P2">
        <v>0</v>
      </c>
      <c r="R2" t="s">
        <v>95</v>
      </c>
      <c r="S2">
        <v>200</v>
      </c>
      <c r="T2">
        <v>172</v>
      </c>
      <c r="U2">
        <v>34400</v>
      </c>
      <c r="V2" t="s">
        <v>90</v>
      </c>
      <c r="W2">
        <v>145</v>
      </c>
      <c r="X2">
        <v>1040</v>
      </c>
      <c r="Y2">
        <v>150800</v>
      </c>
      <c r="AB2">
        <v>0</v>
      </c>
      <c r="AD2" t="s">
        <v>116</v>
      </c>
      <c r="AE2">
        <v>86</v>
      </c>
      <c r="AF2">
        <v>193</v>
      </c>
      <c r="AG2">
        <v>16598</v>
      </c>
      <c r="AH2" t="s">
        <v>106</v>
      </c>
      <c r="AI2">
        <v>222</v>
      </c>
      <c r="AJ2">
        <v>800</v>
      </c>
      <c r="AK2">
        <v>177600</v>
      </c>
      <c r="AL2" t="s">
        <v>87</v>
      </c>
      <c r="AM2">
        <v>58.2</v>
      </c>
      <c r="AN2">
        <v>738</v>
      </c>
      <c r="AO2">
        <v>42951.6</v>
      </c>
      <c r="AR2">
        <v>0</v>
      </c>
      <c r="AV2">
        <v>0</v>
      </c>
      <c r="AX2" t="s">
        <v>36</v>
      </c>
      <c r="AY2">
        <v>447</v>
      </c>
      <c r="AZ2">
        <v>0</v>
      </c>
      <c r="BA2">
        <v>0</v>
      </c>
      <c r="BB2" t="s">
        <v>39</v>
      </c>
      <c r="BC2">
        <v>450</v>
      </c>
      <c r="BD2">
        <v>0</v>
      </c>
      <c r="BE2">
        <v>0</v>
      </c>
      <c r="BH2">
        <v>0</v>
      </c>
      <c r="BL2">
        <v>0</v>
      </c>
      <c r="BP2">
        <v>0</v>
      </c>
      <c r="BR2" t="s">
        <v>51</v>
      </c>
      <c r="BS2">
        <v>450</v>
      </c>
      <c r="BT2">
        <v>0</v>
      </c>
      <c r="BU2">
        <v>0</v>
      </c>
      <c r="BX2">
        <v>0</v>
      </c>
      <c r="BZ2">
        <v>53200</v>
      </c>
      <c r="CA2">
        <v>903340.51</v>
      </c>
      <c r="CH2">
        <v>903340.51</v>
      </c>
      <c r="CM2">
        <v>903340.51</v>
      </c>
      <c r="CO2">
        <v>903340.51</v>
      </c>
      <c r="CP2" s="55">
        <v>0.18</v>
      </c>
      <c r="CQ2">
        <v>162601.29</v>
      </c>
      <c r="CR2">
        <v>1065941.8</v>
      </c>
      <c r="CS2">
        <v>1</v>
      </c>
      <c r="CT2" t="s">
        <v>172</v>
      </c>
      <c r="CU2" s="56">
        <v>1065942</v>
      </c>
      <c r="CV2" t="s">
        <v>173</v>
      </c>
      <c r="CW2" t="s">
        <v>174</v>
      </c>
      <c r="CX2">
        <v>500</v>
      </c>
    </row>
    <row r="3" spans="1:102" x14ac:dyDescent="0.25">
      <c r="A3" t="s">
        <v>168</v>
      </c>
      <c r="B3" s="54">
        <v>45261</v>
      </c>
      <c r="C3" t="s">
        <v>175</v>
      </c>
      <c r="D3" t="s">
        <v>176</v>
      </c>
      <c r="E3" t="s">
        <v>171</v>
      </c>
      <c r="F3" t="s">
        <v>108</v>
      </c>
      <c r="G3">
        <v>853.6</v>
      </c>
      <c r="H3">
        <v>35.159999999999997</v>
      </c>
      <c r="I3">
        <v>30012.58</v>
      </c>
      <c r="J3" t="s">
        <v>80</v>
      </c>
      <c r="K3">
        <v>217</v>
      </c>
      <c r="L3">
        <v>499.5</v>
      </c>
      <c r="M3">
        <v>108391.5</v>
      </c>
      <c r="P3">
        <v>0</v>
      </c>
      <c r="R3" t="s">
        <v>95</v>
      </c>
      <c r="S3">
        <v>200</v>
      </c>
      <c r="T3">
        <v>92</v>
      </c>
      <c r="U3">
        <v>18400</v>
      </c>
      <c r="V3" t="s">
        <v>90</v>
      </c>
      <c r="W3">
        <v>145</v>
      </c>
      <c r="X3">
        <v>221</v>
      </c>
      <c r="Y3">
        <v>32045</v>
      </c>
      <c r="AB3">
        <v>0</v>
      </c>
      <c r="AD3" t="s">
        <v>116</v>
      </c>
      <c r="AE3">
        <v>86</v>
      </c>
      <c r="AF3">
        <v>75</v>
      </c>
      <c r="AG3">
        <v>6450</v>
      </c>
      <c r="AH3" t="s">
        <v>106</v>
      </c>
      <c r="AI3">
        <v>222</v>
      </c>
      <c r="AJ3">
        <v>335</v>
      </c>
      <c r="AK3">
        <v>74370</v>
      </c>
      <c r="AL3" t="s">
        <v>87</v>
      </c>
      <c r="AM3">
        <v>58.2</v>
      </c>
      <c r="AN3">
        <v>280</v>
      </c>
      <c r="AO3">
        <v>16296</v>
      </c>
      <c r="AR3">
        <v>0</v>
      </c>
      <c r="AV3">
        <v>0</v>
      </c>
      <c r="AX3" t="s">
        <v>36</v>
      </c>
      <c r="AY3">
        <v>447</v>
      </c>
      <c r="AZ3">
        <v>0</v>
      </c>
      <c r="BA3">
        <v>0</v>
      </c>
      <c r="BB3" t="s">
        <v>39</v>
      </c>
      <c r="BC3">
        <v>450</v>
      </c>
      <c r="BD3">
        <v>0</v>
      </c>
      <c r="BE3">
        <v>0</v>
      </c>
      <c r="BH3">
        <v>0</v>
      </c>
      <c r="BL3">
        <v>0</v>
      </c>
      <c r="BP3">
        <v>0</v>
      </c>
      <c r="BR3" t="s">
        <v>51</v>
      </c>
      <c r="BS3">
        <v>450</v>
      </c>
      <c r="BT3">
        <v>0</v>
      </c>
      <c r="BU3">
        <v>0</v>
      </c>
      <c r="BX3">
        <v>0</v>
      </c>
      <c r="BZ3">
        <v>41800</v>
      </c>
      <c r="CA3">
        <v>327765.08</v>
      </c>
      <c r="CH3">
        <v>327765.08</v>
      </c>
      <c r="CM3">
        <v>327765.08</v>
      </c>
      <c r="CO3">
        <v>327765.08</v>
      </c>
      <c r="CP3" s="55">
        <v>0.18</v>
      </c>
      <c r="CQ3">
        <v>58997.71</v>
      </c>
      <c r="CR3">
        <v>386762.79</v>
      </c>
      <c r="CS3">
        <v>3</v>
      </c>
      <c r="CT3" t="s">
        <v>172</v>
      </c>
      <c r="CU3" s="56">
        <v>1160288</v>
      </c>
      <c r="CV3" t="s">
        <v>177</v>
      </c>
      <c r="CW3" t="s">
        <v>178</v>
      </c>
      <c r="CX3">
        <v>500</v>
      </c>
    </row>
    <row r="4" spans="1:102" x14ac:dyDescent="0.25">
      <c r="A4" t="s">
        <v>168</v>
      </c>
      <c r="B4" s="54">
        <v>45261</v>
      </c>
      <c r="C4" t="s">
        <v>179</v>
      </c>
      <c r="D4" t="s">
        <v>180</v>
      </c>
      <c r="E4" t="s">
        <v>171</v>
      </c>
      <c r="F4" t="s">
        <v>108</v>
      </c>
      <c r="G4">
        <v>853.6</v>
      </c>
      <c r="H4">
        <v>66.388000000000005</v>
      </c>
      <c r="I4">
        <v>56668.800000000003</v>
      </c>
      <c r="J4" t="s">
        <v>80</v>
      </c>
      <c r="K4">
        <v>217</v>
      </c>
      <c r="L4">
        <v>2732</v>
      </c>
      <c r="M4">
        <v>592844</v>
      </c>
      <c r="P4">
        <v>0</v>
      </c>
      <c r="R4" t="s">
        <v>95</v>
      </c>
      <c r="S4">
        <v>200</v>
      </c>
      <c r="T4">
        <v>200</v>
      </c>
      <c r="U4">
        <v>40000</v>
      </c>
      <c r="V4" t="s">
        <v>90</v>
      </c>
      <c r="W4">
        <v>145</v>
      </c>
      <c r="X4">
        <v>465</v>
      </c>
      <c r="Y4">
        <v>67425</v>
      </c>
      <c r="Z4" t="s">
        <v>18</v>
      </c>
      <c r="AA4">
        <v>123</v>
      </c>
      <c r="AB4">
        <v>0</v>
      </c>
      <c r="AC4">
        <v>0</v>
      </c>
      <c r="AD4" t="s">
        <v>116</v>
      </c>
      <c r="AE4">
        <v>86</v>
      </c>
      <c r="AF4">
        <v>185</v>
      </c>
      <c r="AG4">
        <v>15910</v>
      </c>
      <c r="AH4" t="s">
        <v>106</v>
      </c>
      <c r="AI4">
        <v>222</v>
      </c>
      <c r="AJ4">
        <v>773</v>
      </c>
      <c r="AK4">
        <v>171606</v>
      </c>
      <c r="AL4" t="s">
        <v>100</v>
      </c>
      <c r="AM4">
        <v>91</v>
      </c>
      <c r="AN4">
        <v>655</v>
      </c>
      <c r="AO4">
        <v>59605</v>
      </c>
      <c r="AR4">
        <v>0</v>
      </c>
      <c r="AV4">
        <v>0</v>
      </c>
      <c r="AX4" t="s">
        <v>36</v>
      </c>
      <c r="AY4">
        <v>447</v>
      </c>
      <c r="AZ4">
        <v>0</v>
      </c>
      <c r="BA4">
        <v>0</v>
      </c>
      <c r="BD4">
        <v>99</v>
      </c>
      <c r="BF4" t="s">
        <v>42</v>
      </c>
      <c r="BG4">
        <v>550</v>
      </c>
      <c r="BH4">
        <v>59</v>
      </c>
      <c r="BI4" s="57">
        <v>32450</v>
      </c>
      <c r="BL4">
        <v>0</v>
      </c>
      <c r="BP4">
        <v>0</v>
      </c>
      <c r="BR4" t="s">
        <v>51</v>
      </c>
      <c r="BS4">
        <v>450</v>
      </c>
      <c r="BT4">
        <v>52</v>
      </c>
      <c r="BU4" s="57">
        <v>23400</v>
      </c>
      <c r="BX4">
        <v>0</v>
      </c>
      <c r="BZ4">
        <v>66500</v>
      </c>
      <c r="CA4">
        <v>1126408.8</v>
      </c>
      <c r="CH4">
        <v>1126408.8</v>
      </c>
      <c r="CM4">
        <v>1126408.8</v>
      </c>
      <c r="CO4">
        <v>1126408.8</v>
      </c>
      <c r="CP4" s="55">
        <v>0.18</v>
      </c>
      <c r="CQ4">
        <v>202753.58</v>
      </c>
      <c r="CR4">
        <v>1329162.3799999999</v>
      </c>
      <c r="CS4">
        <v>3</v>
      </c>
      <c r="CT4" t="s">
        <v>172</v>
      </c>
      <c r="CU4" s="56">
        <v>3987487</v>
      </c>
      <c r="CV4" t="s">
        <v>181</v>
      </c>
      <c r="CW4" t="s">
        <v>182</v>
      </c>
      <c r="CX4">
        <v>500</v>
      </c>
    </row>
    <row r="5" spans="1:102" x14ac:dyDescent="0.25">
      <c r="A5" t="s">
        <v>168</v>
      </c>
      <c r="B5" s="54">
        <v>45261</v>
      </c>
      <c r="C5" t="s">
        <v>183</v>
      </c>
      <c r="D5" t="s">
        <v>184</v>
      </c>
      <c r="E5" t="s">
        <v>171</v>
      </c>
      <c r="F5" t="s">
        <v>108</v>
      </c>
      <c r="G5">
        <v>853.6</v>
      </c>
      <c r="H5">
        <v>41.792000000000002</v>
      </c>
      <c r="I5">
        <v>35673.660000000003</v>
      </c>
      <c r="J5" t="s">
        <v>80</v>
      </c>
      <c r="K5">
        <v>217</v>
      </c>
      <c r="L5">
        <v>499.5</v>
      </c>
      <c r="M5">
        <v>108391.5</v>
      </c>
      <c r="P5">
        <v>0</v>
      </c>
      <c r="R5" t="s">
        <v>95</v>
      </c>
      <c r="S5">
        <v>200</v>
      </c>
      <c r="T5">
        <v>82</v>
      </c>
      <c r="U5">
        <v>16400</v>
      </c>
      <c r="V5" t="s">
        <v>90</v>
      </c>
      <c r="W5">
        <v>145</v>
      </c>
      <c r="X5">
        <v>419</v>
      </c>
      <c r="Y5">
        <v>60755</v>
      </c>
      <c r="AB5">
        <v>0</v>
      </c>
      <c r="AD5" t="s">
        <v>116</v>
      </c>
      <c r="AE5">
        <v>86</v>
      </c>
      <c r="AF5">
        <v>102</v>
      </c>
      <c r="AG5">
        <v>8772</v>
      </c>
      <c r="AH5" t="s">
        <v>106</v>
      </c>
      <c r="AI5">
        <v>222</v>
      </c>
      <c r="AJ5">
        <v>380</v>
      </c>
      <c r="AK5">
        <v>84360</v>
      </c>
      <c r="AL5" t="s">
        <v>87</v>
      </c>
      <c r="AM5">
        <v>58.2</v>
      </c>
      <c r="AN5">
        <v>284</v>
      </c>
      <c r="AO5">
        <v>16528.8</v>
      </c>
      <c r="AR5">
        <v>0</v>
      </c>
      <c r="AV5">
        <v>0</v>
      </c>
      <c r="AX5" t="s">
        <v>36</v>
      </c>
      <c r="AY5">
        <v>447</v>
      </c>
      <c r="AZ5">
        <v>0</v>
      </c>
      <c r="BA5">
        <v>0</v>
      </c>
      <c r="BB5" t="s">
        <v>39</v>
      </c>
      <c r="BC5">
        <v>450</v>
      </c>
      <c r="BD5">
        <v>0</v>
      </c>
      <c r="BE5">
        <v>0</v>
      </c>
      <c r="BH5">
        <v>0</v>
      </c>
      <c r="BL5">
        <v>0</v>
      </c>
      <c r="BP5">
        <v>0</v>
      </c>
      <c r="BR5" t="s">
        <v>51</v>
      </c>
      <c r="BS5">
        <v>450</v>
      </c>
      <c r="BT5">
        <v>0</v>
      </c>
      <c r="BU5">
        <v>0</v>
      </c>
      <c r="BX5">
        <v>0</v>
      </c>
      <c r="BZ5">
        <v>41800</v>
      </c>
      <c r="CA5">
        <v>372680.96000000002</v>
      </c>
      <c r="CH5">
        <v>372680.96000000002</v>
      </c>
      <c r="CM5">
        <v>372680.96000000002</v>
      </c>
      <c r="CO5">
        <v>372680.96000000002</v>
      </c>
      <c r="CP5" s="55">
        <v>0.18</v>
      </c>
      <c r="CQ5">
        <v>67082.570000000007</v>
      </c>
      <c r="CR5">
        <v>439763.53</v>
      </c>
      <c r="CS5">
        <v>3</v>
      </c>
      <c r="CT5" t="s">
        <v>172</v>
      </c>
      <c r="CU5" s="56">
        <v>1319291</v>
      </c>
      <c r="CV5" t="s">
        <v>177</v>
      </c>
      <c r="CW5" t="s">
        <v>178</v>
      </c>
      <c r="CX5">
        <v>500</v>
      </c>
    </row>
    <row r="6" spans="1:102" x14ac:dyDescent="0.25">
      <c r="A6" t="s">
        <v>168</v>
      </c>
      <c r="B6" s="54">
        <v>45261</v>
      </c>
      <c r="C6" t="s">
        <v>185</v>
      </c>
      <c r="D6" t="s">
        <v>186</v>
      </c>
      <c r="E6" t="s">
        <v>171</v>
      </c>
      <c r="F6" t="s">
        <v>108</v>
      </c>
      <c r="G6">
        <v>853.6</v>
      </c>
      <c r="H6">
        <v>134.495</v>
      </c>
      <c r="I6">
        <v>114804.94</v>
      </c>
      <c r="J6" t="s">
        <v>80</v>
      </c>
      <c r="K6">
        <v>217</v>
      </c>
      <c r="L6">
        <v>1944</v>
      </c>
      <c r="M6">
        <v>421848</v>
      </c>
      <c r="P6">
        <v>0</v>
      </c>
      <c r="R6" t="s">
        <v>95</v>
      </c>
      <c r="S6">
        <v>200</v>
      </c>
      <c r="T6">
        <v>272</v>
      </c>
      <c r="U6">
        <v>54400</v>
      </c>
      <c r="V6" t="s">
        <v>90</v>
      </c>
      <c r="W6">
        <v>145</v>
      </c>
      <c r="X6">
        <v>1375</v>
      </c>
      <c r="Y6">
        <v>199375</v>
      </c>
      <c r="AB6">
        <v>0</v>
      </c>
      <c r="AD6" t="s">
        <v>116</v>
      </c>
      <c r="AE6">
        <v>86</v>
      </c>
      <c r="AF6">
        <v>268</v>
      </c>
      <c r="AG6">
        <v>23048</v>
      </c>
      <c r="AH6" t="s">
        <v>120</v>
      </c>
      <c r="AI6">
        <v>87</v>
      </c>
      <c r="AJ6">
        <v>4982</v>
      </c>
      <c r="AK6">
        <v>433434</v>
      </c>
      <c r="AL6" t="s">
        <v>87</v>
      </c>
      <c r="AM6">
        <v>58.2</v>
      </c>
      <c r="AN6">
        <v>1170</v>
      </c>
      <c r="AO6">
        <v>68094</v>
      </c>
      <c r="AP6" t="s">
        <v>30</v>
      </c>
      <c r="AQ6">
        <v>28.5</v>
      </c>
      <c r="AR6">
        <v>1399</v>
      </c>
      <c r="AS6">
        <v>39871.5</v>
      </c>
      <c r="AV6">
        <v>0</v>
      </c>
      <c r="AX6" t="s">
        <v>36</v>
      </c>
      <c r="AY6">
        <v>447</v>
      </c>
      <c r="AZ6">
        <v>0</v>
      </c>
      <c r="BA6">
        <v>0</v>
      </c>
      <c r="BB6" t="s">
        <v>39</v>
      </c>
      <c r="BC6">
        <v>450</v>
      </c>
      <c r="BD6">
        <v>0</v>
      </c>
      <c r="BE6">
        <v>0</v>
      </c>
      <c r="BH6">
        <v>0</v>
      </c>
      <c r="BL6">
        <v>0</v>
      </c>
      <c r="BP6">
        <v>0</v>
      </c>
      <c r="BR6" t="s">
        <v>51</v>
      </c>
      <c r="BS6">
        <v>450</v>
      </c>
      <c r="BT6">
        <v>0</v>
      </c>
      <c r="BU6">
        <v>0</v>
      </c>
      <c r="BX6">
        <v>0</v>
      </c>
      <c r="BZ6">
        <v>193800</v>
      </c>
      <c r="CA6">
        <v>1548675.44</v>
      </c>
      <c r="CH6">
        <v>1548675.44</v>
      </c>
      <c r="CM6">
        <v>1548675.44</v>
      </c>
      <c r="CO6">
        <v>1548675.44</v>
      </c>
      <c r="CP6" s="55">
        <v>0.18</v>
      </c>
      <c r="CQ6">
        <v>278761.58</v>
      </c>
      <c r="CR6">
        <v>1827437.02</v>
      </c>
      <c r="CS6">
        <v>30</v>
      </c>
      <c r="CT6" t="s">
        <v>172</v>
      </c>
      <c r="CU6" s="56">
        <v>54823111</v>
      </c>
      <c r="CV6" t="s">
        <v>187</v>
      </c>
      <c r="CW6" t="s">
        <v>188</v>
      </c>
      <c r="CX6">
        <v>250</v>
      </c>
    </row>
    <row r="7" spans="1:102" x14ac:dyDescent="0.25">
      <c r="A7" t="s">
        <v>168</v>
      </c>
      <c r="B7" s="54">
        <v>45261</v>
      </c>
      <c r="C7" t="s">
        <v>189</v>
      </c>
      <c r="D7" t="s">
        <v>190</v>
      </c>
      <c r="E7" t="s">
        <v>171</v>
      </c>
      <c r="F7" t="s">
        <v>108</v>
      </c>
      <c r="G7">
        <v>853.6</v>
      </c>
      <c r="H7">
        <v>179.26499999999999</v>
      </c>
      <c r="I7">
        <v>153020.60999999999</v>
      </c>
      <c r="J7" t="s">
        <v>80</v>
      </c>
      <c r="K7">
        <v>217</v>
      </c>
      <c r="L7">
        <v>3240</v>
      </c>
      <c r="M7">
        <v>703080</v>
      </c>
      <c r="P7">
        <v>0</v>
      </c>
      <c r="R7" t="s">
        <v>191</v>
      </c>
      <c r="S7">
        <v>190</v>
      </c>
      <c r="T7">
        <v>427</v>
      </c>
      <c r="U7">
        <v>81130</v>
      </c>
      <c r="V7" t="s">
        <v>90</v>
      </c>
      <c r="W7">
        <v>145</v>
      </c>
      <c r="X7">
        <v>2621</v>
      </c>
      <c r="Y7">
        <v>380045</v>
      </c>
      <c r="AB7">
        <v>0</v>
      </c>
      <c r="AD7" t="s">
        <v>116</v>
      </c>
      <c r="AE7">
        <v>86</v>
      </c>
      <c r="AF7">
        <v>405</v>
      </c>
      <c r="AG7">
        <v>34830</v>
      </c>
      <c r="AH7" t="s">
        <v>120</v>
      </c>
      <c r="AI7">
        <v>87</v>
      </c>
      <c r="AJ7">
        <v>6975</v>
      </c>
      <c r="AK7">
        <v>606825</v>
      </c>
      <c r="AL7" t="s">
        <v>100</v>
      </c>
      <c r="AM7">
        <v>91</v>
      </c>
      <c r="AN7">
        <v>1660</v>
      </c>
      <c r="AO7">
        <v>151060</v>
      </c>
      <c r="AP7" t="s">
        <v>30</v>
      </c>
      <c r="AQ7">
        <v>28.5</v>
      </c>
      <c r="AR7">
        <v>2672</v>
      </c>
      <c r="AS7">
        <v>76152</v>
      </c>
      <c r="AV7">
        <v>0</v>
      </c>
      <c r="AX7" t="s">
        <v>36</v>
      </c>
      <c r="AY7">
        <v>447</v>
      </c>
      <c r="AZ7">
        <v>120</v>
      </c>
      <c r="BA7" s="57">
        <v>53640</v>
      </c>
      <c r="BD7">
        <v>0</v>
      </c>
      <c r="BF7" t="s">
        <v>42</v>
      </c>
      <c r="BG7">
        <v>550</v>
      </c>
      <c r="BH7">
        <v>144</v>
      </c>
      <c r="BI7" s="57">
        <v>79200</v>
      </c>
      <c r="BL7">
        <v>0</v>
      </c>
      <c r="BP7">
        <v>0</v>
      </c>
      <c r="BR7" t="s">
        <v>51</v>
      </c>
      <c r="BS7">
        <v>450</v>
      </c>
      <c r="BT7">
        <v>0</v>
      </c>
      <c r="BU7">
        <v>0</v>
      </c>
      <c r="BX7">
        <v>0</v>
      </c>
      <c r="BZ7">
        <v>190000</v>
      </c>
      <c r="CA7">
        <v>2508982.61</v>
      </c>
      <c r="CH7">
        <v>2508982.61</v>
      </c>
      <c r="CM7">
        <v>2508982.61</v>
      </c>
      <c r="CO7">
        <v>2508982.61</v>
      </c>
      <c r="CP7" s="55">
        <v>0.18</v>
      </c>
      <c r="CQ7">
        <v>451616.87</v>
      </c>
      <c r="CR7">
        <v>2960599.48</v>
      </c>
      <c r="CS7">
        <v>45</v>
      </c>
      <c r="CT7" t="s">
        <v>172</v>
      </c>
      <c r="CU7" s="56">
        <v>133226977</v>
      </c>
      <c r="CV7" t="s">
        <v>192</v>
      </c>
      <c r="CW7" t="s">
        <v>193</v>
      </c>
      <c r="CX7">
        <v>250</v>
      </c>
    </row>
    <row r="8" spans="1:102" x14ac:dyDescent="0.25">
      <c r="A8" t="s">
        <v>168</v>
      </c>
      <c r="B8" s="54">
        <v>45261</v>
      </c>
      <c r="C8" t="s">
        <v>194</v>
      </c>
      <c r="D8" t="s">
        <v>195</v>
      </c>
      <c r="E8" t="s">
        <v>171</v>
      </c>
      <c r="F8" t="s">
        <v>108</v>
      </c>
      <c r="G8">
        <v>853.6</v>
      </c>
      <c r="H8">
        <v>121.645</v>
      </c>
      <c r="I8">
        <v>103836.18</v>
      </c>
      <c r="J8" t="s">
        <v>80</v>
      </c>
      <c r="K8">
        <v>217</v>
      </c>
      <c r="L8">
        <v>2430</v>
      </c>
      <c r="M8">
        <v>527310</v>
      </c>
      <c r="P8">
        <v>0</v>
      </c>
      <c r="R8" t="s">
        <v>95</v>
      </c>
      <c r="S8">
        <v>200</v>
      </c>
      <c r="T8">
        <v>337</v>
      </c>
      <c r="U8">
        <v>67400</v>
      </c>
      <c r="V8" t="s">
        <v>90</v>
      </c>
      <c r="W8">
        <v>145</v>
      </c>
      <c r="X8">
        <v>802</v>
      </c>
      <c r="Y8">
        <v>116290</v>
      </c>
      <c r="AB8">
        <v>0</v>
      </c>
      <c r="AD8" t="s">
        <v>116</v>
      </c>
      <c r="AE8">
        <v>86</v>
      </c>
      <c r="AF8">
        <v>277</v>
      </c>
      <c r="AG8">
        <v>23822</v>
      </c>
      <c r="AH8" t="s">
        <v>120</v>
      </c>
      <c r="AI8">
        <v>87</v>
      </c>
      <c r="AJ8">
        <v>3753</v>
      </c>
      <c r="AK8">
        <v>326511</v>
      </c>
      <c r="AL8" t="s">
        <v>100</v>
      </c>
      <c r="AM8">
        <v>91</v>
      </c>
      <c r="AN8">
        <v>1120</v>
      </c>
      <c r="AO8">
        <v>101920</v>
      </c>
      <c r="AP8" t="s">
        <v>196</v>
      </c>
      <c r="AR8">
        <v>1258</v>
      </c>
      <c r="AV8">
        <v>0</v>
      </c>
      <c r="AX8" t="s">
        <v>36</v>
      </c>
      <c r="AY8">
        <v>447</v>
      </c>
      <c r="AZ8">
        <v>0</v>
      </c>
      <c r="BA8">
        <v>0</v>
      </c>
      <c r="BD8">
        <v>115</v>
      </c>
      <c r="BF8" t="s">
        <v>42</v>
      </c>
      <c r="BG8">
        <v>550</v>
      </c>
      <c r="BH8">
        <v>34</v>
      </c>
      <c r="BI8" s="57">
        <v>18700</v>
      </c>
      <c r="BL8">
        <v>0</v>
      </c>
      <c r="BP8">
        <v>0</v>
      </c>
      <c r="BR8" t="s">
        <v>51</v>
      </c>
      <c r="BS8">
        <v>450</v>
      </c>
      <c r="BT8">
        <v>0</v>
      </c>
      <c r="BU8">
        <v>0</v>
      </c>
      <c r="BX8">
        <v>0</v>
      </c>
      <c r="BZ8">
        <v>171000</v>
      </c>
      <c r="CA8">
        <v>1456789.18</v>
      </c>
      <c r="CH8">
        <v>1456789.18</v>
      </c>
      <c r="CM8">
        <v>1456789.18</v>
      </c>
      <c r="CO8">
        <v>1456789.18</v>
      </c>
      <c r="CP8" s="55">
        <v>0.18</v>
      </c>
      <c r="CQ8">
        <v>262222.05</v>
      </c>
      <c r="CR8">
        <v>1719011.23</v>
      </c>
      <c r="CS8">
        <v>70</v>
      </c>
      <c r="CT8" t="s">
        <v>172</v>
      </c>
      <c r="CU8" s="56">
        <v>120330786</v>
      </c>
      <c r="CV8" t="s">
        <v>197</v>
      </c>
      <c r="CW8" t="s">
        <v>198</v>
      </c>
      <c r="CX8">
        <v>250</v>
      </c>
    </row>
    <row r="9" spans="1:102"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2"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2"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2"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2"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2"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M49"/>
  <sheetViews>
    <sheetView showZeros="0" tabSelected="1" topLeftCell="A22" workbookViewId="0">
      <selection activeCell="K34" sqref="K34"/>
    </sheetView>
  </sheetViews>
  <sheetFormatPr defaultRowHeight="15" x14ac:dyDescent="0.25"/>
  <cols>
    <col min="1" max="1" width="15.140625" bestFit="1" customWidth="1"/>
    <col min="2" max="2" width="10.7109375" bestFit="1" customWidth="1"/>
    <col min="3" max="3" width="10.28515625" bestFit="1" customWidth="1"/>
    <col min="4" max="4" width="29.5703125" customWidth="1"/>
    <col min="5" max="5" width="13.85546875" style="4" customWidth="1"/>
    <col min="6" max="6" width="11.5703125" customWidth="1"/>
    <col min="7" max="7" width="13.85546875" customWidth="1"/>
    <col min="8" max="8" width="12.140625" style="8" customWidth="1"/>
    <col min="9" max="9" width="12.28515625" customWidth="1"/>
    <col min="10" max="10" width="13.85546875" customWidth="1"/>
    <col min="13" max="13" width="15.28515625" customWidth="1"/>
    <col min="14" max="14" width="7.85546875" style="30" customWidth="1"/>
    <col min="15" max="24" width="7.85546875" style="30" hidden="1" customWidth="1"/>
    <col min="25" max="25" width="7.85546875" style="30" customWidth="1"/>
    <col min="26" max="29" width="7.85546875" style="30" hidden="1" customWidth="1"/>
    <col min="30" max="31" width="7.85546875" style="30" customWidth="1"/>
    <col min="32" max="36" width="7.85546875" style="30" hidden="1" customWidth="1"/>
    <col min="37" max="37" width="7.85546875" style="30" customWidth="1"/>
    <col min="38" max="43" width="7.85546875" style="30" hidden="1" customWidth="1"/>
    <col min="44" max="44" width="7.85546875" style="30" customWidth="1"/>
    <col min="45" max="47" width="7.85546875" style="30" hidden="1" customWidth="1"/>
    <col min="48" max="48" width="7.85546875" style="30" customWidth="1"/>
    <col min="49" max="52" width="7.85546875" style="30" hidden="1" customWidth="1"/>
    <col min="53" max="53" width="7.85546875" style="30" customWidth="1"/>
    <col min="54" max="57" width="7.85546875" style="30" hidden="1" customWidth="1"/>
    <col min="58" max="58" width="7.85546875" style="30" customWidth="1"/>
    <col min="59" max="63" width="7.85546875" style="30" hidden="1" customWidth="1"/>
    <col min="64" max="64" width="7.85546875" style="30" customWidth="1"/>
    <col min="65" max="67" width="7.85546875" style="30" hidden="1" customWidth="1"/>
    <col min="68" max="69" width="7.85546875" style="30" customWidth="1"/>
    <col min="70" max="72" width="7.85546875" style="30" hidden="1" customWidth="1"/>
    <col min="73" max="75" width="7.85546875" style="30" customWidth="1"/>
    <col min="76" max="76" width="11.7109375" style="30" customWidth="1"/>
    <col min="77" max="77" width="26.5703125" style="30" customWidth="1"/>
    <col min="78" max="78" width="11.28515625" style="30" customWidth="1"/>
    <col min="79" max="79" width="13.140625" style="4" customWidth="1"/>
    <col min="80" max="80" width="13.85546875" style="4" bestFit="1" customWidth="1"/>
    <col min="81" max="81" width="9.140625" style="28" customWidth="1"/>
    <col min="82" max="82" width="13.140625" style="4" customWidth="1"/>
    <col min="83" max="83" width="9.140625" style="14" customWidth="1"/>
    <col min="84" max="84" width="12" style="4" bestFit="1" customWidth="1"/>
    <col min="85" max="85" width="9.140625" style="8" customWidth="1"/>
    <col min="86" max="86" width="12.28515625" style="4" bestFit="1" customWidth="1"/>
    <col min="87" max="87" width="13.85546875" style="4" bestFit="1" customWidth="1"/>
    <col min="88" max="88" width="9.140625" style="8" customWidth="1"/>
    <col min="89" max="89" width="11.5703125" customWidth="1"/>
    <col min="90" max="90" width="9.140625" style="8" customWidth="1"/>
    <col min="91" max="91" width="9.140625" customWidth="1"/>
  </cols>
  <sheetData>
    <row r="1" spans="1:90" s="44" customFormat="1" ht="15.75" thickBot="1" x14ac:dyDescent="0.3"/>
    <row r="2" spans="1:90" s="44" customFormat="1" ht="23.25" thickBot="1" x14ac:dyDescent="0.5">
      <c r="A2" s="165" t="s">
        <v>140</v>
      </c>
      <c r="B2" s="166"/>
      <c r="C2" s="166"/>
      <c r="D2" s="166"/>
      <c r="E2" s="166"/>
      <c r="F2" s="166"/>
      <c r="G2" s="166"/>
      <c r="H2" s="166"/>
      <c r="I2" s="166"/>
      <c r="J2" s="166"/>
      <c r="K2" s="166"/>
      <c r="L2" s="166"/>
      <c r="M2" s="166"/>
      <c r="N2" s="166"/>
      <c r="O2" s="166"/>
      <c r="P2" s="166"/>
      <c r="Q2" s="166"/>
      <c r="R2" s="167"/>
      <c r="S2" s="47"/>
      <c r="T2" s="47"/>
    </row>
    <row r="3" spans="1:90" s="44" customFormat="1" ht="15.75" thickBot="1" x14ac:dyDescent="0.3">
      <c r="A3"/>
      <c r="B3"/>
      <c r="C3"/>
      <c r="D3"/>
      <c r="E3"/>
      <c r="F3"/>
      <c r="G3"/>
      <c r="H3"/>
      <c r="I3"/>
      <c r="J3"/>
      <c r="K3"/>
      <c r="L3"/>
      <c r="M3"/>
      <c r="N3"/>
      <c r="O3"/>
      <c r="P3"/>
      <c r="Q3"/>
      <c r="R3"/>
      <c r="S3"/>
    </row>
    <row r="4" spans="1:90" s="44" customFormat="1" ht="51.75" customHeight="1" thickBot="1" x14ac:dyDescent="0.3">
      <c r="A4" s="45" t="s">
        <v>124</v>
      </c>
      <c r="B4" s="175" t="s">
        <v>139</v>
      </c>
      <c r="C4" s="175"/>
      <c r="D4" s="175"/>
      <c r="E4" s="175"/>
      <c r="F4" s="175"/>
      <c r="G4" s="175"/>
      <c r="H4" s="175"/>
      <c r="I4" s="175"/>
      <c r="J4" s="175"/>
      <c r="K4" s="175"/>
      <c r="L4" s="175"/>
      <c r="M4" s="175"/>
      <c r="N4" s="175"/>
      <c r="O4" s="175"/>
      <c r="P4" s="175"/>
      <c r="Q4" s="175"/>
      <c r="R4" s="175"/>
      <c r="S4"/>
    </row>
    <row r="5" spans="1:90" s="44" customFormat="1" ht="34.5" customHeight="1" x14ac:dyDescent="0.25">
      <c r="A5" s="45" t="s">
        <v>125</v>
      </c>
      <c r="B5" s="175" t="s">
        <v>138</v>
      </c>
      <c r="C5" s="175"/>
      <c r="D5" s="175"/>
      <c r="E5" s="175"/>
      <c r="F5" s="175"/>
      <c r="G5" s="175"/>
      <c r="H5" s="175"/>
      <c r="I5" s="175"/>
      <c r="J5" s="175"/>
      <c r="K5" s="175"/>
      <c r="L5" s="175"/>
      <c r="M5" s="175"/>
      <c r="N5" s="175"/>
      <c r="O5" s="175"/>
      <c r="P5" s="175"/>
      <c r="Q5" s="175"/>
      <c r="R5" s="175"/>
      <c r="S5"/>
    </row>
    <row r="6" spans="1:90" s="44" customFormat="1" ht="48" customHeight="1" x14ac:dyDescent="0.25">
      <c r="A6" s="46" t="s">
        <v>126</v>
      </c>
      <c r="B6" s="176" t="s">
        <v>141</v>
      </c>
      <c r="C6" s="175"/>
      <c r="D6" s="175"/>
      <c r="E6" s="175"/>
      <c r="F6" s="175"/>
      <c r="G6" s="175"/>
      <c r="H6" s="175"/>
      <c r="I6" s="175"/>
      <c r="J6" s="175"/>
      <c r="K6" s="175"/>
      <c r="L6" s="175"/>
      <c r="M6" s="175"/>
      <c r="N6" s="175"/>
      <c r="O6" s="175"/>
      <c r="P6" s="175"/>
      <c r="Q6" s="175"/>
      <c r="R6" s="175"/>
      <c r="S6"/>
    </row>
    <row r="7" spans="1:90" s="44" customFormat="1" ht="45.75" customHeight="1" x14ac:dyDescent="0.25">
      <c r="A7" s="46" t="s">
        <v>123</v>
      </c>
      <c r="B7" s="176" t="s">
        <v>142</v>
      </c>
      <c r="C7" s="175"/>
      <c r="D7" s="175"/>
      <c r="E7" s="175"/>
      <c r="F7" s="175"/>
      <c r="G7" s="175"/>
      <c r="H7" s="175"/>
      <c r="I7" s="175"/>
      <c r="J7" s="175"/>
      <c r="K7" s="175"/>
      <c r="L7" s="175"/>
      <c r="M7" s="175"/>
      <c r="N7" s="175"/>
      <c r="O7" s="175"/>
      <c r="P7" s="175"/>
      <c r="Q7" s="175"/>
      <c r="R7" s="175"/>
      <c r="S7"/>
    </row>
    <row r="8" spans="1:90" s="44" customFormat="1" ht="46.5" customHeight="1" x14ac:dyDescent="0.25">
      <c r="A8" s="46" t="s">
        <v>127</v>
      </c>
      <c r="B8" s="176" t="s">
        <v>143</v>
      </c>
      <c r="C8" s="176"/>
      <c r="D8" s="176"/>
      <c r="E8" s="176"/>
      <c r="F8" s="176"/>
      <c r="G8" s="176"/>
      <c r="H8" s="176"/>
      <c r="I8" s="176"/>
      <c r="J8" s="176"/>
      <c r="K8" s="176"/>
      <c r="L8" s="176"/>
      <c r="M8" s="176"/>
      <c r="N8" s="176"/>
      <c r="O8" s="176"/>
      <c r="P8" s="176"/>
      <c r="Q8" s="176"/>
      <c r="R8" s="176"/>
      <c r="S8"/>
    </row>
    <row r="9" spans="1:90" s="44" customFormat="1" ht="39.75" customHeight="1" x14ac:dyDescent="0.25">
      <c r="A9" s="46" t="s">
        <v>128</v>
      </c>
      <c r="B9" s="177" t="s">
        <v>144</v>
      </c>
      <c r="C9" s="178"/>
      <c r="D9" s="178"/>
      <c r="E9" s="178"/>
      <c r="F9" s="178"/>
      <c r="G9" s="178"/>
      <c r="H9" s="178"/>
      <c r="I9" s="178"/>
      <c r="J9" s="178"/>
      <c r="K9" s="178"/>
      <c r="L9" s="178"/>
      <c r="M9" s="178"/>
      <c r="N9" s="178"/>
      <c r="O9" s="178"/>
      <c r="P9" s="178"/>
      <c r="Q9" s="178"/>
      <c r="R9" s="179"/>
    </row>
    <row r="10" spans="1:90" s="44" customFormat="1" ht="37.5" customHeight="1" x14ac:dyDescent="0.25">
      <c r="A10" s="46" t="s">
        <v>129</v>
      </c>
      <c r="B10" s="176" t="s">
        <v>145</v>
      </c>
      <c r="C10" s="176"/>
      <c r="D10" s="176"/>
      <c r="E10" s="176"/>
      <c r="F10" s="176"/>
      <c r="G10" s="176"/>
      <c r="H10" s="176"/>
      <c r="I10" s="176"/>
      <c r="J10" s="176"/>
      <c r="K10" s="176"/>
      <c r="L10" s="176"/>
      <c r="M10" s="176"/>
      <c r="N10" s="176"/>
      <c r="O10" s="176"/>
      <c r="P10" s="176"/>
      <c r="Q10" s="176"/>
      <c r="R10" s="176"/>
      <c r="S10"/>
    </row>
    <row r="11" spans="1:90" s="44" customFormat="1" ht="36.75" customHeight="1" x14ac:dyDescent="0.25">
      <c r="A11" s="46" t="s">
        <v>130</v>
      </c>
      <c r="B11" s="171" t="s">
        <v>146</v>
      </c>
      <c r="C11" s="172"/>
      <c r="D11" s="172"/>
      <c r="E11" s="172"/>
      <c r="F11" s="172"/>
      <c r="G11" s="172"/>
      <c r="H11" s="172"/>
      <c r="I11" s="172"/>
      <c r="J11" s="172"/>
      <c r="K11" s="172"/>
      <c r="L11" s="172"/>
      <c r="M11" s="172"/>
      <c r="N11" s="172"/>
      <c r="O11" s="172"/>
      <c r="P11" s="172"/>
      <c r="Q11" s="172"/>
      <c r="R11" s="173"/>
      <c r="S11"/>
    </row>
    <row r="12" spans="1:90" s="44" customFormat="1" ht="30" x14ac:dyDescent="0.25">
      <c r="A12" s="49" t="s">
        <v>131</v>
      </c>
      <c r="B12" s="174" t="s">
        <v>147</v>
      </c>
      <c r="C12" s="174"/>
      <c r="D12" s="174"/>
      <c r="E12" s="174"/>
      <c r="F12" s="174"/>
      <c r="G12" s="174"/>
      <c r="H12" s="174"/>
      <c r="I12" s="174"/>
      <c r="J12" s="174"/>
      <c r="K12" s="174"/>
      <c r="L12" s="174"/>
      <c r="M12" s="174"/>
      <c r="N12" s="174"/>
      <c r="O12" s="174"/>
      <c r="P12" s="174"/>
      <c r="Q12" s="174"/>
      <c r="R12" s="174"/>
    </row>
    <row r="13" spans="1:90" s="44" customFormat="1" ht="24.75" customHeight="1" x14ac:dyDescent="0.25">
      <c r="A13" s="49" t="s">
        <v>132</v>
      </c>
      <c r="B13" s="174" t="s">
        <v>148</v>
      </c>
      <c r="C13" s="174"/>
      <c r="D13" s="174"/>
      <c r="E13" s="174"/>
      <c r="F13" s="174"/>
      <c r="G13" s="174"/>
      <c r="H13" s="174"/>
      <c r="I13" s="174"/>
      <c r="J13" s="174"/>
      <c r="K13" s="174"/>
      <c r="L13" s="174"/>
      <c r="M13" s="174"/>
      <c r="N13" s="174"/>
      <c r="O13" s="174"/>
      <c r="P13" s="174"/>
      <c r="Q13" s="174"/>
      <c r="R13" s="174"/>
    </row>
    <row r="14" spans="1:90" s="44" customFormat="1" ht="30" x14ac:dyDescent="0.25">
      <c r="A14" s="50" t="s">
        <v>133</v>
      </c>
      <c r="B14" s="174"/>
      <c r="C14" s="174"/>
      <c r="D14" s="174"/>
      <c r="E14" s="174"/>
      <c r="F14" s="174"/>
      <c r="G14" s="174"/>
      <c r="H14" s="174"/>
      <c r="I14" s="174"/>
      <c r="J14" s="174"/>
      <c r="K14" s="174"/>
      <c r="L14" s="174"/>
      <c r="M14" s="174"/>
      <c r="N14" s="174"/>
      <c r="O14" s="174"/>
      <c r="P14" s="174"/>
      <c r="Q14" s="174"/>
      <c r="R14" s="174"/>
    </row>
    <row r="16" spans="1:90" s="37" customFormat="1" ht="28.9" customHeight="1" x14ac:dyDescent="0.25">
      <c r="B16" s="18" t="s">
        <v>255</v>
      </c>
      <c r="E16" s="42"/>
      <c r="H16" s="43"/>
      <c r="N16" s="170" t="str">
        <f>Sheet1!J1</f>
        <v>Conductor</v>
      </c>
      <c r="O16" s="170"/>
      <c r="P16" s="170"/>
      <c r="Q16" s="170"/>
      <c r="R16" s="170"/>
      <c r="S16" s="170" t="s">
        <v>9</v>
      </c>
      <c r="T16" s="170"/>
      <c r="U16" s="170" t="s">
        <v>3</v>
      </c>
      <c r="V16" s="170"/>
      <c r="W16" s="170"/>
      <c r="X16" s="170"/>
      <c r="Y16" s="170"/>
      <c r="Z16" s="170"/>
      <c r="AA16" s="170"/>
      <c r="AB16" s="170"/>
      <c r="AC16" s="170" t="s">
        <v>12</v>
      </c>
      <c r="AD16" s="170"/>
      <c r="AE16" s="170" t="s">
        <v>15</v>
      </c>
      <c r="AF16" s="170"/>
      <c r="AG16" s="170"/>
      <c r="AH16" s="170"/>
      <c r="AI16" s="170"/>
      <c r="AJ16" s="170"/>
      <c r="AK16" s="10" t="s">
        <v>18</v>
      </c>
      <c r="AL16" s="168" t="s">
        <v>21</v>
      </c>
      <c r="AM16" s="169"/>
      <c r="AN16" s="169"/>
      <c r="AO16" s="169"/>
      <c r="AP16" s="169"/>
      <c r="AQ16" s="169"/>
      <c r="AR16" s="169"/>
      <c r="AS16" s="170" t="s">
        <v>24</v>
      </c>
      <c r="AT16" s="170"/>
      <c r="AU16" s="170"/>
      <c r="AV16" s="170"/>
      <c r="AW16" s="170"/>
      <c r="AX16" s="170"/>
      <c r="AY16" s="170"/>
      <c r="AZ16" s="170"/>
      <c r="BA16" s="170"/>
      <c r="BB16" s="170"/>
      <c r="BC16" s="170" t="s">
        <v>27</v>
      </c>
      <c r="BD16" s="170"/>
      <c r="BE16" s="170"/>
      <c r="BF16" s="170"/>
      <c r="BG16" s="170"/>
      <c r="BH16" s="170"/>
      <c r="BI16" s="170"/>
      <c r="BJ16" s="170"/>
      <c r="BK16" s="170"/>
      <c r="BL16" s="170"/>
      <c r="BM16" s="38" t="s">
        <v>30</v>
      </c>
      <c r="BN16" s="10" t="s">
        <v>33</v>
      </c>
      <c r="BO16" s="10" t="s">
        <v>36</v>
      </c>
      <c r="BP16" s="10" t="s">
        <v>39</v>
      </c>
      <c r="BQ16" s="10"/>
      <c r="BR16" s="10" t="s">
        <v>42</v>
      </c>
      <c r="BS16" s="10" t="s">
        <v>45</v>
      </c>
      <c r="BT16" s="10" t="s">
        <v>48</v>
      </c>
      <c r="BU16" s="10" t="s">
        <v>51</v>
      </c>
      <c r="BV16" s="10" t="s">
        <v>54</v>
      </c>
      <c r="BW16" s="10"/>
      <c r="BX16" s="10"/>
      <c r="BY16" s="10"/>
      <c r="BZ16" s="10"/>
      <c r="CA16" s="39" t="s">
        <v>57</v>
      </c>
      <c r="CB16" s="39" t="s">
        <v>58</v>
      </c>
      <c r="CC16" s="40" t="s">
        <v>79</v>
      </c>
      <c r="CD16" s="39" t="s">
        <v>122</v>
      </c>
      <c r="CE16" s="41"/>
      <c r="CF16" s="42"/>
      <c r="CG16" s="43"/>
      <c r="CH16" s="42"/>
      <c r="CI16" s="42"/>
      <c r="CJ16" s="43"/>
      <c r="CL16" s="43"/>
    </row>
    <row r="17" spans="1:91"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80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121</v>
      </c>
      <c r="BC17" s="24" t="s">
        <v>93</v>
      </c>
      <c r="BD17" s="24" t="s">
        <v>97</v>
      </c>
      <c r="BE17" s="24" t="s">
        <v>102</v>
      </c>
      <c r="BF17" s="24" t="s">
        <v>100</v>
      </c>
      <c r="BG17" s="24" t="s">
        <v>110</v>
      </c>
      <c r="BH17" s="24" t="s">
        <v>114</v>
      </c>
      <c r="BI17" s="24" t="s">
        <v>105</v>
      </c>
      <c r="BJ17" s="24" t="s">
        <v>87</v>
      </c>
      <c r="BK17" s="24" t="s">
        <v>116</v>
      </c>
      <c r="BL17" s="24" t="s">
        <v>200</v>
      </c>
      <c r="BM17" s="20" t="s">
        <v>30</v>
      </c>
      <c r="BN17" s="20" t="s">
        <v>89</v>
      </c>
      <c r="BO17" s="21" t="s">
        <v>36</v>
      </c>
      <c r="BP17" s="25" t="s">
        <v>39</v>
      </c>
      <c r="BQ17" s="25" t="s">
        <v>199</v>
      </c>
      <c r="BR17" s="21" t="s">
        <v>42</v>
      </c>
      <c r="BS17" s="21" t="s">
        <v>45</v>
      </c>
      <c r="BT17" s="21" t="s">
        <v>48</v>
      </c>
      <c r="BU17" s="25" t="s">
        <v>51</v>
      </c>
      <c r="BV17" s="58" t="s">
        <v>201</v>
      </c>
      <c r="BW17" s="21" t="str">
        <f>Sheet1!E1</f>
        <v>PROPOSE DRUM TYPE</v>
      </c>
      <c r="BX17" s="53" t="str">
        <f>Sheet1!CV1</f>
        <v>DRUM CODE</v>
      </c>
      <c r="BY17" s="53" t="str">
        <f>Sheet1!CW1</f>
        <v>DRUM SIZE (FxbXtx Ft)</v>
      </c>
      <c r="BZ17" s="53" t="str">
        <f>Sheet1!CX1</f>
        <v xml:space="preserve">PARTY STANDARD LENGTH (MTR) </v>
      </c>
      <c r="CA17" s="29"/>
      <c r="CB17" s="29"/>
      <c r="CC17" s="26"/>
      <c r="CD17" s="29"/>
      <c r="CE17" s="13" t="s">
        <v>61</v>
      </c>
      <c r="CF17" s="5" t="s">
        <v>62</v>
      </c>
      <c r="CG17" s="6" t="s">
        <v>63</v>
      </c>
      <c r="CH17" s="5" t="s">
        <v>64</v>
      </c>
      <c r="CI17" s="5" t="s">
        <v>65</v>
      </c>
      <c r="CJ17" s="6" t="s">
        <v>66</v>
      </c>
      <c r="CK17" s="15" t="s">
        <v>67</v>
      </c>
      <c r="CL17" s="6" t="s">
        <v>68</v>
      </c>
      <c r="CM17" s="15" t="s">
        <v>69</v>
      </c>
    </row>
    <row r="18" spans="1:91" s="29" customFormat="1" x14ac:dyDescent="0.25">
      <c r="A18" s="31"/>
      <c r="B18" s="31"/>
      <c r="C18" s="31"/>
      <c r="D18" s="31"/>
      <c r="E18" s="5"/>
      <c r="F18" s="5"/>
      <c r="G18" s="5"/>
      <c r="H18" s="5"/>
      <c r="I18" s="5"/>
      <c r="J18" s="5"/>
      <c r="K18" s="5"/>
      <c r="L18" s="5"/>
      <c r="M18" s="5"/>
      <c r="N18" s="32">
        <v>214</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v>858</v>
      </c>
      <c r="Z18" s="33"/>
      <c r="AA18" s="33"/>
      <c r="AB18" s="33"/>
      <c r="AC18" s="33"/>
      <c r="AD18" s="33">
        <v>201</v>
      </c>
      <c r="AE18" s="33">
        <v>147</v>
      </c>
      <c r="AF18" s="33"/>
      <c r="AG18" s="33"/>
      <c r="AH18" s="33"/>
      <c r="AI18" s="33"/>
      <c r="AJ18" s="33"/>
      <c r="AK18" s="34">
        <v>122</v>
      </c>
      <c r="AL18" s="33"/>
      <c r="AM18" s="33"/>
      <c r="AN18" s="33"/>
      <c r="AO18" s="33"/>
      <c r="AP18" s="33"/>
      <c r="AQ18" s="33"/>
      <c r="AR18" s="33">
        <v>88</v>
      </c>
      <c r="AS18" s="33"/>
      <c r="AT18" s="33"/>
      <c r="AU18" s="33"/>
      <c r="AV18" s="33">
        <v>221</v>
      </c>
      <c r="AW18" s="33"/>
      <c r="AX18" s="33"/>
      <c r="AY18" s="33"/>
      <c r="AZ18" s="33"/>
      <c r="BA18" s="33">
        <v>86</v>
      </c>
      <c r="BB18" s="33"/>
      <c r="BC18" s="33"/>
      <c r="BD18" s="33"/>
      <c r="BE18" s="33"/>
      <c r="BF18" s="33">
        <v>93</v>
      </c>
      <c r="BG18" s="33">
        <f>+IFERROR(VLOOKUP($BG$17,Sheet1!AL2:AO840,2,0),0)</f>
        <v>0</v>
      </c>
      <c r="BH18" s="33">
        <f>+IFERROR(VLOOKUP($BH$17,Sheet1!AL2:AO840,2,0),0)</f>
        <v>0</v>
      </c>
      <c r="BI18" s="33">
        <f>+IFERROR(VLOOKUP($BI$17,Sheet1!AL2:AO840,2,0),0)</f>
        <v>0</v>
      </c>
      <c r="BJ18" s="33"/>
      <c r="BK18" s="33">
        <f>+IFERROR(VLOOKUP($BK$17,Sheet1!AL2:AO840,2,0),0)</f>
        <v>0</v>
      </c>
      <c r="BL18" s="61">
        <v>65</v>
      </c>
      <c r="BM18" s="34"/>
      <c r="BN18" s="34">
        <f>+IFERROR(VLOOKUP($BN$17,Sheet1!AT2:AW840,2,0),0)</f>
        <v>0</v>
      </c>
      <c r="BO18" s="35"/>
      <c r="BP18" s="36">
        <v>454</v>
      </c>
      <c r="BQ18" s="59">
        <v>348</v>
      </c>
      <c r="BR18" s="35"/>
      <c r="BS18" s="35">
        <f>+IFERROR(VLOOKUP($BS$17,Sheet1!BJ2:BM840,2,0),0)</f>
        <v>0</v>
      </c>
      <c r="BT18" s="35">
        <f>+IFERROR(VLOOKUP($BT$17,Sheet1!BN2:BQ840,2,0),0)</f>
        <v>0</v>
      </c>
      <c r="BU18" s="36">
        <v>450</v>
      </c>
      <c r="BV18" s="60">
        <v>190</v>
      </c>
      <c r="BW18" s="52"/>
      <c r="BX18" s="52"/>
      <c r="BY18" s="52"/>
      <c r="BZ18" s="52"/>
      <c r="CE18" s="5"/>
      <c r="CF18" s="5"/>
      <c r="CG18" s="5"/>
      <c r="CH18" s="5"/>
      <c r="CI18" s="5"/>
      <c r="CJ18" s="5"/>
      <c r="CK18" s="5"/>
      <c r="CL18" s="5"/>
      <c r="CM18" s="5"/>
    </row>
    <row r="19" spans="1:91" ht="30" x14ac:dyDescent="0.25">
      <c r="A19" s="1" t="str">
        <f>Sheet1!A7</f>
        <v>ENQ-12006-22-23</v>
      </c>
      <c r="B19" s="51">
        <f>Sheet1!B7</f>
        <v>45261</v>
      </c>
      <c r="C19" s="1" t="str">
        <f>Sheet1!C7</f>
        <v>FA1300080</v>
      </c>
      <c r="D19" s="1" t="str">
        <f>Sheet1!D7</f>
        <v>3 CORE X 400 SQ. MM AL/ARM - WIRE (XLPE) - 33 KV</v>
      </c>
      <c r="E19" s="3">
        <f t="shared" ref="E19:E25" si="0">CI19+CK19+CM19</f>
        <v>3593365.12</v>
      </c>
      <c r="F19" s="158">
        <f t="shared" ref="F19:F25" si="1">ROUNDUP(M28,0)</f>
        <v>224000</v>
      </c>
      <c r="G19" s="9">
        <f t="shared" ref="G19:G25" si="2">E19+F19</f>
        <v>3817365.12</v>
      </c>
      <c r="H19" s="7">
        <f>Sheet1!CP7</f>
        <v>0.18</v>
      </c>
      <c r="I19" s="9">
        <f t="shared" ref="I19:I25" si="3">G19*H19</f>
        <v>687125.72160000005</v>
      </c>
      <c r="J19" s="9">
        <f t="shared" ref="J19:J25" si="4">G19+I19</f>
        <v>4504490.8415999999</v>
      </c>
      <c r="K19" s="1">
        <f>Sheet1!CS7</f>
        <v>45</v>
      </c>
      <c r="L19" s="1" t="str">
        <f>Sheet1!CT7</f>
        <v>KMS</v>
      </c>
      <c r="M19" s="3">
        <f t="shared" ref="M19:M25" si="5">J19*K19</f>
        <v>202702087.87200001</v>
      </c>
      <c r="N19" s="159">
        <v>3243</v>
      </c>
      <c r="O19" s="2">
        <f>+IFERROR(VLOOKUP($O$17,Sheet1!J7:L7,3,0),0)</f>
        <v>0</v>
      </c>
      <c r="P19" s="2">
        <f>+IFERROR(VLOOKUP($P$17,Sheet1!J7:M7,3,0),0)</f>
        <v>0</v>
      </c>
      <c r="Q19" s="2">
        <f>+IFERROR(VLOOKUP($Q$17,Sheet1!J7:M7,3,0),0)</f>
        <v>0</v>
      </c>
      <c r="R19" s="2">
        <f>+IFERROR(VLOOKUP($R$17,Sheet1!J7:M7,3,0),0)</f>
        <v>0</v>
      </c>
      <c r="S19" s="2">
        <f>+IFERROR(VLOOKUP($S$17,Sheet1!N7:Q7,3,0),0)</f>
        <v>0</v>
      </c>
      <c r="T19" s="2">
        <f>+IFERROR(VLOOKUP($T$17,Sheet1!N7:Q7,3,0),0)</f>
        <v>0</v>
      </c>
      <c r="U19" s="2">
        <f>+IFERROR(VLOOKUP($U$17,Sheet1!F7:I7,3,0),0)</f>
        <v>0</v>
      </c>
      <c r="V19" s="2">
        <f>+IFERROR(VLOOKUP($V$17,Sheet1!F7:I7,3,0),0)</f>
        <v>0</v>
      </c>
      <c r="W19" s="2">
        <f>+IFERROR(VLOOKUP($W$17,Sheet1!F7:I7,3,0),0)</f>
        <v>0</v>
      </c>
      <c r="X19" s="2">
        <f>+IFERROR(VLOOKUP($X$17,Sheet1!F7:I7,3,0),0)</f>
        <v>0</v>
      </c>
      <c r="Y19" s="159">
        <v>225</v>
      </c>
      <c r="Z19" s="2">
        <f>+IFERROR(VLOOKUP($Z$17,Sheet1!F7:I7,3,0),0)</f>
        <v>0</v>
      </c>
      <c r="AA19" s="2">
        <f>+IFERROR(VLOOKUP($AA$17,Sheet1!F7:I7,3,0),0)</f>
        <v>0</v>
      </c>
      <c r="AB19" s="2">
        <f>+IFERROR(VLOOKUP($AB$17,Sheet1!F7:I7,3,0),0)</f>
        <v>0</v>
      </c>
      <c r="AC19" s="2"/>
      <c r="AD19" s="160">
        <v>588</v>
      </c>
      <c r="AE19" s="159">
        <v>2670</v>
      </c>
      <c r="AF19" s="15">
        <f>+IFERROR(VLOOKUP($AF$17,Sheet1!V7:Y7,3,0),0)</f>
        <v>0</v>
      </c>
      <c r="AG19" s="15">
        <f>+IFERROR(VLOOKUP($AG$17,Sheet1!V7:Y7,3,0),0)</f>
        <v>0</v>
      </c>
      <c r="AH19" s="15">
        <f>+IFERROR(VLOOKUP($AH$17,Sheet1!V7:Y7,3,0),0)</f>
        <v>0</v>
      </c>
      <c r="AI19" s="15">
        <f>+IFERROR(VLOOKUP($AI$17,Sheet1!V7:Y7,3,0),0)</f>
        <v>0</v>
      </c>
      <c r="AJ19" s="15">
        <f>+IFERROR(VLOOKUP($AJ$17,Sheet1!V7:Y7,3,0),0)</f>
        <v>0</v>
      </c>
      <c r="AK19" s="15">
        <f>+IFERROR(VLOOKUP($AK$17,Sheet1!Z7:AB7,3,0),0)</f>
        <v>0</v>
      </c>
      <c r="AL19" s="15">
        <f>+IFERROR(VLOOKUP($AL$17,Sheet1!AD7:AG7,3,0),0)</f>
        <v>0</v>
      </c>
      <c r="AM19" s="15">
        <f>+IFERROR(VLOOKUP($AM$17,Sheet1!AD7:AG7,3,0),0)</f>
        <v>0</v>
      </c>
      <c r="AN19" s="15">
        <f>+IFERROR(VLOOKUP($AN$17,Sheet1!AD7:AG7,3,0),0)</f>
        <v>0</v>
      </c>
      <c r="AO19" s="15">
        <f>+IFERROR(VLOOKUP($AO$17,Sheet1!AD7:AG7,3,0),0)</f>
        <v>0</v>
      </c>
      <c r="AP19" s="15">
        <f>+IFERROR(VLOOKUP($AP$17,Sheet1!AD7:AG7,3,0),0)</f>
        <v>0</v>
      </c>
      <c r="AQ19" s="15">
        <f>+IFERROR(VLOOKUP($AQ$17,Sheet1!AD7:AG7,3,0),0)</f>
        <v>0</v>
      </c>
      <c r="AR19" s="160">
        <v>1577</v>
      </c>
      <c r="AS19" s="15">
        <f>+IFERROR(VLOOKUP($AS$17,Sheet1!AH7:AK7,3,0),0)</f>
        <v>0</v>
      </c>
      <c r="AT19" s="15">
        <f>+IFERROR(VLOOKUP($AT$17,Sheet1!AH7:AK7,3,0),0)</f>
        <v>0</v>
      </c>
      <c r="AU19" s="15">
        <f>+IFERROR(VLOOKUP($AU$17,Sheet1!AH7:AK7,3,0),0)</f>
        <v>0</v>
      </c>
      <c r="AV19" s="15">
        <f>+IFERROR(VLOOKUP($AV$17,Sheet1!AH7:AK7,3,0),0)</f>
        <v>0</v>
      </c>
      <c r="AW19" s="15">
        <f>+IFERROR(VLOOKUP($AW$17,Sheet1!AH7:AK7,3,0),0)</f>
        <v>0</v>
      </c>
      <c r="AX19" s="15">
        <f>+IFERROR(VLOOKUP($AX$17,Sheet1!AH7:AK7,3,0),0)</f>
        <v>0</v>
      </c>
      <c r="AY19" s="15">
        <f>+IFERROR(VLOOKUP($AY$17,Sheet1!AH7:AK7,3,0),0)</f>
        <v>0</v>
      </c>
      <c r="AZ19" s="15">
        <f>+IFERROR(VLOOKUP($AZ$17,Sheet1!AH7:AK7,3,0),0)</f>
        <v>0</v>
      </c>
      <c r="BA19" s="160">
        <v>7182</v>
      </c>
      <c r="BB19" s="15">
        <f>+IFERROR(VLOOKUP($BB$17,Sheet1!AH7:AK7,3,0),0)</f>
        <v>0</v>
      </c>
      <c r="BC19" s="15">
        <f>+IFERROR(VLOOKUP($BC$17,Sheet1!AL7:AO7,3,0),0)</f>
        <v>0</v>
      </c>
      <c r="BD19" s="15">
        <f>+IFERROR(VLOOKUP($BD$17,Sheet1!AL7:AO7,3,0),0)</f>
        <v>0</v>
      </c>
      <c r="BE19" s="15">
        <f>+IFERROR(VLOOKUP($BE$17,Sheet1!AL7:AO7,3,0),0)</f>
        <v>0</v>
      </c>
      <c r="BF19" s="160">
        <v>1724</v>
      </c>
      <c r="BG19" s="15">
        <f>+IFERROR(VLOOKUP($BG$17,Sheet1!AL7:AO7,3,0),0)</f>
        <v>0</v>
      </c>
      <c r="BH19" s="15">
        <f>+IFERROR(VLOOKUP($BH$17,Sheet1!AL7:AO7,3,0),0)</f>
        <v>0</v>
      </c>
      <c r="BI19" s="15">
        <f>+IFERROR(VLOOKUP($BI$17,Sheet1!AL7:AO7,3,0),0)</f>
        <v>0</v>
      </c>
      <c r="BJ19" s="15">
        <f>+IFERROR(VLOOKUP($BJ$17,Sheet1!AL7:AO7,3,0),0)</f>
        <v>0</v>
      </c>
      <c r="BK19" s="15">
        <f>+IFERROR(VLOOKUP($BK$17,Sheet1!AL7:AO7,3,0),0)</f>
        <v>0</v>
      </c>
      <c r="BL19" s="160">
        <v>1768</v>
      </c>
      <c r="BM19" s="15"/>
      <c r="BN19" s="15">
        <f>+IFERROR(VLOOKUP($BN$17,Sheet1!AT7:AW7,3,0),0)</f>
        <v>0</v>
      </c>
      <c r="BO19" s="15"/>
      <c r="BP19" s="160">
        <v>114</v>
      </c>
      <c r="BQ19" s="160">
        <v>58</v>
      </c>
      <c r="BR19" s="15"/>
      <c r="BS19" s="15">
        <f>+IFERROR(VLOOKUP($BS$17,Sheet1!BJ7:BM7,3,0),0)</f>
        <v>0</v>
      </c>
      <c r="BT19" s="15">
        <f>+IFERROR(VLOOKUP($BT$17,Sheet1!BN7:BQ7,3,0),0)</f>
        <v>0</v>
      </c>
      <c r="BU19" s="160">
        <v>76</v>
      </c>
      <c r="BV19" s="15">
        <f>+IFERROR(VLOOKUP($BV$17,Sheet1!BV7:BY7,3,0),0)</f>
        <v>0</v>
      </c>
      <c r="BW19" s="160" t="str">
        <f>Sheet1!E7</f>
        <v>STEEL</v>
      </c>
      <c r="BX19" s="15" t="str">
        <f>Sheet1!CV7</f>
        <v>SP0400137</v>
      </c>
      <c r="BY19" s="15" t="str">
        <f>Sheet1!CW7</f>
        <v>CORRUGATED DISPATCH STEEL DRUM 2600 X 1600 X 1600 MM</v>
      </c>
      <c r="BZ19" s="160">
        <f>Sheet1!CX7</f>
        <v>250</v>
      </c>
      <c r="CA19" s="3">
        <f>Sheet1!BZ7</f>
        <v>190000</v>
      </c>
      <c r="CB19" s="3">
        <f t="shared" ref="CB19:CB25" si="6">SUMPRODUCT($N$18:$BV$18,N19:BV19)+CA19</f>
        <v>2725550</v>
      </c>
      <c r="CC19" s="27">
        <f>Sheet1!CB7</f>
        <v>0</v>
      </c>
      <c r="CD19" s="3">
        <f t="shared" ref="CD19:CD25" si="7">CB19*CC19</f>
        <v>0</v>
      </c>
      <c r="CE19" s="48">
        <v>0.28000000000000003</v>
      </c>
      <c r="CF19" s="3">
        <f t="shared" ref="CF19:CF25" si="8">CB19*CE19</f>
        <v>763154.00000000012</v>
      </c>
      <c r="CG19" s="48">
        <v>0</v>
      </c>
      <c r="CH19" s="3">
        <f t="shared" ref="CH19:CH25" si="9">CB19*CG19</f>
        <v>0</v>
      </c>
      <c r="CI19" s="3">
        <f t="shared" ref="CI19:CI25" si="10">CB19+CD19+CF19+CH19</f>
        <v>3488704</v>
      </c>
      <c r="CJ19" s="48">
        <v>0.02</v>
      </c>
      <c r="CK19" s="1">
        <f t="shared" ref="CK19:CK25" si="11">CI19*CJ19</f>
        <v>69774.080000000002</v>
      </c>
      <c r="CL19" s="48">
        <v>0.01</v>
      </c>
      <c r="CM19" s="1">
        <f t="shared" ref="CM19:CM25" si="12">CI19*CL19</f>
        <v>34887.040000000001</v>
      </c>
    </row>
    <row r="20" spans="1:91" ht="30" x14ac:dyDescent="0.25">
      <c r="A20" s="1" t="str">
        <f>Sheet1!A6</f>
        <v>ENQ-12006-22-23</v>
      </c>
      <c r="B20" s="51">
        <f>Sheet1!B6</f>
        <v>45261</v>
      </c>
      <c r="C20" s="1" t="str">
        <f>Sheet1!C6</f>
        <v>FA1300202</v>
      </c>
      <c r="D20" s="1" t="str">
        <f>Sheet1!D6</f>
        <v>3 CORE X 240 SQ. MM. AL/ARM - WIRE (XLPE) - 22 KV</v>
      </c>
      <c r="E20" s="3">
        <f t="shared" si="0"/>
        <v>2487463.5136000002</v>
      </c>
      <c r="F20" s="158">
        <f t="shared" si="1"/>
        <v>134400</v>
      </c>
      <c r="G20" s="9">
        <f t="shared" si="2"/>
        <v>2621863.5136000002</v>
      </c>
      <c r="H20" s="7">
        <f>Sheet1!CP6</f>
        <v>0.18</v>
      </c>
      <c r="I20" s="9">
        <f t="shared" si="3"/>
        <v>471935.43244800001</v>
      </c>
      <c r="J20" s="9">
        <f t="shared" si="4"/>
        <v>3093798.9460480004</v>
      </c>
      <c r="K20" s="1">
        <f>Sheet1!CS6</f>
        <v>30</v>
      </c>
      <c r="L20" s="1" t="str">
        <f>Sheet1!CT6</f>
        <v>KMS</v>
      </c>
      <c r="M20" s="3">
        <f t="shared" si="5"/>
        <v>92813968.381440014</v>
      </c>
      <c r="N20" s="159">
        <f>+IFERROR(VLOOKUP($N$17,Sheet1!J6:L6,3,0),0)</f>
        <v>1944</v>
      </c>
      <c r="O20" s="2">
        <f>+IFERROR(VLOOKUP($O$17,Sheet1!J6:L6,3,0),0)</f>
        <v>0</v>
      </c>
      <c r="P20" s="2">
        <f>+IFERROR(VLOOKUP($P$17,Sheet1!J6:M6,3,0),0)</f>
        <v>0</v>
      </c>
      <c r="Q20" s="2">
        <f>+IFERROR(VLOOKUP($Q$17,Sheet1!J6:M6,3,0),0)</f>
        <v>0</v>
      </c>
      <c r="R20" s="2">
        <f>+IFERROR(VLOOKUP($R$17,Sheet1!J6:M6,3,0),0)</f>
        <v>0</v>
      </c>
      <c r="S20" s="2">
        <f>+IFERROR(VLOOKUP($S$17,Sheet1!N6:Q6,3,0),0)</f>
        <v>0</v>
      </c>
      <c r="T20" s="2">
        <f>+IFERROR(VLOOKUP($T$17,Sheet1!N6:Q6,3,0),0)</f>
        <v>0</v>
      </c>
      <c r="U20" s="2">
        <f>+IFERROR(VLOOKUP($U$17,Sheet1!F6:I6,3,0),0)</f>
        <v>0</v>
      </c>
      <c r="V20" s="2">
        <f>+IFERROR(VLOOKUP($V$17,Sheet1!F6:I6,3,0),0)</f>
        <v>0</v>
      </c>
      <c r="W20" s="2">
        <f>+IFERROR(VLOOKUP($W$17,Sheet1!F6:I6,3,0),0)</f>
        <v>0</v>
      </c>
      <c r="X20" s="2">
        <f>+IFERROR(VLOOKUP($X$17,Sheet1!F6:I6,3,0),0)</f>
        <v>0</v>
      </c>
      <c r="Y20" s="159">
        <v>171</v>
      </c>
      <c r="Z20" s="2">
        <f>+IFERROR(VLOOKUP($Z$17,Sheet1!F6:I6,3,0),0)</f>
        <v>0</v>
      </c>
      <c r="AA20" s="2">
        <f>+IFERROR(VLOOKUP($AA$17,Sheet1!F6:I6,3,0),0)</f>
        <v>0</v>
      </c>
      <c r="AB20" s="2">
        <f>+IFERROR(VLOOKUP($AB$17,Sheet1!F6:I6,3,0),0)</f>
        <v>0</v>
      </c>
      <c r="AC20" s="2">
        <f>+IFERROR(VLOOKUP($AC$17,Sheet1!R6:U6,3,0),0)</f>
        <v>0</v>
      </c>
      <c r="AD20" s="160">
        <v>449</v>
      </c>
      <c r="AE20" s="159">
        <v>1394</v>
      </c>
      <c r="AF20" s="15">
        <f>+IFERROR(VLOOKUP($AF$17,Sheet1!V6:Y6,3,0),0)</f>
        <v>0</v>
      </c>
      <c r="AG20" s="15">
        <f>+IFERROR(VLOOKUP($AG$17,Sheet1!V6:Y6,3,0),0)</f>
        <v>0</v>
      </c>
      <c r="AH20" s="15">
        <f>+IFERROR(VLOOKUP($AH$17,Sheet1!V6:Y6,3,0),0)</f>
        <v>0</v>
      </c>
      <c r="AI20" s="15">
        <f>+IFERROR(VLOOKUP($AI$17,Sheet1!V6:Y6,3,0),0)</f>
        <v>0</v>
      </c>
      <c r="AJ20" s="15">
        <f>+IFERROR(VLOOKUP($AJ$17,Sheet1!V6:Y6,3,0),0)</f>
        <v>0</v>
      </c>
      <c r="AK20" s="15">
        <f>+IFERROR(VLOOKUP($AK$17,Sheet1!Z6:AB6,3,0),0)</f>
        <v>0</v>
      </c>
      <c r="AL20" s="15">
        <f>+IFERROR(VLOOKUP($AL$17,Sheet1!AD6:AG6,3,0),0)</f>
        <v>0</v>
      </c>
      <c r="AM20" s="15">
        <f>+IFERROR(VLOOKUP($AM$17,Sheet1!AD6:AG6,3,0),0)</f>
        <v>0</v>
      </c>
      <c r="AN20" s="15">
        <f>+IFERROR(VLOOKUP($AN$17,Sheet1!AD6:AG6,3,0),0)</f>
        <v>0</v>
      </c>
      <c r="AO20" s="15">
        <f>+IFERROR(VLOOKUP($AO$17,Sheet1!AD6:AG6,3,0),0)</f>
        <v>0</v>
      </c>
      <c r="AP20" s="15">
        <f>+IFERROR(VLOOKUP($AP$17,Sheet1!AD6:AG6,3,0),0)</f>
        <v>0</v>
      </c>
      <c r="AQ20" s="15">
        <f>+IFERROR(VLOOKUP($AQ$17,Sheet1!AD6:AG6,3,0),0)</f>
        <v>0</v>
      </c>
      <c r="AR20" s="160">
        <v>990</v>
      </c>
      <c r="AS20" s="15">
        <f>+IFERROR(VLOOKUP($AS$17,Sheet1!AH6:AK6,3,0),0)</f>
        <v>0</v>
      </c>
      <c r="AT20" s="15">
        <f>+IFERROR(VLOOKUP($AT$17,Sheet1!AH6:AK6,3,0),0)</f>
        <v>0</v>
      </c>
      <c r="AU20" s="15">
        <f>+IFERROR(VLOOKUP($AU$17,Sheet1!AH6:AK6,3,0),0)</f>
        <v>0</v>
      </c>
      <c r="AV20" s="15">
        <f>+IFERROR(VLOOKUP($AV$17,Sheet1!AH6:AK6,3,0),0)</f>
        <v>0</v>
      </c>
      <c r="AW20" s="15">
        <f>+IFERROR(VLOOKUP($AW$17,Sheet1!AH6:AK6,3,0),0)</f>
        <v>0</v>
      </c>
      <c r="AX20" s="15">
        <f>+IFERROR(VLOOKUP($AX$17,Sheet1!AH6:AK6,3,0),0)</f>
        <v>0</v>
      </c>
      <c r="AY20" s="15">
        <f>+IFERROR(VLOOKUP($AY$17,Sheet1!AH6:AK6,3,0),0)</f>
        <v>0</v>
      </c>
      <c r="AZ20" s="15">
        <f>+IFERROR(VLOOKUP($AZ$17,Sheet1!AH6:AK6,3,0),0)</f>
        <v>0</v>
      </c>
      <c r="BA20" s="160">
        <v>5540</v>
      </c>
      <c r="BB20" s="15">
        <f>+IFERROR(VLOOKUP($BB$17,Sheet1!AH6:AK6,3,0),0)</f>
        <v>0</v>
      </c>
      <c r="BC20" s="15">
        <f>+IFERROR(VLOOKUP($BC$17,Sheet1!AL6:AO6,3,0),0)</f>
        <v>0</v>
      </c>
      <c r="BD20" s="15">
        <f>+IFERROR(VLOOKUP($BD$17,Sheet1!AL6:AO6,3,0),0)</f>
        <v>0</v>
      </c>
      <c r="BE20" s="15">
        <f>+IFERROR(VLOOKUP($BE$17,Sheet1!AL6:AO6,3,0),0)</f>
        <v>0</v>
      </c>
      <c r="BF20" s="160">
        <v>1362</v>
      </c>
      <c r="BG20" s="15">
        <f>+IFERROR(VLOOKUP($BG$17,Sheet1!AL6:AO6,3,0),0)</f>
        <v>0</v>
      </c>
      <c r="BH20" s="15">
        <f>+IFERROR(VLOOKUP($BH$17,Sheet1!AL6:AO6,3,0),0)</f>
        <v>0</v>
      </c>
      <c r="BI20" s="15">
        <f>+IFERROR(VLOOKUP($BI$17,Sheet1!AL6:AO6,3,0),0)</f>
        <v>0</v>
      </c>
      <c r="BJ20" s="15"/>
      <c r="BK20" s="15">
        <f>+IFERROR(VLOOKUP($BK$17,Sheet1!AL6:AO6,3,0),0)</f>
        <v>0</v>
      </c>
      <c r="BL20" s="160">
        <v>1028</v>
      </c>
      <c r="BM20" s="15"/>
      <c r="BN20" s="15">
        <f>+IFERROR(VLOOKUP($BN$17,Sheet1!AT6:AW6,3,0),0)</f>
        <v>0</v>
      </c>
      <c r="BO20" s="15">
        <f>+IFERROR(VLOOKUP($BO$17,Sheet1!AX6:BA6,3,0),0)</f>
        <v>0</v>
      </c>
      <c r="BP20" s="160">
        <v>87</v>
      </c>
      <c r="BQ20" s="160">
        <v>33</v>
      </c>
      <c r="BR20" s="15">
        <f>+IFERROR(VLOOKUP($BR$17,Sheet1!BF6:BI6,3,0),0)</f>
        <v>0</v>
      </c>
      <c r="BS20" s="15">
        <f>+IFERROR(VLOOKUP($BS$17,Sheet1!BJ6:BM6,3,0),0)</f>
        <v>0</v>
      </c>
      <c r="BT20" s="15">
        <f>+IFERROR(VLOOKUP($BT$17,Sheet1!BN6:BQ6,3,0),0)</f>
        <v>0</v>
      </c>
      <c r="BU20" s="160">
        <v>60</v>
      </c>
      <c r="BV20" s="15">
        <f>+IFERROR(VLOOKUP($BV$17,Sheet1!BV6:BY6,3,0),0)</f>
        <v>0</v>
      </c>
      <c r="BW20" s="160" t="str">
        <f>Sheet1!E6</f>
        <v>STEEL</v>
      </c>
      <c r="BX20" s="15" t="str">
        <f>Sheet1!CV6</f>
        <v>SP0400081</v>
      </c>
      <c r="BY20" s="15" t="str">
        <f>Sheet1!CW6</f>
        <v>CORRUGATED DISPATCH STEEL  DRUM 2500 X 1400 X 1250 MM</v>
      </c>
      <c r="BZ20" s="160">
        <f>Sheet1!CX6</f>
        <v>250</v>
      </c>
      <c r="CA20" s="3">
        <f>Sheet1!BZ6</f>
        <v>193800</v>
      </c>
      <c r="CB20" s="3">
        <f t="shared" si="6"/>
        <v>1886729</v>
      </c>
      <c r="CC20" s="27">
        <f>Sheet1!CB6</f>
        <v>0</v>
      </c>
      <c r="CD20" s="3">
        <f t="shared" si="7"/>
        <v>0</v>
      </c>
      <c r="CE20" s="48">
        <v>0.28000000000000003</v>
      </c>
      <c r="CF20" s="3">
        <f t="shared" si="8"/>
        <v>528284.12</v>
      </c>
      <c r="CG20" s="48">
        <v>0</v>
      </c>
      <c r="CH20" s="3">
        <f t="shared" si="9"/>
        <v>0</v>
      </c>
      <c r="CI20" s="3">
        <f t="shared" si="10"/>
        <v>2415013.12</v>
      </c>
      <c r="CJ20" s="48">
        <v>0.02</v>
      </c>
      <c r="CK20" s="1">
        <f t="shared" si="11"/>
        <v>48300.2624</v>
      </c>
      <c r="CL20" s="48">
        <v>0.01</v>
      </c>
      <c r="CM20" s="1">
        <f t="shared" si="12"/>
        <v>24150.1312</v>
      </c>
    </row>
    <row r="21" spans="1:91" ht="30" x14ac:dyDescent="0.25">
      <c r="A21" s="1" t="str">
        <f>Sheet1!A8</f>
        <v>ENQ-12006-22-23</v>
      </c>
      <c r="B21" s="51">
        <f>Sheet1!B8</f>
        <v>45261</v>
      </c>
      <c r="C21" s="1" t="str">
        <f>Sheet1!C8</f>
        <v>FA1300091</v>
      </c>
      <c r="D21" s="1" t="str">
        <f>Sheet1!D8</f>
        <v>3 CORE X 300 SQ. MM. AL/ARM - WIRE (XLPE) - 11 KV</v>
      </c>
      <c r="E21" s="3">
        <f t="shared" si="0"/>
        <v>2248076.352</v>
      </c>
      <c r="F21" s="158">
        <f t="shared" si="1"/>
        <v>168000</v>
      </c>
      <c r="G21" s="9">
        <f t="shared" si="2"/>
        <v>2416076.352</v>
      </c>
      <c r="H21" s="7">
        <f>Sheet1!CP8</f>
        <v>0.18</v>
      </c>
      <c r="I21" s="9">
        <f t="shared" si="3"/>
        <v>434893.74335999996</v>
      </c>
      <c r="J21" s="9">
        <f t="shared" si="4"/>
        <v>2850970.0953599997</v>
      </c>
      <c r="K21" s="1">
        <f>Sheet1!CS8</f>
        <v>70</v>
      </c>
      <c r="L21" s="1" t="str">
        <f>Sheet1!CT8</f>
        <v>KMS</v>
      </c>
      <c r="M21" s="3">
        <f t="shared" si="5"/>
        <v>199567906.67519999</v>
      </c>
      <c r="N21" s="159">
        <f>+IFERROR(VLOOKUP($N$17,Sheet1!J8:L8,3,0),0)</f>
        <v>2430</v>
      </c>
      <c r="O21" s="2">
        <f>+IFERROR(VLOOKUP($O$17,Sheet1!J8:L8,3,0),0)</f>
        <v>0</v>
      </c>
      <c r="P21" s="2">
        <f>+IFERROR(VLOOKUP($P$17,Sheet1!J8:M8,3,0),0)</f>
        <v>0</v>
      </c>
      <c r="Q21" s="2">
        <f>+IFERROR(VLOOKUP($Q$17,Sheet1!J8:M8,3,0),0)</f>
        <v>0</v>
      </c>
      <c r="R21" s="2">
        <f>+IFERROR(VLOOKUP($R$17,Sheet1!J8:M8,3,0),0)</f>
        <v>0</v>
      </c>
      <c r="S21" s="2">
        <f>+IFERROR(VLOOKUP($S$17,Sheet1!N8:Q8,3,0),0)</f>
        <v>0</v>
      </c>
      <c r="T21" s="2">
        <f>+IFERROR(VLOOKUP($T$17,Sheet1!N8:Q8,3,0),0)</f>
        <v>0</v>
      </c>
      <c r="U21" s="2">
        <f>+IFERROR(VLOOKUP($U$17,Sheet1!F8:I8,3,0),0)</f>
        <v>0</v>
      </c>
      <c r="V21" s="2">
        <f>+IFERROR(VLOOKUP($V$17,Sheet1!F8:I8,3,0),0)</f>
        <v>0</v>
      </c>
      <c r="W21" s="2">
        <f>+IFERROR(VLOOKUP($W$17,Sheet1!F8:I8,3,0),0)</f>
        <v>0</v>
      </c>
      <c r="X21" s="2">
        <f>+IFERROR(VLOOKUP($X$17,Sheet1!F8:I8,3,0),0)</f>
        <v>0</v>
      </c>
      <c r="Y21" s="159">
        <v>158</v>
      </c>
      <c r="Z21" s="2">
        <f>+IFERROR(VLOOKUP($Z$17,Sheet1!F8:I8,3,0),0)</f>
        <v>0</v>
      </c>
      <c r="AA21" s="2">
        <f>+IFERROR(VLOOKUP($AA$17,Sheet1!F8:I8,3,0),0)</f>
        <v>0</v>
      </c>
      <c r="AB21" s="2">
        <f>+IFERROR(VLOOKUP($AB$17,Sheet1!F8:I8,3,0),0)</f>
        <v>0</v>
      </c>
      <c r="AC21" s="2">
        <f>+IFERROR(VLOOKUP($AC$17,Sheet1!R8:U8,3,0),0)</f>
        <v>0</v>
      </c>
      <c r="AD21" s="160">
        <v>450</v>
      </c>
      <c r="AE21" s="159">
        <v>838</v>
      </c>
      <c r="AF21" s="15">
        <f>+IFERROR(VLOOKUP($AF$17,Sheet1!V8:Y8,3,0),0)</f>
        <v>0</v>
      </c>
      <c r="AG21" s="15">
        <f>+IFERROR(VLOOKUP($AG$17,Sheet1!V8:Y8,3,0),0)</f>
        <v>0</v>
      </c>
      <c r="AH21" s="15">
        <f>+IFERROR(VLOOKUP($AH$17,Sheet1!V8:Y8,3,0),0)</f>
        <v>0</v>
      </c>
      <c r="AI21" s="15">
        <f>+IFERROR(VLOOKUP($AI$17,Sheet1!V8:Y8,3,0),0)</f>
        <v>0</v>
      </c>
      <c r="AJ21" s="15">
        <f>+IFERROR(VLOOKUP($AJ$17,Sheet1!V8:Y8,3,0),0)</f>
        <v>0</v>
      </c>
      <c r="AK21" s="15">
        <f>+IFERROR(VLOOKUP($AK$17,Sheet1!Z8:AB8,3,0),0)</f>
        <v>0</v>
      </c>
      <c r="AL21" s="15">
        <f>+IFERROR(VLOOKUP($AL$17,Sheet1!AD8:AG8,3,0),0)</f>
        <v>0</v>
      </c>
      <c r="AM21" s="15">
        <f>+IFERROR(VLOOKUP($AM$17,Sheet1!AD8:AG8,3,0),0)</f>
        <v>0</v>
      </c>
      <c r="AN21" s="15">
        <f>+IFERROR(VLOOKUP($AN$17,Sheet1!AD8:AG8,3,0),0)</f>
        <v>0</v>
      </c>
      <c r="AO21" s="15">
        <f>+IFERROR(VLOOKUP($AO$17,Sheet1!AD8:AG8,3,0),0)</f>
        <v>0</v>
      </c>
      <c r="AP21" s="15">
        <f>+IFERROR(VLOOKUP($AP$17,Sheet1!AD8:AG8,3,0),0)</f>
        <v>0</v>
      </c>
      <c r="AQ21" s="15">
        <f>+IFERROR(VLOOKUP($AQ$17,Sheet1!AD8:AG8,3,0),0)</f>
        <v>0</v>
      </c>
      <c r="AR21" s="160">
        <v>868</v>
      </c>
      <c r="AS21" s="15">
        <f>+IFERROR(VLOOKUP($AS$17,Sheet1!AH8:AK8,3,0),0)</f>
        <v>0</v>
      </c>
      <c r="AT21" s="15">
        <f>+IFERROR(VLOOKUP($AT$17,Sheet1!AH8:AK8,3,0),0)</f>
        <v>0</v>
      </c>
      <c r="AU21" s="15">
        <f>+IFERROR(VLOOKUP($AU$17,Sheet1!AH8:AK8,3,0),0)</f>
        <v>0</v>
      </c>
      <c r="AV21" s="15">
        <f>+IFERROR(VLOOKUP($AV$17,Sheet1!AH8:AK8,3,0),0)</f>
        <v>0</v>
      </c>
      <c r="AW21" s="15">
        <f>+IFERROR(VLOOKUP($AW$17,Sheet1!AH8:AK8,3,0),0)</f>
        <v>0</v>
      </c>
      <c r="AX21" s="15">
        <f>+IFERROR(VLOOKUP($AX$17,Sheet1!AH8:AK8,3,0),0)</f>
        <v>0</v>
      </c>
      <c r="AY21" s="15">
        <f>+IFERROR(VLOOKUP($AY$17,Sheet1!AH8:AK8,3,0),0)</f>
        <v>0</v>
      </c>
      <c r="AZ21" s="15">
        <f>+IFERROR(VLOOKUP($AZ$17,Sheet1!AH8:AK8,3,0),0)</f>
        <v>0</v>
      </c>
      <c r="BA21" s="160">
        <v>4008</v>
      </c>
      <c r="BB21" s="15">
        <f>+IFERROR(VLOOKUP($BB$17,Sheet1!AH8:AK8,3,0),0)</f>
        <v>0</v>
      </c>
      <c r="BC21" s="15">
        <f>+IFERROR(VLOOKUP($BC$17,Sheet1!AL8:AO8,3,0),0)</f>
        <v>0</v>
      </c>
      <c r="BD21" s="15">
        <f>+IFERROR(VLOOKUP($BD$17,Sheet1!AL8:AO8,3,0),0)</f>
        <v>0</v>
      </c>
      <c r="BE21" s="15">
        <f>+IFERROR(VLOOKUP($BE$17,Sheet1!AL8:AO8,3,0),0)</f>
        <v>0</v>
      </c>
      <c r="BF21" s="160">
        <v>1188</v>
      </c>
      <c r="BG21" s="15">
        <f>+IFERROR(VLOOKUP($BG$17,Sheet1!AL8:AO8,3,0),0)</f>
        <v>0</v>
      </c>
      <c r="BH21" s="15">
        <f>+IFERROR(VLOOKUP($BH$17,Sheet1!AL8:AO8,3,0),0)</f>
        <v>0</v>
      </c>
      <c r="BI21" s="15">
        <f>+IFERROR(VLOOKUP($BI$17,Sheet1!AL8:AO8,3,0),0)</f>
        <v>0</v>
      </c>
      <c r="BJ21" s="15">
        <f>+IFERROR(VLOOKUP($BJ$17,Sheet1!AL8:AO8,3,0),0)</f>
        <v>0</v>
      </c>
      <c r="BK21" s="15">
        <f>+IFERROR(VLOOKUP($BK$17,Sheet1!AL8:AO8,3,0),0)</f>
        <v>0</v>
      </c>
      <c r="BL21" s="160">
        <v>881</v>
      </c>
      <c r="BM21" s="15">
        <f>+IFERROR(VLOOKUP($BM$17,Sheet1!AP8:AS8,3,0),0)</f>
        <v>0</v>
      </c>
      <c r="BN21" s="15">
        <f>+IFERROR(VLOOKUP($BN$17,Sheet1!AT8:AW8,3,0),0)</f>
        <v>0</v>
      </c>
      <c r="BO21" s="15">
        <f>+IFERROR(VLOOKUP($BO$17,Sheet1!AX8:BA8,3,0),0)</f>
        <v>0</v>
      </c>
      <c r="BP21" s="160">
        <v>85</v>
      </c>
      <c r="BQ21" s="160">
        <v>38</v>
      </c>
      <c r="BR21" s="15"/>
      <c r="BS21" s="15">
        <f>+IFERROR(VLOOKUP($BS$17,Sheet1!BJ8:BM8,3,0),0)</f>
        <v>0</v>
      </c>
      <c r="BT21" s="15">
        <f>+IFERROR(VLOOKUP($BT$17,Sheet1!BN8:BQ8,3,0),0)</f>
        <v>0</v>
      </c>
      <c r="BU21" s="160">
        <v>54</v>
      </c>
      <c r="BV21" s="15">
        <f>+IFERROR(VLOOKUP($BV$17,Sheet1!BV8:BY8,3,0),0)</f>
        <v>0</v>
      </c>
      <c r="BW21" s="160" t="str">
        <f>Sheet1!E8</f>
        <v>STEEL</v>
      </c>
      <c r="BX21" s="15" t="str">
        <f>Sheet1!CV8</f>
        <v>SP0400136</v>
      </c>
      <c r="BY21" s="15" t="str">
        <f>Sheet1!CW8</f>
        <v>CORRUGATED DISPATCH STEEL DRUM 2200 X 1300 X 1200 MM</v>
      </c>
      <c r="BZ21" s="160">
        <f>Sheet1!CX8</f>
        <v>250</v>
      </c>
      <c r="CA21" s="3">
        <f>Sheet1!BZ8</f>
        <v>171000</v>
      </c>
      <c r="CB21" s="3">
        <f t="shared" si="6"/>
        <v>1705155</v>
      </c>
      <c r="CC21" s="27">
        <f>Sheet1!CB8</f>
        <v>0</v>
      </c>
      <c r="CD21" s="3">
        <f t="shared" si="7"/>
        <v>0</v>
      </c>
      <c r="CE21" s="48">
        <v>0.28000000000000003</v>
      </c>
      <c r="CF21" s="3">
        <f t="shared" si="8"/>
        <v>477443.4</v>
      </c>
      <c r="CG21" s="48">
        <v>0</v>
      </c>
      <c r="CH21" s="3">
        <f t="shared" si="9"/>
        <v>0</v>
      </c>
      <c r="CI21" s="3">
        <f t="shared" si="10"/>
        <v>2182598.4</v>
      </c>
      <c r="CJ21" s="48">
        <v>0.02</v>
      </c>
      <c r="CK21" s="1">
        <f t="shared" si="11"/>
        <v>43651.968000000001</v>
      </c>
      <c r="CL21" s="48">
        <v>0.01</v>
      </c>
      <c r="CM21" s="1">
        <f t="shared" si="12"/>
        <v>21825.984</v>
      </c>
    </row>
    <row r="22" spans="1:91" ht="30" x14ac:dyDescent="0.25">
      <c r="A22" s="1" t="str">
        <f>Sheet1!A2</f>
        <v>ENQ-12006-22-23</v>
      </c>
      <c r="B22" s="51">
        <f>Sheet1!B2</f>
        <v>45261</v>
      </c>
      <c r="C22" s="1" t="str">
        <f>Sheet1!C2</f>
        <v>FA1300027</v>
      </c>
      <c r="D22" s="1" t="str">
        <f>Sheet1!D2</f>
        <v>1 CORE X 630 SQ. MM. AL/ARM (XLPE)  - 33 KV</v>
      </c>
      <c r="E22" s="3">
        <f t="shared" si="0"/>
        <v>1341522.0992000003</v>
      </c>
      <c r="F22" s="158">
        <f t="shared" si="1"/>
        <v>168000</v>
      </c>
      <c r="G22" s="9">
        <f t="shared" si="2"/>
        <v>1509522.0992000003</v>
      </c>
      <c r="H22" s="7">
        <f>Sheet1!CP2</f>
        <v>0.18</v>
      </c>
      <c r="I22" s="9">
        <f t="shared" si="3"/>
        <v>271713.97785600007</v>
      </c>
      <c r="J22" s="9">
        <f t="shared" si="4"/>
        <v>1781236.0770560005</v>
      </c>
      <c r="K22" s="1">
        <f>Sheet1!CS2</f>
        <v>1</v>
      </c>
      <c r="L22" s="1" t="str">
        <f>Sheet1!CT2</f>
        <v>KMS</v>
      </c>
      <c r="M22" s="3">
        <f t="shared" si="5"/>
        <v>1781236.0770560005</v>
      </c>
      <c r="N22" s="159">
        <f>+IFERROR(VLOOKUP($N$17,Sheet1!J2:L2,3,0),0)</f>
        <v>1701</v>
      </c>
      <c r="O22" s="2">
        <f>+IFERROR(VLOOKUP($O$17,Sheet1!J2:L2,3,0),0)</f>
        <v>0</v>
      </c>
      <c r="P22" s="2">
        <f>+IFERROR(VLOOKUP($P$17,Sheet1!J2:M2,3,0),0)</f>
        <v>0</v>
      </c>
      <c r="Q22" s="2">
        <f>+IFERROR(VLOOKUP($Q$17,Sheet1!J2:M2,3,0),0)</f>
        <v>0</v>
      </c>
      <c r="R22" s="2">
        <f>+IFERROR(VLOOKUP($R$17,Sheet1!J2:M2,3,0),0)</f>
        <v>0</v>
      </c>
      <c r="S22" s="2">
        <f>+IFERROR(VLOOKUP($S$17,Sheet1!N2:Q2,3,0),0)</f>
        <v>0</v>
      </c>
      <c r="T22" s="2">
        <f>+IFERROR(VLOOKUP($T$17,Sheet1!N2:Q2,3,0),0)</f>
        <v>0</v>
      </c>
      <c r="U22" s="2">
        <f>+IFERROR(VLOOKUP($U$17,Sheet1!F2:I2,3,0),0)</f>
        <v>0</v>
      </c>
      <c r="V22" s="2">
        <f>+IFERROR(VLOOKUP($V$17,Sheet1!F2:I2,3,0),0)</f>
        <v>0</v>
      </c>
      <c r="W22" s="2">
        <f>+IFERROR(VLOOKUP($W$17,Sheet1!F2:I2,3,0),0)</f>
        <v>0</v>
      </c>
      <c r="X22" s="2">
        <f>+IFERROR(VLOOKUP($X$17,Sheet1!F2:I2,3,0),0)</f>
        <v>0</v>
      </c>
      <c r="Y22" s="159">
        <v>85</v>
      </c>
      <c r="Z22" s="2">
        <f>+IFERROR(VLOOKUP($Z$17,Sheet1!F2:I2,3,0),0)</f>
        <v>0</v>
      </c>
      <c r="AA22" s="2">
        <f>+IFERROR(VLOOKUP($AA$17,Sheet1!F2:I2,3,0),0)</f>
        <v>0</v>
      </c>
      <c r="AB22" s="2">
        <f>+IFERROR(VLOOKUP($AB$17,Sheet1!F2:I2,3,0),0)</f>
        <v>0</v>
      </c>
      <c r="AC22" s="2">
        <f>+IFERROR(VLOOKUP($AC$17,Sheet1!R2:U2,3,0),0)</f>
        <v>0</v>
      </c>
      <c r="AD22" s="160">
        <v>237</v>
      </c>
      <c r="AE22" s="159">
        <v>1055</v>
      </c>
      <c r="AF22" s="15">
        <f>+IFERROR(VLOOKUP($AF$17,Sheet1!V2:Y2,3,0),0)</f>
        <v>0</v>
      </c>
      <c r="AG22" s="15">
        <f>+IFERROR(VLOOKUP($AG$17,Sheet1!V2:Y2,3,0),0)</f>
        <v>0</v>
      </c>
      <c r="AH22" s="15">
        <f>+IFERROR(VLOOKUP($AH$17,Sheet1!V2:Y2,3,0),0)</f>
        <v>0</v>
      </c>
      <c r="AI22" s="15">
        <f>+IFERROR(VLOOKUP($AI$17,Sheet1!V2:Y2,3,0),0)</f>
        <v>0</v>
      </c>
      <c r="AJ22" s="15">
        <f>+IFERROR(VLOOKUP($AJ$17,Sheet1!V2:Y2,3,0),0)</f>
        <v>0</v>
      </c>
      <c r="AK22" s="160">
        <v>18</v>
      </c>
      <c r="AL22" s="15">
        <f>+IFERROR(VLOOKUP($AL$17,Sheet1!AD2:AG2,3,0),0)</f>
        <v>0</v>
      </c>
      <c r="AM22" s="15">
        <f>+IFERROR(VLOOKUP($AM$17,Sheet1!AD2:AG2,3,0),0)</f>
        <v>0</v>
      </c>
      <c r="AN22" s="15">
        <f>+IFERROR(VLOOKUP($AN$17,Sheet1!AD2:AG2,3,0),0)</f>
        <v>0</v>
      </c>
      <c r="AO22" s="15">
        <f>+IFERROR(VLOOKUP($AO$17,Sheet1!AD2:AG2,3,0),0)</f>
        <v>0</v>
      </c>
      <c r="AP22" s="15">
        <f>+IFERROR(VLOOKUP($AP$17,Sheet1!AD2:AG2,3,0),0)</f>
        <v>0</v>
      </c>
      <c r="AQ22" s="15">
        <f>+IFERROR(VLOOKUP($AQ$17,Sheet1!AD2:AG2,3,0),0)</f>
        <v>0</v>
      </c>
      <c r="AR22" s="160">
        <v>200</v>
      </c>
      <c r="AS22" s="15">
        <f>+IFERROR(VLOOKUP($AS$17,Sheet1!AH2:AK2,3,0),0)</f>
        <v>0</v>
      </c>
      <c r="AT22" s="15">
        <f>+IFERROR(VLOOKUP($AT$17,Sheet1!AH2:AK2,3,0),0)</f>
        <v>0</v>
      </c>
      <c r="AU22" s="15">
        <f>+IFERROR(VLOOKUP($AU$17,Sheet1!AH2:AK2,3,0),0)</f>
        <v>0</v>
      </c>
      <c r="AV22" s="160">
        <v>842</v>
      </c>
      <c r="AW22" s="15">
        <f>+IFERROR(VLOOKUP($AW$17,Sheet1!AH2:AK2,3,0),0)</f>
        <v>0</v>
      </c>
      <c r="AX22" s="15">
        <f>+IFERROR(VLOOKUP($AX$17,Sheet1!AH2:AK2,3,0),0)</f>
        <v>0</v>
      </c>
      <c r="AY22" s="15">
        <f>+IFERROR(VLOOKUP($AY$17,Sheet1!AH2:AK2,3,0),0)</f>
        <v>0</v>
      </c>
      <c r="AZ22" s="15">
        <f>+IFERROR(VLOOKUP($AZ$17,Sheet1!AH2:AK2,3,0),0)</f>
        <v>0</v>
      </c>
      <c r="BA22" s="15">
        <f>+IFERROR(VLOOKUP($BA$17,Sheet1!AH2:AK2,3,0),0)</f>
        <v>0</v>
      </c>
      <c r="BB22" s="15">
        <f>+IFERROR(VLOOKUP($BB$17,Sheet1!AH2:AK2,3,0),0)</f>
        <v>0</v>
      </c>
      <c r="BC22" s="15">
        <f>+IFERROR(VLOOKUP($BC$17,Sheet1!AL2:AO2,3,0),0)</f>
        <v>0</v>
      </c>
      <c r="BD22" s="15">
        <f>+IFERROR(VLOOKUP($BD$17,Sheet1!AL2:AO2,3,0),0)</f>
        <v>0</v>
      </c>
      <c r="BE22" s="15">
        <f>+IFERROR(VLOOKUP($BE$17,Sheet1!AL2:AO2,3,0),0)</f>
        <v>0</v>
      </c>
      <c r="BF22" s="160">
        <v>762</v>
      </c>
      <c r="BG22" s="15">
        <f>+IFERROR(VLOOKUP($BG$17,Sheet1!AL2:AO2,3,0),0)</f>
        <v>0</v>
      </c>
      <c r="BH22" s="15">
        <f>+IFERROR(VLOOKUP($BH$17,Sheet1!AL2:AO2,3,0),0)</f>
        <v>0</v>
      </c>
      <c r="BI22" s="15">
        <f>+IFERROR(VLOOKUP($BI$17,Sheet1!AL2:AO2,3,0),0)</f>
        <v>0</v>
      </c>
      <c r="BJ22" s="15"/>
      <c r="BK22" s="15">
        <f>+IFERROR(VLOOKUP($BK$17,Sheet1!AL2:AO2,3,0),0)</f>
        <v>0</v>
      </c>
      <c r="BL22" s="15">
        <f>+IFERROR(VLOOKUP($BL$17,Sheet1!AL2:AO2,3,0),0)</f>
        <v>0</v>
      </c>
      <c r="BM22" s="15">
        <f>+IFERROR(VLOOKUP($BM$17,Sheet1!AP2:AS2,3,0),0)</f>
        <v>0</v>
      </c>
      <c r="BN22" s="15">
        <f>+IFERROR(VLOOKUP($BN$17,Sheet1!AT2:AW2,3,0),0)</f>
        <v>0</v>
      </c>
      <c r="BO22" s="15">
        <f>+IFERROR(VLOOKUP($BO$17,Sheet1!AX2:BA2,3,0),0)</f>
        <v>0</v>
      </c>
      <c r="BP22" s="160">
        <v>45</v>
      </c>
      <c r="BQ22" s="160">
        <v>26</v>
      </c>
      <c r="BR22" s="15">
        <f>+IFERROR(VLOOKUP($BR$17,Sheet1!BF2:BI2,3,0),0)</f>
        <v>0</v>
      </c>
      <c r="BS22" s="15">
        <f>+IFERROR(VLOOKUP($BS$17,Sheet1!BJ2:BM2,3,0),0)</f>
        <v>0</v>
      </c>
      <c r="BT22" s="15">
        <f>+IFERROR(VLOOKUP($BT$17,Sheet1!BN2:BQ2,3,0),0)</f>
        <v>0</v>
      </c>
      <c r="BU22" s="160">
        <v>41</v>
      </c>
      <c r="BV22" s="15">
        <f>+IFERROR(VLOOKUP($BV$17,Sheet1!BV2:BY2,3,0),0)</f>
        <v>0</v>
      </c>
      <c r="BW22" s="160" t="str">
        <f>Sheet1!E2</f>
        <v>STEEL</v>
      </c>
      <c r="BX22" s="15" t="str">
        <f>Sheet1!CV2</f>
        <v>SP0400123</v>
      </c>
      <c r="BY22" s="15" t="str">
        <f>Sheet1!CW2</f>
        <v>CORRUGATED DISPATCH STEEL DRUM 2000 X 1000 X 1200 MM</v>
      </c>
      <c r="BZ22" s="160">
        <f>Sheet1!CX2</f>
        <v>500</v>
      </c>
      <c r="CA22" s="3">
        <f>Sheet1!BZ2</f>
        <v>53200</v>
      </c>
      <c r="CB22" s="3">
        <f t="shared" si="6"/>
        <v>1017538</v>
      </c>
      <c r="CC22" s="27">
        <f>Sheet1!CB2</f>
        <v>0</v>
      </c>
      <c r="CD22" s="3">
        <f t="shared" si="7"/>
        <v>0</v>
      </c>
      <c r="CE22" s="48">
        <v>0.28000000000000003</v>
      </c>
      <c r="CF22" s="3">
        <f t="shared" si="8"/>
        <v>284910.64</v>
      </c>
      <c r="CG22" s="48">
        <v>0</v>
      </c>
      <c r="CH22" s="3">
        <f t="shared" si="9"/>
        <v>0</v>
      </c>
      <c r="CI22" s="3">
        <f t="shared" si="10"/>
        <v>1302448.6400000001</v>
      </c>
      <c r="CJ22" s="48">
        <v>0.02</v>
      </c>
      <c r="CK22" s="1">
        <f t="shared" si="11"/>
        <v>26048.972800000003</v>
      </c>
      <c r="CL22" s="48">
        <v>0.01</v>
      </c>
      <c r="CM22" s="1">
        <f t="shared" si="12"/>
        <v>13024.486400000002</v>
      </c>
    </row>
    <row r="23" spans="1:91" ht="30" x14ac:dyDescent="0.25">
      <c r="A23" s="1" t="str">
        <f>Sheet1!A5</f>
        <v>ENQ-12006-22-23</v>
      </c>
      <c r="B23" s="51">
        <f>Sheet1!B5</f>
        <v>45261</v>
      </c>
      <c r="C23" s="1" t="str">
        <f>Sheet1!C5</f>
        <v>FA1300122</v>
      </c>
      <c r="D23" s="1" t="str">
        <f>Sheet1!D5</f>
        <v>1 CORE X 185 SQ. MM. AL/ARM - WIRE (XLPE) - 22 KV</v>
      </c>
      <c r="E23" s="3">
        <f t="shared" si="0"/>
        <v>591984.01280000003</v>
      </c>
      <c r="F23" s="158">
        <f t="shared" si="1"/>
        <v>56000</v>
      </c>
      <c r="G23" s="9">
        <f t="shared" si="2"/>
        <v>647984.01280000003</v>
      </c>
      <c r="H23" s="7">
        <f>Sheet1!CP5</f>
        <v>0.18</v>
      </c>
      <c r="I23" s="9">
        <f t="shared" si="3"/>
        <v>116637.122304</v>
      </c>
      <c r="J23" s="9">
        <f t="shared" si="4"/>
        <v>764621.13510399999</v>
      </c>
      <c r="K23" s="1">
        <f>Sheet1!CS5</f>
        <v>3</v>
      </c>
      <c r="L23" s="1" t="str">
        <f>Sheet1!CT5</f>
        <v>KMS</v>
      </c>
      <c r="M23" s="3">
        <f t="shared" si="5"/>
        <v>2293863.4053119998</v>
      </c>
      <c r="N23" s="159">
        <v>499</v>
      </c>
      <c r="O23" s="2">
        <f>+IFERROR(VLOOKUP($O$17,Sheet1!J5:L5,3,0),0)</f>
        <v>0</v>
      </c>
      <c r="P23" s="2">
        <f>+IFERROR(VLOOKUP($P$17,Sheet1!J5:M5,3,0),0)</f>
        <v>0</v>
      </c>
      <c r="Q23" s="2">
        <f>+IFERROR(VLOOKUP($Q$17,Sheet1!J5:M5,3,0),0)</f>
        <v>0</v>
      </c>
      <c r="R23" s="2">
        <f>+IFERROR(VLOOKUP($R$17,Sheet1!J5:M5,3,0),0)</f>
        <v>0</v>
      </c>
      <c r="S23" s="2">
        <f>+IFERROR(VLOOKUP($S$17,Sheet1!N5:Q5,3,0),0)</f>
        <v>0</v>
      </c>
      <c r="T23" s="2">
        <f>+IFERROR(VLOOKUP($T$17,Sheet1!N5:Q5,3,0),0)</f>
        <v>0</v>
      </c>
      <c r="U23" s="2">
        <f>+IFERROR(VLOOKUP($U$17,Sheet1!F5:I5,3,0),0)</f>
        <v>0</v>
      </c>
      <c r="V23" s="2">
        <f>+IFERROR(VLOOKUP($V$17,Sheet1!F5:I5,3,0),0)</f>
        <v>0</v>
      </c>
      <c r="W23" s="2">
        <f>+IFERROR(VLOOKUP($W$17,Sheet1!F5:I5,3,0),0)</f>
        <v>0</v>
      </c>
      <c r="X23" s="2">
        <f>+IFERROR(VLOOKUP($X$17,Sheet1!F5:I5,3,0),0)</f>
        <v>0</v>
      </c>
      <c r="Y23" s="159">
        <v>53</v>
      </c>
      <c r="Z23" s="2">
        <f>+IFERROR(VLOOKUP($Z$17,Sheet1!F5:I5,3,0),0)</f>
        <v>0</v>
      </c>
      <c r="AA23" s="2">
        <f>+IFERROR(VLOOKUP($AA$17,Sheet1!F5:I5,3,0),0)</f>
        <v>0</v>
      </c>
      <c r="AB23" s="2">
        <f>+IFERROR(VLOOKUP($AB$17,Sheet1!F5:I5,3,0),0)</f>
        <v>0</v>
      </c>
      <c r="AC23" s="2">
        <f>+IFERROR(VLOOKUP($AC$17,Sheet1!R5:U5,3,0),0)</f>
        <v>0</v>
      </c>
      <c r="AD23" s="160">
        <v>139</v>
      </c>
      <c r="AE23" s="159">
        <v>428</v>
      </c>
      <c r="AF23" s="15">
        <f>+IFERROR(VLOOKUP($AF$17,Sheet1!V5:Y5,3,0),0)</f>
        <v>0</v>
      </c>
      <c r="AG23" s="15">
        <f>+IFERROR(VLOOKUP($AG$17,Sheet1!V5:Y5,3,0),0)</f>
        <v>0</v>
      </c>
      <c r="AH23" s="15">
        <f>+IFERROR(VLOOKUP($AH$17,Sheet1!V5:Y5,3,0),0)</f>
        <v>0</v>
      </c>
      <c r="AI23" s="15">
        <f>+IFERROR(VLOOKUP($AI$17,Sheet1!V5:Y5,3,0),0)</f>
        <v>0</v>
      </c>
      <c r="AJ23" s="15">
        <f>+IFERROR(VLOOKUP($AJ$17,Sheet1!V5:Y5,3,0),0)</f>
        <v>0</v>
      </c>
      <c r="AK23" s="160">
        <v>12</v>
      </c>
      <c r="AL23" s="15">
        <f>+IFERROR(VLOOKUP($AL$17,Sheet1!AD5:AG5,3,0),0)</f>
        <v>0</v>
      </c>
      <c r="AM23" s="15">
        <f>+IFERROR(VLOOKUP($AM$17,Sheet1!AD5:AG5,3,0),0)</f>
        <v>0</v>
      </c>
      <c r="AN23" s="15">
        <f>+IFERROR(VLOOKUP($AN$17,Sheet1!AD5:AG5,3,0),0)</f>
        <v>0</v>
      </c>
      <c r="AO23" s="15">
        <f>+IFERROR(VLOOKUP($AO$17,Sheet1!AD5:AG5,3,0),0)</f>
        <v>0</v>
      </c>
      <c r="AP23" s="15">
        <f>+IFERROR(VLOOKUP($AP$17,Sheet1!AD5:AG5,3,0),0)</f>
        <v>0</v>
      </c>
      <c r="AQ23" s="15">
        <f>+IFERROR(VLOOKUP($AQ$17,Sheet1!AD5:AG5,3,0),0)</f>
        <v>0</v>
      </c>
      <c r="AR23" s="160">
        <v>93</v>
      </c>
      <c r="AS23" s="15">
        <f>+IFERROR(VLOOKUP($AS$17,Sheet1!AH5:AK5,3,0),0)</f>
        <v>0</v>
      </c>
      <c r="AT23" s="15">
        <f>+IFERROR(VLOOKUP($AT$17,Sheet1!AH5:AK5,3,0),0)</f>
        <v>0</v>
      </c>
      <c r="AU23" s="15">
        <f>+IFERROR(VLOOKUP($AU$17,Sheet1!AH5:AK5,3,0),0)</f>
        <v>0</v>
      </c>
      <c r="AV23" s="160">
        <v>415</v>
      </c>
      <c r="AW23" s="15">
        <f>+IFERROR(VLOOKUP($AW$17,Sheet1!AH5:AK5,3,0),0)</f>
        <v>0</v>
      </c>
      <c r="AX23" s="15">
        <f>+IFERROR(VLOOKUP($AX$17,Sheet1!AH5:AK5,3,0),0)</f>
        <v>0</v>
      </c>
      <c r="AY23" s="15">
        <f>+IFERROR(VLOOKUP($AY$17,Sheet1!AH5:AK5,3,0),0)</f>
        <v>0</v>
      </c>
      <c r="AZ23" s="15">
        <f>+IFERROR(VLOOKUP($AZ$17,Sheet1!AH5:AK5,3,0),0)</f>
        <v>0</v>
      </c>
      <c r="BA23" s="15">
        <f>+IFERROR(VLOOKUP($BA$17,Sheet1!AH5:AK5,3,0),0)</f>
        <v>0</v>
      </c>
      <c r="BB23" s="15">
        <f>+IFERROR(VLOOKUP($BB$17,Sheet1!AH5:AK5,3,0),0)</f>
        <v>0</v>
      </c>
      <c r="BC23" s="15">
        <f>+IFERROR(VLOOKUP($BC$17,Sheet1!AL5:AO5,3,0),0)</f>
        <v>0</v>
      </c>
      <c r="BD23" s="15">
        <f>+IFERROR(VLOOKUP($BD$17,Sheet1!AL5:AO5,3,0),0)</f>
        <v>0</v>
      </c>
      <c r="BE23" s="15">
        <f>+IFERROR(VLOOKUP($BE$17,Sheet1!AL5:AO5,3,0),0)</f>
        <v>0</v>
      </c>
      <c r="BF23" s="160">
        <v>371</v>
      </c>
      <c r="BG23" s="15">
        <f>+IFERROR(VLOOKUP($BG$17,Sheet1!AL5:AO5,3,0),0)</f>
        <v>0</v>
      </c>
      <c r="BH23" s="15">
        <f>+IFERROR(VLOOKUP($BH$17,Sheet1!AL5:AO5,3,0),0)</f>
        <v>0</v>
      </c>
      <c r="BI23" s="15">
        <f>+IFERROR(VLOOKUP($BI$17,Sheet1!AL5:AO5,3,0),0)</f>
        <v>0</v>
      </c>
      <c r="BJ23" s="15"/>
      <c r="BK23" s="15">
        <f>+IFERROR(VLOOKUP($BK$17,Sheet1!AL5:AO5,3,0),0)</f>
        <v>0</v>
      </c>
      <c r="BL23" s="15">
        <f>+IFERROR(VLOOKUP($BL$17,Sheet1!AL5:AO5,3,0),0)</f>
        <v>0</v>
      </c>
      <c r="BM23" s="15">
        <f>+IFERROR(VLOOKUP($BM$17,Sheet1!AP5:AS5,3,0),0)</f>
        <v>0</v>
      </c>
      <c r="BN23" s="15">
        <f>+IFERROR(VLOOKUP($BN$17,Sheet1!AT5:AW5,3,0),0)</f>
        <v>0</v>
      </c>
      <c r="BO23" s="15">
        <f>+IFERROR(VLOOKUP($BO$17,Sheet1!AX5:BA5,3,0),0)</f>
        <v>0</v>
      </c>
      <c r="BP23" s="160">
        <v>27</v>
      </c>
      <c r="BQ23" s="160">
        <v>11</v>
      </c>
      <c r="BR23" s="15">
        <f>+IFERROR(VLOOKUP($BR$17,Sheet1!BF5:BI5,3,0),0)</f>
        <v>0</v>
      </c>
      <c r="BS23" s="15">
        <f>+IFERROR(VLOOKUP($BS$17,Sheet1!BJ5:BM5,3,0),0)</f>
        <v>0</v>
      </c>
      <c r="BT23" s="15">
        <f>+IFERROR(VLOOKUP($BT$17,Sheet1!BN5:BQ5,3,0),0)</f>
        <v>0</v>
      </c>
      <c r="BU23" s="160">
        <v>27</v>
      </c>
      <c r="BV23" s="15">
        <f>+IFERROR(VLOOKUP($BV$17,Sheet1!BV5:BY5,3,0),0)</f>
        <v>0</v>
      </c>
      <c r="BW23" s="160" t="str">
        <f>Sheet1!E5</f>
        <v>STEEL</v>
      </c>
      <c r="BX23" s="15" t="str">
        <f>Sheet1!CV5</f>
        <v>SP0400125</v>
      </c>
      <c r="BY23" s="15" t="str">
        <f>Sheet1!CW5</f>
        <v>CORRUGATED DISPATCH STEEL DRUM 1600 X 700 X 915 MM</v>
      </c>
      <c r="BZ23" s="160">
        <f>Sheet1!CX5</f>
        <v>500</v>
      </c>
      <c r="CA23" s="3">
        <f>Sheet1!BZ5</f>
        <v>41800</v>
      </c>
      <c r="CB23" s="3">
        <f t="shared" si="6"/>
        <v>449017</v>
      </c>
      <c r="CC23" s="27">
        <f>Sheet1!CB5</f>
        <v>0</v>
      </c>
      <c r="CD23" s="3">
        <f t="shared" si="7"/>
        <v>0</v>
      </c>
      <c r="CE23" s="48">
        <v>0.28000000000000003</v>
      </c>
      <c r="CF23" s="3">
        <f t="shared" si="8"/>
        <v>125724.76000000001</v>
      </c>
      <c r="CG23" s="48">
        <v>0</v>
      </c>
      <c r="CH23" s="3">
        <f t="shared" si="9"/>
        <v>0</v>
      </c>
      <c r="CI23" s="3">
        <f t="shared" si="10"/>
        <v>574741.76000000001</v>
      </c>
      <c r="CJ23" s="48">
        <v>0.02</v>
      </c>
      <c r="CK23" s="1">
        <f t="shared" si="11"/>
        <v>11494.8352</v>
      </c>
      <c r="CL23" s="48">
        <v>0.01</v>
      </c>
      <c r="CM23" s="1">
        <f t="shared" si="12"/>
        <v>5747.4175999999998</v>
      </c>
    </row>
    <row r="24" spans="1:91" ht="30" x14ac:dyDescent="0.25">
      <c r="A24" s="1" t="str">
        <f>Sheet1!A3</f>
        <v>ENQ-12006-22-23</v>
      </c>
      <c r="B24" s="51">
        <f>Sheet1!B3</f>
        <v>45261</v>
      </c>
      <c r="C24" s="1" t="str">
        <f>Sheet1!C3</f>
        <v>FA1300020</v>
      </c>
      <c r="D24" s="1" t="str">
        <f>Sheet1!D3</f>
        <v>1 CORE X 185 SQ. MM. AL./ARM (XLPE)  - 11 KV</v>
      </c>
      <c r="E24" s="3">
        <f t="shared" si="0"/>
        <v>510704.65279999998</v>
      </c>
      <c r="F24" s="158">
        <f t="shared" si="1"/>
        <v>56000</v>
      </c>
      <c r="G24" s="9">
        <f t="shared" si="2"/>
        <v>566704.65280000004</v>
      </c>
      <c r="H24" s="7">
        <f>Sheet1!CP3</f>
        <v>0.18</v>
      </c>
      <c r="I24" s="9">
        <f t="shared" si="3"/>
        <v>102006.83750400001</v>
      </c>
      <c r="J24" s="9">
        <f t="shared" si="4"/>
        <v>668711.49030400009</v>
      </c>
      <c r="K24" s="1">
        <f>Sheet1!CS3</f>
        <v>3</v>
      </c>
      <c r="L24" s="1" t="str">
        <f>Sheet1!CT3</f>
        <v>KMS</v>
      </c>
      <c r="M24" s="3">
        <f t="shared" si="5"/>
        <v>2006134.4709120002</v>
      </c>
      <c r="N24" s="159">
        <v>499</v>
      </c>
      <c r="O24" s="2">
        <f>+IFERROR(VLOOKUP($O$17,Sheet1!J3:L3,3,0),0)</f>
        <v>0</v>
      </c>
      <c r="P24" s="2">
        <f>+IFERROR(VLOOKUP($P$17,Sheet1!J3:M3,3,0),0)</f>
        <v>0</v>
      </c>
      <c r="Q24" s="2">
        <f>+IFERROR(VLOOKUP($Q$17,Sheet1!J3:M3,3,0),0)</f>
        <v>0</v>
      </c>
      <c r="R24" s="2">
        <f>+IFERROR(VLOOKUP($R$17,Sheet1!J3:M3,3,0),0)</f>
        <v>0</v>
      </c>
      <c r="S24" s="2">
        <f>+IFERROR(VLOOKUP($S$17,Sheet1!N3:Q3,3,0),0)</f>
        <v>0</v>
      </c>
      <c r="T24" s="2">
        <f>+IFERROR(VLOOKUP($T$17,Sheet1!N3:Q3,3,0),0)</f>
        <v>0</v>
      </c>
      <c r="U24" s="2">
        <f>+IFERROR(VLOOKUP($U$17,Sheet1!F3:I3,3,0),0)</f>
        <v>0</v>
      </c>
      <c r="V24" s="2">
        <f>+IFERROR(VLOOKUP($V$17,Sheet1!F3:I3,3,0),0)</f>
        <v>0</v>
      </c>
      <c r="W24" s="2">
        <f>+IFERROR(VLOOKUP($W$17,Sheet1!F3:I3,3,0),0)</f>
        <v>0</v>
      </c>
      <c r="X24" s="2">
        <f>+IFERROR(VLOOKUP($X$17,Sheet1!F3:I3,3,0),0)</f>
        <v>0</v>
      </c>
      <c r="Y24" s="159">
        <v>45</v>
      </c>
      <c r="Z24" s="2">
        <f>+IFERROR(VLOOKUP($Z$17,Sheet1!F3:I3,3,0),0)</f>
        <v>0</v>
      </c>
      <c r="AA24" s="2">
        <f>+IFERROR(VLOOKUP($AA$17,Sheet1!F3:I3,3,0),0)</f>
        <v>0</v>
      </c>
      <c r="AB24" s="2">
        <f>+IFERROR(VLOOKUP($AB$17,Sheet1!F3:I3,3,0),0)</f>
        <v>0</v>
      </c>
      <c r="AC24" s="2">
        <f>+IFERROR(VLOOKUP($AC$17,Sheet1!R3:U3,3,0),0)</f>
        <v>0</v>
      </c>
      <c r="AD24" s="160">
        <v>125</v>
      </c>
      <c r="AE24" s="159">
        <v>230</v>
      </c>
      <c r="AF24" s="15">
        <f>+IFERROR(VLOOKUP($AF$17,Sheet1!V3:Y3,3,0),0)</f>
        <v>0</v>
      </c>
      <c r="AG24" s="15">
        <f>+IFERROR(VLOOKUP($AG$17,Sheet1!V3:Y3,3,0),0)</f>
        <v>0</v>
      </c>
      <c r="AH24" s="15">
        <f>+IFERROR(VLOOKUP($AH$17,Sheet1!V3:Y3,3,0),0)</f>
        <v>0</v>
      </c>
      <c r="AI24" s="15">
        <f>+IFERROR(VLOOKUP($AI$17,Sheet1!V3:Y3,3,0),0)</f>
        <v>0</v>
      </c>
      <c r="AJ24" s="15">
        <f>+IFERROR(VLOOKUP($AJ$17,Sheet1!V3:Y3,3,0),0)</f>
        <v>0</v>
      </c>
      <c r="AK24" s="160">
        <v>10</v>
      </c>
      <c r="AL24" s="15">
        <f>+IFERROR(VLOOKUP($AL$17,Sheet1!AD3:AG3,3,0),0)</f>
        <v>0</v>
      </c>
      <c r="AM24" s="15">
        <f>+IFERROR(VLOOKUP($AM$17,Sheet1!AD3:AG3,3,0),0)</f>
        <v>0</v>
      </c>
      <c r="AN24" s="15">
        <f>+IFERROR(VLOOKUP($AN$17,Sheet1!AD3:AG3,3,0),0)</f>
        <v>0</v>
      </c>
      <c r="AO24" s="15">
        <f>+IFERROR(VLOOKUP($AO$17,Sheet1!AD3:AG3,3,0),0)</f>
        <v>0</v>
      </c>
      <c r="AP24" s="15">
        <f>+IFERROR(VLOOKUP($AP$17,Sheet1!AD3:AG3,3,0),0)</f>
        <v>0</v>
      </c>
      <c r="AQ24" s="15">
        <f>+IFERROR(VLOOKUP($AQ$17,Sheet1!AD3:AG3,3,0),0)</f>
        <v>0</v>
      </c>
      <c r="AR24" s="160">
        <v>80</v>
      </c>
      <c r="AS24" s="15">
        <f>+IFERROR(VLOOKUP($AS$17,Sheet1!AH3:AK3,3,0),0)</f>
        <v>0</v>
      </c>
      <c r="AT24" s="15">
        <f>+IFERROR(VLOOKUP($AT$17,Sheet1!AH3:AK3,3,0),0)</f>
        <v>0</v>
      </c>
      <c r="AU24" s="15">
        <f>+IFERROR(VLOOKUP($AU$17,Sheet1!AH3:AK3,3,0),0)</f>
        <v>0</v>
      </c>
      <c r="AV24" s="160">
        <v>362</v>
      </c>
      <c r="AW24" s="15">
        <f>+IFERROR(VLOOKUP($AW$17,Sheet1!AH3:AK3,3,0),0)</f>
        <v>0</v>
      </c>
      <c r="AX24" s="15">
        <f>+IFERROR(VLOOKUP($AX$17,Sheet1!AH3:AK3,3,0),0)</f>
        <v>0</v>
      </c>
      <c r="AY24" s="15">
        <f>+IFERROR(VLOOKUP($AY$17,Sheet1!AH3:AK3,3,0),0)</f>
        <v>0</v>
      </c>
      <c r="AZ24" s="15">
        <f>+IFERROR(VLOOKUP($AZ$17,Sheet1!AH3:AK3,3,0),0)</f>
        <v>0</v>
      </c>
      <c r="BA24" s="15">
        <f>+IFERROR(VLOOKUP($BA$17,Sheet1!AH3:AK3,3,0),0)</f>
        <v>0</v>
      </c>
      <c r="BB24" s="15">
        <f>+IFERROR(VLOOKUP($BB$17,Sheet1!AH3:AK3,3,0),0)</f>
        <v>0</v>
      </c>
      <c r="BC24" s="15">
        <f>+IFERROR(VLOOKUP($BC$17,Sheet1!AL3:AO3,3,0),0)</f>
        <v>0</v>
      </c>
      <c r="BD24" s="15">
        <f>+IFERROR(VLOOKUP($BD$17,Sheet1!AL3:AO3,3,0),0)</f>
        <v>0</v>
      </c>
      <c r="BE24" s="15">
        <f>+IFERROR(VLOOKUP($BE$17,Sheet1!AL3:AO3,3,0),0)</f>
        <v>0</v>
      </c>
      <c r="BF24" s="160">
        <v>300</v>
      </c>
      <c r="BG24" s="15">
        <f>+IFERROR(VLOOKUP($BG$17,Sheet1!AL3:AO3,3,0),0)</f>
        <v>0</v>
      </c>
      <c r="BH24" s="15">
        <f>+IFERROR(VLOOKUP($BH$17,Sheet1!AL3:AO3,3,0),0)</f>
        <v>0</v>
      </c>
      <c r="BI24" s="15">
        <f>+IFERROR(VLOOKUP($BI$17,Sheet1!AL3:AO3,3,0),0)</f>
        <v>0</v>
      </c>
      <c r="BJ24" s="15"/>
      <c r="BK24" s="15">
        <f>+IFERROR(VLOOKUP($BK$17,Sheet1!AL3:AO3,3,0),0)</f>
        <v>0</v>
      </c>
      <c r="BL24" s="15">
        <f>+IFERROR(VLOOKUP($BL$17,Sheet1!AL3:AO3,3,0),0)</f>
        <v>0</v>
      </c>
      <c r="BM24" s="15">
        <f>+IFERROR(VLOOKUP($BM$17,Sheet1!AP3:AS3,3,0),0)</f>
        <v>0</v>
      </c>
      <c r="BN24" s="15">
        <f>+IFERROR(VLOOKUP($BN$17,Sheet1!AT3:AW3,3,0),0)</f>
        <v>0</v>
      </c>
      <c r="BO24" s="15">
        <f>+IFERROR(VLOOKUP($BO$17,Sheet1!AX3:BA3,3,0),0)</f>
        <v>0</v>
      </c>
      <c r="BP24" s="160">
        <v>24</v>
      </c>
      <c r="BQ24" s="160">
        <v>11</v>
      </c>
      <c r="BR24" s="15">
        <f>+IFERROR(VLOOKUP($BR$17,Sheet1!BF3:BI3,3,0),0)</f>
        <v>0</v>
      </c>
      <c r="BS24" s="15">
        <f>+IFERROR(VLOOKUP($BS$17,Sheet1!BJ3:BM3,3,0),0)</f>
        <v>0</v>
      </c>
      <c r="BT24" s="15">
        <f>+IFERROR(VLOOKUP($BT$17,Sheet1!BN3:BQ3,3,0),0)</f>
        <v>0</v>
      </c>
      <c r="BU24" s="160">
        <v>23</v>
      </c>
      <c r="BV24" s="15">
        <f>+IFERROR(VLOOKUP($BV$17,Sheet1!BV3:BY3,3,0),0)</f>
        <v>0</v>
      </c>
      <c r="BW24" s="160" t="str">
        <f>Sheet1!E3</f>
        <v>STEEL</v>
      </c>
      <c r="BX24" s="15" t="str">
        <f>Sheet1!CV3</f>
        <v>SP0400125</v>
      </c>
      <c r="BY24" s="15" t="str">
        <f>Sheet1!CW3</f>
        <v>CORRUGATED DISPATCH STEEL DRUM 1600 X 700 X 915 MM</v>
      </c>
      <c r="BZ24" s="160">
        <f>Sheet1!CX3</f>
        <v>500</v>
      </c>
      <c r="CA24" s="3">
        <f>Sheet1!BZ3</f>
        <v>41800</v>
      </c>
      <c r="CB24" s="3">
        <f t="shared" si="6"/>
        <v>387367</v>
      </c>
      <c r="CC24" s="27">
        <f>Sheet1!CB3</f>
        <v>0</v>
      </c>
      <c r="CD24" s="3">
        <f t="shared" si="7"/>
        <v>0</v>
      </c>
      <c r="CE24" s="48">
        <v>0.28000000000000003</v>
      </c>
      <c r="CF24" s="3">
        <f t="shared" si="8"/>
        <v>108462.76000000001</v>
      </c>
      <c r="CG24" s="48">
        <v>0</v>
      </c>
      <c r="CH24" s="3">
        <f t="shared" si="9"/>
        <v>0</v>
      </c>
      <c r="CI24" s="3">
        <f t="shared" si="10"/>
        <v>495829.76000000001</v>
      </c>
      <c r="CJ24" s="48">
        <v>0.02</v>
      </c>
      <c r="CK24" s="1">
        <f t="shared" si="11"/>
        <v>9916.5951999999997</v>
      </c>
      <c r="CL24" s="48">
        <v>0.01</v>
      </c>
      <c r="CM24" s="1">
        <f t="shared" si="12"/>
        <v>4958.2975999999999</v>
      </c>
    </row>
    <row r="25" spans="1:91" ht="30" x14ac:dyDescent="0.25">
      <c r="A25" s="1" t="str">
        <f>Sheet1!A4</f>
        <v>ENQ-12006-22-23</v>
      </c>
      <c r="B25" s="51">
        <f>Sheet1!B4</f>
        <v>45261</v>
      </c>
      <c r="C25" s="1" t="str">
        <f>Sheet1!C4</f>
        <v>FA1300066</v>
      </c>
      <c r="D25" s="1" t="str">
        <f>Sheet1!D4</f>
        <v>1 CORE X 1000 SQ. MM. AL/ARM (XLPE) - 11 KV</v>
      </c>
      <c r="E25" s="3">
        <f t="shared" si="0"/>
        <v>1804778.2467</v>
      </c>
      <c r="F25" s="158">
        <f t="shared" si="1"/>
        <v>67200</v>
      </c>
      <c r="G25" s="9">
        <f t="shared" si="2"/>
        <v>1871978.2467</v>
      </c>
      <c r="H25" s="7">
        <f>Sheet1!CP4</f>
        <v>0.18</v>
      </c>
      <c r="I25" s="9">
        <f t="shared" si="3"/>
        <v>336956.08440599998</v>
      </c>
      <c r="J25" s="9">
        <f t="shared" si="4"/>
        <v>2208934.3311060001</v>
      </c>
      <c r="K25" s="1">
        <f>Sheet1!CS4</f>
        <v>3</v>
      </c>
      <c r="L25" s="1" t="str">
        <f>Sheet1!CT4</f>
        <v>KMS</v>
      </c>
      <c r="M25" s="3">
        <f t="shared" si="5"/>
        <v>6626802.9933180008</v>
      </c>
      <c r="N25" s="159">
        <v>2770</v>
      </c>
      <c r="O25" s="2">
        <f>+IFERROR(VLOOKUP($O$17,Sheet1!J4:L4,3,0),0)</f>
        <v>0</v>
      </c>
      <c r="P25" s="2">
        <f>+IFERROR(VLOOKUP($P$17,Sheet1!J4:M4,3,0),0)</f>
        <v>0</v>
      </c>
      <c r="Q25" s="2">
        <f>+IFERROR(VLOOKUP($Q$17,Sheet1!J4:M4,3,0),0)</f>
        <v>0</v>
      </c>
      <c r="R25" s="2">
        <f>+IFERROR(VLOOKUP($R$17,Sheet1!J4:M4,3,0),0)</f>
        <v>0</v>
      </c>
      <c r="S25" s="2">
        <f>+IFERROR(VLOOKUP($S$17,Sheet1!N4:Q4,3,0),0)</f>
        <v>0</v>
      </c>
      <c r="T25" s="2">
        <f>+IFERROR(VLOOKUP($T$17,Sheet1!N4:Q4,3,0),0)</f>
        <v>0</v>
      </c>
      <c r="U25" s="2">
        <f>+IFERROR(VLOOKUP($U$17,Sheet1!F4:I4,3,0),0)</f>
        <v>0</v>
      </c>
      <c r="V25" s="2">
        <f>+IFERROR(VLOOKUP($V$17,Sheet1!F4:I4,3,0),0)</f>
        <v>0</v>
      </c>
      <c r="W25" s="2">
        <f>+IFERROR(VLOOKUP($W$17,Sheet1!F4:I4,3,0),0)</f>
        <v>0</v>
      </c>
      <c r="X25" s="2">
        <f>+IFERROR(VLOOKUP($X$17,Sheet1!F4:I4,3,0),0)</f>
        <v>0</v>
      </c>
      <c r="Y25" s="159">
        <v>87</v>
      </c>
      <c r="Z25" s="2">
        <f>+IFERROR(VLOOKUP($Z$17,Sheet1!F4:I4,3,0),0)</f>
        <v>0</v>
      </c>
      <c r="AA25" s="2">
        <f>+IFERROR(VLOOKUP($AA$17,Sheet1!F4:I4,3,0),0)</f>
        <v>0</v>
      </c>
      <c r="AB25" s="2">
        <f>+IFERROR(VLOOKUP($AB$17,Sheet1!F4:I4,3,0),0)</f>
        <v>0</v>
      </c>
      <c r="AC25" s="2">
        <f>+IFERROR(VLOOKUP($AC$17,Sheet1!R4:U4,3,0),0)</f>
        <v>0</v>
      </c>
      <c r="AD25" s="160">
        <v>290</v>
      </c>
      <c r="AE25" s="159">
        <v>495</v>
      </c>
      <c r="AF25" s="15">
        <f>+IFERROR(VLOOKUP($AF$17,Sheet1!V4:Y4,3,0),0)</f>
        <v>0</v>
      </c>
      <c r="AG25" s="15">
        <f>+IFERROR(VLOOKUP($AG$17,Sheet1!V4:Y4,3,0),0)</f>
        <v>0</v>
      </c>
      <c r="AH25" s="15">
        <f>+IFERROR(VLOOKUP($AH$17,Sheet1!V4:Y4,3,0),0)</f>
        <v>0</v>
      </c>
      <c r="AI25" s="15">
        <f>+IFERROR(VLOOKUP($AI$17,Sheet1!V4:Y4,3,0),0)</f>
        <v>0</v>
      </c>
      <c r="AJ25" s="15">
        <f>+IFERROR(VLOOKUP($AJ$17,Sheet1!V4:Y4,3,0),0)</f>
        <v>0</v>
      </c>
      <c r="AK25" s="160">
        <v>18</v>
      </c>
      <c r="AL25" s="15">
        <f>+IFERROR(VLOOKUP($AL$17,Sheet1!AD4:AG4,3,0),0)</f>
        <v>0</v>
      </c>
      <c r="AM25" s="15">
        <f>+IFERROR(VLOOKUP($AM$17,Sheet1!AD4:AG4,3,0),0)</f>
        <v>0</v>
      </c>
      <c r="AN25" s="15">
        <f>+IFERROR(VLOOKUP($AN$17,Sheet1!AD4:AG4,3,0),0)</f>
        <v>0</v>
      </c>
      <c r="AO25" s="15">
        <f>+IFERROR(VLOOKUP($AO$17,Sheet1!AD4:AG4,3,0),0)</f>
        <v>0</v>
      </c>
      <c r="AP25" s="15">
        <f>+IFERROR(VLOOKUP($AP$17,Sheet1!AD4:AG4,3,0),0)</f>
        <v>0</v>
      </c>
      <c r="AQ25" s="15">
        <f>+IFERROR(VLOOKUP($AQ$17,Sheet1!AD4:AG4,3,0),0)</f>
        <v>0</v>
      </c>
      <c r="AR25" s="160">
        <v>205</v>
      </c>
      <c r="AS25" s="15">
        <f>+IFERROR(VLOOKUP($AS$17,Sheet1!AH4:AK4,3,0),0)</f>
        <v>0</v>
      </c>
      <c r="AT25" s="15">
        <f>+IFERROR(VLOOKUP($AT$17,Sheet1!AH4:AK4,3,0),0)</f>
        <v>0</v>
      </c>
      <c r="AU25" s="15">
        <f>+IFERROR(VLOOKUP($AU$17,Sheet1!AH4:AK4,3,0),0)</f>
        <v>0</v>
      </c>
      <c r="AV25" s="160">
        <v>842</v>
      </c>
      <c r="AW25" s="15">
        <f>+IFERROR(VLOOKUP($AW$17,Sheet1!AH4:AK4,3,0),0)</f>
        <v>0</v>
      </c>
      <c r="AX25" s="15">
        <f>+IFERROR(VLOOKUP($AX$17,Sheet1!AH4:AK4,3,0),0)</f>
        <v>0</v>
      </c>
      <c r="AY25" s="15">
        <f>+IFERROR(VLOOKUP($AY$17,Sheet1!AH4:AK4,3,0),0)</f>
        <v>0</v>
      </c>
      <c r="AZ25" s="15">
        <f>+IFERROR(VLOOKUP($AZ$17,Sheet1!AH4:AK4,3,0),0)</f>
        <v>0</v>
      </c>
      <c r="BA25" s="15">
        <f>+IFERROR(VLOOKUP($BA$17,Sheet1!AH4:AK4,3,0),0)</f>
        <v>0</v>
      </c>
      <c r="BB25" s="15">
        <f>+IFERROR(VLOOKUP($BB$17,Sheet1!AH4:AK4,3,0),0)</f>
        <v>0</v>
      </c>
      <c r="BC25" s="15">
        <f>+IFERROR(VLOOKUP($BC$17,Sheet1!AL4:AO4,3,0),0)</f>
        <v>0</v>
      </c>
      <c r="BD25" s="15">
        <f>+IFERROR(VLOOKUP($BD$17,Sheet1!AL4:AO4,3,0),0)</f>
        <v>0</v>
      </c>
      <c r="BE25" s="15">
        <f>+IFERROR(VLOOKUP($BE$17,Sheet1!AL4:AO4,3,0),0)</f>
        <v>0</v>
      </c>
      <c r="BF25" s="160">
        <v>724</v>
      </c>
      <c r="BG25" s="15">
        <f>+IFERROR(VLOOKUP($BG$17,Sheet1!AL4:AO4,3,0),0)</f>
        <v>0</v>
      </c>
      <c r="BH25" s="15">
        <f>+IFERROR(VLOOKUP($BH$17,Sheet1!AL4:AO4,3,0),0)</f>
        <v>0</v>
      </c>
      <c r="BI25" s="15">
        <f>+IFERROR(VLOOKUP($BI$17,Sheet1!AL4:AO4,3,0),0)</f>
        <v>0</v>
      </c>
      <c r="BJ25" s="15">
        <f>+IFERROR(VLOOKUP($BJ$17,Sheet1!AL4:AO4,3,0),0)</f>
        <v>0</v>
      </c>
      <c r="BK25" s="15">
        <f>+IFERROR(VLOOKUP($BK$17,Sheet1!AL4:AO4,3,0),0)</f>
        <v>0</v>
      </c>
      <c r="BL25" s="15">
        <f>+IFERROR(VLOOKUP($BL$17,Sheet1!AL4:AO4,3,0),0)</f>
        <v>0</v>
      </c>
      <c r="BM25" s="15">
        <f>+IFERROR(VLOOKUP($BM$17,Sheet1!AP4:AS4,3,0),0)</f>
        <v>0</v>
      </c>
      <c r="BN25" s="15">
        <f>+IFERROR(VLOOKUP($BN$17,Sheet1!AT4:AW4,3,0),0)</f>
        <v>0</v>
      </c>
      <c r="BO25" s="15">
        <f>+IFERROR(VLOOKUP($BO$17,Sheet1!AX4:BA4,3,0),0)</f>
        <v>0</v>
      </c>
      <c r="BP25" s="160">
        <v>73</v>
      </c>
      <c r="BQ25" s="160">
        <v>75</v>
      </c>
      <c r="BR25" s="15"/>
      <c r="BS25" s="15">
        <f>+IFERROR(VLOOKUP($BS$17,Sheet1!BJ4:BM4,3,0),0)</f>
        <v>0</v>
      </c>
      <c r="BT25" s="15">
        <f>+IFERROR(VLOOKUP($BT$17,Sheet1!BN4:BQ4,3,0),0)</f>
        <v>0</v>
      </c>
      <c r="BU25" s="160">
        <v>42</v>
      </c>
      <c r="BV25" s="160">
        <v>45</v>
      </c>
      <c r="BW25" s="160" t="str">
        <f>Sheet1!E4</f>
        <v>STEEL</v>
      </c>
      <c r="BX25" s="15" t="str">
        <f>Sheet1!CV4</f>
        <v>SP0400107</v>
      </c>
      <c r="BY25" s="15" t="str">
        <f>Sheet1!CW4</f>
        <v>CORRUGATED DISPATCH STEEL DRUM 2150 X 1080 X 1240 MM</v>
      </c>
      <c r="BZ25" s="160">
        <f>Sheet1!CX4</f>
        <v>500</v>
      </c>
      <c r="CA25" s="3">
        <f>Sheet1!BZ4</f>
        <v>66500</v>
      </c>
      <c r="CB25" s="3">
        <f t="shared" si="6"/>
        <v>1225323</v>
      </c>
      <c r="CC25" s="48">
        <v>0.15</v>
      </c>
      <c r="CD25" s="3">
        <f t="shared" si="7"/>
        <v>183798.44999999998</v>
      </c>
      <c r="CE25" s="48">
        <v>0.28000000000000003</v>
      </c>
      <c r="CF25" s="3">
        <f t="shared" si="8"/>
        <v>343090.44000000006</v>
      </c>
      <c r="CG25" s="48">
        <v>0</v>
      </c>
      <c r="CH25" s="3">
        <f t="shared" si="9"/>
        <v>0</v>
      </c>
      <c r="CI25" s="3">
        <f t="shared" si="10"/>
        <v>1752211.8900000001</v>
      </c>
      <c r="CJ25" s="48">
        <v>0.02</v>
      </c>
      <c r="CK25" s="1">
        <f t="shared" si="11"/>
        <v>35044.237800000003</v>
      </c>
      <c r="CL25" s="48">
        <v>0.01</v>
      </c>
      <c r="CM25" s="1">
        <f t="shared" si="12"/>
        <v>17522.118900000001</v>
      </c>
    </row>
    <row r="27" spans="1:91" ht="30" x14ac:dyDescent="0.25">
      <c r="E27" s="2" t="s">
        <v>244</v>
      </c>
      <c r="F27" s="2" t="s">
        <v>245</v>
      </c>
      <c r="G27" s="153" t="s">
        <v>246</v>
      </c>
      <c r="H27" s="2" t="s">
        <v>247</v>
      </c>
      <c r="I27" s="2" t="s">
        <v>248</v>
      </c>
      <c r="J27" s="2" t="s">
        <v>249</v>
      </c>
      <c r="K27" s="2" t="s">
        <v>250</v>
      </c>
      <c r="L27" s="2" t="s">
        <v>251</v>
      </c>
      <c r="M27" s="154" t="s">
        <v>252</v>
      </c>
    </row>
    <row r="28" spans="1:91" ht="30" x14ac:dyDescent="0.25">
      <c r="D28" s="30" t="str">
        <f>D19</f>
        <v>3 CORE X 400 SQ. MM AL/ARM - WIRE (XLPE) - 33 KV</v>
      </c>
      <c r="E28" s="153">
        <f>K19</f>
        <v>45</v>
      </c>
      <c r="F28" s="155">
        <f>BZ19/1000</f>
        <v>0.25</v>
      </c>
      <c r="G28" s="153" t="s">
        <v>253</v>
      </c>
      <c r="H28" s="156">
        <v>168000</v>
      </c>
      <c r="I28" s="155">
        <v>3</v>
      </c>
      <c r="J28" s="153">
        <f>F28*I28</f>
        <v>0.75</v>
      </c>
      <c r="K28" s="153">
        <f>ROUNDUP((E28/J28),2)</f>
        <v>60</v>
      </c>
      <c r="L28" s="153">
        <f>M28*E28</f>
        <v>10080000</v>
      </c>
      <c r="M28" s="157">
        <f>(H28*K28)/E28</f>
        <v>224000</v>
      </c>
    </row>
    <row r="29" spans="1:91" ht="30" x14ac:dyDescent="0.25">
      <c r="D29" s="30" t="str">
        <f t="shared" ref="D29:D34" si="13">D20</f>
        <v>3 CORE X 240 SQ. MM. AL/ARM - WIRE (XLPE) - 22 KV</v>
      </c>
      <c r="E29" s="153">
        <f t="shared" ref="E29:E34" si="14">K20</f>
        <v>30</v>
      </c>
      <c r="F29" s="155">
        <f t="shared" ref="F29:F34" si="15">BZ20/1000</f>
        <v>0.25</v>
      </c>
      <c r="G29" s="153" t="s">
        <v>253</v>
      </c>
      <c r="H29" s="156">
        <v>168000</v>
      </c>
      <c r="I29" s="155">
        <v>5</v>
      </c>
      <c r="J29" s="153">
        <f t="shared" ref="J29:J34" si="16">F29*I29</f>
        <v>1.25</v>
      </c>
      <c r="K29" s="153">
        <f>ROUNDUP((E29/J29),2)</f>
        <v>24</v>
      </c>
      <c r="L29" s="153">
        <f t="shared" ref="L29:L34" si="17">M29*E29</f>
        <v>4032000</v>
      </c>
      <c r="M29" s="157">
        <f t="shared" ref="M29:M34" si="18">(H29*K29)/E29</f>
        <v>134400</v>
      </c>
    </row>
    <row r="30" spans="1:91" ht="30" x14ac:dyDescent="0.25">
      <c r="D30" s="30" t="str">
        <f t="shared" si="13"/>
        <v>3 CORE X 300 SQ. MM. AL/ARM - WIRE (XLPE) - 11 KV</v>
      </c>
      <c r="E30" s="153">
        <f t="shared" si="14"/>
        <v>70</v>
      </c>
      <c r="F30" s="155">
        <f t="shared" si="15"/>
        <v>0.25</v>
      </c>
      <c r="G30" s="153" t="s">
        <v>253</v>
      </c>
      <c r="H30" s="156">
        <v>168000</v>
      </c>
      <c r="I30" s="155">
        <v>4</v>
      </c>
      <c r="J30" s="153">
        <f t="shared" si="16"/>
        <v>1</v>
      </c>
      <c r="K30" s="153">
        <f>ROUNDUP((E30/J30),2)</f>
        <v>70</v>
      </c>
      <c r="L30" s="153">
        <f t="shared" si="17"/>
        <v>11760000</v>
      </c>
      <c r="M30" s="157">
        <f t="shared" si="18"/>
        <v>168000</v>
      </c>
    </row>
    <row r="31" spans="1:91" ht="30" x14ac:dyDescent="0.25">
      <c r="D31" s="30" t="str">
        <f t="shared" si="13"/>
        <v>1 CORE X 630 SQ. MM. AL/ARM (XLPE)  - 33 KV</v>
      </c>
      <c r="E31" s="153">
        <f t="shared" si="14"/>
        <v>1</v>
      </c>
      <c r="F31" s="155">
        <f t="shared" si="15"/>
        <v>0.5</v>
      </c>
      <c r="G31" s="153" t="s">
        <v>253</v>
      </c>
      <c r="H31" s="156">
        <v>168000</v>
      </c>
      <c r="I31" s="155">
        <v>5</v>
      </c>
      <c r="J31" s="153">
        <f t="shared" si="16"/>
        <v>2.5</v>
      </c>
      <c r="K31" s="153">
        <f>ROUNDUP((E31/J31),0)</f>
        <v>1</v>
      </c>
      <c r="L31" s="153">
        <f t="shared" si="17"/>
        <v>168000</v>
      </c>
      <c r="M31" s="157">
        <f t="shared" si="18"/>
        <v>168000</v>
      </c>
    </row>
    <row r="32" spans="1:91" ht="30" x14ac:dyDescent="0.25">
      <c r="D32" s="30" t="str">
        <f t="shared" si="13"/>
        <v>1 CORE X 185 SQ. MM. AL/ARM - WIRE (XLPE) - 22 KV</v>
      </c>
      <c r="E32" s="153">
        <f t="shared" si="14"/>
        <v>3</v>
      </c>
      <c r="F32" s="155">
        <f t="shared" si="15"/>
        <v>0.5</v>
      </c>
      <c r="G32" s="153" t="s">
        <v>253</v>
      </c>
      <c r="H32" s="156">
        <v>168000</v>
      </c>
      <c r="I32" s="155">
        <v>10</v>
      </c>
      <c r="J32" s="153">
        <f t="shared" si="16"/>
        <v>5</v>
      </c>
      <c r="K32" s="153">
        <f>ROUNDUP((E32/J32),0)</f>
        <v>1</v>
      </c>
      <c r="L32" s="153">
        <f t="shared" si="17"/>
        <v>168000</v>
      </c>
      <c r="M32" s="157">
        <f t="shared" si="18"/>
        <v>56000</v>
      </c>
    </row>
    <row r="33" spans="1:13" ht="30" x14ac:dyDescent="0.25">
      <c r="D33" s="30" t="str">
        <f t="shared" si="13"/>
        <v>1 CORE X 185 SQ. MM. AL./ARM (XLPE)  - 11 KV</v>
      </c>
      <c r="E33" s="153">
        <f t="shared" si="14"/>
        <v>3</v>
      </c>
      <c r="F33" s="155">
        <f t="shared" si="15"/>
        <v>0.5</v>
      </c>
      <c r="G33" s="153" t="s">
        <v>253</v>
      </c>
      <c r="H33" s="156">
        <v>168000</v>
      </c>
      <c r="I33" s="155">
        <v>10</v>
      </c>
      <c r="J33" s="153">
        <f t="shared" si="16"/>
        <v>5</v>
      </c>
      <c r="K33" s="153">
        <f>ROUNDUP((E33/J33),0)</f>
        <v>1</v>
      </c>
      <c r="L33" s="153">
        <f t="shared" si="17"/>
        <v>168000</v>
      </c>
      <c r="M33" s="157">
        <f t="shared" si="18"/>
        <v>56000</v>
      </c>
    </row>
    <row r="34" spans="1:13" ht="30" x14ac:dyDescent="0.25">
      <c r="D34" s="30" t="str">
        <f t="shared" si="13"/>
        <v>1 CORE X 1000 SQ. MM. AL/ARM (XLPE) - 11 KV</v>
      </c>
      <c r="E34" s="153">
        <f t="shared" si="14"/>
        <v>3</v>
      </c>
      <c r="F34" s="155">
        <f t="shared" si="15"/>
        <v>0.5</v>
      </c>
      <c r="G34" s="153" t="s">
        <v>253</v>
      </c>
      <c r="H34" s="156">
        <v>168000</v>
      </c>
      <c r="I34" s="155">
        <v>5</v>
      </c>
      <c r="J34" s="153">
        <f t="shared" si="16"/>
        <v>2.5</v>
      </c>
      <c r="K34" s="153">
        <f>ROUNDUP((E34/J34),2)</f>
        <v>1.2</v>
      </c>
      <c r="L34" s="153">
        <f t="shared" si="17"/>
        <v>201600</v>
      </c>
      <c r="M34" s="157">
        <f t="shared" si="18"/>
        <v>67200</v>
      </c>
    </row>
    <row r="35" spans="1:13" x14ac:dyDescent="0.25">
      <c r="I35" t="s">
        <v>254</v>
      </c>
    </row>
    <row r="37" spans="1:13" ht="30" x14ac:dyDescent="0.25">
      <c r="A37" s="37"/>
      <c r="B37" s="18" t="s">
        <v>255</v>
      </c>
      <c r="C37" s="37"/>
      <c r="D37" s="37"/>
      <c r="E37" s="42"/>
      <c r="F37" s="37"/>
      <c r="G37" s="37"/>
      <c r="H37" s="43"/>
      <c r="I37" s="37"/>
      <c r="J37" s="37"/>
      <c r="K37" s="37"/>
      <c r="L37" s="37"/>
      <c r="M37" s="37"/>
    </row>
    <row r="38" spans="1:13" ht="51" x14ac:dyDescent="0.25">
      <c r="A38" s="22" t="s">
        <v>0</v>
      </c>
      <c r="B38" s="22" t="s">
        <v>134</v>
      </c>
      <c r="C38" s="22" t="s">
        <v>1</v>
      </c>
      <c r="D38" s="22" t="s">
        <v>2</v>
      </c>
      <c r="E38" s="5" t="s">
        <v>256</v>
      </c>
      <c r="F38" s="15" t="s">
        <v>257</v>
      </c>
      <c r="G38" s="15" t="s">
        <v>258</v>
      </c>
      <c r="H38" s="6" t="s">
        <v>73</v>
      </c>
      <c r="I38" s="15" t="s">
        <v>74</v>
      </c>
      <c r="J38" s="15" t="s">
        <v>259</v>
      </c>
      <c r="K38" s="15" t="s">
        <v>76</v>
      </c>
      <c r="L38" s="15" t="s">
        <v>77</v>
      </c>
      <c r="M38" s="15" t="s">
        <v>78</v>
      </c>
    </row>
    <row r="39" spans="1:13" x14ac:dyDescent="0.25">
      <c r="A39" s="31"/>
      <c r="B39" s="31"/>
      <c r="C39" s="31"/>
      <c r="D39" s="31"/>
      <c r="E39" s="5"/>
      <c r="F39" s="5"/>
      <c r="G39" s="5"/>
      <c r="H39" s="5"/>
      <c r="I39" s="5"/>
      <c r="J39" s="5"/>
      <c r="K39" s="5"/>
      <c r="L39" s="5"/>
      <c r="M39" s="5"/>
    </row>
    <row r="40" spans="1:13" ht="30" x14ac:dyDescent="0.25">
      <c r="A40" s="1" t="str">
        <f>A19</f>
        <v>ENQ-12006-22-23</v>
      </c>
      <c r="B40" s="51">
        <f>B19</f>
        <v>45261</v>
      </c>
      <c r="C40" s="1" t="str">
        <f>C19</f>
        <v>FA1300080</v>
      </c>
      <c r="D40" s="1" t="str">
        <f>D19</f>
        <v>3 CORE X 400 SQ. MM AL/ARM - WIRE (XLPE) - 33 KV</v>
      </c>
      <c r="E40" s="3">
        <f>ROUNDUP(E19/1000,2)</f>
        <v>3593.3700000000003</v>
      </c>
      <c r="F40" s="158">
        <f>ROUNDUP(F19/1000,2)</f>
        <v>224</v>
      </c>
      <c r="G40" s="9">
        <f t="shared" ref="G40:G46" si="19">E40+F40</f>
        <v>3817.3700000000003</v>
      </c>
      <c r="H40" s="7">
        <f>Sheet1!CP28</f>
        <v>0</v>
      </c>
      <c r="I40" s="9">
        <f t="shared" ref="I40:I46" si="20">G40*H40</f>
        <v>0</v>
      </c>
      <c r="J40" s="9">
        <f t="shared" ref="J40:J46" si="21">G40+I40</f>
        <v>3817.3700000000003</v>
      </c>
      <c r="K40" s="1">
        <f>K19*1000</f>
        <v>45000</v>
      </c>
      <c r="L40" s="1" t="s">
        <v>260</v>
      </c>
      <c r="M40" s="3">
        <f t="shared" ref="M40:M46" si="22">J40*K40</f>
        <v>171781650.00000003</v>
      </c>
    </row>
    <row r="41" spans="1:13" ht="30" x14ac:dyDescent="0.25">
      <c r="A41" s="1" t="str">
        <f t="shared" ref="A41:D41" si="23">A20</f>
        <v>ENQ-12006-22-23</v>
      </c>
      <c r="B41" s="51">
        <f t="shared" si="23"/>
        <v>45261</v>
      </c>
      <c r="C41" s="1" t="str">
        <f t="shared" si="23"/>
        <v>FA1300202</v>
      </c>
      <c r="D41" s="1" t="str">
        <f t="shared" si="23"/>
        <v>3 CORE X 240 SQ. MM. AL/ARM - WIRE (XLPE) - 22 KV</v>
      </c>
      <c r="E41" s="3">
        <f t="shared" ref="E41:F46" si="24">ROUNDUP(E20/1000,2)</f>
        <v>2487.4700000000003</v>
      </c>
      <c r="F41" s="158">
        <f t="shared" si="24"/>
        <v>134.4</v>
      </c>
      <c r="G41" s="9">
        <f t="shared" si="19"/>
        <v>2621.8700000000003</v>
      </c>
      <c r="H41" s="7">
        <f>Sheet1!CP27</f>
        <v>0</v>
      </c>
      <c r="I41" s="9">
        <f t="shared" si="20"/>
        <v>0</v>
      </c>
      <c r="J41" s="9">
        <f t="shared" si="21"/>
        <v>2621.8700000000003</v>
      </c>
      <c r="K41" s="1">
        <f t="shared" ref="K41:K46" si="25">K20*1000</f>
        <v>30000</v>
      </c>
      <c r="L41" s="1" t="s">
        <v>260</v>
      </c>
      <c r="M41" s="3">
        <f t="shared" si="22"/>
        <v>78656100.000000015</v>
      </c>
    </row>
    <row r="42" spans="1:13" ht="30" x14ac:dyDescent="0.25">
      <c r="A42" s="1" t="str">
        <f t="shared" ref="A42:D42" si="26">A21</f>
        <v>ENQ-12006-22-23</v>
      </c>
      <c r="B42" s="51">
        <f t="shared" si="26"/>
        <v>45261</v>
      </c>
      <c r="C42" s="1" t="str">
        <f t="shared" si="26"/>
        <v>FA1300091</v>
      </c>
      <c r="D42" s="1" t="str">
        <f t="shared" si="26"/>
        <v>3 CORE X 300 SQ. MM. AL/ARM - WIRE (XLPE) - 11 KV</v>
      </c>
      <c r="E42" s="3">
        <f t="shared" si="24"/>
        <v>2248.0800000000004</v>
      </c>
      <c r="F42" s="158">
        <f t="shared" si="24"/>
        <v>168</v>
      </c>
      <c r="G42" s="9">
        <f t="shared" si="19"/>
        <v>2416.0800000000004</v>
      </c>
      <c r="H42" s="7">
        <f>Sheet1!CP29</f>
        <v>0</v>
      </c>
      <c r="I42" s="9">
        <f t="shared" si="20"/>
        <v>0</v>
      </c>
      <c r="J42" s="9">
        <f t="shared" si="21"/>
        <v>2416.0800000000004</v>
      </c>
      <c r="K42" s="1">
        <f t="shared" si="25"/>
        <v>70000</v>
      </c>
      <c r="L42" s="1" t="s">
        <v>260</v>
      </c>
      <c r="M42" s="3">
        <f t="shared" si="22"/>
        <v>169125600.00000003</v>
      </c>
    </row>
    <row r="43" spans="1:13" ht="30" x14ac:dyDescent="0.25">
      <c r="A43" s="1" t="str">
        <f t="shared" ref="A43:D43" si="27">A22</f>
        <v>ENQ-12006-22-23</v>
      </c>
      <c r="B43" s="51">
        <f t="shared" si="27"/>
        <v>45261</v>
      </c>
      <c r="C43" s="1" t="str">
        <f t="shared" si="27"/>
        <v>FA1300027</v>
      </c>
      <c r="D43" s="1" t="str">
        <f t="shared" si="27"/>
        <v>1 CORE X 630 SQ. MM. AL/ARM (XLPE)  - 33 KV</v>
      </c>
      <c r="E43" s="3">
        <f t="shared" si="24"/>
        <v>1341.53</v>
      </c>
      <c r="F43" s="158">
        <f t="shared" si="24"/>
        <v>168</v>
      </c>
      <c r="G43" s="9">
        <f t="shared" si="19"/>
        <v>1509.53</v>
      </c>
      <c r="H43" s="7">
        <f>Sheet1!CP23</f>
        <v>0</v>
      </c>
      <c r="I43" s="9">
        <f t="shared" si="20"/>
        <v>0</v>
      </c>
      <c r="J43" s="9">
        <f t="shared" si="21"/>
        <v>1509.53</v>
      </c>
      <c r="K43" s="1">
        <f t="shared" si="25"/>
        <v>1000</v>
      </c>
      <c r="L43" s="1" t="s">
        <v>260</v>
      </c>
      <c r="M43" s="3">
        <f t="shared" si="22"/>
        <v>1509530</v>
      </c>
    </row>
    <row r="44" spans="1:13" ht="30" x14ac:dyDescent="0.25">
      <c r="A44" s="1" t="str">
        <f t="shared" ref="A44:D44" si="28">A23</f>
        <v>ENQ-12006-22-23</v>
      </c>
      <c r="B44" s="51">
        <f t="shared" si="28"/>
        <v>45261</v>
      </c>
      <c r="C44" s="1" t="str">
        <f t="shared" si="28"/>
        <v>FA1300122</v>
      </c>
      <c r="D44" s="1" t="str">
        <f t="shared" si="28"/>
        <v>1 CORE X 185 SQ. MM. AL/ARM - WIRE (XLPE) - 22 KV</v>
      </c>
      <c r="E44" s="3">
        <f t="shared" si="24"/>
        <v>591.99</v>
      </c>
      <c r="F44" s="158">
        <f t="shared" si="24"/>
        <v>56</v>
      </c>
      <c r="G44" s="9">
        <f t="shared" si="19"/>
        <v>647.99</v>
      </c>
      <c r="H44" s="7">
        <f>Sheet1!CP26</f>
        <v>0</v>
      </c>
      <c r="I44" s="9">
        <f t="shared" si="20"/>
        <v>0</v>
      </c>
      <c r="J44" s="9">
        <f t="shared" si="21"/>
        <v>647.99</v>
      </c>
      <c r="K44" s="1">
        <f t="shared" si="25"/>
        <v>3000</v>
      </c>
      <c r="L44" s="1" t="s">
        <v>260</v>
      </c>
      <c r="M44" s="3">
        <f t="shared" si="22"/>
        <v>1943970</v>
      </c>
    </row>
    <row r="45" spans="1:13" ht="30" x14ac:dyDescent="0.25">
      <c r="A45" s="1" t="str">
        <f t="shared" ref="A45:D45" si="29">A24</f>
        <v>ENQ-12006-22-23</v>
      </c>
      <c r="B45" s="51">
        <f t="shared" si="29"/>
        <v>45261</v>
      </c>
      <c r="C45" s="1" t="str">
        <f t="shared" si="29"/>
        <v>FA1300020</v>
      </c>
      <c r="D45" s="1" t="str">
        <f t="shared" si="29"/>
        <v>1 CORE X 185 SQ. MM. AL./ARM (XLPE)  - 11 KV</v>
      </c>
      <c r="E45" s="3">
        <f t="shared" si="24"/>
        <v>510.71</v>
      </c>
      <c r="F45" s="158">
        <f t="shared" si="24"/>
        <v>56</v>
      </c>
      <c r="G45" s="9">
        <f t="shared" si="19"/>
        <v>566.71</v>
      </c>
      <c r="H45" s="7">
        <f>Sheet1!CP24</f>
        <v>0</v>
      </c>
      <c r="I45" s="9">
        <f t="shared" si="20"/>
        <v>0</v>
      </c>
      <c r="J45" s="9">
        <f t="shared" si="21"/>
        <v>566.71</v>
      </c>
      <c r="K45" s="1">
        <f t="shared" si="25"/>
        <v>3000</v>
      </c>
      <c r="L45" s="1" t="s">
        <v>260</v>
      </c>
      <c r="M45" s="3">
        <f t="shared" si="22"/>
        <v>1700130</v>
      </c>
    </row>
    <row r="46" spans="1:13" ht="30" x14ac:dyDescent="0.25">
      <c r="A46" s="1" t="str">
        <f t="shared" ref="A46:D46" si="30">A25</f>
        <v>ENQ-12006-22-23</v>
      </c>
      <c r="B46" s="51">
        <f t="shared" si="30"/>
        <v>45261</v>
      </c>
      <c r="C46" s="1" t="str">
        <f t="shared" si="30"/>
        <v>FA1300066</v>
      </c>
      <c r="D46" s="1" t="str">
        <f t="shared" si="30"/>
        <v>1 CORE X 1000 SQ. MM. AL/ARM (XLPE) - 11 KV</v>
      </c>
      <c r="E46" s="3">
        <f t="shared" si="24"/>
        <v>1804.78</v>
      </c>
      <c r="F46" s="158">
        <f t="shared" si="24"/>
        <v>67.2</v>
      </c>
      <c r="G46" s="9">
        <f t="shared" si="19"/>
        <v>1871.98</v>
      </c>
      <c r="H46" s="7">
        <f>Sheet1!CP25</f>
        <v>0</v>
      </c>
      <c r="I46" s="9">
        <f t="shared" si="20"/>
        <v>0</v>
      </c>
      <c r="J46" s="9">
        <f t="shared" si="21"/>
        <v>1871.98</v>
      </c>
      <c r="K46" s="1">
        <f t="shared" si="25"/>
        <v>3000</v>
      </c>
      <c r="L46" s="1" t="s">
        <v>260</v>
      </c>
      <c r="M46" s="3">
        <f t="shared" si="22"/>
        <v>5615940</v>
      </c>
    </row>
    <row r="47" spans="1:13" x14ac:dyDescent="0.25">
      <c r="L47" s="161"/>
      <c r="M47" s="162">
        <f>SUM(M40:M46)</f>
        <v>430332920.00000012</v>
      </c>
    </row>
    <row r="48" spans="1:13" x14ac:dyDescent="0.25">
      <c r="L48" s="163" t="s">
        <v>261</v>
      </c>
      <c r="M48" s="164">
        <f>M47*18%</f>
        <v>77459925.600000024</v>
      </c>
    </row>
    <row r="49" spans="12:13" x14ac:dyDescent="0.25">
      <c r="L49" s="163" t="s">
        <v>262</v>
      </c>
      <c r="M49" s="164">
        <f>M47+M48</f>
        <v>507792845.60000014</v>
      </c>
    </row>
  </sheetData>
  <mergeCells count="20">
    <mergeCell ref="B7:R7"/>
    <mergeCell ref="B8:R8"/>
    <mergeCell ref="B9:R9"/>
    <mergeCell ref="B10:R1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C1C25-76DF-444C-A774-5DD8404B5EE4}">
  <sheetPr>
    <tabColor rgb="FFFF0000"/>
    <pageSetUpPr fitToPage="1"/>
  </sheetPr>
  <dimension ref="A1:AY24"/>
  <sheetViews>
    <sheetView showZeros="0" topLeftCell="AA7" zoomScaleNormal="100" workbookViewId="0">
      <selection activeCell="AQ16" sqref="AQ16"/>
    </sheetView>
  </sheetViews>
  <sheetFormatPr defaultRowHeight="12.75" x14ac:dyDescent="0.2"/>
  <cols>
    <col min="1" max="1" width="54.140625" style="69" bestFit="1" customWidth="1"/>
    <col min="2" max="2" width="8.7109375" style="69" customWidth="1"/>
    <col min="3" max="4" width="12.42578125" style="69" customWidth="1"/>
    <col min="5" max="6" width="11.42578125" style="69" customWidth="1"/>
    <col min="7" max="7" width="11.140625" style="69" customWidth="1"/>
    <col min="8" max="9" width="9.42578125" style="69" customWidth="1"/>
    <col min="10" max="10" width="10.7109375" style="69" bestFit="1" customWidth="1"/>
    <col min="11" max="15" width="9.140625" style="69" customWidth="1"/>
    <col min="16" max="16" width="9.85546875" style="69" customWidth="1"/>
    <col min="17" max="17" width="8.7109375" style="69" customWidth="1"/>
    <col min="18" max="20" width="7.42578125" style="69" customWidth="1"/>
    <col min="21" max="21" width="10.42578125" style="69" bestFit="1" customWidth="1"/>
    <col min="22" max="22" width="12" style="69" bestFit="1" customWidth="1"/>
    <col min="23" max="23" width="12" style="69" customWidth="1"/>
    <col min="24" max="24" width="11" style="69" bestFit="1" customWidth="1"/>
    <col min="25" max="25" width="12" style="69" bestFit="1" customWidth="1"/>
    <col min="26" max="26" width="11" style="69" customWidth="1"/>
    <col min="27" max="27" width="11" style="69" bestFit="1" customWidth="1"/>
    <col min="28" max="28" width="14.42578125" style="69" bestFit="1" customWidth="1"/>
    <col min="29" max="29" width="9.140625" style="69" customWidth="1"/>
    <col min="30" max="30" width="10.85546875" style="69" customWidth="1"/>
    <col min="31" max="31" width="13.28515625" style="69" bestFit="1" customWidth="1"/>
    <col min="32" max="32" width="9.85546875" style="69" customWidth="1"/>
    <col min="33" max="33" width="7.5703125" style="69" customWidth="1"/>
    <col min="34" max="34" width="12.85546875" style="69" bestFit="1" customWidth="1"/>
    <col min="35" max="36" width="9.140625" style="69" bestFit="1" customWidth="1"/>
    <col min="37" max="37" width="9.85546875" style="69" bestFit="1" customWidth="1"/>
    <col min="38" max="38" width="9.5703125" style="69" customWidth="1"/>
    <col min="39" max="39" width="9.28515625" style="69" customWidth="1"/>
    <col min="40" max="42" width="9.5703125" style="69" customWidth="1"/>
    <col min="43" max="43" width="10.5703125" style="69" bestFit="1" customWidth="1"/>
    <col min="44" max="44" width="9.5703125" style="69" bestFit="1" customWidth="1"/>
    <col min="45" max="46" width="11.140625" style="69" bestFit="1" customWidth="1"/>
    <col min="47" max="48" width="9.140625" style="69"/>
    <col min="49" max="49" width="8" style="69" customWidth="1"/>
    <col min="50" max="50" width="7.85546875" style="69" customWidth="1"/>
    <col min="51" max="264" width="9.140625" style="69"/>
    <col min="265" max="265" width="54.140625" style="69" bestFit="1" customWidth="1"/>
    <col min="266" max="266" width="14.7109375" style="69" customWidth="1"/>
    <col min="267" max="267" width="10.140625" style="69" customWidth="1"/>
    <col min="268" max="268" width="10.42578125" style="69" bestFit="1" customWidth="1"/>
    <col min="269" max="270" width="9.42578125" style="69" bestFit="1" customWidth="1"/>
    <col min="271" max="272" width="9.42578125" style="69" customWidth="1"/>
    <col min="273" max="273" width="10.140625" style="69" bestFit="1" customWidth="1"/>
    <col min="274" max="277" width="9.140625" style="69"/>
    <col min="278" max="278" width="7.28515625" style="69" customWidth="1"/>
    <col min="279" max="281" width="7.42578125" style="69" customWidth="1"/>
    <col min="282" max="282" width="10.42578125" style="69" bestFit="1" customWidth="1"/>
    <col min="283" max="283" width="12" style="69" bestFit="1" customWidth="1"/>
    <col min="284" max="284" width="11" style="69" bestFit="1" customWidth="1"/>
    <col min="285" max="286" width="11" style="69" customWidth="1"/>
    <col min="287" max="287" width="10" style="69" bestFit="1" customWidth="1"/>
    <col min="288" max="288" width="14.42578125" style="69" bestFit="1" customWidth="1"/>
    <col min="289" max="299" width="0" style="69" hidden="1" customWidth="1"/>
    <col min="300" max="520" width="9.140625" style="69"/>
    <col min="521" max="521" width="54.140625" style="69" bestFit="1" customWidth="1"/>
    <col min="522" max="522" width="14.7109375" style="69" customWidth="1"/>
    <col min="523" max="523" width="10.140625" style="69" customWidth="1"/>
    <col min="524" max="524" width="10.42578125" style="69" bestFit="1" customWidth="1"/>
    <col min="525" max="526" width="9.42578125" style="69" bestFit="1" customWidth="1"/>
    <col min="527" max="528" width="9.42578125" style="69" customWidth="1"/>
    <col min="529" max="529" width="10.140625" style="69" bestFit="1" customWidth="1"/>
    <col min="530" max="533" width="9.140625" style="69"/>
    <col min="534" max="534" width="7.28515625" style="69" customWidth="1"/>
    <col min="535" max="537" width="7.42578125" style="69" customWidth="1"/>
    <col min="538" max="538" width="10.42578125" style="69" bestFit="1" customWidth="1"/>
    <col min="539" max="539" width="12" style="69" bestFit="1" customWidth="1"/>
    <col min="540" max="540" width="11" style="69" bestFit="1" customWidth="1"/>
    <col min="541" max="542" width="11" style="69" customWidth="1"/>
    <col min="543" max="543" width="10" style="69" bestFit="1" customWidth="1"/>
    <col min="544" max="544" width="14.42578125" style="69" bestFit="1" customWidth="1"/>
    <col min="545" max="555" width="0" style="69" hidden="1" customWidth="1"/>
    <col min="556" max="776" width="9.140625" style="69"/>
    <col min="777" max="777" width="54.140625" style="69" bestFit="1" customWidth="1"/>
    <col min="778" max="778" width="14.7109375" style="69" customWidth="1"/>
    <col min="779" max="779" width="10.140625" style="69" customWidth="1"/>
    <col min="780" max="780" width="10.42578125" style="69" bestFit="1" customWidth="1"/>
    <col min="781" max="782" width="9.42578125" style="69" bestFit="1" customWidth="1"/>
    <col min="783" max="784" width="9.42578125" style="69" customWidth="1"/>
    <col min="785" max="785" width="10.140625" style="69" bestFit="1" customWidth="1"/>
    <col min="786" max="789" width="9.140625" style="69"/>
    <col min="790" max="790" width="7.28515625" style="69" customWidth="1"/>
    <col min="791" max="793" width="7.42578125" style="69" customWidth="1"/>
    <col min="794" max="794" width="10.42578125" style="69" bestFit="1" customWidth="1"/>
    <col min="795" max="795" width="12" style="69" bestFit="1" customWidth="1"/>
    <col min="796" max="796" width="11" style="69" bestFit="1" customWidth="1"/>
    <col min="797" max="798" width="11" style="69" customWidth="1"/>
    <col min="799" max="799" width="10" style="69" bestFit="1" customWidth="1"/>
    <col min="800" max="800" width="14.42578125" style="69" bestFit="1" customWidth="1"/>
    <col min="801" max="811" width="0" style="69" hidden="1" customWidth="1"/>
    <col min="812" max="1032" width="9.140625" style="69"/>
    <col min="1033" max="1033" width="54.140625" style="69" bestFit="1" customWidth="1"/>
    <col min="1034" max="1034" width="14.7109375" style="69" customWidth="1"/>
    <col min="1035" max="1035" width="10.140625" style="69" customWidth="1"/>
    <col min="1036" max="1036" width="10.42578125" style="69" bestFit="1" customWidth="1"/>
    <col min="1037" max="1038" width="9.42578125" style="69" bestFit="1" customWidth="1"/>
    <col min="1039" max="1040" width="9.42578125" style="69" customWidth="1"/>
    <col min="1041" max="1041" width="10.140625" style="69" bestFit="1" customWidth="1"/>
    <col min="1042" max="1045" width="9.140625" style="69"/>
    <col min="1046" max="1046" width="7.28515625" style="69" customWidth="1"/>
    <col min="1047" max="1049" width="7.42578125" style="69" customWidth="1"/>
    <col min="1050" max="1050" width="10.42578125" style="69" bestFit="1" customWidth="1"/>
    <col min="1051" max="1051" width="12" style="69" bestFit="1" customWidth="1"/>
    <col min="1052" max="1052" width="11" style="69" bestFit="1" customWidth="1"/>
    <col min="1053" max="1054" width="11" style="69" customWidth="1"/>
    <col min="1055" max="1055" width="10" style="69" bestFit="1" customWidth="1"/>
    <col min="1056" max="1056" width="14.42578125" style="69" bestFit="1" customWidth="1"/>
    <col min="1057" max="1067" width="0" style="69" hidden="1" customWidth="1"/>
    <col min="1068" max="1288" width="9.140625" style="69"/>
    <col min="1289" max="1289" width="54.140625" style="69" bestFit="1" customWidth="1"/>
    <col min="1290" max="1290" width="14.7109375" style="69" customWidth="1"/>
    <col min="1291" max="1291" width="10.140625" style="69" customWidth="1"/>
    <col min="1292" max="1292" width="10.42578125" style="69" bestFit="1" customWidth="1"/>
    <col min="1293" max="1294" width="9.42578125" style="69" bestFit="1" customWidth="1"/>
    <col min="1295" max="1296" width="9.42578125" style="69" customWidth="1"/>
    <col min="1297" max="1297" width="10.140625" style="69" bestFit="1" customWidth="1"/>
    <col min="1298" max="1301" width="9.140625" style="69"/>
    <col min="1302" max="1302" width="7.28515625" style="69" customWidth="1"/>
    <col min="1303" max="1305" width="7.42578125" style="69" customWidth="1"/>
    <col min="1306" max="1306" width="10.42578125" style="69" bestFit="1" customWidth="1"/>
    <col min="1307" max="1307" width="12" style="69" bestFit="1" customWidth="1"/>
    <col min="1308" max="1308" width="11" style="69" bestFit="1" customWidth="1"/>
    <col min="1309" max="1310" width="11" style="69" customWidth="1"/>
    <col min="1311" max="1311" width="10" style="69" bestFit="1" customWidth="1"/>
    <col min="1312" max="1312" width="14.42578125" style="69" bestFit="1" customWidth="1"/>
    <col min="1313" max="1323" width="0" style="69" hidden="1" customWidth="1"/>
    <col min="1324" max="1544" width="9.140625" style="69"/>
    <col min="1545" max="1545" width="54.140625" style="69" bestFit="1" customWidth="1"/>
    <col min="1546" max="1546" width="14.7109375" style="69" customWidth="1"/>
    <col min="1547" max="1547" width="10.140625" style="69" customWidth="1"/>
    <col min="1548" max="1548" width="10.42578125" style="69" bestFit="1" customWidth="1"/>
    <col min="1549" max="1550" width="9.42578125" style="69" bestFit="1" customWidth="1"/>
    <col min="1551" max="1552" width="9.42578125" style="69" customWidth="1"/>
    <col min="1553" max="1553" width="10.140625" style="69" bestFit="1" customWidth="1"/>
    <col min="1554" max="1557" width="9.140625" style="69"/>
    <col min="1558" max="1558" width="7.28515625" style="69" customWidth="1"/>
    <col min="1559" max="1561" width="7.42578125" style="69" customWidth="1"/>
    <col min="1562" max="1562" width="10.42578125" style="69" bestFit="1" customWidth="1"/>
    <col min="1563" max="1563" width="12" style="69" bestFit="1" customWidth="1"/>
    <col min="1564" max="1564" width="11" style="69" bestFit="1" customWidth="1"/>
    <col min="1565" max="1566" width="11" style="69" customWidth="1"/>
    <col min="1567" max="1567" width="10" style="69" bestFit="1" customWidth="1"/>
    <col min="1568" max="1568" width="14.42578125" style="69" bestFit="1" customWidth="1"/>
    <col min="1569" max="1579" width="0" style="69" hidden="1" customWidth="1"/>
    <col min="1580" max="1800" width="9.140625" style="69"/>
    <col min="1801" max="1801" width="54.140625" style="69" bestFit="1" customWidth="1"/>
    <col min="1802" max="1802" width="14.7109375" style="69" customWidth="1"/>
    <col min="1803" max="1803" width="10.140625" style="69" customWidth="1"/>
    <col min="1804" max="1804" width="10.42578125" style="69" bestFit="1" customWidth="1"/>
    <col min="1805" max="1806" width="9.42578125" style="69" bestFit="1" customWidth="1"/>
    <col min="1807" max="1808" width="9.42578125" style="69" customWidth="1"/>
    <col min="1809" max="1809" width="10.140625" style="69" bestFit="1" customWidth="1"/>
    <col min="1810" max="1813" width="9.140625" style="69"/>
    <col min="1814" max="1814" width="7.28515625" style="69" customWidth="1"/>
    <col min="1815" max="1817" width="7.42578125" style="69" customWidth="1"/>
    <col min="1818" max="1818" width="10.42578125" style="69" bestFit="1" customWidth="1"/>
    <col min="1819" max="1819" width="12" style="69" bestFit="1" customWidth="1"/>
    <col min="1820" max="1820" width="11" style="69" bestFit="1" customWidth="1"/>
    <col min="1821" max="1822" width="11" style="69" customWidth="1"/>
    <col min="1823" max="1823" width="10" style="69" bestFit="1" customWidth="1"/>
    <col min="1824" max="1824" width="14.42578125" style="69" bestFit="1" customWidth="1"/>
    <col min="1825" max="1835" width="0" style="69" hidden="1" customWidth="1"/>
    <col min="1836" max="2056" width="9.140625" style="69"/>
    <col min="2057" max="2057" width="54.140625" style="69" bestFit="1" customWidth="1"/>
    <col min="2058" max="2058" width="14.7109375" style="69" customWidth="1"/>
    <col min="2059" max="2059" width="10.140625" style="69" customWidth="1"/>
    <col min="2060" max="2060" width="10.42578125" style="69" bestFit="1" customWidth="1"/>
    <col min="2061" max="2062" width="9.42578125" style="69" bestFit="1" customWidth="1"/>
    <col min="2063" max="2064" width="9.42578125" style="69" customWidth="1"/>
    <col min="2065" max="2065" width="10.140625" style="69" bestFit="1" customWidth="1"/>
    <col min="2066" max="2069" width="9.140625" style="69"/>
    <col min="2070" max="2070" width="7.28515625" style="69" customWidth="1"/>
    <col min="2071" max="2073" width="7.42578125" style="69" customWidth="1"/>
    <col min="2074" max="2074" width="10.42578125" style="69" bestFit="1" customWidth="1"/>
    <col min="2075" max="2075" width="12" style="69" bestFit="1" customWidth="1"/>
    <col min="2076" max="2076" width="11" style="69" bestFit="1" customWidth="1"/>
    <col min="2077" max="2078" width="11" style="69" customWidth="1"/>
    <col min="2079" max="2079" width="10" style="69" bestFit="1" customWidth="1"/>
    <col min="2080" max="2080" width="14.42578125" style="69" bestFit="1" customWidth="1"/>
    <col min="2081" max="2091" width="0" style="69" hidden="1" customWidth="1"/>
    <col min="2092" max="2312" width="9.140625" style="69"/>
    <col min="2313" max="2313" width="54.140625" style="69" bestFit="1" customWidth="1"/>
    <col min="2314" max="2314" width="14.7109375" style="69" customWidth="1"/>
    <col min="2315" max="2315" width="10.140625" style="69" customWidth="1"/>
    <col min="2316" max="2316" width="10.42578125" style="69" bestFit="1" customWidth="1"/>
    <col min="2317" max="2318" width="9.42578125" style="69" bestFit="1" customWidth="1"/>
    <col min="2319" max="2320" width="9.42578125" style="69" customWidth="1"/>
    <col min="2321" max="2321" width="10.140625" style="69" bestFit="1" customWidth="1"/>
    <col min="2322" max="2325" width="9.140625" style="69"/>
    <col min="2326" max="2326" width="7.28515625" style="69" customWidth="1"/>
    <col min="2327" max="2329" width="7.42578125" style="69" customWidth="1"/>
    <col min="2330" max="2330" width="10.42578125" style="69" bestFit="1" customWidth="1"/>
    <col min="2331" max="2331" width="12" style="69" bestFit="1" customWidth="1"/>
    <col min="2332" max="2332" width="11" style="69" bestFit="1" customWidth="1"/>
    <col min="2333" max="2334" width="11" style="69" customWidth="1"/>
    <col min="2335" max="2335" width="10" style="69" bestFit="1" customWidth="1"/>
    <col min="2336" max="2336" width="14.42578125" style="69" bestFit="1" customWidth="1"/>
    <col min="2337" max="2347" width="0" style="69" hidden="1" customWidth="1"/>
    <col min="2348" max="2568" width="9.140625" style="69"/>
    <col min="2569" max="2569" width="54.140625" style="69" bestFit="1" customWidth="1"/>
    <col min="2570" max="2570" width="14.7109375" style="69" customWidth="1"/>
    <col min="2571" max="2571" width="10.140625" style="69" customWidth="1"/>
    <col min="2572" max="2572" width="10.42578125" style="69" bestFit="1" customWidth="1"/>
    <col min="2573" max="2574" width="9.42578125" style="69" bestFit="1" customWidth="1"/>
    <col min="2575" max="2576" width="9.42578125" style="69" customWidth="1"/>
    <col min="2577" max="2577" width="10.140625" style="69" bestFit="1" customWidth="1"/>
    <col min="2578" max="2581" width="9.140625" style="69"/>
    <col min="2582" max="2582" width="7.28515625" style="69" customWidth="1"/>
    <col min="2583" max="2585" width="7.42578125" style="69" customWidth="1"/>
    <col min="2586" max="2586" width="10.42578125" style="69" bestFit="1" customWidth="1"/>
    <col min="2587" max="2587" width="12" style="69" bestFit="1" customWidth="1"/>
    <col min="2588" max="2588" width="11" style="69" bestFit="1" customWidth="1"/>
    <col min="2589" max="2590" width="11" style="69" customWidth="1"/>
    <col min="2591" max="2591" width="10" style="69" bestFit="1" customWidth="1"/>
    <col min="2592" max="2592" width="14.42578125" style="69" bestFit="1" customWidth="1"/>
    <col min="2593" max="2603" width="0" style="69" hidden="1" customWidth="1"/>
    <col min="2604" max="2824" width="9.140625" style="69"/>
    <col min="2825" max="2825" width="54.140625" style="69" bestFit="1" customWidth="1"/>
    <col min="2826" max="2826" width="14.7109375" style="69" customWidth="1"/>
    <col min="2827" max="2827" width="10.140625" style="69" customWidth="1"/>
    <col min="2828" max="2828" width="10.42578125" style="69" bestFit="1" customWidth="1"/>
    <col min="2829" max="2830" width="9.42578125" style="69" bestFit="1" customWidth="1"/>
    <col min="2831" max="2832" width="9.42578125" style="69" customWidth="1"/>
    <col min="2833" max="2833" width="10.140625" style="69" bestFit="1" customWidth="1"/>
    <col min="2834" max="2837" width="9.140625" style="69"/>
    <col min="2838" max="2838" width="7.28515625" style="69" customWidth="1"/>
    <col min="2839" max="2841" width="7.42578125" style="69" customWidth="1"/>
    <col min="2842" max="2842" width="10.42578125" style="69" bestFit="1" customWidth="1"/>
    <col min="2843" max="2843" width="12" style="69" bestFit="1" customWidth="1"/>
    <col min="2844" max="2844" width="11" style="69" bestFit="1" customWidth="1"/>
    <col min="2845" max="2846" width="11" style="69" customWidth="1"/>
    <col min="2847" max="2847" width="10" style="69" bestFit="1" customWidth="1"/>
    <col min="2848" max="2848" width="14.42578125" style="69" bestFit="1" customWidth="1"/>
    <col min="2849" max="2859" width="0" style="69" hidden="1" customWidth="1"/>
    <col min="2860" max="3080" width="9.140625" style="69"/>
    <col min="3081" max="3081" width="54.140625" style="69" bestFit="1" customWidth="1"/>
    <col min="3082" max="3082" width="14.7109375" style="69" customWidth="1"/>
    <col min="3083" max="3083" width="10.140625" style="69" customWidth="1"/>
    <col min="3084" max="3084" width="10.42578125" style="69" bestFit="1" customWidth="1"/>
    <col min="3085" max="3086" width="9.42578125" style="69" bestFit="1" customWidth="1"/>
    <col min="3087" max="3088" width="9.42578125" style="69" customWidth="1"/>
    <col min="3089" max="3089" width="10.140625" style="69" bestFit="1" customWidth="1"/>
    <col min="3090" max="3093" width="9.140625" style="69"/>
    <col min="3094" max="3094" width="7.28515625" style="69" customWidth="1"/>
    <col min="3095" max="3097" width="7.42578125" style="69" customWidth="1"/>
    <col min="3098" max="3098" width="10.42578125" style="69" bestFit="1" customWidth="1"/>
    <col min="3099" max="3099" width="12" style="69" bestFit="1" customWidth="1"/>
    <col min="3100" max="3100" width="11" style="69" bestFit="1" customWidth="1"/>
    <col min="3101" max="3102" width="11" style="69" customWidth="1"/>
    <col min="3103" max="3103" width="10" style="69" bestFit="1" customWidth="1"/>
    <col min="3104" max="3104" width="14.42578125" style="69" bestFit="1" customWidth="1"/>
    <col min="3105" max="3115" width="0" style="69" hidden="1" customWidth="1"/>
    <col min="3116" max="3336" width="9.140625" style="69"/>
    <col min="3337" max="3337" width="54.140625" style="69" bestFit="1" customWidth="1"/>
    <col min="3338" max="3338" width="14.7109375" style="69" customWidth="1"/>
    <col min="3339" max="3339" width="10.140625" style="69" customWidth="1"/>
    <col min="3340" max="3340" width="10.42578125" style="69" bestFit="1" customWidth="1"/>
    <col min="3341" max="3342" width="9.42578125" style="69" bestFit="1" customWidth="1"/>
    <col min="3343" max="3344" width="9.42578125" style="69" customWidth="1"/>
    <col min="3345" max="3345" width="10.140625" style="69" bestFit="1" customWidth="1"/>
    <col min="3346" max="3349" width="9.140625" style="69"/>
    <col min="3350" max="3350" width="7.28515625" style="69" customWidth="1"/>
    <col min="3351" max="3353" width="7.42578125" style="69" customWidth="1"/>
    <col min="3354" max="3354" width="10.42578125" style="69" bestFit="1" customWidth="1"/>
    <col min="3355" max="3355" width="12" style="69" bestFit="1" customWidth="1"/>
    <col min="3356" max="3356" width="11" style="69" bestFit="1" customWidth="1"/>
    <col min="3357" max="3358" width="11" style="69" customWidth="1"/>
    <col min="3359" max="3359" width="10" style="69" bestFit="1" customWidth="1"/>
    <col min="3360" max="3360" width="14.42578125" style="69" bestFit="1" customWidth="1"/>
    <col min="3361" max="3371" width="0" style="69" hidden="1" customWidth="1"/>
    <col min="3372" max="3592" width="9.140625" style="69"/>
    <col min="3593" max="3593" width="54.140625" style="69" bestFit="1" customWidth="1"/>
    <col min="3594" max="3594" width="14.7109375" style="69" customWidth="1"/>
    <col min="3595" max="3595" width="10.140625" style="69" customWidth="1"/>
    <col min="3596" max="3596" width="10.42578125" style="69" bestFit="1" customWidth="1"/>
    <col min="3597" max="3598" width="9.42578125" style="69" bestFit="1" customWidth="1"/>
    <col min="3599" max="3600" width="9.42578125" style="69" customWidth="1"/>
    <col min="3601" max="3601" width="10.140625" style="69" bestFit="1" customWidth="1"/>
    <col min="3602" max="3605" width="9.140625" style="69"/>
    <col min="3606" max="3606" width="7.28515625" style="69" customWidth="1"/>
    <col min="3607" max="3609" width="7.42578125" style="69" customWidth="1"/>
    <col min="3610" max="3610" width="10.42578125" style="69" bestFit="1" customWidth="1"/>
    <col min="3611" max="3611" width="12" style="69" bestFit="1" customWidth="1"/>
    <col min="3612" max="3612" width="11" style="69" bestFit="1" customWidth="1"/>
    <col min="3613" max="3614" width="11" style="69" customWidth="1"/>
    <col min="3615" max="3615" width="10" style="69" bestFit="1" customWidth="1"/>
    <col min="3616" max="3616" width="14.42578125" style="69" bestFit="1" customWidth="1"/>
    <col min="3617" max="3627" width="0" style="69" hidden="1" customWidth="1"/>
    <col min="3628" max="3848" width="9.140625" style="69"/>
    <col min="3849" max="3849" width="54.140625" style="69" bestFit="1" customWidth="1"/>
    <col min="3850" max="3850" width="14.7109375" style="69" customWidth="1"/>
    <col min="3851" max="3851" width="10.140625" style="69" customWidth="1"/>
    <col min="3852" max="3852" width="10.42578125" style="69" bestFit="1" customWidth="1"/>
    <col min="3853" max="3854" width="9.42578125" style="69" bestFit="1" customWidth="1"/>
    <col min="3855" max="3856" width="9.42578125" style="69" customWidth="1"/>
    <col min="3857" max="3857" width="10.140625" style="69" bestFit="1" customWidth="1"/>
    <col min="3858" max="3861" width="9.140625" style="69"/>
    <col min="3862" max="3862" width="7.28515625" style="69" customWidth="1"/>
    <col min="3863" max="3865" width="7.42578125" style="69" customWidth="1"/>
    <col min="3866" max="3866" width="10.42578125" style="69" bestFit="1" customWidth="1"/>
    <col min="3867" max="3867" width="12" style="69" bestFit="1" customWidth="1"/>
    <col min="3868" max="3868" width="11" style="69" bestFit="1" customWidth="1"/>
    <col min="3869" max="3870" width="11" style="69" customWidth="1"/>
    <col min="3871" max="3871" width="10" style="69" bestFit="1" customWidth="1"/>
    <col min="3872" max="3872" width="14.42578125" style="69" bestFit="1" customWidth="1"/>
    <col min="3873" max="3883" width="0" style="69" hidden="1" customWidth="1"/>
    <col min="3884" max="4104" width="9.140625" style="69"/>
    <col min="4105" max="4105" width="54.140625" style="69" bestFit="1" customWidth="1"/>
    <col min="4106" max="4106" width="14.7109375" style="69" customWidth="1"/>
    <col min="4107" max="4107" width="10.140625" style="69" customWidth="1"/>
    <col min="4108" max="4108" width="10.42578125" style="69" bestFit="1" customWidth="1"/>
    <col min="4109" max="4110" width="9.42578125" style="69" bestFit="1" customWidth="1"/>
    <col min="4111" max="4112" width="9.42578125" style="69" customWidth="1"/>
    <col min="4113" max="4113" width="10.140625" style="69" bestFit="1" customWidth="1"/>
    <col min="4114" max="4117" width="9.140625" style="69"/>
    <col min="4118" max="4118" width="7.28515625" style="69" customWidth="1"/>
    <col min="4119" max="4121" width="7.42578125" style="69" customWidth="1"/>
    <col min="4122" max="4122" width="10.42578125" style="69" bestFit="1" customWidth="1"/>
    <col min="4123" max="4123" width="12" style="69" bestFit="1" customWidth="1"/>
    <col min="4124" max="4124" width="11" style="69" bestFit="1" customWidth="1"/>
    <col min="4125" max="4126" width="11" style="69" customWidth="1"/>
    <col min="4127" max="4127" width="10" style="69" bestFit="1" customWidth="1"/>
    <col min="4128" max="4128" width="14.42578125" style="69" bestFit="1" customWidth="1"/>
    <col min="4129" max="4139" width="0" style="69" hidden="1" customWidth="1"/>
    <col min="4140" max="4360" width="9.140625" style="69"/>
    <col min="4361" max="4361" width="54.140625" style="69" bestFit="1" customWidth="1"/>
    <col min="4362" max="4362" width="14.7109375" style="69" customWidth="1"/>
    <col min="4363" max="4363" width="10.140625" style="69" customWidth="1"/>
    <col min="4364" max="4364" width="10.42578125" style="69" bestFit="1" customWidth="1"/>
    <col min="4365" max="4366" width="9.42578125" style="69" bestFit="1" customWidth="1"/>
    <col min="4367" max="4368" width="9.42578125" style="69" customWidth="1"/>
    <col min="4369" max="4369" width="10.140625" style="69" bestFit="1" customWidth="1"/>
    <col min="4370" max="4373" width="9.140625" style="69"/>
    <col min="4374" max="4374" width="7.28515625" style="69" customWidth="1"/>
    <col min="4375" max="4377" width="7.42578125" style="69" customWidth="1"/>
    <col min="4378" max="4378" width="10.42578125" style="69" bestFit="1" customWidth="1"/>
    <col min="4379" max="4379" width="12" style="69" bestFit="1" customWidth="1"/>
    <col min="4380" max="4380" width="11" style="69" bestFit="1" customWidth="1"/>
    <col min="4381" max="4382" width="11" style="69" customWidth="1"/>
    <col min="4383" max="4383" width="10" style="69" bestFit="1" customWidth="1"/>
    <col min="4384" max="4384" width="14.42578125" style="69" bestFit="1" customWidth="1"/>
    <col min="4385" max="4395" width="0" style="69" hidden="1" customWidth="1"/>
    <col min="4396" max="4616" width="9.140625" style="69"/>
    <col min="4617" max="4617" width="54.140625" style="69" bestFit="1" customWidth="1"/>
    <col min="4618" max="4618" width="14.7109375" style="69" customWidth="1"/>
    <col min="4619" max="4619" width="10.140625" style="69" customWidth="1"/>
    <col min="4620" max="4620" width="10.42578125" style="69" bestFit="1" customWidth="1"/>
    <col min="4621" max="4622" width="9.42578125" style="69" bestFit="1" customWidth="1"/>
    <col min="4623" max="4624" width="9.42578125" style="69" customWidth="1"/>
    <col min="4625" max="4625" width="10.140625" style="69" bestFit="1" customWidth="1"/>
    <col min="4626" max="4629" width="9.140625" style="69"/>
    <col min="4630" max="4630" width="7.28515625" style="69" customWidth="1"/>
    <col min="4631" max="4633" width="7.42578125" style="69" customWidth="1"/>
    <col min="4634" max="4634" width="10.42578125" style="69" bestFit="1" customWidth="1"/>
    <col min="4635" max="4635" width="12" style="69" bestFit="1" customWidth="1"/>
    <col min="4636" max="4636" width="11" style="69" bestFit="1" customWidth="1"/>
    <col min="4637" max="4638" width="11" style="69" customWidth="1"/>
    <col min="4639" max="4639" width="10" style="69" bestFit="1" customWidth="1"/>
    <col min="4640" max="4640" width="14.42578125" style="69" bestFit="1" customWidth="1"/>
    <col min="4641" max="4651" width="0" style="69" hidden="1" customWidth="1"/>
    <col min="4652" max="4872" width="9.140625" style="69"/>
    <col min="4873" max="4873" width="54.140625" style="69" bestFit="1" customWidth="1"/>
    <col min="4874" max="4874" width="14.7109375" style="69" customWidth="1"/>
    <col min="4875" max="4875" width="10.140625" style="69" customWidth="1"/>
    <col min="4876" max="4876" width="10.42578125" style="69" bestFit="1" customWidth="1"/>
    <col min="4877" max="4878" width="9.42578125" style="69" bestFit="1" customWidth="1"/>
    <col min="4879" max="4880" width="9.42578125" style="69" customWidth="1"/>
    <col min="4881" max="4881" width="10.140625" style="69" bestFit="1" customWidth="1"/>
    <col min="4882" max="4885" width="9.140625" style="69"/>
    <col min="4886" max="4886" width="7.28515625" style="69" customWidth="1"/>
    <col min="4887" max="4889" width="7.42578125" style="69" customWidth="1"/>
    <col min="4890" max="4890" width="10.42578125" style="69" bestFit="1" customWidth="1"/>
    <col min="4891" max="4891" width="12" style="69" bestFit="1" customWidth="1"/>
    <col min="4892" max="4892" width="11" style="69" bestFit="1" customWidth="1"/>
    <col min="4893" max="4894" width="11" style="69" customWidth="1"/>
    <col min="4895" max="4895" width="10" style="69" bestFit="1" customWidth="1"/>
    <col min="4896" max="4896" width="14.42578125" style="69" bestFit="1" customWidth="1"/>
    <col min="4897" max="4907" width="0" style="69" hidden="1" customWidth="1"/>
    <col min="4908" max="5128" width="9.140625" style="69"/>
    <col min="5129" max="5129" width="54.140625" style="69" bestFit="1" customWidth="1"/>
    <col min="5130" max="5130" width="14.7109375" style="69" customWidth="1"/>
    <col min="5131" max="5131" width="10.140625" style="69" customWidth="1"/>
    <col min="5132" max="5132" width="10.42578125" style="69" bestFit="1" customWidth="1"/>
    <col min="5133" max="5134" width="9.42578125" style="69" bestFit="1" customWidth="1"/>
    <col min="5135" max="5136" width="9.42578125" style="69" customWidth="1"/>
    <col min="5137" max="5137" width="10.140625" style="69" bestFit="1" customWidth="1"/>
    <col min="5138" max="5141" width="9.140625" style="69"/>
    <col min="5142" max="5142" width="7.28515625" style="69" customWidth="1"/>
    <col min="5143" max="5145" width="7.42578125" style="69" customWidth="1"/>
    <col min="5146" max="5146" width="10.42578125" style="69" bestFit="1" customWidth="1"/>
    <col min="5147" max="5147" width="12" style="69" bestFit="1" customWidth="1"/>
    <col min="5148" max="5148" width="11" style="69" bestFit="1" customWidth="1"/>
    <col min="5149" max="5150" width="11" style="69" customWidth="1"/>
    <col min="5151" max="5151" width="10" style="69" bestFit="1" customWidth="1"/>
    <col min="5152" max="5152" width="14.42578125" style="69" bestFit="1" customWidth="1"/>
    <col min="5153" max="5163" width="0" style="69" hidden="1" customWidth="1"/>
    <col min="5164" max="5384" width="9.140625" style="69"/>
    <col min="5385" max="5385" width="54.140625" style="69" bestFit="1" customWidth="1"/>
    <col min="5386" max="5386" width="14.7109375" style="69" customWidth="1"/>
    <col min="5387" max="5387" width="10.140625" style="69" customWidth="1"/>
    <col min="5388" max="5388" width="10.42578125" style="69" bestFit="1" customWidth="1"/>
    <col min="5389" max="5390" width="9.42578125" style="69" bestFit="1" customWidth="1"/>
    <col min="5391" max="5392" width="9.42578125" style="69" customWidth="1"/>
    <col min="5393" max="5393" width="10.140625" style="69" bestFit="1" customWidth="1"/>
    <col min="5394" max="5397" width="9.140625" style="69"/>
    <col min="5398" max="5398" width="7.28515625" style="69" customWidth="1"/>
    <col min="5399" max="5401" width="7.42578125" style="69" customWidth="1"/>
    <col min="5402" max="5402" width="10.42578125" style="69" bestFit="1" customWidth="1"/>
    <col min="5403" max="5403" width="12" style="69" bestFit="1" customWidth="1"/>
    <col min="5404" max="5404" width="11" style="69" bestFit="1" customWidth="1"/>
    <col min="5405" max="5406" width="11" style="69" customWidth="1"/>
    <col min="5407" max="5407" width="10" style="69" bestFit="1" customWidth="1"/>
    <col min="5408" max="5408" width="14.42578125" style="69" bestFit="1" customWidth="1"/>
    <col min="5409" max="5419" width="0" style="69" hidden="1" customWidth="1"/>
    <col min="5420" max="5640" width="9.140625" style="69"/>
    <col min="5641" max="5641" width="54.140625" style="69" bestFit="1" customWidth="1"/>
    <col min="5642" max="5642" width="14.7109375" style="69" customWidth="1"/>
    <col min="5643" max="5643" width="10.140625" style="69" customWidth="1"/>
    <col min="5644" max="5644" width="10.42578125" style="69" bestFit="1" customWidth="1"/>
    <col min="5645" max="5646" width="9.42578125" style="69" bestFit="1" customWidth="1"/>
    <col min="5647" max="5648" width="9.42578125" style="69" customWidth="1"/>
    <col min="5649" max="5649" width="10.140625" style="69" bestFit="1" customWidth="1"/>
    <col min="5650" max="5653" width="9.140625" style="69"/>
    <col min="5654" max="5654" width="7.28515625" style="69" customWidth="1"/>
    <col min="5655" max="5657" width="7.42578125" style="69" customWidth="1"/>
    <col min="5658" max="5658" width="10.42578125" style="69" bestFit="1" customWidth="1"/>
    <col min="5659" max="5659" width="12" style="69" bestFit="1" customWidth="1"/>
    <col min="5660" max="5660" width="11" style="69" bestFit="1" customWidth="1"/>
    <col min="5661" max="5662" width="11" style="69" customWidth="1"/>
    <col min="5663" max="5663" width="10" style="69" bestFit="1" customWidth="1"/>
    <col min="5664" max="5664" width="14.42578125" style="69" bestFit="1" customWidth="1"/>
    <col min="5665" max="5675" width="0" style="69" hidden="1" customWidth="1"/>
    <col min="5676" max="5896" width="9.140625" style="69"/>
    <col min="5897" max="5897" width="54.140625" style="69" bestFit="1" customWidth="1"/>
    <col min="5898" max="5898" width="14.7109375" style="69" customWidth="1"/>
    <col min="5899" max="5899" width="10.140625" style="69" customWidth="1"/>
    <col min="5900" max="5900" width="10.42578125" style="69" bestFit="1" customWidth="1"/>
    <col min="5901" max="5902" width="9.42578125" style="69" bestFit="1" customWidth="1"/>
    <col min="5903" max="5904" width="9.42578125" style="69" customWidth="1"/>
    <col min="5905" max="5905" width="10.140625" style="69" bestFit="1" customWidth="1"/>
    <col min="5906" max="5909" width="9.140625" style="69"/>
    <col min="5910" max="5910" width="7.28515625" style="69" customWidth="1"/>
    <col min="5911" max="5913" width="7.42578125" style="69" customWidth="1"/>
    <col min="5914" max="5914" width="10.42578125" style="69" bestFit="1" customWidth="1"/>
    <col min="5915" max="5915" width="12" style="69" bestFit="1" customWidth="1"/>
    <col min="5916" max="5916" width="11" style="69" bestFit="1" customWidth="1"/>
    <col min="5917" max="5918" width="11" style="69" customWidth="1"/>
    <col min="5919" max="5919" width="10" style="69" bestFit="1" customWidth="1"/>
    <col min="5920" max="5920" width="14.42578125" style="69" bestFit="1" customWidth="1"/>
    <col min="5921" max="5931" width="0" style="69" hidden="1" customWidth="1"/>
    <col min="5932" max="6152" width="9.140625" style="69"/>
    <col min="6153" max="6153" width="54.140625" style="69" bestFit="1" customWidth="1"/>
    <col min="6154" max="6154" width="14.7109375" style="69" customWidth="1"/>
    <col min="6155" max="6155" width="10.140625" style="69" customWidth="1"/>
    <col min="6156" max="6156" width="10.42578125" style="69" bestFit="1" customWidth="1"/>
    <col min="6157" max="6158" width="9.42578125" style="69" bestFit="1" customWidth="1"/>
    <col min="6159" max="6160" width="9.42578125" style="69" customWidth="1"/>
    <col min="6161" max="6161" width="10.140625" style="69" bestFit="1" customWidth="1"/>
    <col min="6162" max="6165" width="9.140625" style="69"/>
    <col min="6166" max="6166" width="7.28515625" style="69" customWidth="1"/>
    <col min="6167" max="6169" width="7.42578125" style="69" customWidth="1"/>
    <col min="6170" max="6170" width="10.42578125" style="69" bestFit="1" customWidth="1"/>
    <col min="6171" max="6171" width="12" style="69" bestFit="1" customWidth="1"/>
    <col min="6172" max="6172" width="11" style="69" bestFit="1" customWidth="1"/>
    <col min="6173" max="6174" width="11" style="69" customWidth="1"/>
    <col min="6175" max="6175" width="10" style="69" bestFit="1" customWidth="1"/>
    <col min="6176" max="6176" width="14.42578125" style="69" bestFit="1" customWidth="1"/>
    <col min="6177" max="6187" width="0" style="69" hidden="1" customWidth="1"/>
    <col min="6188" max="6408" width="9.140625" style="69"/>
    <col min="6409" max="6409" width="54.140625" style="69" bestFit="1" customWidth="1"/>
    <col min="6410" max="6410" width="14.7109375" style="69" customWidth="1"/>
    <col min="6411" max="6411" width="10.140625" style="69" customWidth="1"/>
    <col min="6412" max="6412" width="10.42578125" style="69" bestFit="1" customWidth="1"/>
    <col min="6413" max="6414" width="9.42578125" style="69" bestFit="1" customWidth="1"/>
    <col min="6415" max="6416" width="9.42578125" style="69" customWidth="1"/>
    <col min="6417" max="6417" width="10.140625" style="69" bestFit="1" customWidth="1"/>
    <col min="6418" max="6421" width="9.140625" style="69"/>
    <col min="6422" max="6422" width="7.28515625" style="69" customWidth="1"/>
    <col min="6423" max="6425" width="7.42578125" style="69" customWidth="1"/>
    <col min="6426" max="6426" width="10.42578125" style="69" bestFit="1" customWidth="1"/>
    <col min="6427" max="6427" width="12" style="69" bestFit="1" customWidth="1"/>
    <col min="6428" max="6428" width="11" style="69" bestFit="1" customWidth="1"/>
    <col min="6429" max="6430" width="11" style="69" customWidth="1"/>
    <col min="6431" max="6431" width="10" style="69" bestFit="1" customWidth="1"/>
    <col min="6432" max="6432" width="14.42578125" style="69" bestFit="1" customWidth="1"/>
    <col min="6433" max="6443" width="0" style="69" hidden="1" customWidth="1"/>
    <col min="6444" max="6664" width="9.140625" style="69"/>
    <col min="6665" max="6665" width="54.140625" style="69" bestFit="1" customWidth="1"/>
    <col min="6666" max="6666" width="14.7109375" style="69" customWidth="1"/>
    <col min="6667" max="6667" width="10.140625" style="69" customWidth="1"/>
    <col min="6668" max="6668" width="10.42578125" style="69" bestFit="1" customWidth="1"/>
    <col min="6669" max="6670" width="9.42578125" style="69" bestFit="1" customWidth="1"/>
    <col min="6671" max="6672" width="9.42578125" style="69" customWidth="1"/>
    <col min="6673" max="6673" width="10.140625" style="69" bestFit="1" customWidth="1"/>
    <col min="6674" max="6677" width="9.140625" style="69"/>
    <col min="6678" max="6678" width="7.28515625" style="69" customWidth="1"/>
    <col min="6679" max="6681" width="7.42578125" style="69" customWidth="1"/>
    <col min="6682" max="6682" width="10.42578125" style="69" bestFit="1" customWidth="1"/>
    <col min="6683" max="6683" width="12" style="69" bestFit="1" customWidth="1"/>
    <col min="6684" max="6684" width="11" style="69" bestFit="1" customWidth="1"/>
    <col min="6685" max="6686" width="11" style="69" customWidth="1"/>
    <col min="6687" max="6687" width="10" style="69" bestFit="1" customWidth="1"/>
    <col min="6688" max="6688" width="14.42578125" style="69" bestFit="1" customWidth="1"/>
    <col min="6689" max="6699" width="0" style="69" hidden="1" customWidth="1"/>
    <col min="6700" max="6920" width="9.140625" style="69"/>
    <col min="6921" max="6921" width="54.140625" style="69" bestFit="1" customWidth="1"/>
    <col min="6922" max="6922" width="14.7109375" style="69" customWidth="1"/>
    <col min="6923" max="6923" width="10.140625" style="69" customWidth="1"/>
    <col min="6924" max="6924" width="10.42578125" style="69" bestFit="1" customWidth="1"/>
    <col min="6925" max="6926" width="9.42578125" style="69" bestFit="1" customWidth="1"/>
    <col min="6927" max="6928" width="9.42578125" style="69" customWidth="1"/>
    <col min="6929" max="6929" width="10.140625" style="69" bestFit="1" customWidth="1"/>
    <col min="6930" max="6933" width="9.140625" style="69"/>
    <col min="6934" max="6934" width="7.28515625" style="69" customWidth="1"/>
    <col min="6935" max="6937" width="7.42578125" style="69" customWidth="1"/>
    <col min="6938" max="6938" width="10.42578125" style="69" bestFit="1" customWidth="1"/>
    <col min="6939" max="6939" width="12" style="69" bestFit="1" customWidth="1"/>
    <col min="6940" max="6940" width="11" style="69" bestFit="1" customWidth="1"/>
    <col min="6941" max="6942" width="11" style="69" customWidth="1"/>
    <col min="6943" max="6943" width="10" style="69" bestFit="1" customWidth="1"/>
    <col min="6944" max="6944" width="14.42578125" style="69" bestFit="1" customWidth="1"/>
    <col min="6945" max="6955" width="0" style="69" hidden="1" customWidth="1"/>
    <col min="6956" max="7176" width="9.140625" style="69"/>
    <col min="7177" max="7177" width="54.140625" style="69" bestFit="1" customWidth="1"/>
    <col min="7178" max="7178" width="14.7109375" style="69" customWidth="1"/>
    <col min="7179" max="7179" width="10.140625" style="69" customWidth="1"/>
    <col min="7180" max="7180" width="10.42578125" style="69" bestFit="1" customWidth="1"/>
    <col min="7181" max="7182" width="9.42578125" style="69" bestFit="1" customWidth="1"/>
    <col min="7183" max="7184" width="9.42578125" style="69" customWidth="1"/>
    <col min="7185" max="7185" width="10.140625" style="69" bestFit="1" customWidth="1"/>
    <col min="7186" max="7189" width="9.140625" style="69"/>
    <col min="7190" max="7190" width="7.28515625" style="69" customWidth="1"/>
    <col min="7191" max="7193" width="7.42578125" style="69" customWidth="1"/>
    <col min="7194" max="7194" width="10.42578125" style="69" bestFit="1" customWidth="1"/>
    <col min="7195" max="7195" width="12" style="69" bestFit="1" customWidth="1"/>
    <col min="7196" max="7196" width="11" style="69" bestFit="1" customWidth="1"/>
    <col min="7197" max="7198" width="11" style="69" customWidth="1"/>
    <col min="7199" max="7199" width="10" style="69" bestFit="1" customWidth="1"/>
    <col min="7200" max="7200" width="14.42578125" style="69" bestFit="1" customWidth="1"/>
    <col min="7201" max="7211" width="0" style="69" hidden="1" customWidth="1"/>
    <col min="7212" max="7432" width="9.140625" style="69"/>
    <col min="7433" max="7433" width="54.140625" style="69" bestFit="1" customWidth="1"/>
    <col min="7434" max="7434" width="14.7109375" style="69" customWidth="1"/>
    <col min="7435" max="7435" width="10.140625" style="69" customWidth="1"/>
    <col min="7436" max="7436" width="10.42578125" style="69" bestFit="1" customWidth="1"/>
    <col min="7437" max="7438" width="9.42578125" style="69" bestFit="1" customWidth="1"/>
    <col min="7439" max="7440" width="9.42578125" style="69" customWidth="1"/>
    <col min="7441" max="7441" width="10.140625" style="69" bestFit="1" customWidth="1"/>
    <col min="7442" max="7445" width="9.140625" style="69"/>
    <col min="7446" max="7446" width="7.28515625" style="69" customWidth="1"/>
    <col min="7447" max="7449" width="7.42578125" style="69" customWidth="1"/>
    <col min="7450" max="7450" width="10.42578125" style="69" bestFit="1" customWidth="1"/>
    <col min="7451" max="7451" width="12" style="69" bestFit="1" customWidth="1"/>
    <col min="7452" max="7452" width="11" style="69" bestFit="1" customWidth="1"/>
    <col min="7453" max="7454" width="11" style="69" customWidth="1"/>
    <col min="7455" max="7455" width="10" style="69" bestFit="1" customWidth="1"/>
    <col min="7456" max="7456" width="14.42578125" style="69" bestFit="1" customWidth="1"/>
    <col min="7457" max="7467" width="0" style="69" hidden="1" customWidth="1"/>
    <col min="7468" max="7688" width="9.140625" style="69"/>
    <col min="7689" max="7689" width="54.140625" style="69" bestFit="1" customWidth="1"/>
    <col min="7690" max="7690" width="14.7109375" style="69" customWidth="1"/>
    <col min="7691" max="7691" width="10.140625" style="69" customWidth="1"/>
    <col min="7692" max="7692" width="10.42578125" style="69" bestFit="1" customWidth="1"/>
    <col min="7693" max="7694" width="9.42578125" style="69" bestFit="1" customWidth="1"/>
    <col min="7695" max="7696" width="9.42578125" style="69" customWidth="1"/>
    <col min="7697" max="7697" width="10.140625" style="69" bestFit="1" customWidth="1"/>
    <col min="7698" max="7701" width="9.140625" style="69"/>
    <col min="7702" max="7702" width="7.28515625" style="69" customWidth="1"/>
    <col min="7703" max="7705" width="7.42578125" style="69" customWidth="1"/>
    <col min="7706" max="7706" width="10.42578125" style="69" bestFit="1" customWidth="1"/>
    <col min="7707" max="7707" width="12" style="69" bestFit="1" customWidth="1"/>
    <col min="7708" max="7708" width="11" style="69" bestFit="1" customWidth="1"/>
    <col min="7709" max="7710" width="11" style="69" customWidth="1"/>
    <col min="7711" max="7711" width="10" style="69" bestFit="1" customWidth="1"/>
    <col min="7712" max="7712" width="14.42578125" style="69" bestFit="1" customWidth="1"/>
    <col min="7713" max="7723" width="0" style="69" hidden="1" customWidth="1"/>
    <col min="7724" max="7944" width="9.140625" style="69"/>
    <col min="7945" max="7945" width="54.140625" style="69" bestFit="1" customWidth="1"/>
    <col min="7946" max="7946" width="14.7109375" style="69" customWidth="1"/>
    <col min="7947" max="7947" width="10.140625" style="69" customWidth="1"/>
    <col min="7948" max="7948" width="10.42578125" style="69" bestFit="1" customWidth="1"/>
    <col min="7949" max="7950" width="9.42578125" style="69" bestFit="1" customWidth="1"/>
    <col min="7951" max="7952" width="9.42578125" style="69" customWidth="1"/>
    <col min="7953" max="7953" width="10.140625" style="69" bestFit="1" customWidth="1"/>
    <col min="7954" max="7957" width="9.140625" style="69"/>
    <col min="7958" max="7958" width="7.28515625" style="69" customWidth="1"/>
    <col min="7959" max="7961" width="7.42578125" style="69" customWidth="1"/>
    <col min="7962" max="7962" width="10.42578125" style="69" bestFit="1" customWidth="1"/>
    <col min="7963" max="7963" width="12" style="69" bestFit="1" customWidth="1"/>
    <col min="7964" max="7964" width="11" style="69" bestFit="1" customWidth="1"/>
    <col min="7965" max="7966" width="11" style="69" customWidth="1"/>
    <col min="7967" max="7967" width="10" style="69" bestFit="1" customWidth="1"/>
    <col min="7968" max="7968" width="14.42578125" style="69" bestFit="1" customWidth="1"/>
    <col min="7969" max="7979" width="0" style="69" hidden="1" customWidth="1"/>
    <col min="7980" max="8200" width="9.140625" style="69"/>
    <col min="8201" max="8201" width="54.140625" style="69" bestFit="1" customWidth="1"/>
    <col min="8202" max="8202" width="14.7109375" style="69" customWidth="1"/>
    <col min="8203" max="8203" width="10.140625" style="69" customWidth="1"/>
    <col min="8204" max="8204" width="10.42578125" style="69" bestFit="1" customWidth="1"/>
    <col min="8205" max="8206" width="9.42578125" style="69" bestFit="1" customWidth="1"/>
    <col min="8207" max="8208" width="9.42578125" style="69" customWidth="1"/>
    <col min="8209" max="8209" width="10.140625" style="69" bestFit="1" customWidth="1"/>
    <col min="8210" max="8213" width="9.140625" style="69"/>
    <col min="8214" max="8214" width="7.28515625" style="69" customWidth="1"/>
    <col min="8215" max="8217" width="7.42578125" style="69" customWidth="1"/>
    <col min="8218" max="8218" width="10.42578125" style="69" bestFit="1" customWidth="1"/>
    <col min="8219" max="8219" width="12" style="69" bestFit="1" customWidth="1"/>
    <col min="8220" max="8220" width="11" style="69" bestFit="1" customWidth="1"/>
    <col min="8221" max="8222" width="11" style="69" customWidth="1"/>
    <col min="8223" max="8223" width="10" style="69" bestFit="1" customWidth="1"/>
    <col min="8224" max="8224" width="14.42578125" style="69" bestFit="1" customWidth="1"/>
    <col min="8225" max="8235" width="0" style="69" hidden="1" customWidth="1"/>
    <col min="8236" max="8456" width="9.140625" style="69"/>
    <col min="8457" max="8457" width="54.140625" style="69" bestFit="1" customWidth="1"/>
    <col min="8458" max="8458" width="14.7109375" style="69" customWidth="1"/>
    <col min="8459" max="8459" width="10.140625" style="69" customWidth="1"/>
    <col min="8460" max="8460" width="10.42578125" style="69" bestFit="1" customWidth="1"/>
    <col min="8461" max="8462" width="9.42578125" style="69" bestFit="1" customWidth="1"/>
    <col min="8463" max="8464" width="9.42578125" style="69" customWidth="1"/>
    <col min="8465" max="8465" width="10.140625" style="69" bestFit="1" customWidth="1"/>
    <col min="8466" max="8469" width="9.140625" style="69"/>
    <col min="8470" max="8470" width="7.28515625" style="69" customWidth="1"/>
    <col min="8471" max="8473" width="7.42578125" style="69" customWidth="1"/>
    <col min="8474" max="8474" width="10.42578125" style="69" bestFit="1" customWidth="1"/>
    <col min="8475" max="8475" width="12" style="69" bestFit="1" customWidth="1"/>
    <col min="8476" max="8476" width="11" style="69" bestFit="1" customWidth="1"/>
    <col min="8477" max="8478" width="11" style="69" customWidth="1"/>
    <col min="8479" max="8479" width="10" style="69" bestFit="1" customWidth="1"/>
    <col min="8480" max="8480" width="14.42578125" style="69" bestFit="1" customWidth="1"/>
    <col min="8481" max="8491" width="0" style="69" hidden="1" customWidth="1"/>
    <col min="8492" max="8712" width="9.140625" style="69"/>
    <col min="8713" max="8713" width="54.140625" style="69" bestFit="1" customWidth="1"/>
    <col min="8714" max="8714" width="14.7109375" style="69" customWidth="1"/>
    <col min="8715" max="8715" width="10.140625" style="69" customWidth="1"/>
    <col min="8716" max="8716" width="10.42578125" style="69" bestFit="1" customWidth="1"/>
    <col min="8717" max="8718" width="9.42578125" style="69" bestFit="1" customWidth="1"/>
    <col min="8719" max="8720" width="9.42578125" style="69" customWidth="1"/>
    <col min="8721" max="8721" width="10.140625" style="69" bestFit="1" customWidth="1"/>
    <col min="8722" max="8725" width="9.140625" style="69"/>
    <col min="8726" max="8726" width="7.28515625" style="69" customWidth="1"/>
    <col min="8727" max="8729" width="7.42578125" style="69" customWidth="1"/>
    <col min="8730" max="8730" width="10.42578125" style="69" bestFit="1" customWidth="1"/>
    <col min="8731" max="8731" width="12" style="69" bestFit="1" customWidth="1"/>
    <col min="8732" max="8732" width="11" style="69" bestFit="1" customWidth="1"/>
    <col min="8733" max="8734" width="11" style="69" customWidth="1"/>
    <col min="8735" max="8735" width="10" style="69" bestFit="1" customWidth="1"/>
    <col min="8736" max="8736" width="14.42578125" style="69" bestFit="1" customWidth="1"/>
    <col min="8737" max="8747" width="0" style="69" hidden="1" customWidth="1"/>
    <col min="8748" max="8968" width="9.140625" style="69"/>
    <col min="8969" max="8969" width="54.140625" style="69" bestFit="1" customWidth="1"/>
    <col min="8970" max="8970" width="14.7109375" style="69" customWidth="1"/>
    <col min="8971" max="8971" width="10.140625" style="69" customWidth="1"/>
    <col min="8972" max="8972" width="10.42578125" style="69" bestFit="1" customWidth="1"/>
    <col min="8973" max="8974" width="9.42578125" style="69" bestFit="1" customWidth="1"/>
    <col min="8975" max="8976" width="9.42578125" style="69" customWidth="1"/>
    <col min="8977" max="8977" width="10.140625" style="69" bestFit="1" customWidth="1"/>
    <col min="8978" max="8981" width="9.140625" style="69"/>
    <col min="8982" max="8982" width="7.28515625" style="69" customWidth="1"/>
    <col min="8983" max="8985" width="7.42578125" style="69" customWidth="1"/>
    <col min="8986" max="8986" width="10.42578125" style="69" bestFit="1" customWidth="1"/>
    <col min="8987" max="8987" width="12" style="69" bestFit="1" customWidth="1"/>
    <col min="8988" max="8988" width="11" style="69" bestFit="1" customWidth="1"/>
    <col min="8989" max="8990" width="11" style="69" customWidth="1"/>
    <col min="8991" max="8991" width="10" style="69" bestFit="1" customWidth="1"/>
    <col min="8992" max="8992" width="14.42578125" style="69" bestFit="1" customWidth="1"/>
    <col min="8993" max="9003" width="0" style="69" hidden="1" customWidth="1"/>
    <col min="9004" max="9224" width="9.140625" style="69"/>
    <col min="9225" max="9225" width="54.140625" style="69" bestFit="1" customWidth="1"/>
    <col min="9226" max="9226" width="14.7109375" style="69" customWidth="1"/>
    <col min="9227" max="9227" width="10.140625" style="69" customWidth="1"/>
    <col min="9228" max="9228" width="10.42578125" style="69" bestFit="1" customWidth="1"/>
    <col min="9229" max="9230" width="9.42578125" style="69" bestFit="1" customWidth="1"/>
    <col min="9231" max="9232" width="9.42578125" style="69" customWidth="1"/>
    <col min="9233" max="9233" width="10.140625" style="69" bestFit="1" customWidth="1"/>
    <col min="9234" max="9237" width="9.140625" style="69"/>
    <col min="9238" max="9238" width="7.28515625" style="69" customWidth="1"/>
    <col min="9239" max="9241" width="7.42578125" style="69" customWidth="1"/>
    <col min="9242" max="9242" width="10.42578125" style="69" bestFit="1" customWidth="1"/>
    <col min="9243" max="9243" width="12" style="69" bestFit="1" customWidth="1"/>
    <col min="9244" max="9244" width="11" style="69" bestFit="1" customWidth="1"/>
    <col min="9245" max="9246" width="11" style="69" customWidth="1"/>
    <col min="9247" max="9247" width="10" style="69" bestFit="1" customWidth="1"/>
    <col min="9248" max="9248" width="14.42578125" style="69" bestFit="1" customWidth="1"/>
    <col min="9249" max="9259" width="0" style="69" hidden="1" customWidth="1"/>
    <col min="9260" max="9480" width="9.140625" style="69"/>
    <col min="9481" max="9481" width="54.140625" style="69" bestFit="1" customWidth="1"/>
    <col min="9482" max="9482" width="14.7109375" style="69" customWidth="1"/>
    <col min="9483" max="9483" width="10.140625" style="69" customWidth="1"/>
    <col min="9484" max="9484" width="10.42578125" style="69" bestFit="1" customWidth="1"/>
    <col min="9485" max="9486" width="9.42578125" style="69" bestFit="1" customWidth="1"/>
    <col min="9487" max="9488" width="9.42578125" style="69" customWidth="1"/>
    <col min="9489" max="9489" width="10.140625" style="69" bestFit="1" customWidth="1"/>
    <col min="9490" max="9493" width="9.140625" style="69"/>
    <col min="9494" max="9494" width="7.28515625" style="69" customWidth="1"/>
    <col min="9495" max="9497" width="7.42578125" style="69" customWidth="1"/>
    <col min="9498" max="9498" width="10.42578125" style="69" bestFit="1" customWidth="1"/>
    <col min="9499" max="9499" width="12" style="69" bestFit="1" customWidth="1"/>
    <col min="9500" max="9500" width="11" style="69" bestFit="1" customWidth="1"/>
    <col min="9501" max="9502" width="11" style="69" customWidth="1"/>
    <col min="9503" max="9503" width="10" style="69" bestFit="1" customWidth="1"/>
    <col min="9504" max="9504" width="14.42578125" style="69" bestFit="1" customWidth="1"/>
    <col min="9505" max="9515" width="0" style="69" hidden="1" customWidth="1"/>
    <col min="9516" max="9736" width="9.140625" style="69"/>
    <col min="9737" max="9737" width="54.140625" style="69" bestFit="1" customWidth="1"/>
    <col min="9738" max="9738" width="14.7109375" style="69" customWidth="1"/>
    <col min="9739" max="9739" width="10.140625" style="69" customWidth="1"/>
    <col min="9740" max="9740" width="10.42578125" style="69" bestFit="1" customWidth="1"/>
    <col min="9741" max="9742" width="9.42578125" style="69" bestFit="1" customWidth="1"/>
    <col min="9743" max="9744" width="9.42578125" style="69" customWidth="1"/>
    <col min="9745" max="9745" width="10.140625" style="69" bestFit="1" customWidth="1"/>
    <col min="9746" max="9749" width="9.140625" style="69"/>
    <col min="9750" max="9750" width="7.28515625" style="69" customWidth="1"/>
    <col min="9751" max="9753" width="7.42578125" style="69" customWidth="1"/>
    <col min="9754" max="9754" width="10.42578125" style="69" bestFit="1" customWidth="1"/>
    <col min="9755" max="9755" width="12" style="69" bestFit="1" customWidth="1"/>
    <col min="9756" max="9756" width="11" style="69" bestFit="1" customWidth="1"/>
    <col min="9757" max="9758" width="11" style="69" customWidth="1"/>
    <col min="9759" max="9759" width="10" style="69" bestFit="1" customWidth="1"/>
    <col min="9760" max="9760" width="14.42578125" style="69" bestFit="1" customWidth="1"/>
    <col min="9761" max="9771" width="0" style="69" hidden="1" customWidth="1"/>
    <col min="9772" max="9992" width="9.140625" style="69"/>
    <col min="9993" max="9993" width="54.140625" style="69" bestFit="1" customWidth="1"/>
    <col min="9994" max="9994" width="14.7109375" style="69" customWidth="1"/>
    <col min="9995" max="9995" width="10.140625" style="69" customWidth="1"/>
    <col min="9996" max="9996" width="10.42578125" style="69" bestFit="1" customWidth="1"/>
    <col min="9997" max="9998" width="9.42578125" style="69" bestFit="1" customWidth="1"/>
    <col min="9999" max="10000" width="9.42578125" style="69" customWidth="1"/>
    <col min="10001" max="10001" width="10.140625" style="69" bestFit="1" customWidth="1"/>
    <col min="10002" max="10005" width="9.140625" style="69"/>
    <col min="10006" max="10006" width="7.28515625" style="69" customWidth="1"/>
    <col min="10007" max="10009" width="7.42578125" style="69" customWidth="1"/>
    <col min="10010" max="10010" width="10.42578125" style="69" bestFit="1" customWidth="1"/>
    <col min="10011" max="10011" width="12" style="69" bestFit="1" customWidth="1"/>
    <col min="10012" max="10012" width="11" style="69" bestFit="1" customWidth="1"/>
    <col min="10013" max="10014" width="11" style="69" customWidth="1"/>
    <col min="10015" max="10015" width="10" style="69" bestFit="1" customWidth="1"/>
    <col min="10016" max="10016" width="14.42578125" style="69" bestFit="1" customWidth="1"/>
    <col min="10017" max="10027" width="0" style="69" hidden="1" customWidth="1"/>
    <col min="10028" max="10248" width="9.140625" style="69"/>
    <col min="10249" max="10249" width="54.140625" style="69" bestFit="1" customWidth="1"/>
    <col min="10250" max="10250" width="14.7109375" style="69" customWidth="1"/>
    <col min="10251" max="10251" width="10.140625" style="69" customWidth="1"/>
    <col min="10252" max="10252" width="10.42578125" style="69" bestFit="1" customWidth="1"/>
    <col min="10253" max="10254" width="9.42578125" style="69" bestFit="1" customWidth="1"/>
    <col min="10255" max="10256" width="9.42578125" style="69" customWidth="1"/>
    <col min="10257" max="10257" width="10.140625" style="69" bestFit="1" customWidth="1"/>
    <col min="10258" max="10261" width="9.140625" style="69"/>
    <col min="10262" max="10262" width="7.28515625" style="69" customWidth="1"/>
    <col min="10263" max="10265" width="7.42578125" style="69" customWidth="1"/>
    <col min="10266" max="10266" width="10.42578125" style="69" bestFit="1" customWidth="1"/>
    <col min="10267" max="10267" width="12" style="69" bestFit="1" customWidth="1"/>
    <col min="10268" max="10268" width="11" style="69" bestFit="1" customWidth="1"/>
    <col min="10269" max="10270" width="11" style="69" customWidth="1"/>
    <col min="10271" max="10271" width="10" style="69" bestFit="1" customWidth="1"/>
    <col min="10272" max="10272" width="14.42578125" style="69" bestFit="1" customWidth="1"/>
    <col min="10273" max="10283" width="0" style="69" hidden="1" customWidth="1"/>
    <col min="10284" max="10504" width="9.140625" style="69"/>
    <col min="10505" max="10505" width="54.140625" style="69" bestFit="1" customWidth="1"/>
    <col min="10506" max="10506" width="14.7109375" style="69" customWidth="1"/>
    <col min="10507" max="10507" width="10.140625" style="69" customWidth="1"/>
    <col min="10508" max="10508" width="10.42578125" style="69" bestFit="1" customWidth="1"/>
    <col min="10509" max="10510" width="9.42578125" style="69" bestFit="1" customWidth="1"/>
    <col min="10511" max="10512" width="9.42578125" style="69" customWidth="1"/>
    <col min="10513" max="10513" width="10.140625" style="69" bestFit="1" customWidth="1"/>
    <col min="10514" max="10517" width="9.140625" style="69"/>
    <col min="10518" max="10518" width="7.28515625" style="69" customWidth="1"/>
    <col min="10519" max="10521" width="7.42578125" style="69" customWidth="1"/>
    <col min="10522" max="10522" width="10.42578125" style="69" bestFit="1" customWidth="1"/>
    <col min="10523" max="10523" width="12" style="69" bestFit="1" customWidth="1"/>
    <col min="10524" max="10524" width="11" style="69" bestFit="1" customWidth="1"/>
    <col min="10525" max="10526" width="11" style="69" customWidth="1"/>
    <col min="10527" max="10527" width="10" style="69" bestFit="1" customWidth="1"/>
    <col min="10528" max="10528" width="14.42578125" style="69" bestFit="1" customWidth="1"/>
    <col min="10529" max="10539" width="0" style="69" hidden="1" customWidth="1"/>
    <col min="10540" max="10760" width="9.140625" style="69"/>
    <col min="10761" max="10761" width="54.140625" style="69" bestFit="1" customWidth="1"/>
    <col min="10762" max="10762" width="14.7109375" style="69" customWidth="1"/>
    <col min="10763" max="10763" width="10.140625" style="69" customWidth="1"/>
    <col min="10764" max="10764" width="10.42578125" style="69" bestFit="1" customWidth="1"/>
    <col min="10765" max="10766" width="9.42578125" style="69" bestFit="1" customWidth="1"/>
    <col min="10767" max="10768" width="9.42578125" style="69" customWidth="1"/>
    <col min="10769" max="10769" width="10.140625" style="69" bestFit="1" customWidth="1"/>
    <col min="10770" max="10773" width="9.140625" style="69"/>
    <col min="10774" max="10774" width="7.28515625" style="69" customWidth="1"/>
    <col min="10775" max="10777" width="7.42578125" style="69" customWidth="1"/>
    <col min="10778" max="10778" width="10.42578125" style="69" bestFit="1" customWidth="1"/>
    <col min="10779" max="10779" width="12" style="69" bestFit="1" customWidth="1"/>
    <col min="10780" max="10780" width="11" style="69" bestFit="1" customWidth="1"/>
    <col min="10781" max="10782" width="11" style="69" customWidth="1"/>
    <col min="10783" max="10783" width="10" style="69" bestFit="1" customWidth="1"/>
    <col min="10784" max="10784" width="14.42578125" style="69" bestFit="1" customWidth="1"/>
    <col min="10785" max="10795" width="0" style="69" hidden="1" customWidth="1"/>
    <col min="10796" max="11016" width="9.140625" style="69"/>
    <col min="11017" max="11017" width="54.140625" style="69" bestFit="1" customWidth="1"/>
    <col min="11018" max="11018" width="14.7109375" style="69" customWidth="1"/>
    <col min="11019" max="11019" width="10.140625" style="69" customWidth="1"/>
    <col min="11020" max="11020" width="10.42578125" style="69" bestFit="1" customWidth="1"/>
    <col min="11021" max="11022" width="9.42578125" style="69" bestFit="1" customWidth="1"/>
    <col min="11023" max="11024" width="9.42578125" style="69" customWidth="1"/>
    <col min="11025" max="11025" width="10.140625" style="69" bestFit="1" customWidth="1"/>
    <col min="11026" max="11029" width="9.140625" style="69"/>
    <col min="11030" max="11030" width="7.28515625" style="69" customWidth="1"/>
    <col min="11031" max="11033" width="7.42578125" style="69" customWidth="1"/>
    <col min="11034" max="11034" width="10.42578125" style="69" bestFit="1" customWidth="1"/>
    <col min="11035" max="11035" width="12" style="69" bestFit="1" customWidth="1"/>
    <col min="11036" max="11036" width="11" style="69" bestFit="1" customWidth="1"/>
    <col min="11037" max="11038" width="11" style="69" customWidth="1"/>
    <col min="11039" max="11039" width="10" style="69" bestFit="1" customWidth="1"/>
    <col min="11040" max="11040" width="14.42578125" style="69" bestFit="1" customWidth="1"/>
    <col min="11041" max="11051" width="0" style="69" hidden="1" customWidth="1"/>
    <col min="11052" max="11272" width="9.140625" style="69"/>
    <col min="11273" max="11273" width="54.140625" style="69" bestFit="1" customWidth="1"/>
    <col min="11274" max="11274" width="14.7109375" style="69" customWidth="1"/>
    <col min="11275" max="11275" width="10.140625" style="69" customWidth="1"/>
    <col min="11276" max="11276" width="10.42578125" style="69" bestFit="1" customWidth="1"/>
    <col min="11277" max="11278" width="9.42578125" style="69" bestFit="1" customWidth="1"/>
    <col min="11279" max="11280" width="9.42578125" style="69" customWidth="1"/>
    <col min="11281" max="11281" width="10.140625" style="69" bestFit="1" customWidth="1"/>
    <col min="11282" max="11285" width="9.140625" style="69"/>
    <col min="11286" max="11286" width="7.28515625" style="69" customWidth="1"/>
    <col min="11287" max="11289" width="7.42578125" style="69" customWidth="1"/>
    <col min="11290" max="11290" width="10.42578125" style="69" bestFit="1" customWidth="1"/>
    <col min="11291" max="11291" width="12" style="69" bestFit="1" customWidth="1"/>
    <col min="11292" max="11292" width="11" style="69" bestFit="1" customWidth="1"/>
    <col min="11293" max="11294" width="11" style="69" customWidth="1"/>
    <col min="11295" max="11295" width="10" style="69" bestFit="1" customWidth="1"/>
    <col min="11296" max="11296" width="14.42578125" style="69" bestFit="1" customWidth="1"/>
    <col min="11297" max="11307" width="0" style="69" hidden="1" customWidth="1"/>
    <col min="11308" max="11528" width="9.140625" style="69"/>
    <col min="11529" max="11529" width="54.140625" style="69" bestFit="1" customWidth="1"/>
    <col min="11530" max="11530" width="14.7109375" style="69" customWidth="1"/>
    <col min="11531" max="11531" width="10.140625" style="69" customWidth="1"/>
    <col min="11532" max="11532" width="10.42578125" style="69" bestFit="1" customWidth="1"/>
    <col min="11533" max="11534" width="9.42578125" style="69" bestFit="1" customWidth="1"/>
    <col min="11535" max="11536" width="9.42578125" style="69" customWidth="1"/>
    <col min="11537" max="11537" width="10.140625" style="69" bestFit="1" customWidth="1"/>
    <col min="11538" max="11541" width="9.140625" style="69"/>
    <col min="11542" max="11542" width="7.28515625" style="69" customWidth="1"/>
    <col min="11543" max="11545" width="7.42578125" style="69" customWidth="1"/>
    <col min="11546" max="11546" width="10.42578125" style="69" bestFit="1" customWidth="1"/>
    <col min="11547" max="11547" width="12" style="69" bestFit="1" customWidth="1"/>
    <col min="11548" max="11548" width="11" style="69" bestFit="1" customWidth="1"/>
    <col min="11549" max="11550" width="11" style="69" customWidth="1"/>
    <col min="11551" max="11551" width="10" style="69" bestFit="1" customWidth="1"/>
    <col min="11552" max="11552" width="14.42578125" style="69" bestFit="1" customWidth="1"/>
    <col min="11553" max="11563" width="0" style="69" hidden="1" customWidth="1"/>
    <col min="11564" max="11784" width="9.140625" style="69"/>
    <col min="11785" max="11785" width="54.140625" style="69" bestFit="1" customWidth="1"/>
    <col min="11786" max="11786" width="14.7109375" style="69" customWidth="1"/>
    <col min="11787" max="11787" width="10.140625" style="69" customWidth="1"/>
    <col min="11788" max="11788" width="10.42578125" style="69" bestFit="1" customWidth="1"/>
    <col min="11789" max="11790" width="9.42578125" style="69" bestFit="1" customWidth="1"/>
    <col min="11791" max="11792" width="9.42578125" style="69" customWidth="1"/>
    <col min="11793" max="11793" width="10.140625" style="69" bestFit="1" customWidth="1"/>
    <col min="11794" max="11797" width="9.140625" style="69"/>
    <col min="11798" max="11798" width="7.28515625" style="69" customWidth="1"/>
    <col min="11799" max="11801" width="7.42578125" style="69" customWidth="1"/>
    <col min="11802" max="11802" width="10.42578125" style="69" bestFit="1" customWidth="1"/>
    <col min="11803" max="11803" width="12" style="69" bestFit="1" customWidth="1"/>
    <col min="11804" max="11804" width="11" style="69" bestFit="1" customWidth="1"/>
    <col min="11805" max="11806" width="11" style="69" customWidth="1"/>
    <col min="11807" max="11807" width="10" style="69" bestFit="1" customWidth="1"/>
    <col min="11808" max="11808" width="14.42578125" style="69" bestFit="1" customWidth="1"/>
    <col min="11809" max="11819" width="0" style="69" hidden="1" customWidth="1"/>
    <col min="11820" max="12040" width="9.140625" style="69"/>
    <col min="12041" max="12041" width="54.140625" style="69" bestFit="1" customWidth="1"/>
    <col min="12042" max="12042" width="14.7109375" style="69" customWidth="1"/>
    <col min="12043" max="12043" width="10.140625" style="69" customWidth="1"/>
    <col min="12044" max="12044" width="10.42578125" style="69" bestFit="1" customWidth="1"/>
    <col min="12045" max="12046" width="9.42578125" style="69" bestFit="1" customWidth="1"/>
    <col min="12047" max="12048" width="9.42578125" style="69" customWidth="1"/>
    <col min="12049" max="12049" width="10.140625" style="69" bestFit="1" customWidth="1"/>
    <col min="12050" max="12053" width="9.140625" style="69"/>
    <col min="12054" max="12054" width="7.28515625" style="69" customWidth="1"/>
    <col min="12055" max="12057" width="7.42578125" style="69" customWidth="1"/>
    <col min="12058" max="12058" width="10.42578125" style="69" bestFit="1" customWidth="1"/>
    <col min="12059" max="12059" width="12" style="69" bestFit="1" customWidth="1"/>
    <col min="12060" max="12060" width="11" style="69" bestFit="1" customWidth="1"/>
    <col min="12061" max="12062" width="11" style="69" customWidth="1"/>
    <col min="12063" max="12063" width="10" style="69" bestFit="1" customWidth="1"/>
    <col min="12064" max="12064" width="14.42578125" style="69" bestFit="1" customWidth="1"/>
    <col min="12065" max="12075" width="0" style="69" hidden="1" customWidth="1"/>
    <col min="12076" max="12296" width="9.140625" style="69"/>
    <col min="12297" max="12297" width="54.140625" style="69" bestFit="1" customWidth="1"/>
    <col min="12298" max="12298" width="14.7109375" style="69" customWidth="1"/>
    <col min="12299" max="12299" width="10.140625" style="69" customWidth="1"/>
    <col min="12300" max="12300" width="10.42578125" style="69" bestFit="1" customWidth="1"/>
    <col min="12301" max="12302" width="9.42578125" style="69" bestFit="1" customWidth="1"/>
    <col min="12303" max="12304" width="9.42578125" style="69" customWidth="1"/>
    <col min="12305" max="12305" width="10.140625" style="69" bestFit="1" customWidth="1"/>
    <col min="12306" max="12309" width="9.140625" style="69"/>
    <col min="12310" max="12310" width="7.28515625" style="69" customWidth="1"/>
    <col min="12311" max="12313" width="7.42578125" style="69" customWidth="1"/>
    <col min="12314" max="12314" width="10.42578125" style="69" bestFit="1" customWidth="1"/>
    <col min="12315" max="12315" width="12" style="69" bestFit="1" customWidth="1"/>
    <col min="12316" max="12316" width="11" style="69" bestFit="1" customWidth="1"/>
    <col min="12317" max="12318" width="11" style="69" customWidth="1"/>
    <col min="12319" max="12319" width="10" style="69" bestFit="1" customWidth="1"/>
    <col min="12320" max="12320" width="14.42578125" style="69" bestFit="1" customWidth="1"/>
    <col min="12321" max="12331" width="0" style="69" hidden="1" customWidth="1"/>
    <col min="12332" max="12552" width="9.140625" style="69"/>
    <col min="12553" max="12553" width="54.140625" style="69" bestFit="1" customWidth="1"/>
    <col min="12554" max="12554" width="14.7109375" style="69" customWidth="1"/>
    <col min="12555" max="12555" width="10.140625" style="69" customWidth="1"/>
    <col min="12556" max="12556" width="10.42578125" style="69" bestFit="1" customWidth="1"/>
    <col min="12557" max="12558" width="9.42578125" style="69" bestFit="1" customWidth="1"/>
    <col min="12559" max="12560" width="9.42578125" style="69" customWidth="1"/>
    <col min="12561" max="12561" width="10.140625" style="69" bestFit="1" customWidth="1"/>
    <col min="12562" max="12565" width="9.140625" style="69"/>
    <col min="12566" max="12566" width="7.28515625" style="69" customWidth="1"/>
    <col min="12567" max="12569" width="7.42578125" style="69" customWidth="1"/>
    <col min="12570" max="12570" width="10.42578125" style="69" bestFit="1" customWidth="1"/>
    <col min="12571" max="12571" width="12" style="69" bestFit="1" customWidth="1"/>
    <col min="12572" max="12572" width="11" style="69" bestFit="1" customWidth="1"/>
    <col min="12573" max="12574" width="11" style="69" customWidth="1"/>
    <col min="12575" max="12575" width="10" style="69" bestFit="1" customWidth="1"/>
    <col min="12576" max="12576" width="14.42578125" style="69" bestFit="1" customWidth="1"/>
    <col min="12577" max="12587" width="0" style="69" hidden="1" customWidth="1"/>
    <col min="12588" max="12808" width="9.140625" style="69"/>
    <col min="12809" max="12809" width="54.140625" style="69" bestFit="1" customWidth="1"/>
    <col min="12810" max="12810" width="14.7109375" style="69" customWidth="1"/>
    <col min="12811" max="12811" width="10.140625" style="69" customWidth="1"/>
    <col min="12812" max="12812" width="10.42578125" style="69" bestFit="1" customWidth="1"/>
    <col min="12813" max="12814" width="9.42578125" style="69" bestFit="1" customWidth="1"/>
    <col min="12815" max="12816" width="9.42578125" style="69" customWidth="1"/>
    <col min="12817" max="12817" width="10.140625" style="69" bestFit="1" customWidth="1"/>
    <col min="12818" max="12821" width="9.140625" style="69"/>
    <col min="12822" max="12822" width="7.28515625" style="69" customWidth="1"/>
    <col min="12823" max="12825" width="7.42578125" style="69" customWidth="1"/>
    <col min="12826" max="12826" width="10.42578125" style="69" bestFit="1" customWidth="1"/>
    <col min="12827" max="12827" width="12" style="69" bestFit="1" customWidth="1"/>
    <col min="12828" max="12828" width="11" style="69" bestFit="1" customWidth="1"/>
    <col min="12829" max="12830" width="11" style="69" customWidth="1"/>
    <col min="12831" max="12831" width="10" style="69" bestFit="1" customWidth="1"/>
    <col min="12832" max="12832" width="14.42578125" style="69" bestFit="1" customWidth="1"/>
    <col min="12833" max="12843" width="0" style="69" hidden="1" customWidth="1"/>
    <col min="12844" max="13064" width="9.140625" style="69"/>
    <col min="13065" max="13065" width="54.140625" style="69" bestFit="1" customWidth="1"/>
    <col min="13066" max="13066" width="14.7109375" style="69" customWidth="1"/>
    <col min="13067" max="13067" width="10.140625" style="69" customWidth="1"/>
    <col min="13068" max="13068" width="10.42578125" style="69" bestFit="1" customWidth="1"/>
    <col min="13069" max="13070" width="9.42578125" style="69" bestFit="1" customWidth="1"/>
    <col min="13071" max="13072" width="9.42578125" style="69" customWidth="1"/>
    <col min="13073" max="13073" width="10.140625" style="69" bestFit="1" customWidth="1"/>
    <col min="13074" max="13077" width="9.140625" style="69"/>
    <col min="13078" max="13078" width="7.28515625" style="69" customWidth="1"/>
    <col min="13079" max="13081" width="7.42578125" style="69" customWidth="1"/>
    <col min="13082" max="13082" width="10.42578125" style="69" bestFit="1" customWidth="1"/>
    <col min="13083" max="13083" width="12" style="69" bestFit="1" customWidth="1"/>
    <col min="13084" max="13084" width="11" style="69" bestFit="1" customWidth="1"/>
    <col min="13085" max="13086" width="11" style="69" customWidth="1"/>
    <col min="13087" max="13087" width="10" style="69" bestFit="1" customWidth="1"/>
    <col min="13088" max="13088" width="14.42578125" style="69" bestFit="1" customWidth="1"/>
    <col min="13089" max="13099" width="0" style="69" hidden="1" customWidth="1"/>
    <col min="13100" max="13320" width="9.140625" style="69"/>
    <col min="13321" max="13321" width="54.140625" style="69" bestFit="1" customWidth="1"/>
    <col min="13322" max="13322" width="14.7109375" style="69" customWidth="1"/>
    <col min="13323" max="13323" width="10.140625" style="69" customWidth="1"/>
    <col min="13324" max="13324" width="10.42578125" style="69" bestFit="1" customWidth="1"/>
    <col min="13325" max="13326" width="9.42578125" style="69" bestFit="1" customWidth="1"/>
    <col min="13327" max="13328" width="9.42578125" style="69" customWidth="1"/>
    <col min="13329" max="13329" width="10.140625" style="69" bestFit="1" customWidth="1"/>
    <col min="13330" max="13333" width="9.140625" style="69"/>
    <col min="13334" max="13334" width="7.28515625" style="69" customWidth="1"/>
    <col min="13335" max="13337" width="7.42578125" style="69" customWidth="1"/>
    <col min="13338" max="13338" width="10.42578125" style="69" bestFit="1" customWidth="1"/>
    <col min="13339" max="13339" width="12" style="69" bestFit="1" customWidth="1"/>
    <col min="13340" max="13340" width="11" style="69" bestFit="1" customWidth="1"/>
    <col min="13341" max="13342" width="11" style="69" customWidth="1"/>
    <col min="13343" max="13343" width="10" style="69" bestFit="1" customWidth="1"/>
    <col min="13344" max="13344" width="14.42578125" style="69" bestFit="1" customWidth="1"/>
    <col min="13345" max="13355" width="0" style="69" hidden="1" customWidth="1"/>
    <col min="13356" max="13576" width="9.140625" style="69"/>
    <col min="13577" max="13577" width="54.140625" style="69" bestFit="1" customWidth="1"/>
    <col min="13578" max="13578" width="14.7109375" style="69" customWidth="1"/>
    <col min="13579" max="13579" width="10.140625" style="69" customWidth="1"/>
    <col min="13580" max="13580" width="10.42578125" style="69" bestFit="1" customWidth="1"/>
    <col min="13581" max="13582" width="9.42578125" style="69" bestFit="1" customWidth="1"/>
    <col min="13583" max="13584" width="9.42578125" style="69" customWidth="1"/>
    <col min="13585" max="13585" width="10.140625" style="69" bestFit="1" customWidth="1"/>
    <col min="13586" max="13589" width="9.140625" style="69"/>
    <col min="13590" max="13590" width="7.28515625" style="69" customWidth="1"/>
    <col min="13591" max="13593" width="7.42578125" style="69" customWidth="1"/>
    <col min="13594" max="13594" width="10.42578125" style="69" bestFit="1" customWidth="1"/>
    <col min="13595" max="13595" width="12" style="69" bestFit="1" customWidth="1"/>
    <col min="13596" max="13596" width="11" style="69" bestFit="1" customWidth="1"/>
    <col min="13597" max="13598" width="11" style="69" customWidth="1"/>
    <col min="13599" max="13599" width="10" style="69" bestFit="1" customWidth="1"/>
    <col min="13600" max="13600" width="14.42578125" style="69" bestFit="1" customWidth="1"/>
    <col min="13601" max="13611" width="0" style="69" hidden="1" customWidth="1"/>
    <col min="13612" max="13832" width="9.140625" style="69"/>
    <col min="13833" max="13833" width="54.140625" style="69" bestFit="1" customWidth="1"/>
    <col min="13834" max="13834" width="14.7109375" style="69" customWidth="1"/>
    <col min="13835" max="13835" width="10.140625" style="69" customWidth="1"/>
    <col min="13836" max="13836" width="10.42578125" style="69" bestFit="1" customWidth="1"/>
    <col min="13837" max="13838" width="9.42578125" style="69" bestFit="1" customWidth="1"/>
    <col min="13839" max="13840" width="9.42578125" style="69" customWidth="1"/>
    <col min="13841" max="13841" width="10.140625" style="69" bestFit="1" customWidth="1"/>
    <col min="13842" max="13845" width="9.140625" style="69"/>
    <col min="13846" max="13846" width="7.28515625" style="69" customWidth="1"/>
    <col min="13847" max="13849" width="7.42578125" style="69" customWidth="1"/>
    <col min="13850" max="13850" width="10.42578125" style="69" bestFit="1" customWidth="1"/>
    <col min="13851" max="13851" width="12" style="69" bestFit="1" customWidth="1"/>
    <col min="13852" max="13852" width="11" style="69" bestFit="1" customWidth="1"/>
    <col min="13853" max="13854" width="11" style="69" customWidth="1"/>
    <col min="13855" max="13855" width="10" style="69" bestFit="1" customWidth="1"/>
    <col min="13856" max="13856" width="14.42578125" style="69" bestFit="1" customWidth="1"/>
    <col min="13857" max="13867" width="0" style="69" hidden="1" customWidth="1"/>
    <col min="13868" max="14088" width="9.140625" style="69"/>
    <col min="14089" max="14089" width="54.140625" style="69" bestFit="1" customWidth="1"/>
    <col min="14090" max="14090" width="14.7109375" style="69" customWidth="1"/>
    <col min="14091" max="14091" width="10.140625" style="69" customWidth="1"/>
    <col min="14092" max="14092" width="10.42578125" style="69" bestFit="1" customWidth="1"/>
    <col min="14093" max="14094" width="9.42578125" style="69" bestFit="1" customWidth="1"/>
    <col min="14095" max="14096" width="9.42578125" style="69" customWidth="1"/>
    <col min="14097" max="14097" width="10.140625" style="69" bestFit="1" customWidth="1"/>
    <col min="14098" max="14101" width="9.140625" style="69"/>
    <col min="14102" max="14102" width="7.28515625" style="69" customWidth="1"/>
    <col min="14103" max="14105" width="7.42578125" style="69" customWidth="1"/>
    <col min="14106" max="14106" width="10.42578125" style="69" bestFit="1" customWidth="1"/>
    <col min="14107" max="14107" width="12" style="69" bestFit="1" customWidth="1"/>
    <col min="14108" max="14108" width="11" style="69" bestFit="1" customWidth="1"/>
    <col min="14109" max="14110" width="11" style="69" customWidth="1"/>
    <col min="14111" max="14111" width="10" style="69" bestFit="1" customWidth="1"/>
    <col min="14112" max="14112" width="14.42578125" style="69" bestFit="1" customWidth="1"/>
    <col min="14113" max="14123" width="0" style="69" hidden="1" customWidth="1"/>
    <col min="14124" max="14344" width="9.140625" style="69"/>
    <col min="14345" max="14345" width="54.140625" style="69" bestFit="1" customWidth="1"/>
    <col min="14346" max="14346" width="14.7109375" style="69" customWidth="1"/>
    <col min="14347" max="14347" width="10.140625" style="69" customWidth="1"/>
    <col min="14348" max="14348" width="10.42578125" style="69" bestFit="1" customWidth="1"/>
    <col min="14349" max="14350" width="9.42578125" style="69" bestFit="1" customWidth="1"/>
    <col min="14351" max="14352" width="9.42578125" style="69" customWidth="1"/>
    <col min="14353" max="14353" width="10.140625" style="69" bestFit="1" customWidth="1"/>
    <col min="14354" max="14357" width="9.140625" style="69"/>
    <col min="14358" max="14358" width="7.28515625" style="69" customWidth="1"/>
    <col min="14359" max="14361" width="7.42578125" style="69" customWidth="1"/>
    <col min="14362" max="14362" width="10.42578125" style="69" bestFit="1" customWidth="1"/>
    <col min="14363" max="14363" width="12" style="69" bestFit="1" customWidth="1"/>
    <col min="14364" max="14364" width="11" style="69" bestFit="1" customWidth="1"/>
    <col min="14365" max="14366" width="11" style="69" customWidth="1"/>
    <col min="14367" max="14367" width="10" style="69" bestFit="1" customWidth="1"/>
    <col min="14368" max="14368" width="14.42578125" style="69" bestFit="1" customWidth="1"/>
    <col min="14369" max="14379" width="0" style="69" hidden="1" customWidth="1"/>
    <col min="14380" max="14600" width="9.140625" style="69"/>
    <col min="14601" max="14601" width="54.140625" style="69" bestFit="1" customWidth="1"/>
    <col min="14602" max="14602" width="14.7109375" style="69" customWidth="1"/>
    <col min="14603" max="14603" width="10.140625" style="69" customWidth="1"/>
    <col min="14604" max="14604" width="10.42578125" style="69" bestFit="1" customWidth="1"/>
    <col min="14605" max="14606" width="9.42578125" style="69" bestFit="1" customWidth="1"/>
    <col min="14607" max="14608" width="9.42578125" style="69" customWidth="1"/>
    <col min="14609" max="14609" width="10.140625" style="69" bestFit="1" customWidth="1"/>
    <col min="14610" max="14613" width="9.140625" style="69"/>
    <col min="14614" max="14614" width="7.28515625" style="69" customWidth="1"/>
    <col min="14615" max="14617" width="7.42578125" style="69" customWidth="1"/>
    <col min="14618" max="14618" width="10.42578125" style="69" bestFit="1" customWidth="1"/>
    <col min="14619" max="14619" width="12" style="69" bestFit="1" customWidth="1"/>
    <col min="14620" max="14620" width="11" style="69" bestFit="1" customWidth="1"/>
    <col min="14621" max="14622" width="11" style="69" customWidth="1"/>
    <col min="14623" max="14623" width="10" style="69" bestFit="1" customWidth="1"/>
    <col min="14624" max="14624" width="14.42578125" style="69" bestFit="1" customWidth="1"/>
    <col min="14625" max="14635" width="0" style="69" hidden="1" customWidth="1"/>
    <col min="14636" max="14856" width="9.140625" style="69"/>
    <col min="14857" max="14857" width="54.140625" style="69" bestFit="1" customWidth="1"/>
    <col min="14858" max="14858" width="14.7109375" style="69" customWidth="1"/>
    <col min="14859" max="14859" width="10.140625" style="69" customWidth="1"/>
    <col min="14860" max="14860" width="10.42578125" style="69" bestFit="1" customWidth="1"/>
    <col min="14861" max="14862" width="9.42578125" style="69" bestFit="1" customWidth="1"/>
    <col min="14863" max="14864" width="9.42578125" style="69" customWidth="1"/>
    <col min="14865" max="14865" width="10.140625" style="69" bestFit="1" customWidth="1"/>
    <col min="14866" max="14869" width="9.140625" style="69"/>
    <col min="14870" max="14870" width="7.28515625" style="69" customWidth="1"/>
    <col min="14871" max="14873" width="7.42578125" style="69" customWidth="1"/>
    <col min="14874" max="14874" width="10.42578125" style="69" bestFit="1" customWidth="1"/>
    <col min="14875" max="14875" width="12" style="69" bestFit="1" customWidth="1"/>
    <col min="14876" max="14876" width="11" style="69" bestFit="1" customWidth="1"/>
    <col min="14877" max="14878" width="11" style="69" customWidth="1"/>
    <col min="14879" max="14879" width="10" style="69" bestFit="1" customWidth="1"/>
    <col min="14880" max="14880" width="14.42578125" style="69" bestFit="1" customWidth="1"/>
    <col min="14881" max="14891" width="0" style="69" hidden="1" customWidth="1"/>
    <col min="14892" max="15112" width="9.140625" style="69"/>
    <col min="15113" max="15113" width="54.140625" style="69" bestFit="1" customWidth="1"/>
    <col min="15114" max="15114" width="14.7109375" style="69" customWidth="1"/>
    <col min="15115" max="15115" width="10.140625" style="69" customWidth="1"/>
    <col min="15116" max="15116" width="10.42578125" style="69" bestFit="1" customWidth="1"/>
    <col min="15117" max="15118" width="9.42578125" style="69" bestFit="1" customWidth="1"/>
    <col min="15119" max="15120" width="9.42578125" style="69" customWidth="1"/>
    <col min="15121" max="15121" width="10.140625" style="69" bestFit="1" customWidth="1"/>
    <col min="15122" max="15125" width="9.140625" style="69"/>
    <col min="15126" max="15126" width="7.28515625" style="69" customWidth="1"/>
    <col min="15127" max="15129" width="7.42578125" style="69" customWidth="1"/>
    <col min="15130" max="15130" width="10.42578125" style="69" bestFit="1" customWidth="1"/>
    <col min="15131" max="15131" width="12" style="69" bestFit="1" customWidth="1"/>
    <col min="15132" max="15132" width="11" style="69" bestFit="1" customWidth="1"/>
    <col min="15133" max="15134" width="11" style="69" customWidth="1"/>
    <col min="15135" max="15135" width="10" style="69" bestFit="1" customWidth="1"/>
    <col min="15136" max="15136" width="14.42578125" style="69" bestFit="1" customWidth="1"/>
    <col min="15137" max="15147" width="0" style="69" hidden="1" customWidth="1"/>
    <col min="15148" max="15368" width="9.140625" style="69"/>
    <col min="15369" max="15369" width="54.140625" style="69" bestFit="1" customWidth="1"/>
    <col min="15370" max="15370" width="14.7109375" style="69" customWidth="1"/>
    <col min="15371" max="15371" width="10.140625" style="69" customWidth="1"/>
    <col min="15372" max="15372" width="10.42578125" style="69" bestFit="1" customWidth="1"/>
    <col min="15373" max="15374" width="9.42578125" style="69" bestFit="1" customWidth="1"/>
    <col min="15375" max="15376" width="9.42578125" style="69" customWidth="1"/>
    <col min="15377" max="15377" width="10.140625" style="69" bestFit="1" customWidth="1"/>
    <col min="15378" max="15381" width="9.140625" style="69"/>
    <col min="15382" max="15382" width="7.28515625" style="69" customWidth="1"/>
    <col min="15383" max="15385" width="7.42578125" style="69" customWidth="1"/>
    <col min="15386" max="15386" width="10.42578125" style="69" bestFit="1" customWidth="1"/>
    <col min="15387" max="15387" width="12" style="69" bestFit="1" customWidth="1"/>
    <col min="15388" max="15388" width="11" style="69" bestFit="1" customWidth="1"/>
    <col min="15389" max="15390" width="11" style="69" customWidth="1"/>
    <col min="15391" max="15391" width="10" style="69" bestFit="1" customWidth="1"/>
    <col min="15392" max="15392" width="14.42578125" style="69" bestFit="1" customWidth="1"/>
    <col min="15393" max="15403" width="0" style="69" hidden="1" customWidth="1"/>
    <col min="15404" max="15624" width="9.140625" style="69"/>
    <col min="15625" max="15625" width="54.140625" style="69" bestFit="1" customWidth="1"/>
    <col min="15626" max="15626" width="14.7109375" style="69" customWidth="1"/>
    <col min="15627" max="15627" width="10.140625" style="69" customWidth="1"/>
    <col min="15628" max="15628" width="10.42578125" style="69" bestFit="1" customWidth="1"/>
    <col min="15629" max="15630" width="9.42578125" style="69" bestFit="1" customWidth="1"/>
    <col min="15631" max="15632" width="9.42578125" style="69" customWidth="1"/>
    <col min="15633" max="15633" width="10.140625" style="69" bestFit="1" customWidth="1"/>
    <col min="15634" max="15637" width="9.140625" style="69"/>
    <col min="15638" max="15638" width="7.28515625" style="69" customWidth="1"/>
    <col min="15639" max="15641" width="7.42578125" style="69" customWidth="1"/>
    <col min="15642" max="15642" width="10.42578125" style="69" bestFit="1" customWidth="1"/>
    <col min="15643" max="15643" width="12" style="69" bestFit="1" customWidth="1"/>
    <col min="15644" max="15644" width="11" style="69" bestFit="1" customWidth="1"/>
    <col min="15645" max="15646" width="11" style="69" customWidth="1"/>
    <col min="15647" max="15647" width="10" style="69" bestFit="1" customWidth="1"/>
    <col min="15648" max="15648" width="14.42578125" style="69" bestFit="1" customWidth="1"/>
    <col min="15649" max="15659" width="0" style="69" hidden="1" customWidth="1"/>
    <col min="15660" max="15880" width="9.140625" style="69"/>
    <col min="15881" max="15881" width="54.140625" style="69" bestFit="1" customWidth="1"/>
    <col min="15882" max="15882" width="14.7109375" style="69" customWidth="1"/>
    <col min="15883" max="15883" width="10.140625" style="69" customWidth="1"/>
    <col min="15884" max="15884" width="10.42578125" style="69" bestFit="1" customWidth="1"/>
    <col min="15885" max="15886" width="9.42578125" style="69" bestFit="1" customWidth="1"/>
    <col min="15887" max="15888" width="9.42578125" style="69" customWidth="1"/>
    <col min="15889" max="15889" width="10.140625" style="69" bestFit="1" customWidth="1"/>
    <col min="15890" max="15893" width="9.140625" style="69"/>
    <col min="15894" max="15894" width="7.28515625" style="69" customWidth="1"/>
    <col min="15895" max="15897" width="7.42578125" style="69" customWidth="1"/>
    <col min="15898" max="15898" width="10.42578125" style="69" bestFit="1" customWidth="1"/>
    <col min="15899" max="15899" width="12" style="69" bestFit="1" customWidth="1"/>
    <col min="15900" max="15900" width="11" style="69" bestFit="1" customWidth="1"/>
    <col min="15901" max="15902" width="11" style="69" customWidth="1"/>
    <col min="15903" max="15903" width="10" style="69" bestFit="1" customWidth="1"/>
    <col min="15904" max="15904" width="14.42578125" style="69" bestFit="1" customWidth="1"/>
    <col min="15905" max="15915" width="0" style="69" hidden="1" customWidth="1"/>
    <col min="15916" max="16136" width="9.140625" style="69"/>
    <col min="16137" max="16137" width="54.140625" style="69" bestFit="1" customWidth="1"/>
    <col min="16138" max="16138" width="14.7109375" style="69" customWidth="1"/>
    <col min="16139" max="16139" width="10.140625" style="69" customWidth="1"/>
    <col min="16140" max="16140" width="10.42578125" style="69" bestFit="1" customWidth="1"/>
    <col min="16141" max="16142" width="9.42578125" style="69" bestFit="1" customWidth="1"/>
    <col min="16143" max="16144" width="9.42578125" style="69" customWidth="1"/>
    <col min="16145" max="16145" width="10.140625" style="69" bestFit="1" customWidth="1"/>
    <col min="16146" max="16149" width="9.140625" style="69"/>
    <col min="16150" max="16150" width="7.28515625" style="69" customWidth="1"/>
    <col min="16151" max="16153" width="7.42578125" style="69" customWidth="1"/>
    <col min="16154" max="16154" width="10.42578125" style="69" bestFit="1" customWidth="1"/>
    <col min="16155" max="16155" width="12" style="69" bestFit="1" customWidth="1"/>
    <col min="16156" max="16156" width="11" style="69" bestFit="1" customWidth="1"/>
    <col min="16157" max="16158" width="11" style="69" customWidth="1"/>
    <col min="16159" max="16159" width="10" style="69" bestFit="1" customWidth="1"/>
    <col min="16160" max="16160" width="14.42578125" style="69" bestFit="1" customWidth="1"/>
    <col min="16161" max="16171" width="0" style="69" hidden="1" customWidth="1"/>
    <col min="16172" max="16384" width="9.140625" style="69"/>
  </cols>
  <sheetData>
    <row r="1" spans="1:51" s="65" customFormat="1" ht="45.75" customHeight="1" x14ac:dyDescent="0.25">
      <c r="A1" s="62" t="s">
        <v>134</v>
      </c>
      <c r="B1" s="198">
        <v>44896</v>
      </c>
      <c r="C1" s="199"/>
      <c r="D1" s="199"/>
      <c r="E1" s="199"/>
      <c r="F1" s="199"/>
      <c r="G1" s="199"/>
      <c r="H1" s="199"/>
      <c r="I1" s="199"/>
      <c r="J1" s="199"/>
      <c r="K1" s="199"/>
      <c r="L1" s="199"/>
      <c r="M1" s="200"/>
      <c r="N1" s="63"/>
      <c r="O1" s="63"/>
      <c r="P1" s="63"/>
      <c r="Q1" s="63"/>
      <c r="R1" s="63"/>
      <c r="S1" s="63"/>
      <c r="T1" s="63"/>
      <c r="U1" s="63"/>
      <c r="V1" s="63"/>
      <c r="W1" s="63"/>
      <c r="X1" s="63"/>
      <c r="Y1" s="63"/>
      <c r="Z1" s="63"/>
      <c r="AA1" s="64"/>
      <c r="AB1" s="64"/>
    </row>
    <row r="2" spans="1:51" ht="28.5" customHeight="1" x14ac:dyDescent="0.2">
      <c r="A2" s="201" t="s">
        <v>202</v>
      </c>
      <c r="B2" s="201"/>
      <c r="C2" s="201"/>
      <c r="D2" s="201"/>
      <c r="E2" s="201"/>
      <c r="F2" s="201"/>
      <c r="G2" s="201"/>
      <c r="H2" s="201"/>
      <c r="I2" s="201"/>
      <c r="J2" s="201"/>
      <c r="K2" s="201"/>
      <c r="L2" s="201"/>
      <c r="M2" s="201"/>
      <c r="N2" s="66"/>
      <c r="O2" s="66"/>
      <c r="P2" s="67"/>
      <c r="Q2" s="67"/>
      <c r="R2" s="67"/>
      <c r="S2" s="67"/>
      <c r="T2" s="67"/>
      <c r="U2" s="67"/>
      <c r="V2" s="67"/>
      <c r="W2" s="67"/>
      <c r="X2" s="67"/>
      <c r="Y2" s="67"/>
      <c r="Z2" s="67"/>
      <c r="AA2" s="68"/>
      <c r="AB2" s="68"/>
    </row>
    <row r="3" spans="1:51" s="65" customFormat="1" ht="31.5" customHeight="1" thickBot="1" x14ac:dyDescent="0.3">
      <c r="A3" s="70"/>
      <c r="B3" s="71"/>
      <c r="C3" s="63"/>
      <c r="D3" s="63"/>
      <c r="E3" s="63"/>
      <c r="F3" s="63"/>
      <c r="G3" s="63"/>
      <c r="H3" s="63"/>
      <c r="I3" s="63"/>
      <c r="J3" s="63"/>
      <c r="K3" s="63"/>
      <c r="L3" s="63"/>
      <c r="M3" s="63"/>
      <c r="N3" s="63"/>
      <c r="O3" s="63"/>
      <c r="P3" s="63"/>
      <c r="Q3" s="63"/>
      <c r="R3" s="63"/>
      <c r="S3" s="63"/>
      <c r="T3" s="63"/>
      <c r="U3" s="63"/>
      <c r="V3" s="63"/>
      <c r="W3" s="63"/>
      <c r="X3" s="63"/>
      <c r="Y3" s="63"/>
      <c r="Z3" s="63"/>
    </row>
    <row r="4" spans="1:51" ht="13.5" thickBot="1" x14ac:dyDescent="0.25">
      <c r="A4" s="72" t="s">
        <v>203</v>
      </c>
      <c r="C4" s="73"/>
      <c r="D4" s="74"/>
      <c r="E4" s="75"/>
      <c r="F4" s="75"/>
      <c r="G4" s="75"/>
      <c r="H4" s="75"/>
      <c r="I4" s="75"/>
      <c r="J4" s="75"/>
      <c r="K4" s="75"/>
      <c r="L4" s="75"/>
      <c r="M4" s="75"/>
      <c r="N4" s="63"/>
      <c r="O4" s="63"/>
      <c r="P4" s="75"/>
      <c r="Q4" s="75"/>
      <c r="R4" s="75"/>
      <c r="S4" s="75"/>
      <c r="T4" s="75"/>
      <c r="U4" s="75"/>
      <c r="V4" s="75"/>
      <c r="W4" s="75"/>
      <c r="X4" s="75"/>
      <c r="Y4" s="75"/>
      <c r="Z4" s="75"/>
      <c r="AA4" s="76"/>
      <c r="AB4" s="76"/>
      <c r="AC4" s="202" t="s">
        <v>204</v>
      </c>
      <c r="AD4" s="203"/>
      <c r="AE4" s="203"/>
      <c r="AF4" s="203"/>
      <c r="AG4" s="203"/>
      <c r="AH4" s="203"/>
      <c r="AI4" s="203"/>
      <c r="AJ4" s="203"/>
      <c r="AK4" s="203"/>
      <c r="AL4" s="203"/>
      <c r="AM4" s="203"/>
      <c r="AN4" s="203"/>
      <c r="AO4" s="203"/>
      <c r="AP4" s="203"/>
      <c r="AQ4" s="203"/>
      <c r="AR4" s="203"/>
      <c r="AS4" s="203"/>
      <c r="AT4" s="203"/>
      <c r="AU4" s="203"/>
      <c r="AV4" s="203"/>
      <c r="AW4" s="203"/>
      <c r="AX4" s="203"/>
      <c r="AY4" s="204"/>
    </row>
    <row r="5" spans="1:51" ht="26.25" customHeight="1" thickBot="1" x14ac:dyDescent="0.25">
      <c r="A5" s="209" t="s">
        <v>205</v>
      </c>
      <c r="B5" s="212" t="s">
        <v>206</v>
      </c>
      <c r="C5" s="190"/>
      <c r="D5" s="215" t="s">
        <v>207</v>
      </c>
      <c r="E5" s="216"/>
      <c r="F5" s="216"/>
      <c r="G5" s="216"/>
      <c r="H5" s="216"/>
      <c r="I5" s="216"/>
      <c r="J5" s="215" t="s">
        <v>208</v>
      </c>
      <c r="K5" s="216"/>
      <c r="L5" s="216"/>
      <c r="M5" s="216"/>
      <c r="N5" s="216"/>
      <c r="O5" s="217"/>
      <c r="P5" s="218" t="s">
        <v>209</v>
      </c>
      <c r="Q5" s="219"/>
      <c r="R5" s="219"/>
      <c r="S5" s="219"/>
      <c r="T5" s="219"/>
      <c r="U5" s="222" t="s">
        <v>210</v>
      </c>
      <c r="V5" s="227" t="s">
        <v>211</v>
      </c>
      <c r="W5" s="193" t="s">
        <v>212</v>
      </c>
      <c r="X5" s="193" t="s">
        <v>213</v>
      </c>
      <c r="Y5" s="193" t="s">
        <v>214</v>
      </c>
      <c r="Z5" s="193" t="s">
        <v>215</v>
      </c>
      <c r="AA5" s="196" t="s">
        <v>216</v>
      </c>
      <c r="AB5" s="190" t="s">
        <v>217</v>
      </c>
      <c r="AC5" s="205"/>
      <c r="AD5" s="206"/>
      <c r="AE5" s="206"/>
      <c r="AF5" s="206"/>
      <c r="AG5" s="206"/>
      <c r="AH5" s="206"/>
      <c r="AI5" s="206"/>
      <c r="AJ5" s="206"/>
      <c r="AK5" s="206"/>
      <c r="AL5" s="206"/>
      <c r="AM5" s="206"/>
      <c r="AN5" s="206"/>
      <c r="AO5" s="206"/>
      <c r="AP5" s="206"/>
      <c r="AQ5" s="207"/>
      <c r="AR5" s="207"/>
      <c r="AS5" s="207"/>
      <c r="AT5" s="207"/>
      <c r="AU5" s="207"/>
      <c r="AV5" s="207"/>
      <c r="AW5" s="207"/>
      <c r="AX5" s="207"/>
      <c r="AY5" s="208"/>
    </row>
    <row r="6" spans="1:51" ht="38.25" customHeight="1" thickBot="1" x14ac:dyDescent="0.25">
      <c r="A6" s="210"/>
      <c r="B6" s="213"/>
      <c r="C6" s="191"/>
      <c r="D6" s="230" t="s">
        <v>218</v>
      </c>
      <c r="E6" s="196" t="s">
        <v>219</v>
      </c>
      <c r="F6" s="196" t="s">
        <v>220</v>
      </c>
      <c r="G6" s="188" t="s">
        <v>221</v>
      </c>
      <c r="H6" s="188" t="s">
        <v>222</v>
      </c>
      <c r="I6" s="188" t="s">
        <v>223</v>
      </c>
      <c r="J6" s="225" t="s">
        <v>218</v>
      </c>
      <c r="K6" s="196" t="s">
        <v>224</v>
      </c>
      <c r="L6" s="197" t="s">
        <v>225</v>
      </c>
      <c r="M6" s="188" t="s">
        <v>226</v>
      </c>
      <c r="N6" s="188" t="s">
        <v>227</v>
      </c>
      <c r="O6" s="189" t="s">
        <v>228</v>
      </c>
      <c r="P6" s="220"/>
      <c r="Q6" s="221"/>
      <c r="R6" s="221"/>
      <c r="S6" s="221"/>
      <c r="T6" s="221"/>
      <c r="U6" s="223"/>
      <c r="V6" s="228"/>
      <c r="W6" s="194"/>
      <c r="X6" s="194"/>
      <c r="Y6" s="194"/>
      <c r="Z6" s="194"/>
      <c r="AA6" s="196"/>
      <c r="AB6" s="191"/>
      <c r="AC6" s="80" t="str">
        <f>'AUTO CALCULATION SHEET (2)'!N17</f>
        <v>Alumimium</v>
      </c>
      <c r="AD6" s="81" t="str">
        <f>'AUTO CALCULATION SHEET (2)'!Y17</f>
        <v>Copper Tape - 0.045 mm</v>
      </c>
      <c r="AE6" s="81" t="str">
        <f>'AUTO CALCULATION SHEET (2)'!AD17</f>
        <v>Extruded Semiconductive(Stripable)</v>
      </c>
      <c r="AF6" s="81" t="str">
        <f>'AUTO CALCULATION SHEET (2)'!AE17</f>
        <v>HT-XLPE</v>
      </c>
      <c r="AG6" s="81" t="str">
        <f>'AUTO CALCULATION SHEET (2)'!AK17</f>
        <v>POLY TAPE</v>
      </c>
      <c r="AH6" s="81" t="str">
        <f>'AUTO CALCULATION SHEET (2)'!AR17</f>
        <v>PVC Type ST-2-PRESSURE EXTRUDED</v>
      </c>
      <c r="AI6" s="81" t="str">
        <f>'AUTO CALCULATION SHEET (2)'!AV17</f>
        <v>Aluminium Round Wire</v>
      </c>
      <c r="AJ6" s="81" t="str">
        <f>'AUTO CALCULATION SHEET (2)'!BA17</f>
        <v>Galvanised Steel Round Wire</v>
      </c>
      <c r="AK6" s="81" t="str">
        <f>'AUTO CALCULATION SHEET (2)'!BF17</f>
        <v>FRLSH PVC Type ST-2</v>
      </c>
      <c r="AL6" s="81" t="str">
        <f>'AUTO CALCULATION SHEET (2)'!BL17</f>
        <v>PP FILLER</v>
      </c>
      <c r="AM6" s="81" t="str">
        <f>'AUTO CALCULATION SHEET (2)'!BP17</f>
        <v>Semi conducting Water Swellable tape</v>
      </c>
      <c r="AN6" s="81" t="str">
        <f>'AUTO CALCULATION SHEET (2)'!BQ17</f>
        <v>NCWBT</v>
      </c>
      <c r="AO6" s="81" t="str">
        <f>'AUTO CALCULATION SHEET (2)'!BU17</f>
        <v>RUBBERIZED COTTON TAPE</v>
      </c>
      <c r="AP6" s="81" t="str">
        <f>'AUTO CALCULATION SHEET (2)'!BV17</f>
        <v>LDPE TAPE</v>
      </c>
      <c r="AQ6" s="185" t="s">
        <v>229</v>
      </c>
      <c r="AR6" s="185" t="s">
        <v>230</v>
      </c>
      <c r="AS6" s="185" t="s">
        <v>231</v>
      </c>
      <c r="AT6" s="185" t="s">
        <v>232</v>
      </c>
      <c r="AU6" s="185" t="s">
        <v>233</v>
      </c>
      <c r="AV6" s="185" t="s">
        <v>234</v>
      </c>
      <c r="AW6" s="185" t="s">
        <v>235</v>
      </c>
      <c r="AX6" s="185" t="s">
        <v>236</v>
      </c>
      <c r="AY6" s="180" t="s">
        <v>237</v>
      </c>
    </row>
    <row r="7" spans="1:51" ht="26.25" thickBot="1" x14ac:dyDescent="0.25">
      <c r="A7" s="211"/>
      <c r="B7" s="214"/>
      <c r="C7" s="192"/>
      <c r="D7" s="230"/>
      <c r="E7" s="196"/>
      <c r="F7" s="196"/>
      <c r="G7" s="188"/>
      <c r="H7" s="188"/>
      <c r="I7" s="188"/>
      <c r="J7" s="226"/>
      <c r="K7" s="196"/>
      <c r="L7" s="195"/>
      <c r="M7" s="188"/>
      <c r="N7" s="188"/>
      <c r="O7" s="189"/>
      <c r="P7" s="82" t="s">
        <v>238</v>
      </c>
      <c r="Q7" s="78" t="s">
        <v>239</v>
      </c>
      <c r="R7" s="79" t="s">
        <v>240</v>
      </c>
      <c r="S7" s="79" t="s">
        <v>241</v>
      </c>
      <c r="T7" s="83" t="s">
        <v>242</v>
      </c>
      <c r="U7" s="224"/>
      <c r="V7" s="229"/>
      <c r="W7" s="195"/>
      <c r="X7" s="195"/>
      <c r="Y7" s="195"/>
      <c r="Z7" s="195"/>
      <c r="AA7" s="196"/>
      <c r="AB7" s="192"/>
      <c r="AC7" s="84">
        <v>218</v>
      </c>
      <c r="AD7" s="85">
        <v>860</v>
      </c>
      <c r="AE7" s="86">
        <v>202</v>
      </c>
      <c r="AF7" s="86">
        <v>150</v>
      </c>
      <c r="AG7" s="86">
        <v>120</v>
      </c>
      <c r="AH7" s="86">
        <v>88</v>
      </c>
      <c r="AI7" s="86">
        <v>223</v>
      </c>
      <c r="AJ7" s="86">
        <v>82</v>
      </c>
      <c r="AK7" s="86">
        <v>104</v>
      </c>
      <c r="AL7" s="86">
        <v>65</v>
      </c>
      <c r="AM7" s="86">
        <v>460</v>
      </c>
      <c r="AN7" s="86">
        <v>348</v>
      </c>
      <c r="AO7" s="86">
        <v>450</v>
      </c>
      <c r="AP7" s="86">
        <v>190</v>
      </c>
      <c r="AQ7" s="186"/>
      <c r="AR7" s="186"/>
      <c r="AS7" s="186"/>
      <c r="AT7" s="186"/>
      <c r="AU7" s="186"/>
      <c r="AV7" s="186"/>
      <c r="AW7" s="186"/>
      <c r="AX7" s="186"/>
      <c r="AY7" s="181"/>
    </row>
    <row r="8" spans="1:51" ht="25.5" customHeight="1" thickBot="1" x14ac:dyDescent="0.25">
      <c r="A8" s="87"/>
      <c r="B8" s="87"/>
      <c r="C8" s="88"/>
      <c r="D8" s="89"/>
      <c r="E8" s="90"/>
      <c r="F8" s="90"/>
      <c r="G8" s="91"/>
      <c r="H8" s="92"/>
      <c r="I8" s="93"/>
      <c r="J8" s="94"/>
      <c r="K8" s="95"/>
      <c r="L8" s="92"/>
      <c r="M8" s="96"/>
      <c r="N8" s="97"/>
      <c r="O8" s="98"/>
      <c r="P8" s="183"/>
      <c r="Q8" s="184"/>
      <c r="R8" s="184"/>
      <c r="S8" s="184"/>
      <c r="T8" s="184"/>
      <c r="U8" s="99"/>
      <c r="V8" s="78"/>
      <c r="W8" s="78"/>
      <c r="X8" s="78"/>
      <c r="Y8" s="77"/>
      <c r="Z8" s="77"/>
      <c r="AA8" s="100"/>
      <c r="AB8" s="101"/>
      <c r="AC8" s="102" t="s">
        <v>243</v>
      </c>
      <c r="AD8" s="103" t="s">
        <v>243</v>
      </c>
      <c r="AE8" s="103" t="s">
        <v>243</v>
      </c>
      <c r="AF8" s="103" t="s">
        <v>243</v>
      </c>
      <c r="AG8" s="103" t="s">
        <v>243</v>
      </c>
      <c r="AH8" s="102" t="s">
        <v>243</v>
      </c>
      <c r="AI8" s="103" t="s">
        <v>243</v>
      </c>
      <c r="AJ8" s="103" t="s">
        <v>243</v>
      </c>
      <c r="AK8" s="103" t="s">
        <v>243</v>
      </c>
      <c r="AL8" s="103" t="s">
        <v>243</v>
      </c>
      <c r="AM8" s="103" t="s">
        <v>243</v>
      </c>
      <c r="AN8" s="103" t="s">
        <v>243</v>
      </c>
      <c r="AO8" s="103" t="s">
        <v>243</v>
      </c>
      <c r="AP8" s="103" t="s">
        <v>243</v>
      </c>
      <c r="AQ8" s="187"/>
      <c r="AR8" s="187"/>
      <c r="AS8" s="187"/>
      <c r="AT8" s="187"/>
      <c r="AU8" s="187"/>
      <c r="AV8" s="187"/>
      <c r="AW8" s="187"/>
      <c r="AX8" s="187"/>
      <c r="AY8" s="182"/>
    </row>
    <row r="9" spans="1:51" ht="21.75" customHeight="1" x14ac:dyDescent="0.2">
      <c r="A9" s="104" t="str">
        <f>'AUTO CALCULATION SHEET (2)'!D19</f>
        <v>3 CORE X 400 SQ. MM AL/ARM - WIRE (XLPE) - 33 KV</v>
      </c>
      <c r="B9" s="105"/>
      <c r="C9" s="106"/>
      <c r="D9" s="108">
        <v>44941</v>
      </c>
      <c r="E9" s="151">
        <v>211937.51</v>
      </c>
      <c r="F9" s="152">
        <v>753622.95</v>
      </c>
      <c r="G9" s="107">
        <v>169352</v>
      </c>
      <c r="H9" s="107">
        <v>152825</v>
      </c>
      <c r="I9" s="150">
        <v>70250</v>
      </c>
      <c r="J9" s="108">
        <f t="shared" ref="J9:J15" si="0">$B$1</f>
        <v>44896</v>
      </c>
      <c r="K9" s="107">
        <v>209522</v>
      </c>
      <c r="L9" s="107">
        <v>758026</v>
      </c>
      <c r="M9" s="107">
        <v>169352</v>
      </c>
      <c r="N9" s="107">
        <v>152825</v>
      </c>
      <c r="O9" s="150">
        <v>70250</v>
      </c>
      <c r="P9" s="109">
        <v>3.3740000000000001</v>
      </c>
      <c r="Q9" s="110">
        <v>0.1638</v>
      </c>
      <c r="R9" s="111">
        <v>3.2290000000000001</v>
      </c>
      <c r="S9" s="111">
        <v>5.7359999999999998</v>
      </c>
      <c r="T9" s="112">
        <v>8.76</v>
      </c>
      <c r="U9" s="99">
        <f>'AUTO CALCULATION SHEET (2)'!E19</f>
        <v>3593365.12</v>
      </c>
      <c r="V9" s="113">
        <f t="shared" ref="V9:V15" si="1">(P9*(E9-K9))</f>
        <v>8149.9307400000316</v>
      </c>
      <c r="W9" s="113">
        <f t="shared" ref="W9:W15" si="2">Q9*(F9-L9)</f>
        <v>-721.21959000000766</v>
      </c>
      <c r="X9" s="114">
        <f t="shared" ref="X9:Z15" si="3">(R9*(G9-M9))</f>
        <v>0</v>
      </c>
      <c r="Y9" s="111">
        <f t="shared" si="3"/>
        <v>0</v>
      </c>
      <c r="Z9" s="111">
        <f t="shared" si="3"/>
        <v>0</v>
      </c>
      <c r="AA9" s="115">
        <f t="shared" ref="AA9:AA15" si="4">V9+W9+X9+Y9+Z9</f>
        <v>7428.7111500000237</v>
      </c>
      <c r="AB9" s="116">
        <f t="shared" ref="AB9:AB15" si="5">U9+AA9</f>
        <v>3600793.83115</v>
      </c>
      <c r="AC9" s="117">
        <f>'AUTO CALCULATION SHEET (2)'!N19</f>
        <v>3243</v>
      </c>
      <c r="AD9" s="118">
        <f>'AUTO CALCULATION SHEET (2)'!Y19</f>
        <v>225</v>
      </c>
      <c r="AE9" s="118">
        <f>'AUTO CALCULATION SHEET (2)'!AD19</f>
        <v>588</v>
      </c>
      <c r="AF9" s="118">
        <f>'AUTO CALCULATION SHEET (2)'!AE19</f>
        <v>2670</v>
      </c>
      <c r="AG9" s="118">
        <f>'AUTO CALCULATION SHEET (2)'!AK19</f>
        <v>0</v>
      </c>
      <c r="AH9" s="118">
        <f>'AUTO CALCULATION SHEET (2)'!AR19</f>
        <v>1577</v>
      </c>
      <c r="AI9" s="118">
        <f>'AUTO CALCULATION SHEET (2)'!AV19</f>
        <v>0</v>
      </c>
      <c r="AJ9" s="119">
        <f>'AUTO CALCULATION SHEET (2)'!BA19</f>
        <v>7182</v>
      </c>
      <c r="AK9" s="118">
        <f>'AUTO CALCULATION SHEET (2)'!BF19</f>
        <v>1724</v>
      </c>
      <c r="AL9" s="118">
        <f>'AUTO CALCULATION SHEET (2)'!BL19</f>
        <v>1768</v>
      </c>
      <c r="AM9" s="118">
        <f>'AUTO CALCULATION SHEET (2)'!BP19</f>
        <v>114</v>
      </c>
      <c r="AN9" s="118">
        <f>'AUTO CALCULATION SHEET (2)'!BQ19</f>
        <v>58</v>
      </c>
      <c r="AO9" s="118">
        <f>'AUTO CALCULATION SHEET (2)'!BU19</f>
        <v>76</v>
      </c>
      <c r="AP9" s="118">
        <f>'AUTO CALCULATION SHEET (2)'!BV19</f>
        <v>0</v>
      </c>
      <c r="AQ9" s="120">
        <f>SUMPRODUCT(AC9:AP9,$AC$7:AP$7)</f>
        <v>2548490</v>
      </c>
      <c r="AR9" s="118">
        <f>'AUTO CALCULATION SHEET (2)'!CA19</f>
        <v>190000</v>
      </c>
      <c r="AS9" s="120">
        <f>AQ9+AR9</f>
        <v>2738490</v>
      </c>
      <c r="AT9" s="118">
        <f t="shared" ref="AT9:AT15" si="6">AB9-AS9</f>
        <v>862303.83114999998</v>
      </c>
      <c r="AU9" s="120">
        <f>ROUND((AT9/AS9)*100,2)</f>
        <v>31.49</v>
      </c>
      <c r="AV9" s="118"/>
      <c r="AW9" s="118">
        <v>2</v>
      </c>
      <c r="AX9" s="118">
        <v>1</v>
      </c>
      <c r="AY9" s="121">
        <f t="shared" ref="AY9" si="7">AU9-AV9-AW9-AX9</f>
        <v>28.49</v>
      </c>
    </row>
    <row r="10" spans="1:51" ht="21.75" customHeight="1" x14ac:dyDescent="0.2">
      <c r="A10" s="104" t="str">
        <f>'AUTO CALCULATION SHEET (2)'!D20</f>
        <v>3 CORE X 240 SQ. MM. AL/ARM - WIRE (XLPE) - 22 KV</v>
      </c>
      <c r="B10" s="105"/>
      <c r="C10" s="106"/>
      <c r="D10" s="108">
        <v>44941</v>
      </c>
      <c r="E10" s="151">
        <v>211937.51</v>
      </c>
      <c r="F10" s="152">
        <v>753622.95</v>
      </c>
      <c r="G10" s="107">
        <v>169352</v>
      </c>
      <c r="H10" s="107">
        <v>152825</v>
      </c>
      <c r="I10" s="150">
        <v>70250</v>
      </c>
      <c r="J10" s="108">
        <f t="shared" si="0"/>
        <v>44896</v>
      </c>
      <c r="K10" s="107">
        <v>209522</v>
      </c>
      <c r="L10" s="107">
        <v>758026</v>
      </c>
      <c r="M10" s="107">
        <v>169352</v>
      </c>
      <c r="N10" s="107">
        <v>152825</v>
      </c>
      <c r="O10" s="150">
        <v>70250</v>
      </c>
      <c r="P10" s="109">
        <v>2.0990000000000002</v>
      </c>
      <c r="Q10" s="110">
        <v>0.12089999999999999</v>
      </c>
      <c r="R10" s="111">
        <v>1.7729999999999999</v>
      </c>
      <c r="S10" s="111">
        <v>3.58</v>
      </c>
      <c r="T10" s="112">
        <v>6.6509999999999998</v>
      </c>
      <c r="U10" s="99">
        <f>'AUTO CALCULATION SHEET (2)'!E20</f>
        <v>2487463.5136000002</v>
      </c>
      <c r="V10" s="113">
        <f t="shared" si="1"/>
        <v>5070.1554900000201</v>
      </c>
      <c r="W10" s="113">
        <f t="shared" si="2"/>
        <v>-532.3287450000056</v>
      </c>
      <c r="X10" s="114">
        <f t="shared" si="3"/>
        <v>0</v>
      </c>
      <c r="Y10" s="111">
        <f t="shared" si="3"/>
        <v>0</v>
      </c>
      <c r="Z10" s="111">
        <f t="shared" si="3"/>
        <v>0</v>
      </c>
      <c r="AA10" s="115">
        <f t="shared" si="4"/>
        <v>4537.8267450000149</v>
      </c>
      <c r="AB10" s="116">
        <f t="shared" si="5"/>
        <v>2492001.3403450004</v>
      </c>
      <c r="AC10" s="117">
        <f>'AUTO CALCULATION SHEET (2)'!N20</f>
        <v>1944</v>
      </c>
      <c r="AD10" s="118">
        <f>'AUTO CALCULATION SHEET (2)'!Y20</f>
        <v>171</v>
      </c>
      <c r="AE10" s="118">
        <f>'AUTO CALCULATION SHEET (2)'!AD20</f>
        <v>449</v>
      </c>
      <c r="AF10" s="118">
        <f>'AUTO CALCULATION SHEET (2)'!AE20</f>
        <v>1394</v>
      </c>
      <c r="AG10" s="118">
        <f>'AUTO CALCULATION SHEET (2)'!AK20</f>
        <v>0</v>
      </c>
      <c r="AH10" s="118">
        <f>'AUTO CALCULATION SHEET (2)'!AR20</f>
        <v>990</v>
      </c>
      <c r="AI10" s="118">
        <f>'AUTO CALCULATION SHEET (2)'!AV20</f>
        <v>0</v>
      </c>
      <c r="AJ10" s="119">
        <f>'AUTO CALCULATION SHEET (2)'!BA20</f>
        <v>5540</v>
      </c>
      <c r="AK10" s="118">
        <f>'AUTO CALCULATION SHEET (2)'!BF20</f>
        <v>1362</v>
      </c>
      <c r="AL10" s="118">
        <f>'AUTO CALCULATION SHEET (2)'!BL20</f>
        <v>1028</v>
      </c>
      <c r="AM10" s="118">
        <f>'AUTO CALCULATION SHEET (2)'!BP20</f>
        <v>87</v>
      </c>
      <c r="AN10" s="118">
        <f>'AUTO CALCULATION SHEET (2)'!BQ20</f>
        <v>33</v>
      </c>
      <c r="AO10" s="118">
        <f>'AUTO CALCULATION SHEET (2)'!BU20</f>
        <v>60</v>
      </c>
      <c r="AP10" s="118">
        <f>'AUTO CALCULATION SHEET (2)'!BV20</f>
        <v>0</v>
      </c>
      <c r="AQ10" s="120">
        <f>SUMPRODUCT(AC10:AP10,$AC$7:AP$7)</f>
        <v>1699022</v>
      </c>
      <c r="AR10" s="118">
        <f>'AUTO CALCULATION SHEET (2)'!CA20</f>
        <v>193800</v>
      </c>
      <c r="AS10" s="120">
        <f t="shared" ref="AS10:AS15" si="8">AQ10+AR10</f>
        <v>1892822</v>
      </c>
      <c r="AT10" s="118">
        <f t="shared" si="6"/>
        <v>599179.34034500038</v>
      </c>
      <c r="AU10" s="120">
        <f t="shared" ref="AU10:AU15" si="9">ROUND((AT10/AS10)*100,2)</f>
        <v>31.66</v>
      </c>
      <c r="AV10" s="118"/>
      <c r="AW10" s="118">
        <v>2</v>
      </c>
      <c r="AX10" s="118">
        <v>1</v>
      </c>
      <c r="AY10" s="121">
        <f t="shared" ref="AY10:AY15" si="10">AU10-AV10-AW10-AX10</f>
        <v>28.66</v>
      </c>
    </row>
    <row r="11" spans="1:51" ht="21.75" customHeight="1" x14ac:dyDescent="0.2">
      <c r="A11" s="104" t="str">
        <f>'AUTO CALCULATION SHEET (2)'!D21</f>
        <v>3 CORE X 300 SQ. MM. AL/ARM - WIRE (XLPE) - 11 KV</v>
      </c>
      <c r="B11" s="105"/>
      <c r="C11" s="106"/>
      <c r="D11" s="108">
        <v>44941</v>
      </c>
      <c r="E11" s="151">
        <v>211937.51</v>
      </c>
      <c r="F11" s="152">
        <v>753622.95</v>
      </c>
      <c r="G11" s="107">
        <v>169352</v>
      </c>
      <c r="H11" s="107">
        <v>152825</v>
      </c>
      <c r="I11" s="150">
        <v>70250</v>
      </c>
      <c r="J11" s="108">
        <f t="shared" si="0"/>
        <v>44896</v>
      </c>
      <c r="K11" s="107">
        <v>209522</v>
      </c>
      <c r="L11" s="107">
        <v>758026</v>
      </c>
      <c r="M11" s="107">
        <v>169352</v>
      </c>
      <c r="N11" s="107">
        <v>152825</v>
      </c>
      <c r="O11" s="150">
        <v>70250</v>
      </c>
      <c r="P11" s="109">
        <v>2.6349999999999998</v>
      </c>
      <c r="Q11" s="110">
        <v>0.11020000000000001</v>
      </c>
      <c r="R11" s="111">
        <v>1.167</v>
      </c>
      <c r="S11" s="111">
        <v>3.161</v>
      </c>
      <c r="T11" s="112">
        <v>5.1820000000000004</v>
      </c>
      <c r="U11" s="99">
        <f>'AUTO CALCULATION SHEET (2)'!E21</f>
        <v>2248076.352</v>
      </c>
      <c r="V11" s="113">
        <f t="shared" si="1"/>
        <v>6364.8688500000244</v>
      </c>
      <c r="W11" s="113">
        <f t="shared" si="2"/>
        <v>-485.21611000000519</v>
      </c>
      <c r="X11" s="114">
        <f t="shared" si="3"/>
        <v>0</v>
      </c>
      <c r="Y11" s="111">
        <f t="shared" si="3"/>
        <v>0</v>
      </c>
      <c r="Z11" s="111">
        <f t="shared" si="3"/>
        <v>0</v>
      </c>
      <c r="AA11" s="115">
        <f t="shared" si="4"/>
        <v>5879.6527400000195</v>
      </c>
      <c r="AB11" s="116">
        <f t="shared" si="5"/>
        <v>2253956.0047399998</v>
      </c>
      <c r="AC11" s="117">
        <f>'AUTO CALCULATION SHEET (2)'!N21</f>
        <v>2430</v>
      </c>
      <c r="AD11" s="118">
        <f>'AUTO CALCULATION SHEET (2)'!Y21</f>
        <v>158</v>
      </c>
      <c r="AE11" s="118">
        <f>'AUTO CALCULATION SHEET (2)'!AD21</f>
        <v>450</v>
      </c>
      <c r="AF11" s="118">
        <f>'AUTO CALCULATION SHEET (2)'!AE21</f>
        <v>838</v>
      </c>
      <c r="AG11" s="118">
        <f>'AUTO CALCULATION SHEET (2)'!AK21</f>
        <v>0</v>
      </c>
      <c r="AH11" s="118">
        <f>'AUTO CALCULATION SHEET (2)'!AR21</f>
        <v>868</v>
      </c>
      <c r="AI11" s="118">
        <f>'AUTO CALCULATION SHEET (2)'!AV21</f>
        <v>0</v>
      </c>
      <c r="AJ11" s="119">
        <f>'AUTO CALCULATION SHEET (2)'!BA21</f>
        <v>4008</v>
      </c>
      <c r="AK11" s="118">
        <f>'AUTO CALCULATION SHEET (2)'!BF21</f>
        <v>1188</v>
      </c>
      <c r="AL11" s="118">
        <f>'AUTO CALCULATION SHEET (2)'!BL21</f>
        <v>881</v>
      </c>
      <c r="AM11" s="118">
        <f>'AUTO CALCULATION SHEET (2)'!BP21</f>
        <v>85</v>
      </c>
      <c r="AN11" s="118">
        <f>'AUTO CALCULATION SHEET (2)'!BQ21</f>
        <v>38</v>
      </c>
      <c r="AO11" s="118">
        <f>'AUTO CALCULATION SHEET (2)'!BU21</f>
        <v>54</v>
      </c>
      <c r="AP11" s="118">
        <f>'AUTO CALCULATION SHEET (2)'!BV21</f>
        <v>0</v>
      </c>
      <c r="AQ11" s="120">
        <f>SUMPRODUCT(AC11:AP11,$AC$7:AP$7)</f>
        <v>1544701</v>
      </c>
      <c r="AR11" s="118">
        <f>'AUTO CALCULATION SHEET (2)'!CA21</f>
        <v>171000</v>
      </c>
      <c r="AS11" s="120">
        <f t="shared" si="8"/>
        <v>1715701</v>
      </c>
      <c r="AT11" s="118">
        <f t="shared" si="6"/>
        <v>538255.00473999977</v>
      </c>
      <c r="AU11" s="120">
        <f t="shared" si="9"/>
        <v>31.37</v>
      </c>
      <c r="AV11" s="118"/>
      <c r="AW11" s="118">
        <v>2</v>
      </c>
      <c r="AX11" s="118">
        <v>1</v>
      </c>
      <c r="AY11" s="121">
        <f t="shared" si="10"/>
        <v>28.37</v>
      </c>
    </row>
    <row r="12" spans="1:51" ht="21.75" customHeight="1" x14ac:dyDescent="0.2">
      <c r="A12" s="104" t="str">
        <f>'AUTO CALCULATION SHEET (2)'!D22</f>
        <v>1 CORE X 630 SQ. MM. AL/ARM (XLPE)  - 33 KV</v>
      </c>
      <c r="B12" s="105"/>
      <c r="C12" s="106"/>
      <c r="D12" s="108">
        <v>44941</v>
      </c>
      <c r="E12" s="151">
        <v>211937.51</v>
      </c>
      <c r="F12" s="152">
        <v>753622.95</v>
      </c>
      <c r="G12" s="107">
        <v>169352</v>
      </c>
      <c r="H12" s="107">
        <v>152825</v>
      </c>
      <c r="I12" s="150"/>
      <c r="J12" s="108">
        <f t="shared" si="0"/>
        <v>44896</v>
      </c>
      <c r="K12" s="107">
        <v>209522</v>
      </c>
      <c r="L12" s="107">
        <v>758026</v>
      </c>
      <c r="M12" s="107">
        <v>169352</v>
      </c>
      <c r="N12" s="107">
        <v>152825</v>
      </c>
      <c r="O12" s="150"/>
      <c r="P12" s="109">
        <v>2.9780000000000002</v>
      </c>
      <c r="Q12" s="110">
        <v>6.3E-2</v>
      </c>
      <c r="R12" s="111">
        <v>1.2649999999999999</v>
      </c>
      <c r="S12" s="111">
        <v>1.1679999999999999</v>
      </c>
      <c r="T12" s="112"/>
      <c r="U12" s="99">
        <f>'AUTO CALCULATION SHEET (2)'!E22</f>
        <v>1341522.0992000003</v>
      </c>
      <c r="V12" s="113">
        <f t="shared" si="1"/>
        <v>7193.3887800000284</v>
      </c>
      <c r="W12" s="113">
        <f t="shared" si="2"/>
        <v>-277.39215000000291</v>
      </c>
      <c r="X12" s="114">
        <f t="shared" si="3"/>
        <v>0</v>
      </c>
      <c r="Y12" s="111">
        <f t="shared" si="3"/>
        <v>0</v>
      </c>
      <c r="Z12" s="111">
        <f t="shared" si="3"/>
        <v>0</v>
      </c>
      <c r="AA12" s="115">
        <f t="shared" si="4"/>
        <v>6915.9966300000251</v>
      </c>
      <c r="AB12" s="116">
        <f t="shared" si="5"/>
        <v>1348438.0958300002</v>
      </c>
      <c r="AC12" s="117">
        <f>'AUTO CALCULATION SHEET (2)'!N22</f>
        <v>1701</v>
      </c>
      <c r="AD12" s="118">
        <f>'AUTO CALCULATION SHEET (2)'!Y22</f>
        <v>85</v>
      </c>
      <c r="AE12" s="118">
        <f>'AUTO CALCULATION SHEET (2)'!AD22</f>
        <v>237</v>
      </c>
      <c r="AF12" s="118">
        <f>'AUTO CALCULATION SHEET (2)'!AE22</f>
        <v>1055</v>
      </c>
      <c r="AG12" s="118">
        <f>'AUTO CALCULATION SHEET (2)'!AK22</f>
        <v>18</v>
      </c>
      <c r="AH12" s="118">
        <f>'AUTO CALCULATION SHEET (2)'!AR22</f>
        <v>200</v>
      </c>
      <c r="AI12" s="118">
        <f>'AUTO CALCULATION SHEET (2)'!AV22</f>
        <v>842</v>
      </c>
      <c r="AJ12" s="119">
        <f>'AUTO CALCULATION SHEET (2)'!BA22</f>
        <v>0</v>
      </c>
      <c r="AK12" s="118">
        <f>'AUTO CALCULATION SHEET (2)'!BF22</f>
        <v>762</v>
      </c>
      <c r="AL12" s="118">
        <f>'AUTO CALCULATION SHEET (2)'!BL22</f>
        <v>0</v>
      </c>
      <c r="AM12" s="118">
        <f>'AUTO CALCULATION SHEET (2)'!BP22</f>
        <v>45</v>
      </c>
      <c r="AN12" s="118">
        <f>'AUTO CALCULATION SHEET (2)'!BQ22</f>
        <v>26</v>
      </c>
      <c r="AO12" s="118">
        <f>'AUTO CALCULATION SHEET (2)'!BU22</f>
        <v>41</v>
      </c>
      <c r="AP12" s="118">
        <f>'AUTO CALCULATION SHEET (2)'!BV22</f>
        <v>0</v>
      </c>
      <c r="AQ12" s="120">
        <f>SUMPRODUCT(AC12:AP12,$AC$7:AP$7)</f>
        <v>985014</v>
      </c>
      <c r="AR12" s="118">
        <f>'AUTO CALCULATION SHEET (2)'!CA22</f>
        <v>53200</v>
      </c>
      <c r="AS12" s="120">
        <f t="shared" si="8"/>
        <v>1038214</v>
      </c>
      <c r="AT12" s="118">
        <f t="shared" si="6"/>
        <v>310224.09583000024</v>
      </c>
      <c r="AU12" s="120">
        <f t="shared" si="9"/>
        <v>29.88</v>
      </c>
      <c r="AV12" s="118"/>
      <c r="AW12" s="118">
        <v>2</v>
      </c>
      <c r="AX12" s="118">
        <v>1</v>
      </c>
      <c r="AY12" s="121">
        <f t="shared" si="10"/>
        <v>26.88</v>
      </c>
    </row>
    <row r="13" spans="1:51" ht="21.75" customHeight="1" x14ac:dyDescent="0.2">
      <c r="A13" s="104" t="str">
        <f>'AUTO CALCULATION SHEET (2)'!D23</f>
        <v>1 CORE X 185 SQ. MM. AL/ARM - WIRE (XLPE) - 22 KV</v>
      </c>
      <c r="B13" s="105"/>
      <c r="C13" s="106"/>
      <c r="D13" s="108">
        <v>44941</v>
      </c>
      <c r="E13" s="151">
        <v>211937.51</v>
      </c>
      <c r="F13" s="152">
        <v>753622.95</v>
      </c>
      <c r="G13" s="107">
        <v>169352</v>
      </c>
      <c r="H13" s="107">
        <v>152825</v>
      </c>
      <c r="I13" s="150"/>
      <c r="J13" s="108">
        <f t="shared" si="0"/>
        <v>44896</v>
      </c>
      <c r="K13" s="107">
        <v>209522</v>
      </c>
      <c r="L13" s="107">
        <v>758026</v>
      </c>
      <c r="M13" s="107">
        <v>169352</v>
      </c>
      <c r="N13" s="107">
        <v>152825</v>
      </c>
      <c r="O13" s="150"/>
      <c r="P13" s="109">
        <v>0.96499999999999997</v>
      </c>
      <c r="Q13" s="110">
        <v>3.7499999999999999E-2</v>
      </c>
      <c r="R13" s="111">
        <v>0.51800000000000002</v>
      </c>
      <c r="S13" s="111">
        <v>0.53900000000000003</v>
      </c>
      <c r="T13" s="112"/>
      <c r="U13" s="99">
        <f>'AUTO CALCULATION SHEET (2)'!E23</f>
        <v>591984.01280000003</v>
      </c>
      <c r="V13" s="113">
        <f t="shared" si="1"/>
        <v>2330.967150000009</v>
      </c>
      <c r="W13" s="113">
        <f t="shared" si="2"/>
        <v>-165.11437500000173</v>
      </c>
      <c r="X13" s="114">
        <f t="shared" si="3"/>
        <v>0</v>
      </c>
      <c r="Y13" s="111">
        <f t="shared" si="3"/>
        <v>0</v>
      </c>
      <c r="Z13" s="111">
        <f t="shared" si="3"/>
        <v>0</v>
      </c>
      <c r="AA13" s="115">
        <f t="shared" si="4"/>
        <v>2165.8527750000071</v>
      </c>
      <c r="AB13" s="116">
        <f t="shared" si="5"/>
        <v>594149.86557500006</v>
      </c>
      <c r="AC13" s="117">
        <f>'AUTO CALCULATION SHEET (2)'!N23</f>
        <v>499</v>
      </c>
      <c r="AD13" s="118">
        <f>'AUTO CALCULATION SHEET (2)'!Y23</f>
        <v>53</v>
      </c>
      <c r="AE13" s="118">
        <f>'AUTO CALCULATION SHEET (2)'!AD23</f>
        <v>139</v>
      </c>
      <c r="AF13" s="118">
        <f>'AUTO CALCULATION SHEET (2)'!AE23</f>
        <v>428</v>
      </c>
      <c r="AG13" s="118">
        <f>'AUTO CALCULATION SHEET (2)'!AK23</f>
        <v>12</v>
      </c>
      <c r="AH13" s="118">
        <f>'AUTO CALCULATION SHEET (2)'!AR23</f>
        <v>93</v>
      </c>
      <c r="AI13" s="118">
        <f>'AUTO CALCULATION SHEET (2)'!AV23</f>
        <v>415</v>
      </c>
      <c r="AJ13" s="119">
        <f>'AUTO CALCULATION SHEET (2)'!BA23</f>
        <v>0</v>
      </c>
      <c r="AK13" s="118">
        <f>'AUTO CALCULATION SHEET (2)'!BF23</f>
        <v>371</v>
      </c>
      <c r="AL13" s="118">
        <f>'AUTO CALCULATION SHEET (2)'!BL23</f>
        <v>0</v>
      </c>
      <c r="AM13" s="118">
        <f>'AUTO CALCULATION SHEET (2)'!BP23</f>
        <v>27</v>
      </c>
      <c r="AN13" s="118">
        <f>'AUTO CALCULATION SHEET (2)'!BQ23</f>
        <v>11</v>
      </c>
      <c r="AO13" s="118">
        <f>'AUTO CALCULATION SHEET (2)'!BU23</f>
        <v>27</v>
      </c>
      <c r="AP13" s="118">
        <f>'AUTO CALCULATION SHEET (2)'!BV23</f>
        <v>0</v>
      </c>
      <c r="AQ13" s="120">
        <f>SUMPRODUCT(AC13:AP13,$AC$7:AP$7)</f>
        <v>415791</v>
      </c>
      <c r="AR13" s="118">
        <f>'AUTO CALCULATION SHEET (2)'!CA23</f>
        <v>41800</v>
      </c>
      <c r="AS13" s="120">
        <f t="shared" si="8"/>
        <v>457591</v>
      </c>
      <c r="AT13" s="118">
        <f t="shared" si="6"/>
        <v>136558.86557500006</v>
      </c>
      <c r="AU13" s="120">
        <f t="shared" si="9"/>
        <v>29.84</v>
      </c>
      <c r="AV13" s="118"/>
      <c r="AW13" s="118">
        <v>2</v>
      </c>
      <c r="AX13" s="118">
        <v>1</v>
      </c>
      <c r="AY13" s="121">
        <f t="shared" si="10"/>
        <v>26.84</v>
      </c>
    </row>
    <row r="14" spans="1:51" ht="21.75" customHeight="1" x14ac:dyDescent="0.2">
      <c r="A14" s="104" t="str">
        <f>'AUTO CALCULATION SHEET (2)'!D24</f>
        <v>1 CORE X 185 SQ. MM. AL./ARM (XLPE)  - 11 KV</v>
      </c>
      <c r="B14" s="105"/>
      <c r="C14" s="106"/>
      <c r="D14" s="108">
        <v>44941</v>
      </c>
      <c r="E14" s="151">
        <v>211937.51</v>
      </c>
      <c r="F14" s="152">
        <v>753622.95</v>
      </c>
      <c r="G14" s="107">
        <v>169352</v>
      </c>
      <c r="H14" s="107">
        <v>152825</v>
      </c>
      <c r="I14" s="150"/>
      <c r="J14" s="108">
        <f t="shared" si="0"/>
        <v>44896</v>
      </c>
      <c r="K14" s="107">
        <v>209522</v>
      </c>
      <c r="L14" s="107">
        <v>758026</v>
      </c>
      <c r="M14" s="107">
        <v>169352</v>
      </c>
      <c r="N14" s="107">
        <v>152825</v>
      </c>
      <c r="O14" s="150"/>
      <c r="P14" s="109">
        <v>0.89300000000000002</v>
      </c>
      <c r="Q14" s="110">
        <v>3.1300000000000001E-2</v>
      </c>
      <c r="R14" s="111">
        <v>0.308</v>
      </c>
      <c r="S14" s="111">
        <v>0.44500000000000001</v>
      </c>
      <c r="T14" s="112"/>
      <c r="U14" s="99">
        <f>'AUTO CALCULATION SHEET (2)'!E24</f>
        <v>510704.65279999998</v>
      </c>
      <c r="V14" s="113">
        <f t="shared" si="1"/>
        <v>2157.0504300000084</v>
      </c>
      <c r="W14" s="113">
        <f t="shared" si="2"/>
        <v>-137.81546500000147</v>
      </c>
      <c r="X14" s="114">
        <f t="shared" si="3"/>
        <v>0</v>
      </c>
      <c r="Y14" s="111">
        <f t="shared" si="3"/>
        <v>0</v>
      </c>
      <c r="Z14" s="111">
        <f t="shared" si="3"/>
        <v>0</v>
      </c>
      <c r="AA14" s="115">
        <f t="shared" si="4"/>
        <v>2019.2349650000069</v>
      </c>
      <c r="AB14" s="116">
        <f t="shared" si="5"/>
        <v>512723.88776499999</v>
      </c>
      <c r="AC14" s="117">
        <f>'AUTO CALCULATION SHEET (2)'!N24</f>
        <v>499</v>
      </c>
      <c r="AD14" s="118">
        <f>'AUTO CALCULATION SHEET (2)'!Y24</f>
        <v>45</v>
      </c>
      <c r="AE14" s="118">
        <f>'AUTO CALCULATION SHEET (2)'!AD24</f>
        <v>125</v>
      </c>
      <c r="AF14" s="118">
        <f>'AUTO CALCULATION SHEET (2)'!AE24</f>
        <v>230</v>
      </c>
      <c r="AG14" s="118">
        <f>'AUTO CALCULATION SHEET (2)'!AK24</f>
        <v>10</v>
      </c>
      <c r="AH14" s="118">
        <f>'AUTO CALCULATION SHEET (2)'!AR24</f>
        <v>80</v>
      </c>
      <c r="AI14" s="118">
        <f>'AUTO CALCULATION SHEET (2)'!AV24</f>
        <v>362</v>
      </c>
      <c r="AJ14" s="119">
        <f>'AUTO CALCULATION SHEET (2)'!BA24</f>
        <v>0</v>
      </c>
      <c r="AK14" s="118">
        <f>'AUTO CALCULATION SHEET (2)'!BF24</f>
        <v>300</v>
      </c>
      <c r="AL14" s="118">
        <f>'AUTO CALCULATION SHEET (2)'!BL24</f>
        <v>0</v>
      </c>
      <c r="AM14" s="118">
        <f>'AUTO CALCULATION SHEET (2)'!BP24</f>
        <v>24</v>
      </c>
      <c r="AN14" s="118">
        <f>'AUTO CALCULATION SHEET (2)'!BQ24</f>
        <v>11</v>
      </c>
      <c r="AO14" s="118">
        <f>'AUTO CALCULATION SHEET (2)'!BU24</f>
        <v>23</v>
      </c>
      <c r="AP14" s="118">
        <f>'AUTO CALCULATION SHEET (2)'!BV24</f>
        <v>0</v>
      </c>
      <c r="AQ14" s="120">
        <f>SUMPRODUCT(AC14:AP14,$AC$7:AP$7)</f>
        <v>352616</v>
      </c>
      <c r="AR14" s="118">
        <f>'AUTO CALCULATION SHEET (2)'!CA24</f>
        <v>41800</v>
      </c>
      <c r="AS14" s="120">
        <f t="shared" si="8"/>
        <v>394416</v>
      </c>
      <c r="AT14" s="118">
        <f t="shared" si="6"/>
        <v>118307.88776499999</v>
      </c>
      <c r="AU14" s="120">
        <f t="shared" si="9"/>
        <v>30</v>
      </c>
      <c r="AV14" s="118"/>
      <c r="AW14" s="118">
        <v>2</v>
      </c>
      <c r="AX14" s="118">
        <v>1</v>
      </c>
      <c r="AY14" s="121">
        <f t="shared" si="10"/>
        <v>27</v>
      </c>
    </row>
    <row r="15" spans="1:51" ht="21.75" customHeight="1" x14ac:dyDescent="0.2">
      <c r="A15" s="104" t="str">
        <f>'AUTO CALCULATION SHEET (2)'!D25</f>
        <v>1 CORE X 1000 SQ. MM. AL/ARM (XLPE) - 11 KV</v>
      </c>
      <c r="B15" s="105"/>
      <c r="C15" s="106"/>
      <c r="D15" s="108">
        <v>44941</v>
      </c>
      <c r="E15" s="151">
        <v>211937.51</v>
      </c>
      <c r="F15" s="152">
        <v>753622.95</v>
      </c>
      <c r="G15" s="107">
        <v>169352</v>
      </c>
      <c r="H15" s="107">
        <v>152825</v>
      </c>
      <c r="I15" s="150"/>
      <c r="J15" s="108">
        <f t="shared" si="0"/>
        <v>44896</v>
      </c>
      <c r="K15" s="107">
        <v>209522</v>
      </c>
      <c r="L15" s="107">
        <v>758026</v>
      </c>
      <c r="M15" s="107">
        <v>169352</v>
      </c>
      <c r="N15" s="107">
        <v>152825</v>
      </c>
      <c r="O15" s="150"/>
      <c r="P15" s="109">
        <v>3.7490000000000001</v>
      </c>
      <c r="Q15" s="110">
        <v>5.8400000000000001E-2</v>
      </c>
      <c r="R15" s="111">
        <v>0.66</v>
      </c>
      <c r="S15" s="111">
        <v>1.0349999999999999</v>
      </c>
      <c r="T15" s="112"/>
      <c r="U15" s="99">
        <f>'AUTO CALCULATION SHEET (2)'!E25</f>
        <v>1804778.2467</v>
      </c>
      <c r="V15" s="113">
        <f t="shared" si="1"/>
        <v>9055.746990000036</v>
      </c>
      <c r="W15" s="113">
        <f t="shared" si="2"/>
        <v>-257.13812000000274</v>
      </c>
      <c r="X15" s="114">
        <f t="shared" si="3"/>
        <v>0</v>
      </c>
      <c r="Y15" s="111">
        <f t="shared" si="3"/>
        <v>0</v>
      </c>
      <c r="Z15" s="111">
        <f t="shared" si="3"/>
        <v>0</v>
      </c>
      <c r="AA15" s="115">
        <f t="shared" si="4"/>
        <v>8798.6088700000328</v>
      </c>
      <c r="AB15" s="116">
        <f t="shared" si="5"/>
        <v>1813576.8555700001</v>
      </c>
      <c r="AC15" s="117">
        <f>'AUTO CALCULATION SHEET (2)'!N25</f>
        <v>2770</v>
      </c>
      <c r="AD15" s="118">
        <f>'AUTO CALCULATION SHEET (2)'!Y25</f>
        <v>87</v>
      </c>
      <c r="AE15" s="118">
        <f>'AUTO CALCULATION SHEET (2)'!AD25</f>
        <v>290</v>
      </c>
      <c r="AF15" s="118">
        <f>'AUTO CALCULATION SHEET (2)'!AE25</f>
        <v>495</v>
      </c>
      <c r="AG15" s="118">
        <f>'AUTO CALCULATION SHEET (2)'!AK25</f>
        <v>18</v>
      </c>
      <c r="AH15" s="118">
        <f>'AUTO CALCULATION SHEET (2)'!AR25</f>
        <v>205</v>
      </c>
      <c r="AI15" s="118">
        <f>'AUTO CALCULATION SHEET (2)'!AV25</f>
        <v>842</v>
      </c>
      <c r="AJ15" s="119">
        <f>'AUTO CALCULATION SHEET (2)'!BA25</f>
        <v>0</v>
      </c>
      <c r="AK15" s="118">
        <f>'AUTO CALCULATION SHEET (2)'!BF25</f>
        <v>724</v>
      </c>
      <c r="AL15" s="118">
        <f>'AUTO CALCULATION SHEET (2)'!BL25</f>
        <v>0</v>
      </c>
      <c r="AM15" s="118">
        <f>'AUTO CALCULATION SHEET (2)'!BP25</f>
        <v>73</v>
      </c>
      <c r="AN15" s="118">
        <f>'AUTO CALCULATION SHEET (2)'!BQ25</f>
        <v>75</v>
      </c>
      <c r="AO15" s="118">
        <f>'AUTO CALCULATION SHEET (2)'!BU25</f>
        <v>42</v>
      </c>
      <c r="AP15" s="118">
        <f>'AUTO CALCULATION SHEET (2)'!BV25</f>
        <v>45</v>
      </c>
      <c r="AQ15" s="120">
        <f>SUMPRODUCT(AC15:AP15,$AC$7:AP$7)</f>
        <v>1181902</v>
      </c>
      <c r="AR15" s="118">
        <f>'AUTO CALCULATION SHEET (2)'!CA25</f>
        <v>66500</v>
      </c>
      <c r="AS15" s="120">
        <f t="shared" si="8"/>
        <v>1248402</v>
      </c>
      <c r="AT15" s="118">
        <f t="shared" si="6"/>
        <v>565174.85557000013</v>
      </c>
      <c r="AU15" s="120">
        <f t="shared" si="9"/>
        <v>45.27</v>
      </c>
      <c r="AV15" s="118"/>
      <c r="AW15" s="118">
        <v>2</v>
      </c>
      <c r="AX15" s="118">
        <v>1</v>
      </c>
      <c r="AY15" s="121">
        <f t="shared" si="10"/>
        <v>42.27</v>
      </c>
    </row>
    <row r="16" spans="1:51" s="147" customFormat="1" ht="31.5" customHeight="1" thickBot="1" x14ac:dyDescent="0.25">
      <c r="A16" s="122"/>
      <c r="B16" s="122"/>
      <c r="C16" s="123"/>
      <c r="D16" s="124"/>
      <c r="E16" s="125"/>
      <c r="F16" s="125"/>
      <c r="G16" s="125"/>
      <c r="H16" s="126"/>
      <c r="I16" s="127"/>
      <c r="J16" s="128"/>
      <c r="K16" s="129"/>
      <c r="L16" s="130"/>
      <c r="M16" s="131"/>
      <c r="N16" s="132"/>
      <c r="O16" s="133"/>
      <c r="P16" s="134"/>
      <c r="Q16" s="135"/>
      <c r="R16" s="136"/>
      <c r="S16" s="137"/>
      <c r="T16" s="136"/>
      <c r="U16" s="138"/>
      <c r="V16" s="139"/>
      <c r="W16" s="139"/>
      <c r="X16" s="139"/>
      <c r="Y16" s="140"/>
      <c r="Z16" s="141"/>
      <c r="AA16" s="142"/>
      <c r="AB16" s="143"/>
      <c r="AC16" s="144"/>
      <c r="AD16" s="145"/>
      <c r="AE16" s="145"/>
      <c r="AF16" s="145"/>
      <c r="AG16" s="145"/>
      <c r="AH16" s="145"/>
      <c r="AI16" s="145"/>
      <c r="AJ16" s="145"/>
      <c r="AK16" s="145"/>
      <c r="AL16" s="145"/>
      <c r="AM16" s="145"/>
      <c r="AN16" s="145"/>
      <c r="AO16" s="145"/>
      <c r="AP16" s="145"/>
      <c r="AQ16" s="145"/>
      <c r="AR16" s="145"/>
      <c r="AS16" s="145"/>
      <c r="AT16" s="145"/>
      <c r="AU16" s="145"/>
      <c r="AV16" s="145"/>
      <c r="AW16" s="145"/>
      <c r="AX16" s="145">
        <v>1</v>
      </c>
      <c r="AY16" s="146"/>
    </row>
    <row r="17" spans="1:26" s="147" customFormat="1" x14ac:dyDescent="0.2">
      <c r="A17" s="69"/>
      <c r="B17" s="69"/>
      <c r="C17" s="69"/>
      <c r="D17" s="69"/>
      <c r="E17" s="148"/>
      <c r="F17" s="148"/>
      <c r="G17" s="69"/>
      <c r="H17" s="69"/>
      <c r="I17" s="69"/>
      <c r="J17" s="69"/>
      <c r="K17" s="69"/>
      <c r="L17" s="69"/>
      <c r="M17" s="69"/>
    </row>
    <row r="22" spans="1:26" x14ac:dyDescent="0.2">
      <c r="Z22" s="149"/>
    </row>
    <row r="23" spans="1:26" x14ac:dyDescent="0.2">
      <c r="Z23" s="149"/>
    </row>
    <row r="24" spans="1:26" x14ac:dyDescent="0.2">
      <c r="Z24" s="149"/>
    </row>
  </sheetData>
  <mergeCells count="39">
    <mergeCell ref="B1:M1"/>
    <mergeCell ref="A2:M2"/>
    <mergeCell ref="AC4:AY5"/>
    <mergeCell ref="A5:A7"/>
    <mergeCell ref="B5:B7"/>
    <mergeCell ref="C5:C7"/>
    <mergeCell ref="D5:I5"/>
    <mergeCell ref="J5:O5"/>
    <mergeCell ref="P5:T6"/>
    <mergeCell ref="U5:U7"/>
    <mergeCell ref="I6:I7"/>
    <mergeCell ref="J6:J7"/>
    <mergeCell ref="K6:K7"/>
    <mergeCell ref="V5:V7"/>
    <mergeCell ref="W5:W7"/>
    <mergeCell ref="D6:D7"/>
    <mergeCell ref="E6:E7"/>
    <mergeCell ref="F6:F7"/>
    <mergeCell ref="G6:G7"/>
    <mergeCell ref="H6:H7"/>
    <mergeCell ref="L6:L7"/>
    <mergeCell ref="M6:M7"/>
    <mergeCell ref="N6:N7"/>
    <mergeCell ref="O6:O7"/>
    <mergeCell ref="AQ6:AQ8"/>
    <mergeCell ref="AB5:AB7"/>
    <mergeCell ref="X5:X7"/>
    <mergeCell ref="Y5:Y7"/>
    <mergeCell ref="Z5:Z7"/>
    <mergeCell ref="AA5:AA7"/>
    <mergeCell ref="AY6:AY8"/>
    <mergeCell ref="P8:T8"/>
    <mergeCell ref="AS6:AS8"/>
    <mergeCell ref="AT6:AT8"/>
    <mergeCell ref="AU6:AU8"/>
    <mergeCell ref="AV6:AV8"/>
    <mergeCell ref="AW6:AW8"/>
    <mergeCell ref="AX6:AX8"/>
    <mergeCell ref="AR6:AR8"/>
  </mergeCells>
  <pageMargins left="0.56000000000000005" right="0.17" top="0.75" bottom="0.75" header="0.3" footer="0.3"/>
  <pageSetup paperSize="5" scale="2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HT 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2024-01-17T09:47:40Z</dcterms:modified>
</cp:coreProperties>
</file>