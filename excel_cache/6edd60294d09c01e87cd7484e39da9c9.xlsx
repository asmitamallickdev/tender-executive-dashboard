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5-26\09_SEPTEMBER 2025\BSPTCL_PR-51-LTCABLE-16887\"/>
    </mc:Choice>
  </mc:AlternateContent>
  <xr:revisionPtr revIDLastSave="0" documentId="13_ncr:1_{20117179-BB50-41EF-9592-F98F05DA86D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AUTO CALCULATION SHEET (2)" sheetId="4" r:id="rId2"/>
    <sheet name="terms" sheetId="5" state="hidden" r:id="rId3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E5" i="4" l="1"/>
  <c r="DE6" i="4"/>
  <c r="DE7" i="4"/>
  <c r="DE8" i="4"/>
  <c r="DE9" i="4"/>
  <c r="DE10" i="4"/>
  <c r="DE11" i="4"/>
  <c r="DE12" i="4"/>
  <c r="DE13" i="4"/>
  <c r="DE14" i="4"/>
  <c r="DE15" i="4"/>
  <c r="DE4" i="4"/>
  <c r="DD13" i="4"/>
  <c r="DD12" i="4"/>
  <c r="DD11" i="4"/>
  <c r="DD15" i="4"/>
  <c r="DD14" i="4"/>
  <c r="DD10" i="4"/>
  <c r="DD7" i="4"/>
  <c r="DC9" i="4"/>
  <c r="DC15" i="4"/>
  <c r="DC14" i="4"/>
  <c r="DC13" i="4"/>
  <c r="DC12" i="4"/>
  <c r="DC11" i="4"/>
  <c r="DC10" i="4"/>
  <c r="DC8" i="4"/>
  <c r="DC7" i="4"/>
  <c r="DC6" i="4"/>
  <c r="DC5" i="4"/>
  <c r="DC4" i="4"/>
  <c r="DB8" i="4"/>
  <c r="DB9" i="4"/>
  <c r="DB5" i="4"/>
  <c r="DB6" i="4"/>
  <c r="DB7" i="4"/>
  <c r="DB4" i="4"/>
  <c r="DA15" i="4"/>
  <c r="DA14" i="4"/>
  <c r="DA13" i="4"/>
  <c r="DA12" i="4"/>
  <c r="DA11" i="4"/>
  <c r="DA10" i="4"/>
  <c r="DA9" i="4"/>
  <c r="DA8" i="4"/>
  <c r="DA7" i="4"/>
  <c r="DA6" i="4"/>
  <c r="DA5" i="4"/>
  <c r="DA4" i="4"/>
  <c r="CP15" i="4"/>
  <c r="CS15" i="4" s="1"/>
  <c r="CP14" i="4"/>
  <c r="CS14" i="4" s="1"/>
  <c r="CP13" i="4"/>
  <c r="CS13" i="4" s="1"/>
  <c r="CP12" i="4"/>
  <c r="CS12" i="4" s="1"/>
  <c r="CP11" i="4"/>
  <c r="CS11" i="4" s="1"/>
  <c r="CP10" i="4"/>
  <c r="CS10" i="4" s="1"/>
  <c r="CP9" i="4"/>
  <c r="CS9" i="4" s="1"/>
  <c r="CP8" i="4"/>
  <c r="CS8" i="4" s="1"/>
  <c r="CP7" i="4"/>
  <c r="CS7" i="4" s="1"/>
  <c r="CP6" i="4"/>
  <c r="CS6" i="4" s="1"/>
  <c r="CP5" i="4"/>
  <c r="CS5" i="4" s="1"/>
  <c r="CP4" i="4"/>
  <c r="CS4" i="4" s="1"/>
  <c r="CL15" i="4"/>
  <c r="CL14" i="4"/>
  <c r="CL13" i="4"/>
  <c r="CL12" i="4"/>
  <c r="CL11" i="4"/>
  <c r="CL10" i="4"/>
  <c r="CL9" i="4"/>
  <c r="CL8" i="4"/>
  <c r="CL7" i="4"/>
  <c r="CL6" i="4"/>
  <c r="CL5" i="4"/>
  <c r="CL4" i="4"/>
  <c r="H51" i="4"/>
  <c r="AI33" i="4"/>
  <c r="AI32" i="4"/>
  <c r="AI31" i="4"/>
  <c r="AI30" i="4"/>
  <c r="AI29" i="4"/>
  <c r="AI28" i="4"/>
  <c r="AI27" i="4"/>
  <c r="AI26" i="4"/>
  <c r="AI25" i="4"/>
  <c r="AI24" i="4"/>
  <c r="AI23" i="4"/>
  <c r="AI22" i="4"/>
  <c r="CK15" i="4"/>
  <c r="CK14" i="4"/>
  <c r="CK13" i="4"/>
  <c r="CK12" i="4"/>
  <c r="CK11" i="4"/>
  <c r="CK10" i="4"/>
  <c r="CK9" i="4"/>
  <c r="CK8" i="4"/>
  <c r="CK7" i="4"/>
  <c r="CK6" i="4"/>
  <c r="CK5" i="4"/>
  <c r="CK4" i="4"/>
  <c r="N23" i="4"/>
  <c r="N24" i="4"/>
  <c r="N25" i="4"/>
  <c r="N26" i="4"/>
  <c r="N27" i="4"/>
  <c r="N28" i="4"/>
  <c r="N29" i="4"/>
  <c r="N30" i="4"/>
  <c r="N31" i="4"/>
  <c r="N32" i="4"/>
  <c r="N33" i="4"/>
  <c r="N22" i="4"/>
  <c r="BJ12" i="4"/>
  <c r="BO12" i="4"/>
  <c r="CU15" i="4" l="1"/>
  <c r="CW15" i="4"/>
  <c r="CU14" i="4"/>
  <c r="CW14" i="4"/>
  <c r="CW13" i="4"/>
  <c r="CU13" i="4"/>
  <c r="CU12" i="4"/>
  <c r="CW12" i="4"/>
  <c r="CW11" i="4"/>
  <c r="CU11" i="4"/>
  <c r="CU10" i="4"/>
  <c r="CW10" i="4"/>
  <c r="CW9" i="4"/>
  <c r="CU9" i="4"/>
  <c r="CU8" i="4"/>
  <c r="CW8" i="4"/>
  <c r="CW7" i="4"/>
  <c r="CU7" i="4"/>
  <c r="CU6" i="4"/>
  <c r="CW6" i="4"/>
  <c r="CW5" i="4"/>
  <c r="CU5" i="4"/>
  <c r="CW4" i="4"/>
  <c r="CU4" i="4"/>
  <c r="F23" i="4"/>
  <c r="J23" i="4" s="1"/>
  <c r="F24" i="4"/>
  <c r="J24" i="4" s="1"/>
  <c r="F25" i="4"/>
  <c r="J25" i="4" s="1"/>
  <c r="F26" i="4"/>
  <c r="J26" i="4" s="1"/>
  <c r="F27" i="4"/>
  <c r="J27" i="4" s="1"/>
  <c r="F28" i="4"/>
  <c r="J28" i="4" s="1"/>
  <c r="F29" i="4"/>
  <c r="J29" i="4" s="1"/>
  <c r="F30" i="4"/>
  <c r="J30" i="4" s="1"/>
  <c r="F31" i="4"/>
  <c r="J31" i="4" s="1"/>
  <c r="F32" i="4"/>
  <c r="J32" i="4" s="1"/>
  <c r="F33" i="4"/>
  <c r="J33" i="4" s="1"/>
  <c r="K30" i="4" l="1"/>
  <c r="L30" i="4" s="1"/>
  <c r="M30" i="4" s="1"/>
  <c r="F12" i="4" s="1"/>
  <c r="K28" i="4"/>
  <c r="L28" i="4" s="1"/>
  <c r="M28" i="4" s="1"/>
  <c r="F10" i="4" s="1"/>
  <c r="K26" i="4"/>
  <c r="L26" i="4" s="1"/>
  <c r="M26" i="4" s="1"/>
  <c r="F8" i="4" s="1"/>
  <c r="K24" i="4"/>
  <c r="L24" i="4" s="1"/>
  <c r="M24" i="4" s="1"/>
  <c r="F6" i="4" s="1"/>
  <c r="CX13" i="4"/>
  <c r="CM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P31" i="4" s="1"/>
  <c r="AK31" i="4" s="1"/>
  <c r="AQ31" i="4" s="1"/>
  <c r="L13" i="4"/>
  <c r="K13" i="4"/>
  <c r="E31" i="4" s="1"/>
  <c r="K31" i="4" s="1"/>
  <c r="L31" i="4" s="1"/>
  <c r="M31" i="4" s="1"/>
  <c r="F13" i="4" s="1"/>
  <c r="H13" i="4"/>
  <c r="D13" i="4"/>
  <c r="D31" i="4" s="1"/>
  <c r="C13" i="4"/>
  <c r="A13" i="4"/>
  <c r="CX12" i="4"/>
  <c r="CM12" i="4"/>
  <c r="CF12" i="4"/>
  <c r="CE12" i="4"/>
  <c r="CD12" i="4"/>
  <c r="CC12" i="4"/>
  <c r="CB12" i="4"/>
  <c r="CA12" i="4"/>
  <c r="BZ12" i="4"/>
  <c r="BY12" i="4"/>
  <c r="BX12" i="4"/>
  <c r="BW12" i="4"/>
  <c r="BV12" i="4"/>
  <c r="BU12" i="4"/>
  <c r="BT12" i="4"/>
  <c r="BS12" i="4"/>
  <c r="BR12" i="4"/>
  <c r="BQ12" i="4"/>
  <c r="BP12" i="4"/>
  <c r="BN12" i="4"/>
  <c r="BM12" i="4"/>
  <c r="BL12" i="4"/>
  <c r="BK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L12" i="4"/>
  <c r="K12" i="4"/>
  <c r="E30" i="4" s="1"/>
  <c r="H12" i="4"/>
  <c r="D12" i="4"/>
  <c r="D30" i="4" s="1"/>
  <c r="C12" i="4"/>
  <c r="A12" i="4"/>
  <c r="CX11" i="4"/>
  <c r="CM11" i="4"/>
  <c r="CF11" i="4"/>
  <c r="CE11" i="4"/>
  <c r="CD11" i="4"/>
  <c r="CC11" i="4"/>
  <c r="CB11" i="4"/>
  <c r="CA11" i="4"/>
  <c r="BZ11" i="4"/>
  <c r="BY11" i="4"/>
  <c r="BX11" i="4"/>
  <c r="BW11" i="4"/>
  <c r="BV11" i="4"/>
  <c r="BU11" i="4"/>
  <c r="BT11" i="4"/>
  <c r="BS11" i="4"/>
  <c r="BR11" i="4"/>
  <c r="BQ11" i="4"/>
  <c r="BP11" i="4"/>
  <c r="BN11" i="4"/>
  <c r="BM11" i="4"/>
  <c r="BL11" i="4"/>
  <c r="BK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P29" i="4" s="1"/>
  <c r="AK29" i="4" s="1"/>
  <c r="AQ29" i="4" s="1"/>
  <c r="L11" i="4"/>
  <c r="K11" i="4"/>
  <c r="E29" i="4" s="1"/>
  <c r="K29" i="4" s="1"/>
  <c r="L29" i="4" s="1"/>
  <c r="M29" i="4" s="1"/>
  <c r="F11" i="4" s="1"/>
  <c r="H11" i="4"/>
  <c r="D11" i="4"/>
  <c r="D29" i="4" s="1"/>
  <c r="C11" i="4"/>
  <c r="A11" i="4"/>
  <c r="CX8" i="4"/>
  <c r="CM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L8" i="4"/>
  <c r="K8" i="4"/>
  <c r="E26" i="4" s="1"/>
  <c r="H8" i="4"/>
  <c r="D8" i="4"/>
  <c r="D26" i="4" s="1"/>
  <c r="C8" i="4"/>
  <c r="A8" i="4"/>
  <c r="CX9" i="4"/>
  <c r="CM9" i="4"/>
  <c r="CF9" i="4"/>
  <c r="CE9" i="4"/>
  <c r="CD9" i="4"/>
  <c r="CC9" i="4"/>
  <c r="CB9" i="4"/>
  <c r="CA9" i="4"/>
  <c r="BZ9" i="4"/>
  <c r="BY9" i="4"/>
  <c r="BX9" i="4"/>
  <c r="BW9" i="4"/>
  <c r="BV9" i="4"/>
  <c r="BU9" i="4"/>
  <c r="BT9" i="4"/>
  <c r="BS9" i="4"/>
  <c r="BR9" i="4"/>
  <c r="BQ9" i="4"/>
  <c r="BP9" i="4"/>
  <c r="BO9" i="4"/>
  <c r="BN9" i="4"/>
  <c r="BM9" i="4"/>
  <c r="BL9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P27" i="4" s="1"/>
  <c r="AK27" i="4" s="1"/>
  <c r="AQ27" i="4" s="1"/>
  <c r="L9" i="4"/>
  <c r="K9" i="4"/>
  <c r="E27" i="4" s="1"/>
  <c r="K27" i="4" s="1"/>
  <c r="L27" i="4" s="1"/>
  <c r="M27" i="4" s="1"/>
  <c r="F9" i="4" s="1"/>
  <c r="H9" i="4"/>
  <c r="D9" i="4"/>
  <c r="D27" i="4" s="1"/>
  <c r="C9" i="4"/>
  <c r="A9" i="4"/>
  <c r="CX15" i="4"/>
  <c r="CM15" i="4"/>
  <c r="CF15" i="4"/>
  <c r="CE15" i="4"/>
  <c r="CD15" i="4"/>
  <c r="CC15" i="4"/>
  <c r="CB15" i="4"/>
  <c r="CA15" i="4"/>
  <c r="BZ15" i="4"/>
  <c r="BY15" i="4"/>
  <c r="BX15" i="4"/>
  <c r="BW15" i="4"/>
  <c r="BV15" i="4"/>
  <c r="BU15" i="4"/>
  <c r="BT15" i="4"/>
  <c r="BS15" i="4"/>
  <c r="BR15" i="4"/>
  <c r="BQ15" i="4"/>
  <c r="BP15" i="4"/>
  <c r="BO15" i="4"/>
  <c r="BN15" i="4"/>
  <c r="BM15" i="4"/>
  <c r="BL15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L15" i="4"/>
  <c r="K15" i="4"/>
  <c r="E33" i="4" s="1"/>
  <c r="K33" i="4" s="1"/>
  <c r="L33" i="4" s="1"/>
  <c r="M33" i="4" s="1"/>
  <c r="F15" i="4" s="1"/>
  <c r="H15" i="4"/>
  <c r="D15" i="4"/>
  <c r="D33" i="4" s="1"/>
  <c r="C15" i="4"/>
  <c r="A15" i="4"/>
  <c r="CX14" i="4"/>
  <c r="CM14" i="4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S14" i="4"/>
  <c r="BR14" i="4"/>
  <c r="BQ14" i="4"/>
  <c r="BP14" i="4"/>
  <c r="BN14" i="4"/>
  <c r="BM14" i="4"/>
  <c r="BL14" i="4"/>
  <c r="BK14" i="4"/>
  <c r="BJ14" i="4"/>
  <c r="BI14" i="4"/>
  <c r="BH14" i="4"/>
  <c r="BG14" i="4"/>
  <c r="BF14" i="4"/>
  <c r="BE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P32" i="4" s="1"/>
  <c r="AK32" i="4" s="1"/>
  <c r="AQ32" i="4" s="1"/>
  <c r="L14" i="4"/>
  <c r="K14" i="4"/>
  <c r="E32" i="4" s="1"/>
  <c r="K32" i="4" s="1"/>
  <c r="L32" i="4" s="1"/>
  <c r="M32" i="4" s="1"/>
  <c r="F14" i="4" s="1"/>
  <c r="H14" i="4"/>
  <c r="D14" i="4"/>
  <c r="D32" i="4" s="1"/>
  <c r="C14" i="4"/>
  <c r="A14" i="4"/>
  <c r="CX10" i="4"/>
  <c r="CM10" i="4"/>
  <c r="CF10" i="4"/>
  <c r="CE10" i="4"/>
  <c r="CD10" i="4"/>
  <c r="CC10" i="4"/>
  <c r="CB10" i="4"/>
  <c r="CA10" i="4"/>
  <c r="BZ10" i="4"/>
  <c r="BY10" i="4"/>
  <c r="BX10" i="4"/>
  <c r="BW10" i="4"/>
  <c r="BV10" i="4"/>
  <c r="BU10" i="4"/>
  <c r="BT10" i="4"/>
  <c r="BS10" i="4"/>
  <c r="BR10" i="4"/>
  <c r="BQ10" i="4"/>
  <c r="BP10" i="4"/>
  <c r="BN10" i="4"/>
  <c r="BM10" i="4"/>
  <c r="BL10" i="4"/>
  <c r="BK10" i="4"/>
  <c r="BJ10" i="4"/>
  <c r="BI10" i="4"/>
  <c r="BH10" i="4"/>
  <c r="BG10" i="4"/>
  <c r="BF10" i="4"/>
  <c r="BE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L10" i="4"/>
  <c r="K10" i="4"/>
  <c r="E28" i="4" s="1"/>
  <c r="H10" i="4"/>
  <c r="D10" i="4"/>
  <c r="D28" i="4" s="1"/>
  <c r="C10" i="4"/>
  <c r="A10" i="4"/>
  <c r="CX7" i="4"/>
  <c r="CM7" i="4"/>
  <c r="CF7" i="4"/>
  <c r="CE7" i="4"/>
  <c r="CD7" i="4"/>
  <c r="CC7" i="4"/>
  <c r="CB7" i="4"/>
  <c r="CA7" i="4"/>
  <c r="BZ7" i="4"/>
  <c r="BY7" i="4"/>
  <c r="BX7" i="4"/>
  <c r="BW7" i="4"/>
  <c r="BV7" i="4"/>
  <c r="BU7" i="4"/>
  <c r="BT7" i="4"/>
  <c r="BS7" i="4"/>
  <c r="BR7" i="4"/>
  <c r="BQ7" i="4"/>
  <c r="BP7" i="4"/>
  <c r="BO7" i="4"/>
  <c r="BN7" i="4"/>
  <c r="BM7" i="4"/>
  <c r="BL7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P25" i="4" s="1"/>
  <c r="AK25" i="4" s="1"/>
  <c r="AQ25" i="4" s="1"/>
  <c r="L7" i="4"/>
  <c r="K7" i="4"/>
  <c r="E25" i="4" s="1"/>
  <c r="K25" i="4" s="1"/>
  <c r="L25" i="4" s="1"/>
  <c r="M25" i="4" s="1"/>
  <c r="F7" i="4" s="1"/>
  <c r="H7" i="4"/>
  <c r="D7" i="4"/>
  <c r="D25" i="4" s="1"/>
  <c r="C7" i="4"/>
  <c r="A7" i="4"/>
  <c r="CX6" i="4"/>
  <c r="CM6" i="4"/>
  <c r="CF6" i="4"/>
  <c r="CE6" i="4"/>
  <c r="CD6" i="4"/>
  <c r="CC6" i="4"/>
  <c r="CB6" i="4"/>
  <c r="CA6" i="4"/>
  <c r="BZ6" i="4"/>
  <c r="BY6" i="4"/>
  <c r="BX6" i="4"/>
  <c r="BW6" i="4"/>
  <c r="BV6" i="4"/>
  <c r="BU6" i="4"/>
  <c r="BT6" i="4"/>
  <c r="BS6" i="4"/>
  <c r="BR6" i="4"/>
  <c r="BQ6" i="4"/>
  <c r="BP6" i="4"/>
  <c r="BO6" i="4"/>
  <c r="BN6" i="4"/>
  <c r="BM6" i="4"/>
  <c r="BL6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L6" i="4"/>
  <c r="K6" i="4"/>
  <c r="E24" i="4" s="1"/>
  <c r="H6" i="4"/>
  <c r="D6" i="4"/>
  <c r="D24" i="4" s="1"/>
  <c r="C6" i="4"/>
  <c r="A6" i="4"/>
  <c r="CX5" i="4"/>
  <c r="CM5" i="4"/>
  <c r="CF5" i="4"/>
  <c r="CE5" i="4"/>
  <c r="CD5" i="4"/>
  <c r="CC5" i="4"/>
  <c r="CB5" i="4"/>
  <c r="CA5" i="4"/>
  <c r="BZ5" i="4"/>
  <c r="BY5" i="4"/>
  <c r="BX5" i="4"/>
  <c r="BW5" i="4"/>
  <c r="BV5" i="4"/>
  <c r="BU5" i="4"/>
  <c r="BT5" i="4"/>
  <c r="BS5" i="4"/>
  <c r="BR5" i="4"/>
  <c r="BQ5" i="4"/>
  <c r="BP5" i="4"/>
  <c r="BO5" i="4"/>
  <c r="BN5" i="4"/>
  <c r="BM5" i="4"/>
  <c r="BL5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P23" i="4" s="1"/>
  <c r="AK23" i="4" s="1"/>
  <c r="AQ23" i="4" s="1"/>
  <c r="L5" i="4"/>
  <c r="K5" i="4"/>
  <c r="E23" i="4" s="1"/>
  <c r="K23" i="4" s="1"/>
  <c r="L23" i="4" s="1"/>
  <c r="M23" i="4" s="1"/>
  <c r="F5" i="4" s="1"/>
  <c r="H5" i="4"/>
  <c r="D5" i="4"/>
  <c r="D23" i="4" s="1"/>
  <c r="C5" i="4"/>
  <c r="A5" i="4"/>
  <c r="S4" i="4"/>
  <c r="S3" i="4"/>
  <c r="R4" i="4"/>
  <c r="R3" i="4"/>
  <c r="AT4" i="4"/>
  <c r="AT3" i="4"/>
  <c r="Q4" i="4"/>
  <c r="Q3" i="4"/>
  <c r="BU4" i="4"/>
  <c r="BU3" i="4"/>
  <c r="AY4" i="4"/>
  <c r="AY3" i="4"/>
  <c r="F22" i="4"/>
  <c r="L4" i="4"/>
  <c r="K4" i="4"/>
  <c r="E22" i="4" s="1"/>
  <c r="H4" i="4"/>
  <c r="CX4" i="4"/>
  <c r="P24" i="4" l="1"/>
  <c r="AK24" i="4" s="1"/>
  <c r="AQ24" i="4" s="1"/>
  <c r="P28" i="4"/>
  <c r="AK28" i="4" s="1"/>
  <c r="AQ28" i="4" s="1"/>
  <c r="P33" i="4"/>
  <c r="AK33" i="4" s="1"/>
  <c r="AQ33" i="4" s="1"/>
  <c r="P26" i="4"/>
  <c r="AK26" i="4" s="1"/>
  <c r="AQ26" i="4" s="1"/>
  <c r="P30" i="4"/>
  <c r="AK30" i="4" s="1"/>
  <c r="AQ30" i="4" s="1"/>
  <c r="J22" i="4"/>
  <c r="K22" i="4" s="1"/>
  <c r="L22" i="4" s="1"/>
  <c r="M22" i="4" s="1"/>
  <c r="F4" i="4" s="1"/>
  <c r="BP4" i="4" l="1"/>
  <c r="BP3" i="4"/>
  <c r="BE4" i="4" l="1"/>
  <c r="BE3" i="4"/>
  <c r="AN4" i="4" l="1"/>
  <c r="AN3" i="4"/>
  <c r="AM4" i="4"/>
  <c r="AM3" i="4"/>
  <c r="AO4" i="4"/>
  <c r="AO3" i="4"/>
  <c r="AG4" i="4" l="1"/>
  <c r="CM4" i="4" l="1"/>
  <c r="A4" i="4" l="1"/>
  <c r="W3" i="4" l="1"/>
  <c r="V3" i="4"/>
  <c r="AE4" i="4" l="1"/>
  <c r="AD4" i="4"/>
  <c r="AC4" i="4"/>
  <c r="AB4" i="4"/>
  <c r="AA4" i="4"/>
  <c r="Z4" i="4"/>
  <c r="Y4" i="4"/>
  <c r="X4" i="4"/>
  <c r="W4" i="4"/>
  <c r="V4" i="4"/>
  <c r="CF4" i="4"/>
  <c r="CE4" i="4"/>
  <c r="CD4" i="4"/>
  <c r="CC4" i="4"/>
  <c r="CB4" i="4"/>
  <c r="CA4" i="4"/>
  <c r="BZ4" i="4"/>
  <c r="BY4" i="4"/>
  <c r="CD3" i="4"/>
  <c r="CE3" i="4"/>
  <c r="CF3" i="4"/>
  <c r="CC3" i="4"/>
  <c r="CB3" i="4"/>
  <c r="CA3" i="4"/>
  <c r="BY3" i="4"/>
  <c r="BZ3" i="4"/>
  <c r="BX3" i="4"/>
  <c r="BX4" i="4"/>
  <c r="BW4" i="4"/>
  <c r="BV4" i="4"/>
  <c r="BT4" i="4"/>
  <c r="BS4" i="4"/>
  <c r="BR4" i="4"/>
  <c r="BQ4" i="4"/>
  <c r="BO4" i="4"/>
  <c r="BN4" i="4"/>
  <c r="BM4" i="4"/>
  <c r="BL4" i="4"/>
  <c r="BW3" i="4"/>
  <c r="BV3" i="4"/>
  <c r="BT3" i="4"/>
  <c r="BS3" i="4"/>
  <c r="BR3" i="4"/>
  <c r="BQ3" i="4"/>
  <c r="BM3" i="4"/>
  <c r="BL3" i="4"/>
  <c r="BK4" i="4"/>
  <c r="BJ4" i="4"/>
  <c r="BI4" i="4"/>
  <c r="BH4" i="4"/>
  <c r="BG4" i="4"/>
  <c r="BF4" i="4"/>
  <c r="BD4" i="4"/>
  <c r="BC4" i="4"/>
  <c r="BB4" i="4"/>
  <c r="BA4" i="4"/>
  <c r="BK3" i="4"/>
  <c r="BI3" i="4"/>
  <c r="BH3" i="4"/>
  <c r="BF3" i="4"/>
  <c r="BC3" i="4"/>
  <c r="BB3" i="4"/>
  <c r="BA3" i="4"/>
  <c r="AZ3" i="4"/>
  <c r="AZ4" i="4"/>
  <c r="AX4" i="4"/>
  <c r="AW4" i="4"/>
  <c r="AV4" i="4"/>
  <c r="AU4" i="4"/>
  <c r="AS4" i="4"/>
  <c r="AR4" i="4"/>
  <c r="AX3" i="4"/>
  <c r="AW3" i="4"/>
  <c r="AV3" i="4"/>
  <c r="AU3" i="4"/>
  <c r="AQ4" i="4"/>
  <c r="AP4" i="4"/>
  <c r="AL4" i="4"/>
  <c r="AK4" i="4"/>
  <c r="AJ4" i="4"/>
  <c r="AI4" i="4"/>
  <c r="AH4" i="4"/>
  <c r="AP3" i="4"/>
  <c r="AL3" i="4"/>
  <c r="AH3" i="4"/>
  <c r="AJ3" i="4"/>
  <c r="AG3" i="4"/>
  <c r="AF4" i="4"/>
  <c r="AF3" i="4"/>
  <c r="AE3" i="4" l="1"/>
  <c r="AD3" i="4"/>
  <c r="AC3" i="4"/>
  <c r="AB3" i="4"/>
  <c r="AA3" i="4"/>
  <c r="Z3" i="4"/>
  <c r="Y3" i="4"/>
  <c r="X3" i="4"/>
  <c r="U3" i="4" l="1"/>
  <c r="T3" i="4"/>
  <c r="O3" i="4"/>
  <c r="N4" i="4"/>
  <c r="U4" i="4"/>
  <c r="T4" i="4"/>
  <c r="P4" i="4"/>
  <c r="O4" i="4"/>
  <c r="D4" i="4"/>
  <c r="D22" i="4" s="1"/>
  <c r="C4" i="4"/>
  <c r="P22" i="4" l="1"/>
  <c r="AK22" i="4" s="1"/>
  <c r="AQ22" i="4" s="1"/>
  <c r="CN14" i="4" l="1"/>
  <c r="CR14" i="4"/>
  <c r="CN9" i="4"/>
  <c r="CR9" i="4"/>
  <c r="CN15" i="4"/>
  <c r="CR15" i="4"/>
  <c r="CN7" i="4"/>
  <c r="CR7" i="4"/>
  <c r="CN13" i="4"/>
  <c r="CR13" i="4"/>
  <c r="CN8" i="4"/>
  <c r="CR8" i="4"/>
  <c r="CR11" i="4"/>
  <c r="CN11" i="4"/>
  <c r="CN10" i="4"/>
  <c r="CR10" i="4"/>
  <c r="CN12" i="4"/>
  <c r="CR12" i="4"/>
  <c r="CN6" i="4"/>
  <c r="CR6" i="4"/>
  <c r="CN5" i="4"/>
  <c r="CR5" i="4"/>
  <c r="CN4" i="4"/>
  <c r="CR4" i="4"/>
  <c r="CY9" i="4" l="1"/>
  <c r="E9" i="4" s="1"/>
  <c r="DF9" i="4" s="1"/>
  <c r="CY15" i="4"/>
  <c r="E15" i="4" s="1"/>
  <c r="DF15" i="4" s="1"/>
  <c r="CY8" i="4"/>
  <c r="E8" i="4" s="1"/>
  <c r="DF8" i="4" s="1"/>
  <c r="CY11" i="4"/>
  <c r="E11" i="4" s="1"/>
  <c r="DF11" i="4" s="1"/>
  <c r="CY13" i="4"/>
  <c r="E13" i="4" s="1"/>
  <c r="DF13" i="4" s="1"/>
  <c r="CY10" i="4"/>
  <c r="E10" i="4" s="1"/>
  <c r="DF10" i="4" s="1"/>
  <c r="CY7" i="4"/>
  <c r="E7" i="4" s="1"/>
  <c r="DF7" i="4" s="1"/>
  <c r="CY6" i="4"/>
  <c r="E6" i="4" s="1"/>
  <c r="DF6" i="4" s="1"/>
  <c r="CY5" i="4"/>
  <c r="E5" i="4" s="1"/>
  <c r="DF5" i="4" s="1"/>
  <c r="CY14" i="4" l="1"/>
  <c r="E14" i="4" s="1"/>
  <c r="DF14" i="4" s="1"/>
  <c r="CY12" i="4"/>
  <c r="E12" i="4" s="1"/>
  <c r="DF12" i="4" s="1"/>
  <c r="G10" i="4"/>
  <c r="CY4" i="4"/>
  <c r="E4" i="4" s="1"/>
  <c r="DF4" i="4" s="1"/>
  <c r="G9" i="4" l="1"/>
  <c r="I9" i="4" s="1"/>
  <c r="J9" i="4" s="1"/>
  <c r="M9" i="4" s="1"/>
  <c r="G8" i="4"/>
  <c r="I8" i="4" s="1"/>
  <c r="J8" i="4" s="1"/>
  <c r="M8" i="4" s="1"/>
  <c r="G13" i="4"/>
  <c r="I13" i="4" s="1"/>
  <c r="J13" i="4" s="1"/>
  <c r="M13" i="4" s="1"/>
  <c r="G11" i="4"/>
  <c r="I11" i="4" s="1"/>
  <c r="J11" i="4" s="1"/>
  <c r="M11" i="4" s="1"/>
  <c r="G12" i="4"/>
  <c r="I12" i="4" s="1"/>
  <c r="J12" i="4" s="1"/>
  <c r="M12" i="4" s="1"/>
  <c r="G15" i="4"/>
  <c r="I15" i="4" s="1"/>
  <c r="J15" i="4" s="1"/>
  <c r="M15" i="4" s="1"/>
  <c r="G7" i="4"/>
  <c r="I7" i="4" s="1"/>
  <c r="J7" i="4" s="1"/>
  <c r="M7" i="4" s="1"/>
  <c r="G14" i="4"/>
  <c r="I14" i="4" s="1"/>
  <c r="J14" i="4" s="1"/>
  <c r="M14" i="4" s="1"/>
  <c r="I10" i="4"/>
  <c r="J10" i="4" s="1"/>
  <c r="M10" i="4" s="1"/>
  <c r="G4" i="4"/>
  <c r="G5" i="4" l="1"/>
  <c r="I5" i="4" s="1"/>
  <c r="J5" i="4" s="1"/>
  <c r="M5" i="4" s="1"/>
  <c r="G6" i="4"/>
  <c r="I6" i="4" s="1"/>
  <c r="J6" i="4" s="1"/>
  <c r="M6" i="4" s="1"/>
  <c r="I4" i="4"/>
  <c r="J4" i="4" s="1"/>
  <c r="M4" i="4" s="1"/>
  <c r="M16" i="4" l="1"/>
  <c r="M1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1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<sst xmlns="http://schemas.openxmlformats.org/spreadsheetml/2006/main" count="483" uniqueCount="313">
  <si>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</si>
  <si>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</si>
  <si>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</si>
  <si>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</si>
  <si>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</si>
  <si>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</si>
  <si>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</si>
  <si>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</si>
  <si>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</si>
  <si>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</si>
  <si>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</si>
  <si>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</si>
  <si>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</si>
  <si>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</si>
  <si>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</si>
  <si>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</si>
  <si>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</si>
  <si>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</si>
  <si>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</si>
  <si>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</si>
  <si>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</si>
  <si>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</si>
  <si>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</si>
  <si>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</si>
  <si>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</si>
  <si>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</si>
  <si>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</si>
  <si>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</si>
  <si>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</si>
  <si>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</si>
  <si>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</si>
  <si>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</si>
  <si>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</si>
  <si>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</si>
  <si>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</si>
  <si>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</si>
  <si>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</si>
  <si>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</si>
  <si>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</si>
  <si>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</si>
  <si>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</si>
  <si>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</si>
  <si>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</si>
  <si>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</si>
  <si>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</si>
  <si>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</si>
  <si>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</si>
  <si>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</si>
  <si>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</si>
  <si>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</si>
  <si>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</si>
  <si>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</si>
  <si>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</si>
  <si>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</si>
  <si>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</si>
  <si>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</si>
  <si>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</si>
  <si>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</si>
  <si>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</si>
  <si>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</si>
  <si>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</si>
  <si>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</si>
  <si>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</si>
  <si>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</si>
  <si>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</si>
  <si>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</si>
  <si>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</si>
  <si>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</si>
  <si>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</si>
  <si>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</si>
  <si>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</si>
  <si>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</si>
  <si>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</si>
  <si>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</si>
  <si>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</si>
  <si>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</si>
  <si>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</si>
  <si>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</si>
  <si>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</si>
  <si>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</si>
  <si>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</si>
  <si>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</si>
  <si>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</si>
  <si>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</si>
  <si>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</si>
  <si>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</si>
  <si>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</si>
  <si>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</si>
  <si>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</si>
  <si>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</si>
  <si>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</si>
  <si>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</si>
  <si>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</si>
  <si>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</si>
  <si>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</si>
  <si>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</si>
  <si>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</si>
  <si>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</si>
  <si>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</si>
  <si>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</si>
  <si>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</si>
  <si>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</si>
  <si>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</si>
  <si>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</si>
  <si>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</si>
  <si>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</si>
  <si>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</si>
  <si>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</si>
  <si>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</si>
  <si>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</si>
  <si>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</si>
  <si>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</si>
  <si>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</si>
  <si>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</si>
  <si>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</si>
  <si>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</si>
  <si>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</si>
  <si>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</si>
  <si>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</si>
  <si>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</si>
  <si>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</si>
  <si>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</si>
  <si>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</si>
  <si>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</si>
  <si>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</si>
  <si>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</si>
  <si>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</si>
  <si>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</si>
  <si>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</si>
  <si>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</si>
  <si>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</si>
  <si>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</si>
  <si>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</si>
  <si>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</si>
  <si>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</si>
  <si>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</si>
  <si>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</si>
  <si>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</si>
  <si>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</si>
  <si>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</si>
  <si>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</si>
  <si>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</si>
  <si>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</si>
  <si>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</si>
  <si>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</si>
  <si>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</si>
  <si>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</si>
  <si>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</si>
  <si>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</si>
  <si>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</si>
  <si>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</si>
  <si>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</si>
  <si>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</si>
  <si>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</si>
  <si>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</si>
  <si>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</si>
  <si>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</si>
  <si>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</si>
  <si>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</si>
  <si>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</si>
  <si>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</si>
  <si>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</si>
  <si>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</si>
  <si>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</si>
  <si>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</si>
  <si>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</si>
  <si>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</si>
  <si>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</si>
  <si>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</si>
  <si>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</si>
  <si>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</si>
  <si>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</si>
  <si>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</si>
  <si>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</si>
  <si>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</si>
  <si>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</si>
  <si>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</si>
  <si>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</si>
  <si>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</si>
  <si>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</si>
  <si>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</si>
  <si>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</si>
  <si>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</si>
  <si>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</si>
  <si>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</si>
  <si>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</si>
  <si>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</si>
  <si>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</si>
  <si>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</si>
  <si>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</si>
  <si>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</si>
  <si>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</si>
  <si>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</si>
  <si>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</si>
  <si>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</si>
  <si>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</si>
  <si>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</si>
  <si>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</si>
  <si>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</si>
  <si>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</si>
  <si>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</si>
  <si>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</si>
  <si>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</si>
  <si>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</si>
  <si>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</si>
  <si>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</si>
  <si>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</si>
  <si>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</si>
  <si>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</si>
  <si>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</si>
  <si>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</si>
  <si>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</si>
  <si>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</si>
  <si>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</si>
  <si>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</si>
  <si>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</si>
  <si>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</si>
  <si>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</si>
  <si>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</si>
  <si>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</si>
  <si>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ENQ-16887-25-26</t>
  </si>
  <si>
    <t>FA0200008</t>
  </si>
  <si>
    <t>2 CORE X 2.5 SQ. MM. CU/ARD - WIRE (PVC)</t>
  </si>
  <si>
    <t>WOOD</t>
  </si>
  <si>
    <t>KMS</t>
  </si>
  <si>
    <t>MD0100003</t>
  </si>
  <si>
    <t>DRUM - 28 X 14 X 23 X 2</t>
  </si>
  <si>
    <t>FA0200009</t>
  </si>
  <si>
    <t>3 CORE X 2.5 SQ. MM. CU/ARD - WIRE (PVC)</t>
  </si>
  <si>
    <t>FA0200016</t>
  </si>
  <si>
    <t>5 CORE X 2.5 SQ. MM. CU/ARD - WIRE (PVC)</t>
  </si>
  <si>
    <t>MD0100004</t>
  </si>
  <si>
    <t>DRUM - 28 X 10 X 23 X 2</t>
  </si>
  <si>
    <t>FA0200073</t>
  </si>
  <si>
    <t>19 CORE X 2.5 SQ. MM. CU/ARD - WIRE (PVC)</t>
  </si>
  <si>
    <t>MD0100075</t>
  </si>
  <si>
    <t>DRUM - 42 X 15 X 23 X 2</t>
  </si>
  <si>
    <t>FA0700002</t>
  </si>
  <si>
    <t>1 CORE X 630 SQ. MM. AL/ARD (XLPE)</t>
  </si>
  <si>
    <t>MD0100076</t>
  </si>
  <si>
    <t>DRUM - 62 X 25 X 32 X 3</t>
  </si>
  <si>
    <t>FA0700008</t>
  </si>
  <si>
    <t>1 CORE X 300 SQ. MM. AL/ARD. (XLPE)</t>
  </si>
  <si>
    <t>MD0100017</t>
  </si>
  <si>
    <t>DRUM - 52 X 18 X 36 X 2.5</t>
  </si>
  <si>
    <t>FA0700009</t>
  </si>
  <si>
    <t>1 CORE X 150 SQ. MM. ALU/ARD (XLPE)</t>
  </si>
  <si>
    <t>MD0100014</t>
  </si>
  <si>
    <t>DRUM - 48 X 21 X 32 X 2.25</t>
  </si>
  <si>
    <t>FA0900019</t>
  </si>
  <si>
    <t>2 CORE X 6 SQ. MM. AL/ARD - WIRE (PVC)</t>
  </si>
  <si>
    <t>FA1100007</t>
  </si>
  <si>
    <t>3.5 CORE X 70 SQ. MM. AL/ARD - STRIP (PVC)</t>
  </si>
  <si>
    <t>MD0100018</t>
  </si>
  <si>
    <t>DRUM - 54 X 24 X 35 X 3</t>
  </si>
  <si>
    <t>FA1100085</t>
  </si>
  <si>
    <t>3.5 CORE X 300 SQ. MM. AL/ARD - WIRE (XLPE)</t>
  </si>
  <si>
    <t>MD0100079</t>
  </si>
  <si>
    <t>DRUM - 80 X 35 X 39 X 3</t>
  </si>
  <si>
    <t>FA1100106</t>
  </si>
  <si>
    <t>3.5 CORE X 150 SQ. MM. AL/ARD - WIRE (XLPE)</t>
  </si>
  <si>
    <t>MD0100070</t>
  </si>
  <si>
    <t>DRUM - 68 X 24 X 32 X 3</t>
  </si>
  <si>
    <t>FA1100107</t>
  </si>
  <si>
    <t>3.5 CORE X 95 SQ. MM. AL/ARD - WIRE (XLPE)</t>
  </si>
  <si>
    <t>MD0100019</t>
  </si>
  <si>
    <t>DRUM - 54 X 24 X 32 X 3</t>
  </si>
  <si>
    <t>NOTE:</t>
  </si>
  <si>
    <t xml:space="preserve">  Please consider the Inner sheath FR and Outer sheath FRLSH for all CONTROL &amp; LT POWER cables , and consider the STEEL drum for  all cable, and length should be 500 m for all items.</t>
  </si>
  <si>
    <t>STEEL</t>
  </si>
  <si>
    <t>SP0400125</t>
  </si>
  <si>
    <t>CORRUGATED DISPATCH STEEL DRUM 1600 X 700 X 915 MM</t>
  </si>
  <si>
    <t>CABLE WEIGHT KG/KM</t>
  </si>
  <si>
    <t>DRUM WEIGHT</t>
  </si>
  <si>
    <t>CABLE + DRUM WEIGHT</t>
  </si>
  <si>
    <t>TRUCK/TRAILOR WEIGHT</t>
  </si>
  <si>
    <t>STEEL DRUM - 28 X 10 X 23 X 2</t>
  </si>
  <si>
    <t>MD0200019</t>
  </si>
  <si>
    <t>STEEL DRUM - 35" X 16 X 22</t>
  </si>
  <si>
    <t>SP0400144</t>
  </si>
  <si>
    <t>CORRUGATED DISPATCH STEEL DRUM 1060 X 600 X 965 MM</t>
  </si>
  <si>
    <t>SP0400145</t>
  </si>
  <si>
    <t>CORRUGATED DISPATCH STEEL DRUM 1320 X 850 X 965 MM</t>
  </si>
  <si>
    <t>SP0400112</t>
  </si>
  <si>
    <t>CORRUGATED DISPATCH STEEL DRUM 2000 X 1000 X 1000 MM</t>
  </si>
  <si>
    <t>SP0400124</t>
  </si>
  <si>
    <t>CORRUGATED DISPATCH STEEL DRUM 1220 X 550 X 915 MM</t>
  </si>
  <si>
    <t>16 MT</t>
  </si>
  <si>
    <t>Patna, Bihar-800027</t>
  </si>
  <si>
    <t>Dehri on Sone, Bihar-821307</t>
  </si>
  <si>
    <t>Bhojpur, Bihar-802301</t>
  </si>
  <si>
    <t>Gaya, Bihar-823002</t>
  </si>
  <si>
    <t>Biharsharif, Bihar-803118</t>
  </si>
  <si>
    <t>Bhagalpur, Bihar-812007</t>
  </si>
  <si>
    <t>Begusarai, Bihar-851129</t>
  </si>
  <si>
    <t>Purnea, Bihar-854301</t>
  </si>
  <si>
    <t>Muzaffarpur, Bihar-842003</t>
  </si>
  <si>
    <t>Vaishali(Hajipur), Bihar-844101</t>
  </si>
  <si>
    <t>Darbhanga, Bihar-846005</t>
  </si>
  <si>
    <t>Motihari, Bihar-845002</t>
  </si>
  <si>
    <t>Saran(Chapra), Bihar-841224</t>
  </si>
  <si>
    <t>Koshi(Madhepura), Bihar-852113</t>
  </si>
  <si>
    <t>AVERAGE =</t>
  </si>
  <si>
    <t>Store Area</t>
  </si>
  <si>
    <t>16 mt fare</t>
  </si>
  <si>
    <t>ESTIMATE COST =</t>
  </si>
  <si>
    <t>DIFF % FROM OUR PRICE =</t>
  </si>
  <si>
    <t>LP JULY 25</t>
  </si>
  <si>
    <t>FRLS</t>
  </si>
  <si>
    <t>WIRE ARM</t>
  </si>
  <si>
    <t>TOTAL</t>
  </si>
  <si>
    <t>DISC %</t>
  </si>
  <si>
    <t>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</si>
</sst>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0"/>
      <color rgb="FF6699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b/>
      <sz val="10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7" fillId="0" borderId="0"/>
    <xf numFmtId="43" fontId="1" fillId="0" borderId="0" applyFont="0" applyFill="0" applyBorder="0" applyAlignment="0" applyProtection="0"/>
  </cellStyleXfs>
  <cellXfs count="1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6" fillId="5" borderId="1" xfId="0" applyFont="1" applyFill="1" applyBorder="1" applyAlignment="1">
      <alignment horizontal="center" vertical="center" wrapText="1"/>
    </xf>
    <xf numFmtId="3" fontId="46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0" fontId="2" fillId="8" borderId="6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20" fillId="8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64" fontId="2" fillId="0" borderId="0" xfId="1" applyFont="1"/>
    <xf numFmtId="0" fontId="2" fillId="0" borderId="0" xfId="0" applyFont="1" applyAlignment="1">
      <alignment horizontal="center" vertical="center"/>
    </xf>
    <xf numFmtId="9" fontId="2" fillId="0" borderId="0" xfId="2" applyFont="1"/>
    <xf numFmtId="164" fontId="0" fillId="0" borderId="1" xfId="1" applyFont="1" applyBorder="1" applyAlignment="1">
      <alignment vertical="center" wrapText="1"/>
    </xf>
    <xf numFmtId="164" fontId="2" fillId="0" borderId="0" xfId="0" applyNumberFormat="1" applyFont="1" applyAlignment="1">
      <alignment vertical="top"/>
    </xf>
    <xf numFmtId="164" fontId="2" fillId="0" borderId="0" xfId="1" applyFont="1" applyAlignment="1">
      <alignment horizontal="right"/>
    </xf>
    <xf numFmtId="2" fontId="2" fillId="0" borderId="0" xfId="0" applyNumberFormat="1" applyFont="1" applyAlignment="1">
      <alignment horizontal="center"/>
    </xf>
    <xf numFmtId="43" fontId="0" fillId="0" borderId="1" xfId="0" applyNumberFormat="1" applyBorder="1" applyAlignment="1">
      <alignment horizontal="center" vertical="center" wrapText="1"/>
    </xf>
    <xf numFmtId="43" fontId="0" fillId="0" borderId="0" xfId="0" applyNumberFormat="1" applyAlignment="1">
      <alignment horizontal="center" vertical="center"/>
    </xf>
    <xf numFmtId="0" fontId="2" fillId="9" borderId="7" xfId="0" applyFont="1" applyFill="1" applyBorder="1" applyAlignment="1">
      <alignment horizontal="left" vertical="center" wrapText="1"/>
    </xf>
    <xf numFmtId="0" fontId="2" fillId="9" borderId="8" xfId="0" applyFont="1" applyFill="1" applyBorder="1" applyAlignment="1">
      <alignment horizontal="left" vertical="center" wrapText="1"/>
    </xf>
    <xf numFmtId="0" fontId="2" fillId="9" borderId="9" xfId="0" applyFont="1" applyFill="1" applyBorder="1" applyAlignment="1">
      <alignment horizontal="left" vertical="center" wrapText="1"/>
    </xf>
    <xf numFmtId="0" fontId="45" fillId="5" borderId="2" xfId="0" applyFont="1" applyFill="1" applyBorder="1" applyAlignment="1">
      <alignment horizontal="center" vertical="center" wrapText="1"/>
    </xf>
    <xf numFmtId="0" fontId="45" fillId="5" borderId="3" xfId="0" applyFont="1" applyFill="1" applyBorder="1" applyAlignment="1">
      <alignment horizontal="center" vertical="center" wrapText="1"/>
    </xf>
    <xf numFmtId="0" fontId="45" fillId="5" borderId="4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</cellXfs>
  <cellStyles count="6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activeCell="G9" sqref="G9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51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8" t="s">
        <v>138</v>
      </c>
      <c r="G1" s="58" t="s">
        <v>139</v>
      </c>
      <c r="H1" s="58" t="s">
        <v>140</v>
      </c>
      <c r="I1" s="58" t="s">
        <v>141</v>
      </c>
      <c r="J1" s="53" t="s">
        <v>82</v>
      </c>
      <c r="K1" s="53" t="s">
        <v>142</v>
      </c>
      <c r="L1" s="53" t="s">
        <v>143</v>
      </c>
      <c r="M1" s="53" t="s">
        <v>144</v>
      </c>
      <c r="N1" s="52" t="s">
        <v>4</v>
      </c>
      <c r="O1" s="52" t="s">
        <v>145</v>
      </c>
      <c r="P1" s="52" t="s">
        <v>146</v>
      </c>
      <c r="Q1" s="52" t="s">
        <v>147</v>
      </c>
      <c r="R1" s="56" t="s">
        <v>148</v>
      </c>
      <c r="S1" s="56" t="s">
        <v>149</v>
      </c>
      <c r="T1" s="56" t="s">
        <v>150</v>
      </c>
      <c r="U1" s="56" t="s">
        <v>151</v>
      </c>
      <c r="V1" s="55" t="s">
        <v>6</v>
      </c>
      <c r="W1" s="55" t="s">
        <v>152</v>
      </c>
      <c r="X1" s="55" t="s">
        <v>153</v>
      </c>
      <c r="Y1" s="55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4" t="s">
        <v>8</v>
      </c>
      <c r="AE1" s="54" t="s">
        <v>159</v>
      </c>
      <c r="AF1" s="54" t="s">
        <v>160</v>
      </c>
      <c r="AG1" s="54" t="s">
        <v>161</v>
      </c>
      <c r="AH1" s="55" t="s">
        <v>9</v>
      </c>
      <c r="AI1" s="55" t="s">
        <v>162</v>
      </c>
      <c r="AJ1" s="55" t="s">
        <v>163</v>
      </c>
      <c r="AK1" s="55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7" t="s">
        <v>168</v>
      </c>
      <c r="AQ1" s="57" t="s">
        <v>169</v>
      </c>
      <c r="AR1" s="57" t="s">
        <v>170</v>
      </c>
      <c r="AS1" s="57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220</v>
      </c>
      <c r="B2" s="63"/>
      <c r="C2" s="1" t="s">
        <v>221</v>
      </c>
      <c r="D2" s="1" t="s">
        <v>222</v>
      </c>
      <c r="E2" s="1" t="s">
        <v>223</v>
      </c>
      <c r="F2" s="58"/>
      <c r="G2" s="58"/>
      <c r="H2" s="58">
        <v>0</v>
      </c>
      <c r="I2" s="58"/>
      <c r="J2" s="53" t="s">
        <v>43</v>
      </c>
      <c r="K2" s="53"/>
      <c r="L2" s="53">
        <v>44</v>
      </c>
      <c r="M2" s="53"/>
      <c r="N2" s="52"/>
      <c r="O2" s="52"/>
      <c r="P2" s="52">
        <v>0</v>
      </c>
      <c r="Q2" s="52"/>
      <c r="R2" s="56"/>
      <c r="S2" s="56"/>
      <c r="T2" s="56">
        <v>0</v>
      </c>
      <c r="U2" s="56"/>
      <c r="V2" s="55" t="s">
        <v>64</v>
      </c>
      <c r="W2" s="55"/>
      <c r="X2" s="55">
        <v>26</v>
      </c>
      <c r="Y2" s="55"/>
      <c r="Z2" s="1" t="s">
        <v>7</v>
      </c>
      <c r="AA2" s="1"/>
      <c r="AB2" s="1">
        <v>3</v>
      </c>
      <c r="AC2" s="1"/>
      <c r="AD2" s="54" t="s">
        <v>54</v>
      </c>
      <c r="AE2" s="54"/>
      <c r="AF2" s="54">
        <v>39</v>
      </c>
      <c r="AG2" s="54"/>
      <c r="AH2" s="55" t="s">
        <v>78</v>
      </c>
      <c r="AI2" s="55"/>
      <c r="AJ2" s="55">
        <v>251</v>
      </c>
      <c r="AK2" s="55"/>
      <c r="AL2" s="1" t="s">
        <v>63</v>
      </c>
      <c r="AM2" s="1"/>
      <c r="AN2" s="1">
        <v>93</v>
      </c>
      <c r="AO2" s="1"/>
      <c r="AP2" s="57"/>
      <c r="AQ2" s="57"/>
      <c r="AR2" s="57">
        <v>0</v>
      </c>
      <c r="AS2" s="57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16</v>
      </c>
      <c r="BM2" s="70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4260</v>
      </c>
      <c r="CA2" s="1">
        <v>4260</v>
      </c>
      <c r="CB2" s="60"/>
      <c r="CC2" s="1"/>
      <c r="CD2" s="60"/>
      <c r="CE2" s="1"/>
      <c r="CF2" s="60"/>
      <c r="CG2" s="1"/>
      <c r="CH2" s="1">
        <v>4260</v>
      </c>
      <c r="CI2" s="60"/>
      <c r="CJ2" s="1"/>
      <c r="CK2" s="60"/>
      <c r="CL2" s="1"/>
      <c r="CM2" s="1"/>
      <c r="CN2" s="1"/>
      <c r="CO2" s="1">
        <v>4260</v>
      </c>
      <c r="CP2" s="60"/>
      <c r="CQ2" s="1">
        <v>4260</v>
      </c>
      <c r="CR2" s="60">
        <v>0.18</v>
      </c>
      <c r="CS2" s="1">
        <v>766.8</v>
      </c>
      <c r="CT2" s="1">
        <v>5026.8</v>
      </c>
      <c r="CU2" s="59">
        <v>2</v>
      </c>
      <c r="CV2" s="59" t="s">
        <v>224</v>
      </c>
      <c r="CW2" s="59">
        <v>10054</v>
      </c>
      <c r="CX2" s="1">
        <v>500</v>
      </c>
      <c r="CY2" s="10" t="s">
        <v>225</v>
      </c>
      <c r="CZ2" s="10" t="s">
        <v>226</v>
      </c>
    </row>
    <row r="3" spans="1:104" s="10" customFormat="1" ht="18" customHeight="1" x14ac:dyDescent="0.25">
      <c r="A3" s="6" t="s">
        <v>220</v>
      </c>
      <c r="B3" s="63"/>
      <c r="C3" s="1" t="s">
        <v>227</v>
      </c>
      <c r="D3" s="1" t="s">
        <v>228</v>
      </c>
      <c r="E3" s="1" t="s">
        <v>223</v>
      </c>
      <c r="F3" s="58"/>
      <c r="G3" s="58"/>
      <c r="H3" s="58">
        <v>0</v>
      </c>
      <c r="I3" s="58"/>
      <c r="J3" s="53" t="s">
        <v>43</v>
      </c>
      <c r="K3" s="53"/>
      <c r="L3" s="53">
        <v>67</v>
      </c>
      <c r="M3" s="53"/>
      <c r="N3" s="52"/>
      <c r="O3" s="52"/>
      <c r="P3" s="52">
        <v>0</v>
      </c>
      <c r="Q3" s="52"/>
      <c r="R3" s="56"/>
      <c r="S3" s="56"/>
      <c r="T3" s="56">
        <v>0</v>
      </c>
      <c r="U3" s="56"/>
      <c r="V3" s="55" t="s">
        <v>64</v>
      </c>
      <c r="W3" s="55"/>
      <c r="X3" s="55">
        <v>39</v>
      </c>
      <c r="Y3" s="55"/>
      <c r="Z3" s="1" t="s">
        <v>7</v>
      </c>
      <c r="AA3" s="1"/>
      <c r="AB3" s="1">
        <v>3</v>
      </c>
      <c r="AC3" s="1"/>
      <c r="AD3" s="54" t="s">
        <v>54</v>
      </c>
      <c r="AE3" s="54"/>
      <c r="AF3" s="54">
        <v>20</v>
      </c>
      <c r="AG3" s="54"/>
      <c r="AH3" s="55" t="s">
        <v>78</v>
      </c>
      <c r="AI3" s="55"/>
      <c r="AJ3" s="55">
        <v>264</v>
      </c>
      <c r="AK3" s="55"/>
      <c r="AL3" s="1" t="s">
        <v>63</v>
      </c>
      <c r="AM3" s="1"/>
      <c r="AN3" s="1">
        <v>97</v>
      </c>
      <c r="AO3" s="1"/>
      <c r="AP3" s="57"/>
      <c r="AQ3" s="57"/>
      <c r="AR3" s="57">
        <v>0</v>
      </c>
      <c r="AS3" s="57"/>
      <c r="AT3" s="1"/>
      <c r="AU3" s="1"/>
      <c r="AV3" s="1">
        <v>0</v>
      </c>
      <c r="AW3" s="1"/>
      <c r="AX3" s="1"/>
      <c r="AY3" s="1"/>
      <c r="AZ3" s="1">
        <v>0</v>
      </c>
      <c r="BA3" s="1"/>
      <c r="BB3" s="1"/>
      <c r="BC3" s="1"/>
      <c r="BD3" s="1">
        <v>0</v>
      </c>
      <c r="BE3" s="1"/>
      <c r="BF3" s="1"/>
      <c r="BG3" s="1"/>
      <c r="BH3" s="1">
        <v>0</v>
      </c>
      <c r="BI3" s="1"/>
      <c r="BJ3" s="1"/>
      <c r="BK3" s="1"/>
      <c r="BL3" s="1">
        <v>17</v>
      </c>
      <c r="BM3" s="70"/>
      <c r="BN3" s="1"/>
      <c r="BO3" s="1"/>
      <c r="BP3" s="1">
        <v>0</v>
      </c>
      <c r="BQ3" s="1"/>
      <c r="BR3" s="1"/>
      <c r="BS3" s="1"/>
      <c r="BT3" s="1">
        <v>0</v>
      </c>
      <c r="BU3" s="1"/>
      <c r="BV3" s="1"/>
      <c r="BW3" s="1"/>
      <c r="BX3" s="1">
        <v>0</v>
      </c>
      <c r="BY3" s="1"/>
      <c r="BZ3" s="1">
        <v>4260</v>
      </c>
      <c r="CA3" s="1">
        <v>4260</v>
      </c>
      <c r="CB3" s="60"/>
      <c r="CC3" s="1"/>
      <c r="CD3" s="60"/>
      <c r="CE3" s="1"/>
      <c r="CF3" s="60"/>
      <c r="CG3" s="1"/>
      <c r="CH3" s="1">
        <v>4260</v>
      </c>
      <c r="CI3" s="60"/>
      <c r="CJ3" s="1"/>
      <c r="CK3" s="60"/>
      <c r="CL3" s="1"/>
      <c r="CM3" s="1"/>
      <c r="CN3" s="1"/>
      <c r="CO3" s="1">
        <v>4260</v>
      </c>
      <c r="CP3" s="60"/>
      <c r="CQ3" s="1">
        <v>4260</v>
      </c>
      <c r="CR3" s="60">
        <v>0.18</v>
      </c>
      <c r="CS3" s="1">
        <v>766.8</v>
      </c>
      <c r="CT3" s="1">
        <v>5026.8</v>
      </c>
      <c r="CU3" s="59">
        <v>13</v>
      </c>
      <c r="CV3" s="59" t="s">
        <v>224</v>
      </c>
      <c r="CW3" s="59">
        <v>65348</v>
      </c>
      <c r="CX3" s="1">
        <v>500</v>
      </c>
      <c r="CY3" s="10" t="s">
        <v>225</v>
      </c>
      <c r="CZ3" s="10" t="s">
        <v>226</v>
      </c>
    </row>
    <row r="4" spans="1:104" s="10" customFormat="1" ht="18" customHeight="1" x14ac:dyDescent="0.25">
      <c r="A4" s="6" t="s">
        <v>220</v>
      </c>
      <c r="B4" s="63"/>
      <c r="C4" s="1" t="s">
        <v>229</v>
      </c>
      <c r="D4" s="1" t="s">
        <v>230</v>
      </c>
      <c r="E4" s="1" t="s">
        <v>223</v>
      </c>
      <c r="F4" s="58"/>
      <c r="G4" s="58"/>
      <c r="H4" s="58">
        <v>0</v>
      </c>
      <c r="I4" s="58"/>
      <c r="J4" s="53" t="s">
        <v>43</v>
      </c>
      <c r="K4" s="53"/>
      <c r="L4" s="53">
        <v>111</v>
      </c>
      <c r="M4" s="53"/>
      <c r="N4" s="52"/>
      <c r="O4" s="52"/>
      <c r="P4" s="52">
        <v>0</v>
      </c>
      <c r="Q4" s="52"/>
      <c r="R4" s="56"/>
      <c r="S4" s="56"/>
      <c r="T4" s="56">
        <v>0</v>
      </c>
      <c r="U4" s="56"/>
      <c r="V4" s="55" t="s">
        <v>64</v>
      </c>
      <c r="W4" s="55"/>
      <c r="X4" s="55">
        <v>65</v>
      </c>
      <c r="Y4" s="55"/>
      <c r="Z4" s="1" t="s">
        <v>7</v>
      </c>
      <c r="AA4" s="1"/>
      <c r="AB4" s="1">
        <v>4</v>
      </c>
      <c r="AC4" s="1"/>
      <c r="AD4" s="54" t="s">
        <v>54</v>
      </c>
      <c r="AE4" s="54"/>
      <c r="AF4" s="54">
        <v>28</v>
      </c>
      <c r="AG4" s="54"/>
      <c r="AH4" s="55" t="s">
        <v>78</v>
      </c>
      <c r="AI4" s="55"/>
      <c r="AJ4" s="55">
        <v>314</v>
      </c>
      <c r="AK4" s="55"/>
      <c r="AL4" s="1" t="s">
        <v>63</v>
      </c>
      <c r="AM4" s="1"/>
      <c r="AN4" s="1">
        <v>112</v>
      </c>
      <c r="AO4" s="1"/>
      <c r="AP4" s="57"/>
      <c r="AQ4" s="57"/>
      <c r="AR4" s="57">
        <v>0</v>
      </c>
      <c r="AS4" s="57"/>
      <c r="AT4" s="1"/>
      <c r="AU4" s="1"/>
      <c r="AV4" s="1">
        <v>0</v>
      </c>
      <c r="AW4" s="1"/>
      <c r="AX4" s="1"/>
      <c r="AY4" s="1"/>
      <c r="AZ4" s="1">
        <v>0</v>
      </c>
      <c r="BA4" s="1"/>
      <c r="BB4" s="1"/>
      <c r="BC4" s="1"/>
      <c r="BD4" s="1">
        <v>0</v>
      </c>
      <c r="BE4" s="1"/>
      <c r="BF4" s="1"/>
      <c r="BG4" s="1"/>
      <c r="BH4" s="1">
        <v>0</v>
      </c>
      <c r="BI4" s="1"/>
      <c r="BJ4" s="1"/>
      <c r="BK4" s="1"/>
      <c r="BL4" s="1">
        <v>0</v>
      </c>
      <c r="BM4" s="70"/>
      <c r="BN4" s="1"/>
      <c r="BO4" s="1"/>
      <c r="BP4" s="1">
        <v>0</v>
      </c>
      <c r="BQ4" s="1"/>
      <c r="BR4" s="1"/>
      <c r="BS4" s="1"/>
      <c r="BT4" s="1">
        <v>0</v>
      </c>
      <c r="BU4" s="1"/>
      <c r="BV4" s="1"/>
      <c r="BW4" s="1"/>
      <c r="BX4" s="1">
        <v>0</v>
      </c>
      <c r="BY4" s="1"/>
      <c r="BZ4" s="1">
        <v>3946</v>
      </c>
      <c r="CA4" s="1">
        <v>3946</v>
      </c>
      <c r="CB4" s="60"/>
      <c r="CC4" s="1"/>
      <c r="CD4" s="60"/>
      <c r="CE4" s="1"/>
      <c r="CF4" s="60"/>
      <c r="CG4" s="1"/>
      <c r="CH4" s="1">
        <v>3946</v>
      </c>
      <c r="CI4" s="60"/>
      <c r="CJ4" s="1"/>
      <c r="CK4" s="60"/>
      <c r="CL4" s="1"/>
      <c r="CM4" s="1"/>
      <c r="CN4" s="1"/>
      <c r="CO4" s="1">
        <v>3946</v>
      </c>
      <c r="CP4" s="60"/>
      <c r="CQ4" s="1">
        <v>3946</v>
      </c>
      <c r="CR4" s="60">
        <v>0.18</v>
      </c>
      <c r="CS4" s="1">
        <v>710.28</v>
      </c>
      <c r="CT4" s="1">
        <v>4656.28</v>
      </c>
      <c r="CU4" s="59">
        <v>11</v>
      </c>
      <c r="CV4" s="59" t="s">
        <v>224</v>
      </c>
      <c r="CW4" s="59">
        <v>51219</v>
      </c>
      <c r="CX4" s="1">
        <v>500</v>
      </c>
      <c r="CY4" s="10" t="s">
        <v>231</v>
      </c>
      <c r="CZ4" s="10" t="s">
        <v>232</v>
      </c>
    </row>
    <row r="5" spans="1:104" s="10" customFormat="1" ht="18" customHeight="1" x14ac:dyDescent="0.25">
      <c r="A5" s="6" t="s">
        <v>220</v>
      </c>
      <c r="B5" s="63"/>
      <c r="C5" s="1" t="s">
        <v>233</v>
      </c>
      <c r="D5" s="1" t="s">
        <v>234</v>
      </c>
      <c r="E5" s="1" t="s">
        <v>223</v>
      </c>
      <c r="F5" s="58"/>
      <c r="G5" s="58"/>
      <c r="H5" s="58">
        <v>0</v>
      </c>
      <c r="I5" s="58"/>
      <c r="J5" s="53" t="s">
        <v>43</v>
      </c>
      <c r="K5" s="53"/>
      <c r="L5" s="53">
        <v>422</v>
      </c>
      <c r="M5" s="53"/>
      <c r="N5" s="52"/>
      <c r="O5" s="52"/>
      <c r="P5" s="52">
        <v>0</v>
      </c>
      <c r="Q5" s="52"/>
      <c r="R5" s="56"/>
      <c r="S5" s="56"/>
      <c r="T5" s="56">
        <v>0</v>
      </c>
      <c r="U5" s="56"/>
      <c r="V5" s="55" t="s">
        <v>64</v>
      </c>
      <c r="W5" s="55"/>
      <c r="X5" s="55">
        <v>247</v>
      </c>
      <c r="Y5" s="55"/>
      <c r="Z5" s="1" t="s">
        <v>7</v>
      </c>
      <c r="AA5" s="1"/>
      <c r="AB5" s="1">
        <v>7</v>
      </c>
      <c r="AC5" s="1"/>
      <c r="AD5" s="54" t="s">
        <v>54</v>
      </c>
      <c r="AE5" s="54"/>
      <c r="AF5" s="54">
        <v>48</v>
      </c>
      <c r="AG5" s="54"/>
      <c r="AH5" s="55" t="s">
        <v>78</v>
      </c>
      <c r="AI5" s="55"/>
      <c r="AJ5" s="55">
        <v>607</v>
      </c>
      <c r="AK5" s="55"/>
      <c r="AL5" s="1" t="s">
        <v>63</v>
      </c>
      <c r="AM5" s="1"/>
      <c r="AN5" s="1">
        <v>195</v>
      </c>
      <c r="AO5" s="1"/>
      <c r="AP5" s="57"/>
      <c r="AQ5" s="57"/>
      <c r="AR5" s="57">
        <v>0</v>
      </c>
      <c r="AS5" s="57"/>
      <c r="AT5" s="1"/>
      <c r="AU5" s="1"/>
      <c r="AV5" s="1">
        <v>0</v>
      </c>
      <c r="AW5" s="1"/>
      <c r="AX5" s="1"/>
      <c r="AY5" s="1"/>
      <c r="AZ5" s="1">
        <v>0</v>
      </c>
      <c r="BA5" s="1"/>
      <c r="BB5" s="1"/>
      <c r="BC5" s="1"/>
      <c r="BD5" s="1">
        <v>0</v>
      </c>
      <c r="BE5" s="1"/>
      <c r="BF5" s="1"/>
      <c r="BG5" s="1"/>
      <c r="BH5" s="1">
        <v>0</v>
      </c>
      <c r="BI5" s="1"/>
      <c r="BJ5" s="1"/>
      <c r="BK5" s="1"/>
      <c r="BL5" s="1">
        <v>33</v>
      </c>
      <c r="BM5" s="1"/>
      <c r="BN5" s="1"/>
      <c r="BO5" s="1"/>
      <c r="BP5" s="1">
        <v>0</v>
      </c>
      <c r="BQ5" s="1"/>
      <c r="BR5" s="1"/>
      <c r="BS5" s="1"/>
      <c r="BT5" s="1">
        <v>0</v>
      </c>
      <c r="BU5" s="1"/>
      <c r="BV5" s="1"/>
      <c r="BW5" s="1"/>
      <c r="BX5" s="1">
        <v>0</v>
      </c>
      <c r="BY5" s="1"/>
      <c r="BZ5" s="1">
        <v>8626</v>
      </c>
      <c r="CA5" s="1">
        <v>8626</v>
      </c>
      <c r="CB5" s="60"/>
      <c r="CC5" s="1"/>
      <c r="CD5" s="60"/>
      <c r="CE5" s="1"/>
      <c r="CF5" s="60"/>
      <c r="CG5" s="1"/>
      <c r="CH5" s="1">
        <v>8626</v>
      </c>
      <c r="CI5" s="60"/>
      <c r="CJ5" s="1"/>
      <c r="CK5" s="60"/>
      <c r="CL5" s="1"/>
      <c r="CM5" s="1"/>
      <c r="CN5" s="1"/>
      <c r="CO5" s="1">
        <v>8626</v>
      </c>
      <c r="CP5" s="60"/>
      <c r="CQ5" s="1">
        <v>8626</v>
      </c>
      <c r="CR5" s="60">
        <v>0.18</v>
      </c>
      <c r="CS5" s="1">
        <v>1552.68</v>
      </c>
      <c r="CT5" s="1">
        <v>10178.68</v>
      </c>
      <c r="CU5" s="59">
        <v>14</v>
      </c>
      <c r="CV5" s="59" t="s">
        <v>224</v>
      </c>
      <c r="CW5" s="59">
        <v>142502</v>
      </c>
      <c r="CX5" s="1">
        <v>500</v>
      </c>
      <c r="CY5" s="10" t="s">
        <v>235</v>
      </c>
      <c r="CZ5" s="10" t="s">
        <v>236</v>
      </c>
    </row>
    <row r="6" spans="1:104" s="10" customFormat="1" ht="18" customHeight="1" x14ac:dyDescent="0.25">
      <c r="A6" s="6" t="s">
        <v>220</v>
      </c>
      <c r="B6" s="63"/>
      <c r="C6" s="1" t="s">
        <v>237</v>
      </c>
      <c r="D6" s="1" t="s">
        <v>238</v>
      </c>
      <c r="E6" s="1" t="s">
        <v>223</v>
      </c>
      <c r="F6" s="58"/>
      <c r="G6" s="58"/>
      <c r="H6" s="58">
        <v>0</v>
      </c>
      <c r="I6" s="58"/>
      <c r="J6" s="53" t="s">
        <v>41</v>
      </c>
      <c r="K6" s="53"/>
      <c r="L6" s="53">
        <v>1701</v>
      </c>
      <c r="M6" s="53"/>
      <c r="N6" s="52"/>
      <c r="O6" s="52"/>
      <c r="P6" s="52">
        <v>0</v>
      </c>
      <c r="Q6" s="52"/>
      <c r="R6" s="56"/>
      <c r="S6" s="56"/>
      <c r="T6" s="56">
        <v>0</v>
      </c>
      <c r="U6" s="56"/>
      <c r="V6" s="55" t="s">
        <v>47</v>
      </c>
      <c r="W6" s="55"/>
      <c r="X6" s="55">
        <v>295</v>
      </c>
      <c r="Y6" s="55"/>
      <c r="Z6" s="1"/>
      <c r="AA6" s="1"/>
      <c r="AB6" s="1">
        <v>0</v>
      </c>
      <c r="AC6" s="1"/>
      <c r="AD6" s="54"/>
      <c r="AE6" s="54"/>
      <c r="AF6" s="54">
        <v>0</v>
      </c>
      <c r="AG6" s="54"/>
      <c r="AH6" s="55" t="s">
        <v>67</v>
      </c>
      <c r="AI6" s="55"/>
      <c r="AJ6" s="55">
        <v>431</v>
      </c>
      <c r="AK6" s="55"/>
      <c r="AL6" s="1" t="s">
        <v>61</v>
      </c>
      <c r="AM6" s="1"/>
      <c r="AN6" s="1">
        <v>443</v>
      </c>
      <c r="AO6" s="1"/>
      <c r="AP6" s="57"/>
      <c r="AQ6" s="57"/>
      <c r="AR6" s="57">
        <v>0</v>
      </c>
      <c r="AS6" s="57"/>
      <c r="AT6" s="1"/>
      <c r="AU6" s="1"/>
      <c r="AV6" s="1">
        <v>0</v>
      </c>
      <c r="AW6" s="1"/>
      <c r="AX6" s="1"/>
      <c r="AY6" s="1"/>
      <c r="AZ6" s="1">
        <v>0</v>
      </c>
      <c r="BA6" s="1"/>
      <c r="BB6" s="1"/>
      <c r="BC6" s="1"/>
      <c r="BD6" s="1">
        <v>0</v>
      </c>
      <c r="BE6" s="1"/>
      <c r="BF6" s="1"/>
      <c r="BG6" s="1"/>
      <c r="BH6" s="1">
        <v>0</v>
      </c>
      <c r="BI6" s="1"/>
      <c r="BJ6" s="1"/>
      <c r="BK6" s="1"/>
      <c r="BL6" s="1">
        <v>0</v>
      </c>
      <c r="BM6" s="1"/>
      <c r="BN6" s="1"/>
      <c r="BO6" s="1"/>
      <c r="BP6" s="1">
        <v>0</v>
      </c>
      <c r="BQ6" s="1"/>
      <c r="BR6" s="1"/>
      <c r="BS6" s="1"/>
      <c r="BT6" s="1">
        <v>0</v>
      </c>
      <c r="BU6" s="1"/>
      <c r="BV6" s="1"/>
      <c r="BW6" s="1"/>
      <c r="BX6" s="1">
        <v>0</v>
      </c>
      <c r="BY6" s="1"/>
      <c r="BZ6" s="1">
        <v>18852</v>
      </c>
      <c r="CA6" s="1">
        <v>18852</v>
      </c>
      <c r="CB6" s="60"/>
      <c r="CC6" s="1"/>
      <c r="CD6" s="60"/>
      <c r="CE6" s="1"/>
      <c r="CF6" s="60"/>
      <c r="CG6" s="1"/>
      <c r="CH6" s="1">
        <v>18852</v>
      </c>
      <c r="CI6" s="60"/>
      <c r="CJ6" s="1"/>
      <c r="CK6" s="60"/>
      <c r="CL6" s="1"/>
      <c r="CM6" s="1"/>
      <c r="CN6" s="1"/>
      <c r="CO6" s="1">
        <v>18852</v>
      </c>
      <c r="CP6" s="60"/>
      <c r="CQ6" s="1">
        <v>18852</v>
      </c>
      <c r="CR6" s="60">
        <v>0.18</v>
      </c>
      <c r="CS6" s="1">
        <v>3393.36</v>
      </c>
      <c r="CT6" s="1">
        <v>22245.360000000001</v>
      </c>
      <c r="CU6" s="59">
        <v>7</v>
      </c>
      <c r="CV6" s="59" t="s">
        <v>224</v>
      </c>
      <c r="CW6" s="59">
        <v>155718</v>
      </c>
      <c r="CX6" s="1">
        <v>500</v>
      </c>
      <c r="CY6" s="10" t="s">
        <v>239</v>
      </c>
      <c r="CZ6" s="10" t="s">
        <v>240</v>
      </c>
    </row>
    <row r="7" spans="1:104" s="10" customFormat="1" ht="18" customHeight="1" x14ac:dyDescent="0.25">
      <c r="A7" s="6" t="s">
        <v>220</v>
      </c>
      <c r="B7" s="63"/>
      <c r="C7" s="1" t="s">
        <v>241</v>
      </c>
      <c r="D7" s="1" t="s">
        <v>242</v>
      </c>
      <c r="E7" s="1" t="s">
        <v>223</v>
      </c>
      <c r="F7" s="58"/>
      <c r="G7" s="58"/>
      <c r="H7" s="58">
        <v>0</v>
      </c>
      <c r="I7" s="58"/>
      <c r="J7" s="53" t="s">
        <v>41</v>
      </c>
      <c r="K7" s="53"/>
      <c r="L7" s="53">
        <v>810</v>
      </c>
      <c r="M7" s="53"/>
      <c r="N7" s="52"/>
      <c r="O7" s="52"/>
      <c r="P7" s="52">
        <v>0</v>
      </c>
      <c r="Q7" s="52"/>
      <c r="R7" s="56"/>
      <c r="S7" s="56"/>
      <c r="T7" s="56">
        <v>0</v>
      </c>
      <c r="U7" s="56"/>
      <c r="V7" s="55" t="s">
        <v>47</v>
      </c>
      <c r="W7" s="55"/>
      <c r="X7" s="55">
        <v>154</v>
      </c>
      <c r="Y7" s="55"/>
      <c r="Z7" s="1"/>
      <c r="AA7" s="1"/>
      <c r="AB7" s="1">
        <v>0</v>
      </c>
      <c r="AC7" s="1"/>
      <c r="AD7" s="54"/>
      <c r="AE7" s="54"/>
      <c r="AF7" s="54">
        <v>0</v>
      </c>
      <c r="AG7" s="54"/>
      <c r="AH7" s="55" t="s">
        <v>67</v>
      </c>
      <c r="AI7" s="55"/>
      <c r="AJ7" s="55">
        <v>238</v>
      </c>
      <c r="AK7" s="55"/>
      <c r="AL7" s="1" t="s">
        <v>61</v>
      </c>
      <c r="AM7" s="1"/>
      <c r="AN7" s="1">
        <v>259</v>
      </c>
      <c r="AO7" s="1"/>
      <c r="AP7" s="57"/>
      <c r="AQ7" s="57"/>
      <c r="AR7" s="57">
        <v>0</v>
      </c>
      <c r="AS7" s="57"/>
      <c r="AT7" s="1"/>
      <c r="AU7" s="1"/>
      <c r="AV7" s="1">
        <v>0</v>
      </c>
      <c r="AW7" s="1"/>
      <c r="AX7" s="1"/>
      <c r="AY7" s="1"/>
      <c r="AZ7" s="1">
        <v>0</v>
      </c>
      <c r="BA7" s="1"/>
      <c r="BB7" s="1"/>
      <c r="BC7" s="1"/>
      <c r="BD7" s="1">
        <v>0</v>
      </c>
      <c r="BE7" s="1"/>
      <c r="BF7" s="1"/>
      <c r="BG7" s="1"/>
      <c r="BH7" s="1">
        <v>0</v>
      </c>
      <c r="BI7" s="1"/>
      <c r="BJ7" s="1"/>
      <c r="BK7" s="1"/>
      <c r="BL7" s="1">
        <v>0</v>
      </c>
      <c r="BM7" s="1"/>
      <c r="BN7" s="1"/>
      <c r="BO7" s="1"/>
      <c r="BP7" s="1">
        <v>0</v>
      </c>
      <c r="BQ7" s="1"/>
      <c r="BR7" s="1"/>
      <c r="BS7" s="1"/>
      <c r="BT7" s="1">
        <v>0</v>
      </c>
      <c r="BU7" s="1"/>
      <c r="BV7" s="1"/>
      <c r="BW7" s="1"/>
      <c r="BX7" s="1">
        <v>0</v>
      </c>
      <c r="BY7" s="1"/>
      <c r="BZ7" s="1">
        <v>13372</v>
      </c>
      <c r="CA7" s="1">
        <v>13372</v>
      </c>
      <c r="CB7" s="60"/>
      <c r="CC7" s="1"/>
      <c r="CD7" s="60"/>
      <c r="CE7" s="1"/>
      <c r="CF7" s="60"/>
      <c r="CG7" s="1"/>
      <c r="CH7" s="1">
        <v>13372</v>
      </c>
      <c r="CI7" s="60"/>
      <c r="CJ7" s="1"/>
      <c r="CK7" s="60"/>
      <c r="CL7" s="1"/>
      <c r="CM7" s="1"/>
      <c r="CN7" s="1"/>
      <c r="CO7" s="1">
        <v>13372</v>
      </c>
      <c r="CP7" s="60"/>
      <c r="CQ7" s="1">
        <v>13372</v>
      </c>
      <c r="CR7" s="60">
        <v>0.18</v>
      </c>
      <c r="CS7" s="1">
        <v>2406.96</v>
      </c>
      <c r="CT7" s="1">
        <v>15778.96</v>
      </c>
      <c r="CU7" s="59">
        <v>7</v>
      </c>
      <c r="CV7" s="59" t="s">
        <v>224</v>
      </c>
      <c r="CW7" s="59">
        <v>110453</v>
      </c>
      <c r="CX7" s="1">
        <v>500</v>
      </c>
      <c r="CY7" s="10" t="s">
        <v>243</v>
      </c>
      <c r="CZ7" s="10" t="s">
        <v>244</v>
      </c>
    </row>
    <row r="8" spans="1:104" s="10" customFormat="1" ht="18" customHeight="1" x14ac:dyDescent="0.25">
      <c r="A8" s="6" t="s">
        <v>220</v>
      </c>
      <c r="B8" s="63"/>
      <c r="C8" s="1" t="s">
        <v>245</v>
      </c>
      <c r="D8" s="1" t="s">
        <v>246</v>
      </c>
      <c r="E8" s="1" t="s">
        <v>223</v>
      </c>
      <c r="F8" s="58"/>
      <c r="G8" s="58"/>
      <c r="H8" s="58">
        <v>0</v>
      </c>
      <c r="I8" s="58"/>
      <c r="J8" s="53" t="s">
        <v>41</v>
      </c>
      <c r="K8" s="53"/>
      <c r="L8" s="53">
        <v>405</v>
      </c>
      <c r="M8" s="53"/>
      <c r="N8" s="52"/>
      <c r="O8" s="52"/>
      <c r="P8" s="52">
        <v>0</v>
      </c>
      <c r="Q8" s="52"/>
      <c r="R8" s="56"/>
      <c r="S8" s="56"/>
      <c r="T8" s="56">
        <v>0</v>
      </c>
      <c r="U8" s="56"/>
      <c r="V8" s="55" t="s">
        <v>47</v>
      </c>
      <c r="W8" s="55"/>
      <c r="X8" s="55">
        <v>93</v>
      </c>
      <c r="Y8" s="55"/>
      <c r="Z8" s="1"/>
      <c r="AA8" s="1"/>
      <c r="AB8" s="1">
        <v>0</v>
      </c>
      <c r="AC8" s="1"/>
      <c r="AD8" s="54"/>
      <c r="AE8" s="54"/>
      <c r="AF8" s="54">
        <v>0</v>
      </c>
      <c r="AG8" s="54"/>
      <c r="AH8" s="55" t="s">
        <v>67</v>
      </c>
      <c r="AI8" s="55"/>
      <c r="AJ8" s="55">
        <v>175</v>
      </c>
      <c r="AK8" s="55"/>
      <c r="AL8" s="1" t="s">
        <v>61</v>
      </c>
      <c r="AM8" s="1"/>
      <c r="AN8" s="1">
        <v>180</v>
      </c>
      <c r="AO8" s="1"/>
      <c r="AP8" s="57"/>
      <c r="AQ8" s="57"/>
      <c r="AR8" s="57">
        <v>0</v>
      </c>
      <c r="AS8" s="57"/>
      <c r="AT8" s="1"/>
      <c r="AU8" s="1"/>
      <c r="AV8" s="1">
        <v>0</v>
      </c>
      <c r="AW8" s="1"/>
      <c r="AX8" s="1"/>
      <c r="AY8" s="1"/>
      <c r="AZ8" s="1">
        <v>0</v>
      </c>
      <c r="BA8" s="1"/>
      <c r="BB8" s="1"/>
      <c r="BC8" s="1"/>
      <c r="BD8" s="1">
        <v>0</v>
      </c>
      <c r="BE8" s="1"/>
      <c r="BF8" s="1"/>
      <c r="BG8" s="1"/>
      <c r="BH8" s="1">
        <v>0</v>
      </c>
      <c r="BI8" s="1"/>
      <c r="BJ8" s="1"/>
      <c r="BK8" s="1"/>
      <c r="BL8" s="1">
        <v>0</v>
      </c>
      <c r="BM8" s="1"/>
      <c r="BN8" s="1"/>
      <c r="BO8" s="1"/>
      <c r="BP8" s="1">
        <v>0</v>
      </c>
      <c r="BQ8" s="1"/>
      <c r="BR8" s="1"/>
      <c r="BS8" s="1"/>
      <c r="BT8" s="1">
        <v>0</v>
      </c>
      <c r="BU8" s="1"/>
      <c r="BV8" s="1"/>
      <c r="BW8" s="1"/>
      <c r="BX8" s="1">
        <v>0</v>
      </c>
      <c r="BY8" s="1"/>
      <c r="BZ8" s="1">
        <v>9734</v>
      </c>
      <c r="CA8" s="1">
        <v>9734</v>
      </c>
      <c r="CB8" s="60"/>
      <c r="CC8" s="1"/>
      <c r="CD8" s="60"/>
      <c r="CE8" s="1"/>
      <c r="CF8" s="60"/>
      <c r="CG8" s="1"/>
      <c r="CH8" s="1">
        <v>9734</v>
      </c>
      <c r="CI8" s="60"/>
      <c r="CJ8" s="1"/>
      <c r="CK8" s="60"/>
      <c r="CL8" s="1"/>
      <c r="CM8" s="1"/>
      <c r="CN8" s="1"/>
      <c r="CO8" s="1">
        <v>9734</v>
      </c>
      <c r="CP8" s="60"/>
      <c r="CQ8" s="1">
        <v>9734</v>
      </c>
      <c r="CR8" s="60">
        <v>0.18</v>
      </c>
      <c r="CS8" s="1">
        <v>1752.12</v>
      </c>
      <c r="CT8" s="1">
        <v>11486.12</v>
      </c>
      <c r="CU8" s="59">
        <v>10</v>
      </c>
      <c r="CV8" s="59" t="s">
        <v>224</v>
      </c>
      <c r="CW8" s="59">
        <v>114861</v>
      </c>
      <c r="CX8" s="1">
        <v>500</v>
      </c>
      <c r="CY8" s="10" t="s">
        <v>247</v>
      </c>
      <c r="CZ8" s="10" t="s">
        <v>248</v>
      </c>
    </row>
    <row r="9" spans="1:104" s="10" customFormat="1" ht="18" customHeight="1" x14ac:dyDescent="0.25">
      <c r="A9" s="6" t="s">
        <v>220</v>
      </c>
      <c r="B9" s="63"/>
      <c r="C9" s="1" t="s">
        <v>249</v>
      </c>
      <c r="D9" s="1" t="s">
        <v>250</v>
      </c>
      <c r="E9" s="1" t="s">
        <v>223</v>
      </c>
      <c r="F9" s="58"/>
      <c r="G9" s="58"/>
      <c r="H9" s="58">
        <v>0</v>
      </c>
      <c r="I9" s="58"/>
      <c r="J9" s="53" t="s">
        <v>41</v>
      </c>
      <c r="K9" s="53"/>
      <c r="L9" s="53">
        <v>32</v>
      </c>
      <c r="M9" s="53"/>
      <c r="N9" s="52"/>
      <c r="O9" s="52"/>
      <c r="P9" s="52">
        <v>0</v>
      </c>
      <c r="Q9" s="52"/>
      <c r="R9" s="56"/>
      <c r="S9" s="56"/>
      <c r="T9" s="56">
        <v>0</v>
      </c>
      <c r="U9" s="56"/>
      <c r="V9" s="55" t="s">
        <v>64</v>
      </c>
      <c r="W9" s="55"/>
      <c r="X9" s="55">
        <v>44</v>
      </c>
      <c r="Y9" s="55"/>
      <c r="Z9" s="1"/>
      <c r="AA9" s="1"/>
      <c r="AB9" s="1">
        <v>0</v>
      </c>
      <c r="AC9" s="1"/>
      <c r="AD9" s="54" t="s">
        <v>54</v>
      </c>
      <c r="AE9" s="54"/>
      <c r="AF9" s="54">
        <v>68</v>
      </c>
      <c r="AG9" s="54"/>
      <c r="AH9" s="55" t="s">
        <v>78</v>
      </c>
      <c r="AI9" s="55"/>
      <c r="AJ9" s="55">
        <v>314</v>
      </c>
      <c r="AK9" s="55"/>
      <c r="AL9" s="1" t="s">
        <v>63</v>
      </c>
      <c r="AM9" s="1"/>
      <c r="AN9" s="1">
        <v>118</v>
      </c>
      <c r="AO9" s="1"/>
      <c r="AP9" s="57"/>
      <c r="AQ9" s="57"/>
      <c r="AR9" s="57">
        <v>0</v>
      </c>
      <c r="AS9" s="57"/>
      <c r="AT9" s="1"/>
      <c r="AU9" s="1"/>
      <c r="AV9" s="1">
        <v>0</v>
      </c>
      <c r="AW9" s="1"/>
      <c r="AX9" s="1"/>
      <c r="AY9" s="1"/>
      <c r="AZ9" s="1">
        <v>0</v>
      </c>
      <c r="BA9" s="1"/>
      <c r="BB9" s="1"/>
      <c r="BC9" s="1"/>
      <c r="BD9" s="1">
        <v>0</v>
      </c>
      <c r="BE9" s="1"/>
      <c r="BF9" s="1"/>
      <c r="BG9" s="1"/>
      <c r="BH9" s="1">
        <v>0</v>
      </c>
      <c r="BI9" s="1"/>
      <c r="BJ9" s="1"/>
      <c r="BK9" s="1"/>
      <c r="BL9" s="1">
        <v>20</v>
      </c>
      <c r="BM9" s="1"/>
      <c r="BN9" s="1"/>
      <c r="BO9" s="1"/>
      <c r="BP9" s="1">
        <v>0</v>
      </c>
      <c r="BQ9" s="1"/>
      <c r="BR9" s="1"/>
      <c r="BS9" s="1"/>
      <c r="BT9" s="1">
        <v>0</v>
      </c>
      <c r="BU9" s="1"/>
      <c r="BV9" s="1"/>
      <c r="BW9" s="1"/>
      <c r="BX9" s="1">
        <v>0</v>
      </c>
      <c r="BY9" s="1"/>
      <c r="BZ9" s="1">
        <v>3946</v>
      </c>
      <c r="CA9" s="1">
        <v>3946</v>
      </c>
      <c r="CB9" s="60"/>
      <c r="CC9" s="1"/>
      <c r="CD9" s="60"/>
      <c r="CE9" s="1"/>
      <c r="CF9" s="60"/>
      <c r="CG9" s="1"/>
      <c r="CH9" s="1">
        <v>3946</v>
      </c>
      <c r="CI9" s="60"/>
      <c r="CJ9" s="1"/>
      <c r="CK9" s="60"/>
      <c r="CL9" s="1"/>
      <c r="CM9" s="1"/>
      <c r="CN9" s="1"/>
      <c r="CO9" s="1">
        <v>3946</v>
      </c>
      <c r="CP9" s="60"/>
      <c r="CQ9" s="1">
        <v>3946</v>
      </c>
      <c r="CR9" s="60">
        <v>0.18</v>
      </c>
      <c r="CS9" s="1">
        <v>710.28</v>
      </c>
      <c r="CT9" s="1">
        <v>4656.28</v>
      </c>
      <c r="CU9" s="59">
        <v>4</v>
      </c>
      <c r="CV9" s="59" t="s">
        <v>224</v>
      </c>
      <c r="CW9" s="59">
        <v>18625</v>
      </c>
      <c r="CX9" s="1">
        <v>500</v>
      </c>
      <c r="CY9" s="10" t="s">
        <v>231</v>
      </c>
      <c r="CZ9" s="10" t="s">
        <v>232</v>
      </c>
    </row>
    <row r="10" spans="1:104" s="10" customFormat="1" ht="18" customHeight="1" x14ac:dyDescent="0.25">
      <c r="A10" s="6" t="s">
        <v>220</v>
      </c>
      <c r="B10" s="63"/>
      <c r="C10" s="1" t="s">
        <v>251</v>
      </c>
      <c r="D10" s="1" t="s">
        <v>252</v>
      </c>
      <c r="E10" s="1" t="s">
        <v>223</v>
      </c>
      <c r="F10" s="58"/>
      <c r="G10" s="58"/>
      <c r="H10" s="58">
        <v>0</v>
      </c>
      <c r="I10" s="58"/>
      <c r="J10" s="53" t="s">
        <v>41</v>
      </c>
      <c r="K10" s="53"/>
      <c r="L10" s="53">
        <v>662</v>
      </c>
      <c r="M10" s="53"/>
      <c r="N10" s="52"/>
      <c r="O10" s="52"/>
      <c r="P10" s="52">
        <v>0</v>
      </c>
      <c r="Q10" s="52"/>
      <c r="R10" s="56"/>
      <c r="S10" s="56"/>
      <c r="T10" s="56">
        <v>0</v>
      </c>
      <c r="U10" s="56"/>
      <c r="V10" s="55" t="s">
        <v>64</v>
      </c>
      <c r="W10" s="55"/>
      <c r="X10" s="55">
        <v>250</v>
      </c>
      <c r="Y10" s="55"/>
      <c r="Z10" s="1"/>
      <c r="AA10" s="1"/>
      <c r="AB10" s="1">
        <v>0</v>
      </c>
      <c r="AC10" s="1"/>
      <c r="AD10" s="54" t="s">
        <v>54</v>
      </c>
      <c r="AE10" s="54"/>
      <c r="AF10" s="54">
        <v>76</v>
      </c>
      <c r="AG10" s="54"/>
      <c r="AH10" s="55" t="s">
        <v>49</v>
      </c>
      <c r="AI10" s="55"/>
      <c r="AJ10" s="55">
        <v>476</v>
      </c>
      <c r="AK10" s="55"/>
      <c r="AL10" s="1" t="s">
        <v>63</v>
      </c>
      <c r="AM10" s="1"/>
      <c r="AN10" s="1">
        <v>262</v>
      </c>
      <c r="AO10" s="1"/>
      <c r="AP10" s="57"/>
      <c r="AQ10" s="57"/>
      <c r="AR10" s="57">
        <v>0</v>
      </c>
      <c r="AS10" s="57"/>
      <c r="AT10" s="1"/>
      <c r="AU10" s="1"/>
      <c r="AV10" s="1">
        <v>0</v>
      </c>
      <c r="AW10" s="1"/>
      <c r="AX10" s="1"/>
      <c r="AY10" s="1"/>
      <c r="AZ10" s="1">
        <v>0</v>
      </c>
      <c r="BA10" s="1"/>
      <c r="BB10" s="1"/>
      <c r="BC10" s="1"/>
      <c r="BD10" s="1">
        <v>0</v>
      </c>
      <c r="BE10" s="1"/>
      <c r="BF10" s="1"/>
      <c r="BG10" s="1"/>
      <c r="BH10" s="1">
        <v>0</v>
      </c>
      <c r="BI10" s="1"/>
      <c r="BJ10" s="1"/>
      <c r="BK10" s="1"/>
      <c r="BL10" s="1">
        <v>43</v>
      </c>
      <c r="BM10" s="1"/>
      <c r="BN10" s="1"/>
      <c r="BO10" s="1"/>
      <c r="BP10" s="1">
        <v>0</v>
      </c>
      <c r="BQ10" s="1"/>
      <c r="BR10" s="1"/>
      <c r="BS10" s="1"/>
      <c r="BT10" s="1">
        <v>0</v>
      </c>
      <c r="BU10" s="1"/>
      <c r="BV10" s="1"/>
      <c r="BW10" s="1"/>
      <c r="BX10" s="1">
        <v>0</v>
      </c>
      <c r="BY10" s="1"/>
      <c r="BZ10" s="1">
        <v>15806</v>
      </c>
      <c r="CA10" s="1">
        <v>15806</v>
      </c>
      <c r="CB10" s="60"/>
      <c r="CC10" s="1"/>
      <c r="CD10" s="60"/>
      <c r="CE10" s="1"/>
      <c r="CF10" s="60"/>
      <c r="CG10" s="1"/>
      <c r="CH10" s="1">
        <v>15806</v>
      </c>
      <c r="CI10" s="60"/>
      <c r="CJ10" s="1"/>
      <c r="CK10" s="60"/>
      <c r="CL10" s="1"/>
      <c r="CM10" s="1"/>
      <c r="CN10" s="1"/>
      <c r="CO10" s="1">
        <v>15806</v>
      </c>
      <c r="CP10" s="60"/>
      <c r="CQ10" s="1">
        <v>15806</v>
      </c>
      <c r="CR10" s="60">
        <v>0.18</v>
      </c>
      <c r="CS10" s="1">
        <v>2845.08</v>
      </c>
      <c r="CT10" s="1">
        <v>18651.080000000002</v>
      </c>
      <c r="CU10" s="59">
        <v>17</v>
      </c>
      <c r="CV10" s="59" t="s">
        <v>224</v>
      </c>
      <c r="CW10" s="59">
        <v>317068</v>
      </c>
      <c r="CX10" s="1">
        <v>500</v>
      </c>
      <c r="CY10" s="10" t="s">
        <v>253</v>
      </c>
      <c r="CZ10" s="10" t="s">
        <v>254</v>
      </c>
    </row>
    <row r="11" spans="1:104" s="10" customFormat="1" ht="18" customHeight="1" x14ac:dyDescent="0.25">
      <c r="A11" s="6" t="s">
        <v>220</v>
      </c>
      <c r="B11" s="63"/>
      <c r="C11" s="1" t="s">
        <v>255</v>
      </c>
      <c r="D11" s="1" t="s">
        <v>256</v>
      </c>
      <c r="E11" s="1" t="s">
        <v>223</v>
      </c>
      <c r="F11" s="58"/>
      <c r="G11" s="58"/>
      <c r="H11" s="58">
        <v>0</v>
      </c>
      <c r="I11" s="58"/>
      <c r="J11" s="53" t="s">
        <v>41</v>
      </c>
      <c r="K11" s="53"/>
      <c r="L11" s="53">
        <v>2835</v>
      </c>
      <c r="M11" s="53"/>
      <c r="N11" s="52"/>
      <c r="O11" s="52"/>
      <c r="P11" s="52">
        <v>0</v>
      </c>
      <c r="Q11" s="52"/>
      <c r="R11" s="56"/>
      <c r="S11" s="56"/>
      <c r="T11" s="56">
        <v>0</v>
      </c>
      <c r="U11" s="56"/>
      <c r="V11" s="55" t="s">
        <v>47</v>
      </c>
      <c r="W11" s="55"/>
      <c r="X11" s="55">
        <v>430</v>
      </c>
      <c r="Y11" s="55"/>
      <c r="Z11" s="1"/>
      <c r="AA11" s="1"/>
      <c r="AB11" s="1">
        <v>0</v>
      </c>
      <c r="AC11" s="1"/>
      <c r="AD11" s="54" t="s">
        <v>58</v>
      </c>
      <c r="AE11" s="54"/>
      <c r="AF11" s="54">
        <v>245</v>
      </c>
      <c r="AG11" s="54"/>
      <c r="AH11" s="55" t="s">
        <v>78</v>
      </c>
      <c r="AI11" s="55"/>
      <c r="AJ11" s="55">
        <v>2852</v>
      </c>
      <c r="AK11" s="55"/>
      <c r="AL11" s="1" t="s">
        <v>61</v>
      </c>
      <c r="AM11" s="1"/>
      <c r="AN11" s="1">
        <v>754</v>
      </c>
      <c r="AO11" s="1"/>
      <c r="AP11" s="57"/>
      <c r="AQ11" s="57"/>
      <c r="AR11" s="57">
        <v>0</v>
      </c>
      <c r="AS11" s="57"/>
      <c r="AT11" s="1"/>
      <c r="AU11" s="1"/>
      <c r="AV11" s="1">
        <v>0</v>
      </c>
      <c r="AW11" s="1"/>
      <c r="AX11" s="1"/>
      <c r="AY11" s="1"/>
      <c r="AZ11" s="1">
        <v>0</v>
      </c>
      <c r="BA11" s="1"/>
      <c r="BB11" s="1"/>
      <c r="BC11" s="1"/>
      <c r="BD11" s="1">
        <v>0</v>
      </c>
      <c r="BE11" s="1"/>
      <c r="BF11" s="1"/>
      <c r="BG11" s="1"/>
      <c r="BH11" s="1">
        <v>0</v>
      </c>
      <c r="BI11" s="1"/>
      <c r="BJ11" s="1"/>
      <c r="BK11" s="1"/>
      <c r="BL11" s="1">
        <v>0</v>
      </c>
      <c r="BM11" s="1"/>
      <c r="BN11" s="1"/>
      <c r="BO11" s="1"/>
      <c r="BP11" s="1">
        <v>0</v>
      </c>
      <c r="BQ11" s="1"/>
      <c r="BR11" s="1"/>
      <c r="BS11" s="1"/>
      <c r="BT11" s="1">
        <v>0</v>
      </c>
      <c r="BU11" s="1"/>
      <c r="BV11" s="1"/>
      <c r="BW11" s="1"/>
      <c r="BX11" s="1">
        <v>0</v>
      </c>
      <c r="BY11" s="1"/>
      <c r="BZ11" s="1">
        <v>50240</v>
      </c>
      <c r="CA11" s="1">
        <v>50240</v>
      </c>
      <c r="CB11" s="60"/>
      <c r="CC11" s="1"/>
      <c r="CD11" s="60"/>
      <c r="CE11" s="1"/>
      <c r="CF11" s="60"/>
      <c r="CG11" s="1"/>
      <c r="CH11" s="1">
        <v>50240</v>
      </c>
      <c r="CI11" s="60"/>
      <c r="CJ11" s="1"/>
      <c r="CK11" s="60"/>
      <c r="CL11" s="1"/>
      <c r="CM11" s="1"/>
      <c r="CN11" s="1"/>
      <c r="CO11" s="1">
        <v>50240</v>
      </c>
      <c r="CP11" s="60"/>
      <c r="CQ11" s="1">
        <v>50240</v>
      </c>
      <c r="CR11" s="60">
        <v>0.18</v>
      </c>
      <c r="CS11" s="1">
        <v>9043.2000000000007</v>
      </c>
      <c r="CT11" s="1">
        <v>59283.199999999997</v>
      </c>
      <c r="CU11" s="59">
        <v>17</v>
      </c>
      <c r="CV11" s="59" t="s">
        <v>224</v>
      </c>
      <c r="CW11" s="59">
        <v>1007814</v>
      </c>
      <c r="CX11" s="1">
        <v>500</v>
      </c>
      <c r="CY11" s="10" t="s">
        <v>257</v>
      </c>
      <c r="CZ11" s="10" t="s">
        <v>258</v>
      </c>
    </row>
    <row r="12" spans="1:104" s="10" customFormat="1" ht="18" customHeight="1" x14ac:dyDescent="0.25">
      <c r="A12" s="6" t="s">
        <v>220</v>
      </c>
      <c r="B12" s="63"/>
      <c r="C12" s="1" t="s">
        <v>259</v>
      </c>
      <c r="D12" s="1" t="s">
        <v>260</v>
      </c>
      <c r="E12" s="1" t="s">
        <v>223</v>
      </c>
      <c r="F12" s="58"/>
      <c r="G12" s="58"/>
      <c r="H12" s="58">
        <v>0</v>
      </c>
      <c r="I12" s="58"/>
      <c r="J12" s="53" t="s">
        <v>41</v>
      </c>
      <c r="K12" s="53"/>
      <c r="L12" s="53">
        <v>1404</v>
      </c>
      <c r="M12" s="53"/>
      <c r="N12" s="52"/>
      <c r="O12" s="52"/>
      <c r="P12" s="52">
        <v>0</v>
      </c>
      <c r="Q12" s="52"/>
      <c r="R12" s="56"/>
      <c r="S12" s="56"/>
      <c r="T12" s="56">
        <v>0</v>
      </c>
      <c r="U12" s="56"/>
      <c r="V12" s="55" t="s">
        <v>47</v>
      </c>
      <c r="W12" s="55"/>
      <c r="X12" s="55">
        <v>244</v>
      </c>
      <c r="Y12" s="55"/>
      <c r="Z12" s="1"/>
      <c r="AA12" s="1"/>
      <c r="AB12" s="1">
        <v>0</v>
      </c>
      <c r="AC12" s="1"/>
      <c r="AD12" s="54" t="s">
        <v>58</v>
      </c>
      <c r="AE12" s="54"/>
      <c r="AF12" s="54">
        <v>124</v>
      </c>
      <c r="AG12" s="54"/>
      <c r="AH12" s="55" t="s">
        <v>78</v>
      </c>
      <c r="AI12" s="55"/>
      <c r="AJ12" s="55">
        <v>1312</v>
      </c>
      <c r="AK12" s="55"/>
      <c r="AL12" s="1" t="s">
        <v>61</v>
      </c>
      <c r="AM12" s="1"/>
      <c r="AN12" s="1">
        <v>416</v>
      </c>
      <c r="AO12" s="1"/>
      <c r="AP12" s="57"/>
      <c r="AQ12" s="57"/>
      <c r="AR12" s="57">
        <v>0</v>
      </c>
      <c r="AS12" s="57"/>
      <c r="AT12" s="1"/>
      <c r="AU12" s="1"/>
      <c r="AV12" s="1">
        <v>0</v>
      </c>
      <c r="AW12" s="1"/>
      <c r="AX12" s="1"/>
      <c r="AY12" s="1"/>
      <c r="AZ12" s="1">
        <v>0</v>
      </c>
      <c r="BA12" s="1"/>
      <c r="BB12" s="1"/>
      <c r="BC12" s="1"/>
      <c r="BD12" s="1">
        <v>0</v>
      </c>
      <c r="BE12" s="1"/>
      <c r="BF12" s="1"/>
      <c r="BG12" s="1"/>
      <c r="BH12" s="1">
        <v>0</v>
      </c>
      <c r="BI12" s="1"/>
      <c r="BJ12" s="1"/>
      <c r="BK12" s="1"/>
      <c r="BL12" s="1">
        <v>0</v>
      </c>
      <c r="BM12" s="1"/>
      <c r="BN12" s="1"/>
      <c r="BO12" s="1"/>
      <c r="BP12" s="1">
        <v>0</v>
      </c>
      <c r="BQ12" s="1"/>
      <c r="BR12" s="1"/>
      <c r="BS12" s="1"/>
      <c r="BT12" s="1">
        <v>0</v>
      </c>
      <c r="BU12" s="1"/>
      <c r="BV12" s="1"/>
      <c r="BW12" s="1"/>
      <c r="BX12" s="1">
        <v>0</v>
      </c>
      <c r="BY12" s="1"/>
      <c r="BZ12" s="1">
        <v>20094</v>
      </c>
      <c r="CA12" s="1">
        <v>20094</v>
      </c>
      <c r="CB12" s="60"/>
      <c r="CC12" s="1"/>
      <c r="CD12" s="60"/>
      <c r="CE12" s="1"/>
      <c r="CF12" s="60"/>
      <c r="CG12" s="1"/>
      <c r="CH12" s="1">
        <v>20094</v>
      </c>
      <c r="CI12" s="60"/>
      <c r="CJ12" s="1"/>
      <c r="CK12" s="60"/>
      <c r="CL12" s="1"/>
      <c r="CM12" s="1"/>
      <c r="CN12" s="1"/>
      <c r="CO12" s="1">
        <v>20094</v>
      </c>
      <c r="CP12" s="60"/>
      <c r="CQ12" s="1">
        <v>20094</v>
      </c>
      <c r="CR12" s="60">
        <v>0.18</v>
      </c>
      <c r="CS12" s="1">
        <v>3616.92</v>
      </c>
      <c r="CT12" s="1">
        <v>23710.92</v>
      </c>
      <c r="CU12" s="59">
        <v>14</v>
      </c>
      <c r="CV12" s="59" t="s">
        <v>224</v>
      </c>
      <c r="CW12" s="59">
        <v>331953</v>
      </c>
      <c r="CX12" s="1">
        <v>500</v>
      </c>
      <c r="CY12" s="10" t="s">
        <v>261</v>
      </c>
      <c r="CZ12" s="10" t="s">
        <v>262</v>
      </c>
    </row>
    <row r="13" spans="1:104" s="10" customFormat="1" ht="18" customHeight="1" x14ac:dyDescent="0.25">
      <c r="A13" s="6" t="s">
        <v>220</v>
      </c>
      <c r="B13" s="63"/>
      <c r="C13" s="1" t="s">
        <v>263</v>
      </c>
      <c r="D13" s="1" t="s">
        <v>264</v>
      </c>
      <c r="E13" s="1" t="s">
        <v>223</v>
      </c>
      <c r="F13" s="58"/>
      <c r="G13" s="58"/>
      <c r="H13" s="58">
        <v>0</v>
      </c>
      <c r="I13" s="58"/>
      <c r="J13" s="53" t="s">
        <v>41</v>
      </c>
      <c r="K13" s="53"/>
      <c r="L13" s="53">
        <v>904</v>
      </c>
      <c r="M13" s="53"/>
      <c r="N13" s="52"/>
      <c r="O13" s="52"/>
      <c r="P13" s="52">
        <v>0</v>
      </c>
      <c r="Q13" s="52"/>
      <c r="R13" s="56"/>
      <c r="S13" s="56"/>
      <c r="T13" s="56">
        <v>0</v>
      </c>
      <c r="U13" s="56"/>
      <c r="V13" s="55" t="s">
        <v>47</v>
      </c>
      <c r="W13" s="55"/>
      <c r="X13" s="55">
        <v>157</v>
      </c>
      <c r="Y13" s="55"/>
      <c r="Z13" s="1"/>
      <c r="AA13" s="1"/>
      <c r="AB13" s="1">
        <v>0</v>
      </c>
      <c r="AC13" s="1"/>
      <c r="AD13" s="54" t="s">
        <v>58</v>
      </c>
      <c r="AE13" s="54"/>
      <c r="AF13" s="54">
        <v>86</v>
      </c>
      <c r="AG13" s="54"/>
      <c r="AH13" s="55" t="s">
        <v>78</v>
      </c>
      <c r="AI13" s="55"/>
      <c r="AJ13" s="55">
        <v>1060</v>
      </c>
      <c r="AK13" s="55"/>
      <c r="AL13" s="1" t="s">
        <v>61</v>
      </c>
      <c r="AM13" s="1"/>
      <c r="AN13" s="1">
        <v>328</v>
      </c>
      <c r="AO13" s="1"/>
      <c r="AP13" s="57"/>
      <c r="AQ13" s="57"/>
      <c r="AR13" s="57">
        <v>0</v>
      </c>
      <c r="AS13" s="57"/>
      <c r="AT13" s="1"/>
      <c r="AU13" s="1"/>
      <c r="AV13" s="1">
        <v>0</v>
      </c>
      <c r="AW13" s="1"/>
      <c r="AX13" s="1"/>
      <c r="AY13" s="1"/>
      <c r="AZ13" s="1">
        <v>0</v>
      </c>
      <c r="BA13" s="1"/>
      <c r="BB13" s="1"/>
      <c r="BC13" s="1"/>
      <c r="BD13" s="1">
        <v>0</v>
      </c>
      <c r="BE13" s="1"/>
      <c r="BF13" s="1"/>
      <c r="BG13" s="1"/>
      <c r="BH13" s="1">
        <v>0</v>
      </c>
      <c r="BI13" s="1"/>
      <c r="BJ13" s="1"/>
      <c r="BK13" s="1"/>
      <c r="BL13" s="1">
        <v>0</v>
      </c>
      <c r="BM13" s="1"/>
      <c r="BN13" s="1"/>
      <c r="BO13" s="1"/>
      <c r="BP13" s="1">
        <v>0</v>
      </c>
      <c r="BQ13" s="1"/>
      <c r="BR13" s="1"/>
      <c r="BS13" s="1"/>
      <c r="BT13" s="1">
        <v>0</v>
      </c>
      <c r="BU13" s="1"/>
      <c r="BV13" s="1"/>
      <c r="BW13" s="1"/>
      <c r="BX13" s="1">
        <v>0</v>
      </c>
      <c r="BY13" s="1"/>
      <c r="BZ13" s="1">
        <v>14898</v>
      </c>
      <c r="CA13" s="1">
        <v>14898</v>
      </c>
      <c r="CB13" s="60"/>
      <c r="CC13" s="1"/>
      <c r="CD13" s="60"/>
      <c r="CE13" s="1"/>
      <c r="CF13" s="60"/>
      <c r="CG13" s="1"/>
      <c r="CH13" s="1">
        <v>14898</v>
      </c>
      <c r="CI13" s="60"/>
      <c r="CJ13" s="1"/>
      <c r="CK13" s="60"/>
      <c r="CL13" s="1"/>
      <c r="CM13" s="1"/>
      <c r="CN13" s="1"/>
      <c r="CO13" s="1">
        <v>14898</v>
      </c>
      <c r="CP13" s="60"/>
      <c r="CQ13" s="1">
        <v>14898</v>
      </c>
      <c r="CR13" s="60">
        <v>0.18</v>
      </c>
      <c r="CS13" s="1">
        <v>2681.64</v>
      </c>
      <c r="CT13" s="1">
        <v>17579.64</v>
      </c>
      <c r="CU13" s="59">
        <v>13</v>
      </c>
      <c r="CV13" s="59" t="s">
        <v>224</v>
      </c>
      <c r="CW13" s="59">
        <v>228535</v>
      </c>
      <c r="CX13" s="1">
        <v>500</v>
      </c>
      <c r="CY13" s="10" t="s">
        <v>265</v>
      </c>
      <c r="CZ13" s="10" t="s">
        <v>266</v>
      </c>
    </row>
    <row r="14" spans="1:104" s="10" customFormat="1" ht="18" customHeight="1" x14ac:dyDescent="0.25">
      <c r="A14" s="6"/>
      <c r="B14" s="6"/>
      <c r="C14" s="1"/>
      <c r="D14" s="1"/>
      <c r="E14" s="1"/>
      <c r="F14" s="58"/>
      <c r="G14" s="58"/>
      <c r="H14" s="58"/>
      <c r="I14" s="58"/>
      <c r="J14" s="53"/>
      <c r="K14" s="53"/>
      <c r="L14" s="53"/>
      <c r="M14" s="53"/>
      <c r="N14" s="52"/>
      <c r="O14" s="52"/>
      <c r="P14" s="52"/>
      <c r="Q14" s="52"/>
      <c r="R14" s="56"/>
      <c r="S14" s="56"/>
      <c r="T14" s="56"/>
      <c r="U14" s="56"/>
      <c r="V14" s="55"/>
      <c r="W14" s="55"/>
      <c r="X14" s="55"/>
      <c r="Y14" s="55"/>
      <c r="Z14" s="1"/>
      <c r="AA14" s="1"/>
      <c r="AB14" s="1"/>
      <c r="AC14" s="1"/>
      <c r="AD14" s="54"/>
      <c r="AE14" s="54"/>
      <c r="AF14" s="54"/>
      <c r="AG14" s="54"/>
      <c r="AH14" s="55"/>
      <c r="AI14" s="55"/>
      <c r="AJ14" s="55"/>
      <c r="AK14" s="55"/>
      <c r="AL14" s="1"/>
      <c r="AM14" s="1"/>
      <c r="AN14" s="1"/>
      <c r="AO14" s="1"/>
      <c r="AP14" s="57"/>
      <c r="AQ14" s="57"/>
      <c r="AR14" s="57"/>
      <c r="AS14" s="57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9"/>
      <c r="CW14" s="59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8"/>
      <c r="G15" s="58"/>
      <c r="H15" s="58"/>
      <c r="I15" s="58"/>
      <c r="J15" s="53"/>
      <c r="K15" s="53"/>
      <c r="L15" s="53"/>
      <c r="M15" s="53"/>
      <c r="N15" s="52"/>
      <c r="O15" s="52"/>
      <c r="P15" s="52"/>
      <c r="Q15" s="52"/>
      <c r="R15" s="56"/>
      <c r="S15" s="56"/>
      <c r="T15" s="56"/>
      <c r="U15" s="56"/>
      <c r="V15" s="55"/>
      <c r="W15" s="55"/>
      <c r="X15" s="55"/>
      <c r="Y15" s="55"/>
      <c r="Z15" s="1"/>
      <c r="AA15" s="1"/>
      <c r="AB15" s="1"/>
      <c r="AC15" s="1"/>
      <c r="AD15" s="54"/>
      <c r="AE15" s="54"/>
      <c r="AF15" s="54"/>
      <c r="AG15" s="54"/>
      <c r="AH15" s="55"/>
      <c r="AI15" s="55"/>
      <c r="AJ15" s="55"/>
      <c r="AK15" s="55"/>
      <c r="AL15" s="1"/>
      <c r="AM15" s="1"/>
      <c r="AN15" s="1"/>
      <c r="AO15" s="1"/>
      <c r="AP15" s="57"/>
      <c r="AQ15" s="57"/>
      <c r="AR15" s="57"/>
      <c r="AS15" s="57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9"/>
      <c r="CW15" s="59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8"/>
      <c r="G16" s="58"/>
      <c r="H16" s="58"/>
      <c r="I16" s="58"/>
      <c r="J16" s="53"/>
      <c r="K16" s="53"/>
      <c r="L16" s="53"/>
      <c r="M16" s="53"/>
      <c r="N16" s="52"/>
      <c r="O16" s="52"/>
      <c r="P16" s="52"/>
      <c r="Q16" s="52"/>
      <c r="R16" s="56"/>
      <c r="S16" s="56"/>
      <c r="T16" s="56"/>
      <c r="U16" s="56"/>
      <c r="V16" s="55"/>
      <c r="W16" s="55"/>
      <c r="X16" s="55"/>
      <c r="Y16" s="55"/>
      <c r="Z16" s="1"/>
      <c r="AA16" s="1"/>
      <c r="AB16" s="1"/>
      <c r="AC16" s="1"/>
      <c r="AD16" s="54"/>
      <c r="AE16" s="54"/>
      <c r="AF16" s="54"/>
      <c r="AG16" s="54"/>
      <c r="AH16" s="55"/>
      <c r="AI16" s="55"/>
      <c r="AJ16" s="55"/>
      <c r="AK16" s="55"/>
      <c r="AL16" s="1"/>
      <c r="AM16" s="1"/>
      <c r="AN16" s="1"/>
      <c r="AO16" s="1"/>
      <c r="AP16" s="57"/>
      <c r="AQ16" s="57"/>
      <c r="AR16" s="57"/>
      <c r="AS16" s="57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9"/>
      <c r="CW16" s="59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8"/>
      <c r="G17" s="58"/>
      <c r="H17" s="58"/>
      <c r="I17" s="58"/>
      <c r="J17" s="53"/>
      <c r="K17" s="53"/>
      <c r="L17" s="53"/>
      <c r="M17" s="53"/>
      <c r="N17" s="52"/>
      <c r="O17" s="52"/>
      <c r="P17" s="52"/>
      <c r="Q17" s="52"/>
      <c r="R17" s="56"/>
      <c r="S17" s="56"/>
      <c r="T17" s="56"/>
      <c r="U17" s="56"/>
      <c r="V17" s="55"/>
      <c r="W17" s="55"/>
      <c r="X17" s="55"/>
      <c r="Y17" s="55"/>
      <c r="Z17" s="1"/>
      <c r="AA17" s="1"/>
      <c r="AB17" s="1"/>
      <c r="AC17" s="1"/>
      <c r="AD17" s="54"/>
      <c r="AE17" s="54"/>
      <c r="AF17" s="54"/>
      <c r="AG17" s="54"/>
      <c r="AH17" s="55"/>
      <c r="AI17" s="55"/>
      <c r="AJ17" s="55"/>
      <c r="AK17" s="55"/>
      <c r="AL17" s="1"/>
      <c r="AM17" s="1"/>
      <c r="AN17" s="1"/>
      <c r="AO17" s="1"/>
      <c r="AP17" s="57"/>
      <c r="AQ17" s="57"/>
      <c r="AR17" s="57"/>
      <c r="AS17" s="57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9"/>
      <c r="CW17" s="59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8"/>
      <c r="G18" s="58"/>
      <c r="H18" s="58"/>
      <c r="I18" s="58"/>
      <c r="J18" s="53"/>
      <c r="K18" s="53"/>
      <c r="L18" s="53"/>
      <c r="M18" s="53"/>
      <c r="N18" s="52"/>
      <c r="O18" s="52"/>
      <c r="P18" s="52"/>
      <c r="Q18" s="52"/>
      <c r="R18" s="56"/>
      <c r="S18" s="56"/>
      <c r="T18" s="56"/>
      <c r="U18" s="56"/>
      <c r="V18" s="55"/>
      <c r="W18" s="55"/>
      <c r="X18" s="55"/>
      <c r="Y18" s="55"/>
      <c r="Z18" s="1"/>
      <c r="AA18" s="1"/>
      <c r="AB18" s="1"/>
      <c r="AC18" s="1"/>
      <c r="AD18" s="54"/>
      <c r="AE18" s="54"/>
      <c r="AF18" s="54"/>
      <c r="AG18" s="54"/>
      <c r="AH18" s="55"/>
      <c r="AI18" s="55"/>
      <c r="AJ18" s="55"/>
      <c r="AK18" s="55"/>
      <c r="AL18" s="1"/>
      <c r="AM18" s="1"/>
      <c r="AN18" s="1"/>
      <c r="AO18" s="1"/>
      <c r="AP18" s="57"/>
      <c r="AQ18" s="57"/>
      <c r="AR18" s="57"/>
      <c r="AS18" s="57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9"/>
      <c r="CW18" s="59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8"/>
      <c r="G19" s="58"/>
      <c r="H19" s="58"/>
      <c r="I19" s="58"/>
      <c r="J19" s="53"/>
      <c r="K19" s="53"/>
      <c r="L19" s="53"/>
      <c r="M19" s="53"/>
      <c r="N19" s="52"/>
      <c r="O19" s="52"/>
      <c r="P19" s="52"/>
      <c r="Q19" s="52"/>
      <c r="R19" s="56"/>
      <c r="S19" s="56"/>
      <c r="T19" s="56"/>
      <c r="U19" s="56"/>
      <c r="V19" s="55"/>
      <c r="W19" s="55"/>
      <c r="X19" s="55"/>
      <c r="Y19" s="55"/>
      <c r="Z19" s="1"/>
      <c r="AA19" s="1"/>
      <c r="AB19" s="1"/>
      <c r="AC19" s="1"/>
      <c r="AD19" s="54"/>
      <c r="AE19" s="54"/>
      <c r="AF19" s="54"/>
      <c r="AG19" s="54"/>
      <c r="AH19" s="55"/>
      <c r="AI19" s="55"/>
      <c r="AJ19" s="55"/>
      <c r="AK19" s="55"/>
      <c r="AL19" s="1"/>
      <c r="AM19" s="1"/>
      <c r="AN19" s="1"/>
      <c r="AO19" s="1"/>
      <c r="AP19" s="57"/>
      <c r="AQ19" s="57"/>
      <c r="AR19" s="57"/>
      <c r="AS19" s="57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9"/>
      <c r="CW19" s="59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8"/>
      <c r="G20" s="58"/>
      <c r="H20" s="58"/>
      <c r="I20" s="58"/>
      <c r="J20" s="53"/>
      <c r="K20" s="53"/>
      <c r="L20" s="53"/>
      <c r="M20" s="53"/>
      <c r="N20" s="52"/>
      <c r="O20" s="52"/>
      <c r="P20" s="52"/>
      <c r="Q20" s="52"/>
      <c r="R20" s="56"/>
      <c r="S20" s="56"/>
      <c r="T20" s="56"/>
      <c r="U20" s="56"/>
      <c r="V20" s="55"/>
      <c r="W20" s="55"/>
      <c r="X20" s="55"/>
      <c r="Y20" s="55"/>
      <c r="Z20" s="1"/>
      <c r="AA20" s="1"/>
      <c r="AB20" s="1"/>
      <c r="AC20" s="1"/>
      <c r="AD20" s="54"/>
      <c r="AE20" s="54"/>
      <c r="AF20" s="54"/>
      <c r="AG20" s="54"/>
      <c r="AH20" s="55"/>
      <c r="AI20" s="55"/>
      <c r="AJ20" s="55"/>
      <c r="AK20" s="55"/>
      <c r="AL20" s="1"/>
      <c r="AM20" s="1"/>
      <c r="AN20" s="1"/>
      <c r="AO20" s="1"/>
      <c r="AP20" s="57"/>
      <c r="AQ20" s="57"/>
      <c r="AR20" s="57"/>
      <c r="AS20" s="57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9"/>
      <c r="CW20" s="59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8"/>
      <c r="G21" s="58"/>
      <c r="H21" s="58"/>
      <c r="I21" s="58"/>
      <c r="J21" s="53"/>
      <c r="K21" s="53"/>
      <c r="L21" s="53"/>
      <c r="M21" s="53"/>
      <c r="N21" s="52"/>
      <c r="O21" s="52"/>
      <c r="P21" s="52"/>
      <c r="Q21" s="52"/>
      <c r="R21" s="56"/>
      <c r="S21" s="56"/>
      <c r="T21" s="56"/>
      <c r="U21" s="56"/>
      <c r="V21" s="55"/>
      <c r="W21" s="55"/>
      <c r="X21" s="55"/>
      <c r="Y21" s="55"/>
      <c r="Z21" s="1"/>
      <c r="AA21" s="1"/>
      <c r="AB21" s="1"/>
      <c r="AC21" s="1"/>
      <c r="AD21" s="54"/>
      <c r="AE21" s="54"/>
      <c r="AF21" s="54"/>
      <c r="AG21" s="54"/>
      <c r="AH21" s="55"/>
      <c r="AI21" s="55"/>
      <c r="AJ21" s="55"/>
      <c r="AK21" s="55"/>
      <c r="AL21" s="1"/>
      <c r="AM21" s="1"/>
      <c r="AN21" s="1"/>
      <c r="AO21" s="1"/>
      <c r="AP21" s="57"/>
      <c r="AQ21" s="57"/>
      <c r="AR21" s="57"/>
      <c r="AS21" s="57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9"/>
      <c r="CW21" s="59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8"/>
      <c r="G22" s="58"/>
      <c r="H22" s="58"/>
      <c r="I22" s="58"/>
      <c r="J22" s="53"/>
      <c r="K22" s="53"/>
      <c r="L22" s="53"/>
      <c r="M22" s="53"/>
      <c r="N22" s="52"/>
      <c r="O22" s="52"/>
      <c r="P22" s="52"/>
      <c r="Q22" s="52"/>
      <c r="R22" s="56"/>
      <c r="S22" s="56"/>
      <c r="T22" s="56"/>
      <c r="U22" s="56"/>
      <c r="V22" s="55"/>
      <c r="W22" s="55"/>
      <c r="X22" s="55"/>
      <c r="Y22" s="55"/>
      <c r="Z22" s="1"/>
      <c r="AA22" s="1"/>
      <c r="AB22" s="1"/>
      <c r="AC22" s="1"/>
      <c r="AD22" s="54"/>
      <c r="AE22" s="54"/>
      <c r="AF22" s="54"/>
      <c r="AG22" s="54"/>
      <c r="AH22" s="55"/>
      <c r="AI22" s="55"/>
      <c r="AJ22" s="55"/>
      <c r="AK22" s="55"/>
      <c r="AL22" s="1"/>
      <c r="AM22" s="1"/>
      <c r="AN22" s="1"/>
      <c r="AO22" s="1"/>
      <c r="AP22" s="57"/>
      <c r="AQ22" s="57"/>
      <c r="AR22" s="57"/>
      <c r="AS22" s="57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9"/>
      <c r="CW22" s="59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8"/>
      <c r="G23" s="58"/>
      <c r="H23" s="58"/>
      <c r="I23" s="58"/>
      <c r="J23" s="53"/>
      <c r="K23" s="53"/>
      <c r="L23" s="53"/>
      <c r="M23" s="53"/>
      <c r="N23" s="52"/>
      <c r="O23" s="52"/>
      <c r="P23" s="52"/>
      <c r="Q23" s="52"/>
      <c r="R23" s="56"/>
      <c r="S23" s="56"/>
      <c r="T23" s="56"/>
      <c r="U23" s="56"/>
      <c r="V23" s="55"/>
      <c r="W23" s="55"/>
      <c r="X23" s="55"/>
      <c r="Y23" s="55"/>
      <c r="Z23" s="1"/>
      <c r="AA23" s="1"/>
      <c r="AB23" s="1"/>
      <c r="AC23" s="1"/>
      <c r="AD23" s="54"/>
      <c r="AE23" s="54"/>
      <c r="AF23" s="54"/>
      <c r="AG23" s="54"/>
      <c r="AH23" s="55"/>
      <c r="AI23" s="55"/>
      <c r="AJ23" s="55"/>
      <c r="AK23" s="55"/>
      <c r="AL23" s="1"/>
      <c r="AM23" s="1"/>
      <c r="AN23" s="1"/>
      <c r="AO23" s="1"/>
      <c r="AP23" s="57"/>
      <c r="AQ23" s="57"/>
      <c r="AR23" s="57"/>
      <c r="AS23" s="57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9"/>
      <c r="CW23" s="59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8"/>
      <c r="G24" s="58"/>
      <c r="H24" s="58"/>
      <c r="I24" s="58"/>
      <c r="J24" s="53"/>
      <c r="K24" s="53"/>
      <c r="L24" s="53"/>
      <c r="M24" s="53"/>
      <c r="N24" s="52"/>
      <c r="O24" s="52"/>
      <c r="P24" s="52"/>
      <c r="Q24" s="52"/>
      <c r="R24" s="56"/>
      <c r="S24" s="56"/>
      <c r="T24" s="56"/>
      <c r="U24" s="56"/>
      <c r="V24" s="55"/>
      <c r="W24" s="55"/>
      <c r="X24" s="55"/>
      <c r="Y24" s="55"/>
      <c r="Z24" s="1"/>
      <c r="AA24" s="1"/>
      <c r="AB24" s="1"/>
      <c r="AC24" s="1"/>
      <c r="AD24" s="54"/>
      <c r="AE24" s="54"/>
      <c r="AF24" s="54"/>
      <c r="AG24" s="54"/>
      <c r="AH24" s="55"/>
      <c r="AI24" s="55"/>
      <c r="AJ24" s="55"/>
      <c r="AK24" s="55"/>
      <c r="AL24" s="1"/>
      <c r="AM24" s="1"/>
      <c r="AN24" s="1"/>
      <c r="AO24" s="1"/>
      <c r="AP24" s="57"/>
      <c r="AQ24" s="57"/>
      <c r="AR24" s="57"/>
      <c r="AS24" s="57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9"/>
      <c r="CW24" s="59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8"/>
      <c r="G25" s="58"/>
      <c r="H25" s="58"/>
      <c r="I25" s="58"/>
      <c r="J25" s="53"/>
      <c r="K25" s="53"/>
      <c r="L25" s="53"/>
      <c r="M25" s="53"/>
      <c r="N25" s="52"/>
      <c r="O25" s="52"/>
      <c r="P25" s="52"/>
      <c r="Q25" s="52"/>
      <c r="R25" s="56"/>
      <c r="S25" s="56"/>
      <c r="T25" s="56"/>
      <c r="U25" s="56"/>
      <c r="V25" s="55"/>
      <c r="W25" s="55"/>
      <c r="X25" s="55"/>
      <c r="Y25" s="55"/>
      <c r="Z25" s="1"/>
      <c r="AA25" s="1"/>
      <c r="AB25" s="1"/>
      <c r="AC25" s="1"/>
      <c r="AD25" s="54"/>
      <c r="AE25" s="54"/>
      <c r="AF25" s="54"/>
      <c r="AG25" s="54"/>
      <c r="AH25" s="55"/>
      <c r="AI25" s="55"/>
      <c r="AJ25" s="55"/>
      <c r="AK25" s="55"/>
      <c r="AL25" s="1"/>
      <c r="AM25" s="1"/>
      <c r="AN25" s="1"/>
      <c r="AO25" s="1"/>
      <c r="AP25" s="57"/>
      <c r="AQ25" s="57"/>
      <c r="AR25" s="57"/>
      <c r="AS25" s="57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9"/>
      <c r="CW25" s="59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8"/>
      <c r="G26" s="58"/>
      <c r="H26" s="58"/>
      <c r="I26" s="58"/>
      <c r="J26" s="53"/>
      <c r="K26" s="53"/>
      <c r="L26" s="53"/>
      <c r="M26" s="53"/>
      <c r="N26" s="52"/>
      <c r="O26" s="52"/>
      <c r="P26" s="52"/>
      <c r="Q26" s="52"/>
      <c r="R26" s="56"/>
      <c r="S26" s="56"/>
      <c r="T26" s="56"/>
      <c r="U26" s="56"/>
      <c r="V26" s="55"/>
      <c r="W26" s="55"/>
      <c r="X26" s="55"/>
      <c r="Y26" s="55"/>
      <c r="Z26" s="1"/>
      <c r="AA26" s="1"/>
      <c r="AB26" s="1"/>
      <c r="AC26" s="1"/>
      <c r="AD26" s="54"/>
      <c r="AE26" s="54"/>
      <c r="AF26" s="54"/>
      <c r="AG26" s="54"/>
      <c r="AH26" s="55"/>
      <c r="AI26" s="55"/>
      <c r="AJ26" s="55"/>
      <c r="AK26" s="55"/>
      <c r="AL26" s="1"/>
      <c r="AM26" s="1"/>
      <c r="AN26" s="1"/>
      <c r="AO26" s="1"/>
      <c r="AP26" s="57"/>
      <c r="AQ26" s="57"/>
      <c r="AR26" s="57"/>
      <c r="AS26" s="57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9"/>
      <c r="CW26" s="59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8"/>
      <c r="G27" s="58"/>
      <c r="H27" s="58"/>
      <c r="I27" s="58"/>
      <c r="J27" s="53"/>
      <c r="K27" s="53"/>
      <c r="L27" s="53"/>
      <c r="M27" s="53"/>
      <c r="N27" s="52"/>
      <c r="O27" s="52"/>
      <c r="P27" s="52"/>
      <c r="Q27" s="52"/>
      <c r="R27" s="56"/>
      <c r="S27" s="56"/>
      <c r="T27" s="56"/>
      <c r="U27" s="56"/>
      <c r="V27" s="55"/>
      <c r="W27" s="55"/>
      <c r="X27" s="55"/>
      <c r="Y27" s="55"/>
      <c r="Z27" s="1"/>
      <c r="AA27" s="1"/>
      <c r="AB27" s="1"/>
      <c r="AC27" s="1"/>
      <c r="AD27" s="54"/>
      <c r="AE27" s="54"/>
      <c r="AF27" s="54"/>
      <c r="AG27" s="54"/>
      <c r="AH27" s="55"/>
      <c r="AI27" s="55"/>
      <c r="AJ27" s="55"/>
      <c r="AK27" s="55"/>
      <c r="AL27" s="1"/>
      <c r="AM27" s="1"/>
      <c r="AN27" s="1"/>
      <c r="AO27" s="1"/>
      <c r="AP27" s="57"/>
      <c r="AQ27" s="57"/>
      <c r="AR27" s="57"/>
      <c r="AS27" s="57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9"/>
      <c r="CW27" s="59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8"/>
      <c r="G28" s="58"/>
      <c r="H28" s="58"/>
      <c r="I28" s="58"/>
      <c r="J28" s="53"/>
      <c r="K28" s="53"/>
      <c r="L28" s="53"/>
      <c r="M28" s="53"/>
      <c r="N28" s="52"/>
      <c r="O28" s="52"/>
      <c r="P28" s="52"/>
      <c r="Q28" s="52"/>
      <c r="R28" s="56"/>
      <c r="S28" s="56"/>
      <c r="T28" s="56"/>
      <c r="U28" s="56"/>
      <c r="V28" s="55"/>
      <c r="W28" s="55"/>
      <c r="X28" s="55"/>
      <c r="Y28" s="55"/>
      <c r="Z28" s="1"/>
      <c r="AA28" s="1"/>
      <c r="AB28" s="1"/>
      <c r="AC28" s="1"/>
      <c r="AD28" s="54"/>
      <c r="AE28" s="54"/>
      <c r="AF28" s="54"/>
      <c r="AG28" s="54"/>
      <c r="AH28" s="55"/>
      <c r="AI28" s="55"/>
      <c r="AJ28" s="55"/>
      <c r="AK28" s="55"/>
      <c r="AL28" s="1"/>
      <c r="AM28" s="1"/>
      <c r="AN28" s="1"/>
      <c r="AO28" s="1"/>
      <c r="AP28" s="57"/>
      <c r="AQ28" s="57"/>
      <c r="AR28" s="57"/>
      <c r="AS28" s="57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9"/>
      <c r="CW28" s="59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8"/>
      <c r="G29" s="58"/>
      <c r="H29" s="58"/>
      <c r="I29" s="58"/>
      <c r="J29" s="53"/>
      <c r="K29" s="53"/>
      <c r="L29" s="53"/>
      <c r="M29" s="53"/>
      <c r="N29" s="52"/>
      <c r="O29" s="52"/>
      <c r="P29" s="52"/>
      <c r="Q29" s="52"/>
      <c r="R29" s="56"/>
      <c r="S29" s="56"/>
      <c r="T29" s="56"/>
      <c r="U29" s="56"/>
      <c r="V29" s="55"/>
      <c r="W29" s="55"/>
      <c r="X29" s="55"/>
      <c r="Y29" s="55"/>
      <c r="Z29" s="1"/>
      <c r="AA29" s="1"/>
      <c r="AB29" s="1"/>
      <c r="AC29" s="1"/>
      <c r="AD29" s="54"/>
      <c r="AE29" s="54"/>
      <c r="AF29" s="54"/>
      <c r="AG29" s="54"/>
      <c r="AH29" s="55"/>
      <c r="AI29" s="55"/>
      <c r="AJ29" s="55"/>
      <c r="AK29" s="55"/>
      <c r="AL29" s="1"/>
      <c r="AM29" s="1"/>
      <c r="AN29" s="1"/>
      <c r="AO29" s="1"/>
      <c r="AP29" s="57"/>
      <c r="AQ29" s="57"/>
      <c r="AR29" s="57"/>
      <c r="AS29" s="57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9"/>
      <c r="CW29" s="59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8"/>
      <c r="G30" s="58"/>
      <c r="H30" s="58"/>
      <c r="I30" s="58"/>
      <c r="J30" s="53"/>
      <c r="K30" s="53"/>
      <c r="L30" s="53"/>
      <c r="M30" s="53"/>
      <c r="N30" s="52"/>
      <c r="O30" s="52"/>
      <c r="P30" s="52"/>
      <c r="Q30" s="52"/>
      <c r="R30" s="56"/>
      <c r="S30" s="56"/>
      <c r="T30" s="56"/>
      <c r="U30" s="56"/>
      <c r="V30" s="55"/>
      <c r="W30" s="55"/>
      <c r="X30" s="55"/>
      <c r="Y30" s="55"/>
      <c r="Z30" s="1"/>
      <c r="AA30" s="1"/>
      <c r="AB30" s="1"/>
      <c r="AC30" s="1"/>
      <c r="AD30" s="54"/>
      <c r="AE30" s="54"/>
      <c r="AF30" s="54"/>
      <c r="AG30" s="54"/>
      <c r="AH30" s="55"/>
      <c r="AI30" s="55"/>
      <c r="AJ30" s="55"/>
      <c r="AK30" s="55"/>
      <c r="AL30" s="1"/>
      <c r="AM30" s="1"/>
      <c r="AN30" s="1"/>
      <c r="AO30" s="1"/>
      <c r="AP30" s="57"/>
      <c r="AQ30" s="57"/>
      <c r="AR30" s="57"/>
      <c r="AS30" s="57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9"/>
      <c r="CW30" s="59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8"/>
      <c r="G31" s="58"/>
      <c r="H31" s="58"/>
      <c r="I31" s="58"/>
      <c r="J31" s="53"/>
      <c r="K31" s="53"/>
      <c r="L31" s="53"/>
      <c r="M31" s="53"/>
      <c r="N31" s="52"/>
      <c r="O31" s="52"/>
      <c r="P31" s="52"/>
      <c r="Q31" s="52"/>
      <c r="R31" s="56"/>
      <c r="S31" s="56"/>
      <c r="T31" s="56"/>
      <c r="U31" s="56"/>
      <c r="V31" s="55"/>
      <c r="W31" s="55"/>
      <c r="X31" s="55"/>
      <c r="Y31" s="55"/>
      <c r="Z31" s="1"/>
      <c r="AA31" s="1"/>
      <c r="AB31" s="1"/>
      <c r="AC31" s="1"/>
      <c r="AD31" s="54"/>
      <c r="AE31" s="54"/>
      <c r="AF31" s="54"/>
      <c r="AG31" s="54"/>
      <c r="AH31" s="55"/>
      <c r="AI31" s="55"/>
      <c r="AJ31" s="55"/>
      <c r="AK31" s="55"/>
      <c r="AL31" s="1"/>
      <c r="AM31" s="1"/>
      <c r="AN31" s="1"/>
      <c r="AO31" s="1"/>
      <c r="AP31" s="57"/>
      <c r="AQ31" s="57"/>
      <c r="AR31" s="57"/>
      <c r="AS31" s="57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9"/>
      <c r="CW31" s="59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8"/>
      <c r="G32" s="58"/>
      <c r="H32" s="58"/>
      <c r="I32" s="58"/>
      <c r="J32" s="53"/>
      <c r="K32" s="53"/>
      <c r="L32" s="53"/>
      <c r="M32" s="53"/>
      <c r="N32" s="52"/>
      <c r="O32" s="52"/>
      <c r="P32" s="52"/>
      <c r="Q32" s="52"/>
      <c r="R32" s="56"/>
      <c r="S32" s="56"/>
      <c r="T32" s="56"/>
      <c r="U32" s="56"/>
      <c r="V32" s="55"/>
      <c r="W32" s="55"/>
      <c r="X32" s="55"/>
      <c r="Y32" s="55"/>
      <c r="Z32" s="1"/>
      <c r="AA32" s="1"/>
      <c r="AB32" s="1"/>
      <c r="AC32" s="1"/>
      <c r="AD32" s="54"/>
      <c r="AE32" s="54"/>
      <c r="AF32" s="54"/>
      <c r="AG32" s="54"/>
      <c r="AH32" s="55"/>
      <c r="AI32" s="55"/>
      <c r="AJ32" s="55"/>
      <c r="AK32" s="55"/>
      <c r="AL32" s="1"/>
      <c r="AM32" s="1"/>
      <c r="AN32" s="1"/>
      <c r="AO32" s="1"/>
      <c r="AP32" s="57"/>
      <c r="AQ32" s="57"/>
      <c r="AR32" s="57"/>
      <c r="AS32" s="57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9"/>
      <c r="CW32" s="59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8"/>
      <c r="G33" s="58"/>
      <c r="H33" s="58"/>
      <c r="I33" s="58"/>
      <c r="J33" s="53"/>
      <c r="K33" s="53"/>
      <c r="L33" s="53"/>
      <c r="M33" s="53"/>
      <c r="N33" s="52"/>
      <c r="O33" s="52"/>
      <c r="P33" s="52"/>
      <c r="Q33" s="52"/>
      <c r="R33" s="56"/>
      <c r="S33" s="56"/>
      <c r="T33" s="56"/>
      <c r="U33" s="56"/>
      <c r="V33" s="55"/>
      <c r="W33" s="55"/>
      <c r="X33" s="55"/>
      <c r="Y33" s="55"/>
      <c r="Z33" s="1"/>
      <c r="AA33" s="1"/>
      <c r="AB33" s="1"/>
      <c r="AC33" s="1"/>
      <c r="AD33" s="54"/>
      <c r="AE33" s="54"/>
      <c r="AF33" s="54"/>
      <c r="AG33" s="54"/>
      <c r="AH33" s="55"/>
      <c r="AI33" s="55"/>
      <c r="AJ33" s="55"/>
      <c r="AK33" s="55"/>
      <c r="AL33" s="1"/>
      <c r="AM33" s="1"/>
      <c r="AN33" s="1"/>
      <c r="AO33" s="1"/>
      <c r="AP33" s="57"/>
      <c r="AQ33" s="57"/>
      <c r="AR33" s="57"/>
      <c r="AS33" s="57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9"/>
      <c r="CW33" s="59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8"/>
      <c r="G34" s="58"/>
      <c r="H34" s="58"/>
      <c r="I34" s="58"/>
      <c r="J34" s="53"/>
      <c r="K34" s="53"/>
      <c r="L34" s="53"/>
      <c r="M34" s="53"/>
      <c r="N34" s="52"/>
      <c r="O34" s="52"/>
      <c r="P34" s="52"/>
      <c r="Q34" s="52"/>
      <c r="R34" s="56"/>
      <c r="S34" s="56"/>
      <c r="T34" s="56"/>
      <c r="U34" s="56"/>
      <c r="V34" s="55"/>
      <c r="W34" s="55"/>
      <c r="X34" s="55"/>
      <c r="Y34" s="55"/>
      <c r="Z34" s="1"/>
      <c r="AA34" s="1"/>
      <c r="AB34" s="1"/>
      <c r="AC34" s="1"/>
      <c r="AD34" s="54"/>
      <c r="AE34" s="54"/>
      <c r="AF34" s="54"/>
      <c r="AG34" s="54"/>
      <c r="AH34" s="55"/>
      <c r="AI34" s="55"/>
      <c r="AJ34" s="55"/>
      <c r="AK34" s="55"/>
      <c r="AL34" s="1"/>
      <c r="AM34" s="1"/>
      <c r="AN34" s="1"/>
      <c r="AO34" s="1"/>
      <c r="AP34" s="57"/>
      <c r="AQ34" s="57"/>
      <c r="AR34" s="57"/>
      <c r="AS34" s="57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9"/>
      <c r="CW34" s="59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8"/>
      <c r="G35" s="58"/>
      <c r="H35" s="58"/>
      <c r="I35" s="58"/>
      <c r="J35" s="53"/>
      <c r="K35" s="53"/>
      <c r="L35" s="53"/>
      <c r="M35" s="53"/>
      <c r="N35" s="52"/>
      <c r="O35" s="52"/>
      <c r="P35" s="52"/>
      <c r="Q35" s="52"/>
      <c r="R35" s="56"/>
      <c r="S35" s="56"/>
      <c r="T35" s="56"/>
      <c r="U35" s="56"/>
      <c r="V35" s="55"/>
      <c r="W35" s="55"/>
      <c r="X35" s="55"/>
      <c r="Y35" s="55"/>
      <c r="Z35" s="1"/>
      <c r="AA35" s="1"/>
      <c r="AB35" s="1"/>
      <c r="AC35" s="1"/>
      <c r="AD35" s="54"/>
      <c r="AE35" s="54"/>
      <c r="AF35" s="54"/>
      <c r="AG35" s="54"/>
      <c r="AH35" s="55"/>
      <c r="AI35" s="55"/>
      <c r="AJ35" s="55"/>
      <c r="AK35" s="55"/>
      <c r="AL35" s="1"/>
      <c r="AM35" s="1"/>
      <c r="AN35" s="1"/>
      <c r="AO35" s="1"/>
      <c r="AP35" s="57"/>
      <c r="AQ35" s="57"/>
      <c r="AR35" s="57"/>
      <c r="AS35" s="57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9"/>
      <c r="CW35" s="59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8"/>
      <c r="G36" s="58"/>
      <c r="H36" s="58"/>
      <c r="I36" s="58"/>
      <c r="J36" s="53"/>
      <c r="K36" s="53"/>
      <c r="L36" s="53"/>
      <c r="M36" s="53"/>
      <c r="N36" s="52"/>
      <c r="O36" s="52"/>
      <c r="P36" s="52"/>
      <c r="Q36" s="52"/>
      <c r="R36" s="56"/>
      <c r="S36" s="56"/>
      <c r="T36" s="56"/>
      <c r="U36" s="56"/>
      <c r="V36" s="55"/>
      <c r="W36" s="55"/>
      <c r="X36" s="55"/>
      <c r="Y36" s="55"/>
      <c r="Z36" s="1"/>
      <c r="AA36" s="1"/>
      <c r="AB36" s="1"/>
      <c r="AC36" s="1"/>
      <c r="AD36" s="54"/>
      <c r="AE36" s="54"/>
      <c r="AF36" s="54"/>
      <c r="AG36" s="54"/>
      <c r="AH36" s="55"/>
      <c r="AI36" s="55"/>
      <c r="AJ36" s="55"/>
      <c r="AK36" s="55"/>
      <c r="AL36" s="1"/>
      <c r="AM36" s="1"/>
      <c r="AN36" s="1"/>
      <c r="AO36" s="1"/>
      <c r="AP36" s="57"/>
      <c r="AQ36" s="57"/>
      <c r="AR36" s="57"/>
      <c r="AS36" s="57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9"/>
      <c r="CW36" s="59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8"/>
      <c r="G37" s="58"/>
      <c r="H37" s="58"/>
      <c r="I37" s="58"/>
      <c r="J37" s="53"/>
      <c r="K37" s="53"/>
      <c r="L37" s="53"/>
      <c r="M37" s="53"/>
      <c r="N37" s="52"/>
      <c r="O37" s="52"/>
      <c r="P37" s="52"/>
      <c r="Q37" s="52"/>
      <c r="R37" s="56"/>
      <c r="S37" s="56"/>
      <c r="T37" s="56"/>
      <c r="U37" s="56"/>
      <c r="V37" s="55"/>
      <c r="W37" s="55"/>
      <c r="X37" s="55"/>
      <c r="Y37" s="55"/>
      <c r="Z37" s="1"/>
      <c r="AA37" s="1"/>
      <c r="AB37" s="1"/>
      <c r="AC37" s="1"/>
      <c r="AD37" s="54"/>
      <c r="AE37" s="54"/>
      <c r="AF37" s="54"/>
      <c r="AG37" s="54"/>
      <c r="AH37" s="55"/>
      <c r="AI37" s="55"/>
      <c r="AJ37" s="55"/>
      <c r="AK37" s="55"/>
      <c r="AL37" s="1"/>
      <c r="AM37" s="1"/>
      <c r="AN37" s="1"/>
      <c r="AO37" s="1"/>
      <c r="AP37" s="57"/>
      <c r="AQ37" s="57"/>
      <c r="AR37" s="57"/>
      <c r="AS37" s="57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9"/>
      <c r="CW37" s="59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8"/>
      <c r="G38" s="58"/>
      <c r="H38" s="58"/>
      <c r="I38" s="58"/>
      <c r="J38" s="53"/>
      <c r="K38" s="53"/>
      <c r="L38" s="53"/>
      <c r="M38" s="53"/>
      <c r="N38" s="52"/>
      <c r="O38" s="52"/>
      <c r="P38" s="52"/>
      <c r="Q38" s="52"/>
      <c r="R38" s="56"/>
      <c r="S38" s="56"/>
      <c r="T38" s="56"/>
      <c r="U38" s="56"/>
      <c r="V38" s="55"/>
      <c r="W38" s="55"/>
      <c r="X38" s="55"/>
      <c r="Y38" s="55"/>
      <c r="Z38" s="1"/>
      <c r="AA38" s="1"/>
      <c r="AB38" s="1"/>
      <c r="AC38" s="1"/>
      <c r="AD38" s="54"/>
      <c r="AE38" s="54"/>
      <c r="AF38" s="54"/>
      <c r="AG38" s="54"/>
      <c r="AH38" s="55"/>
      <c r="AI38" s="55"/>
      <c r="AJ38" s="55"/>
      <c r="AK38" s="55"/>
      <c r="AL38" s="1"/>
      <c r="AM38" s="1"/>
      <c r="AN38" s="1"/>
      <c r="AO38" s="1"/>
      <c r="AP38" s="57"/>
      <c r="AQ38" s="57"/>
      <c r="AR38" s="57"/>
      <c r="AS38" s="57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9"/>
      <c r="CW38" s="59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8"/>
      <c r="G39" s="58"/>
      <c r="H39" s="58"/>
      <c r="I39" s="58"/>
      <c r="J39" s="53"/>
      <c r="K39" s="53"/>
      <c r="L39" s="53"/>
      <c r="M39" s="53"/>
      <c r="N39" s="52"/>
      <c r="O39" s="52"/>
      <c r="P39" s="52"/>
      <c r="Q39" s="52"/>
      <c r="R39" s="56"/>
      <c r="S39" s="56"/>
      <c r="T39" s="56"/>
      <c r="U39" s="56"/>
      <c r="V39" s="55"/>
      <c r="W39" s="55"/>
      <c r="X39" s="55"/>
      <c r="Y39" s="55"/>
      <c r="Z39" s="1"/>
      <c r="AA39" s="1"/>
      <c r="AB39" s="1"/>
      <c r="AC39" s="1"/>
      <c r="AD39" s="54"/>
      <c r="AE39" s="54"/>
      <c r="AF39" s="54"/>
      <c r="AG39" s="54"/>
      <c r="AH39" s="55"/>
      <c r="AI39" s="55"/>
      <c r="AJ39" s="55"/>
      <c r="AK39" s="55"/>
      <c r="AL39" s="1"/>
      <c r="AM39" s="1"/>
      <c r="AN39" s="1"/>
      <c r="AO39" s="1"/>
      <c r="AP39" s="57"/>
      <c r="AQ39" s="57"/>
      <c r="AR39" s="57"/>
      <c r="AS39" s="57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9"/>
      <c r="CW39" s="59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8"/>
      <c r="G40" s="58"/>
      <c r="H40" s="58"/>
      <c r="I40" s="58"/>
      <c r="J40" s="53"/>
      <c r="K40" s="53"/>
      <c r="L40" s="53"/>
      <c r="M40" s="53"/>
      <c r="N40" s="52"/>
      <c r="O40" s="52"/>
      <c r="P40" s="52"/>
      <c r="Q40" s="52"/>
      <c r="R40" s="56"/>
      <c r="S40" s="56"/>
      <c r="T40" s="56"/>
      <c r="U40" s="56"/>
      <c r="V40" s="55"/>
      <c r="W40" s="55"/>
      <c r="X40" s="55"/>
      <c r="Y40" s="55"/>
      <c r="Z40" s="1"/>
      <c r="AA40" s="1"/>
      <c r="AB40" s="1"/>
      <c r="AC40" s="1"/>
      <c r="AD40" s="54"/>
      <c r="AE40" s="54"/>
      <c r="AF40" s="54"/>
      <c r="AG40" s="54"/>
      <c r="AH40" s="55"/>
      <c r="AI40" s="55"/>
      <c r="AJ40" s="55"/>
      <c r="AK40" s="55"/>
      <c r="AL40" s="1"/>
      <c r="AM40" s="1"/>
      <c r="AN40" s="1"/>
      <c r="AO40" s="1"/>
      <c r="AP40" s="57"/>
      <c r="AQ40" s="57"/>
      <c r="AR40" s="57"/>
      <c r="AS40" s="57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9"/>
      <c r="CW40" s="59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8"/>
      <c r="G41" s="58"/>
      <c r="H41" s="58"/>
      <c r="I41" s="58"/>
      <c r="J41" s="53"/>
      <c r="K41" s="53"/>
      <c r="L41" s="53"/>
      <c r="M41" s="53"/>
      <c r="N41" s="52"/>
      <c r="O41" s="52"/>
      <c r="P41" s="52"/>
      <c r="Q41" s="52"/>
      <c r="R41" s="56"/>
      <c r="S41" s="56"/>
      <c r="T41" s="56"/>
      <c r="U41" s="56"/>
      <c r="V41" s="55"/>
      <c r="W41" s="55"/>
      <c r="X41" s="55"/>
      <c r="Y41" s="55"/>
      <c r="Z41" s="1"/>
      <c r="AA41" s="1"/>
      <c r="AB41" s="1"/>
      <c r="AC41" s="1"/>
      <c r="AD41" s="54"/>
      <c r="AE41" s="54"/>
      <c r="AF41" s="54"/>
      <c r="AG41" s="54"/>
      <c r="AH41" s="55"/>
      <c r="AI41" s="55"/>
      <c r="AJ41" s="55"/>
      <c r="AK41" s="55"/>
      <c r="AL41" s="1"/>
      <c r="AM41" s="1"/>
      <c r="AN41" s="1"/>
      <c r="AO41" s="1"/>
      <c r="AP41" s="57"/>
      <c r="AQ41" s="57"/>
      <c r="AR41" s="57"/>
      <c r="AS41" s="57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9"/>
      <c r="CW41" s="59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8"/>
      <c r="G42" s="58"/>
      <c r="H42" s="58"/>
      <c r="I42" s="58"/>
      <c r="J42" s="53"/>
      <c r="K42" s="53"/>
      <c r="L42" s="53"/>
      <c r="M42" s="53"/>
      <c r="N42" s="52"/>
      <c r="O42" s="52"/>
      <c r="P42" s="52"/>
      <c r="Q42" s="52"/>
      <c r="R42" s="56"/>
      <c r="S42" s="56"/>
      <c r="T42" s="56"/>
      <c r="U42" s="56"/>
      <c r="V42" s="55"/>
      <c r="W42" s="55"/>
      <c r="X42" s="55"/>
      <c r="Y42" s="55"/>
      <c r="Z42" s="1"/>
      <c r="AA42" s="1"/>
      <c r="AB42" s="1"/>
      <c r="AC42" s="1"/>
      <c r="AD42" s="54"/>
      <c r="AE42" s="54"/>
      <c r="AF42" s="54"/>
      <c r="AG42" s="54"/>
      <c r="AH42" s="55"/>
      <c r="AI42" s="55"/>
      <c r="AJ42" s="55"/>
      <c r="AK42" s="55"/>
      <c r="AL42" s="1"/>
      <c r="AM42" s="1"/>
      <c r="AN42" s="1"/>
      <c r="AO42" s="1"/>
      <c r="AP42" s="57"/>
      <c r="AQ42" s="57"/>
      <c r="AR42" s="57"/>
      <c r="AS42" s="57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9"/>
      <c r="CW42" s="59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8"/>
      <c r="G43" s="58"/>
      <c r="H43" s="58"/>
      <c r="I43" s="58"/>
      <c r="J43" s="53"/>
      <c r="K43" s="53"/>
      <c r="L43" s="53"/>
      <c r="M43" s="53"/>
      <c r="N43" s="52"/>
      <c r="O43" s="52"/>
      <c r="P43" s="52"/>
      <c r="Q43" s="52"/>
      <c r="R43" s="56"/>
      <c r="S43" s="56"/>
      <c r="T43" s="56"/>
      <c r="U43" s="56"/>
      <c r="V43" s="55"/>
      <c r="W43" s="55"/>
      <c r="X43" s="55"/>
      <c r="Y43" s="55"/>
      <c r="Z43" s="1"/>
      <c r="AA43" s="1"/>
      <c r="AB43" s="1"/>
      <c r="AC43" s="1"/>
      <c r="AD43" s="54"/>
      <c r="AE43" s="54"/>
      <c r="AF43" s="54"/>
      <c r="AG43" s="54"/>
      <c r="AH43" s="55"/>
      <c r="AI43" s="55"/>
      <c r="AJ43" s="55"/>
      <c r="AK43" s="55"/>
      <c r="AL43" s="1"/>
      <c r="AM43" s="1"/>
      <c r="AN43" s="1"/>
      <c r="AO43" s="1"/>
      <c r="AP43" s="57"/>
      <c r="AQ43" s="57"/>
      <c r="AR43" s="57"/>
      <c r="AS43" s="57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9"/>
      <c r="CW43" s="59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8"/>
      <c r="G44" s="58"/>
      <c r="H44" s="58"/>
      <c r="I44" s="58"/>
      <c r="J44" s="53"/>
      <c r="K44" s="53"/>
      <c r="L44" s="53"/>
      <c r="M44" s="53"/>
      <c r="N44" s="52"/>
      <c r="O44" s="52"/>
      <c r="P44" s="52"/>
      <c r="Q44" s="52"/>
      <c r="R44" s="56"/>
      <c r="S44" s="56"/>
      <c r="T44" s="56"/>
      <c r="U44" s="56"/>
      <c r="V44" s="55"/>
      <c r="W44" s="55"/>
      <c r="X44" s="55"/>
      <c r="Y44" s="55"/>
      <c r="Z44" s="1"/>
      <c r="AA44" s="1"/>
      <c r="AB44" s="1"/>
      <c r="AC44" s="1"/>
      <c r="AD44" s="54"/>
      <c r="AE44" s="54"/>
      <c r="AF44" s="54"/>
      <c r="AG44" s="54"/>
      <c r="AH44" s="55"/>
      <c r="AI44" s="55"/>
      <c r="AJ44" s="55"/>
      <c r="AK44" s="55"/>
      <c r="AL44" s="1"/>
      <c r="AM44" s="1"/>
      <c r="AN44" s="1"/>
      <c r="AO44" s="1"/>
      <c r="AP44" s="57"/>
      <c r="AQ44" s="57"/>
      <c r="AR44" s="57"/>
      <c r="AS44" s="57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9"/>
      <c r="CW44" s="59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F67"/>
  <sheetViews>
    <sheetView showZeros="0" tabSelected="1" zoomScale="85" zoomScaleNormal="85" workbookViewId="0">
      <selection activeCell="AQ21" sqref="AQ21"/>
    </sheetView>
  </sheetViews>
  <sheetFormatPr defaultRowHeight="15" x14ac:dyDescent="0.25"/>
  <cols>
    <col min="1" max="1" width="14.140625" bestFit="1" customWidth="1"/>
    <col min="2" max="2" width="18.42578125" style="62" bestFit="1" customWidth="1"/>
    <col min="3" max="3" width="10.28515625" bestFit="1" customWidth="1"/>
    <col min="4" max="4" width="37.5703125" bestFit="1" customWidth="1"/>
    <col min="5" max="5" width="13.7109375" style="2" customWidth="1"/>
    <col min="6" max="6" width="10.28515625" bestFit="1" customWidth="1"/>
    <col min="7" max="7" width="15.42578125" customWidth="1"/>
    <col min="8" max="8" width="14.85546875" style="5" customWidth="1"/>
    <col min="9" max="9" width="11.7109375" bestFit="1" customWidth="1"/>
    <col min="10" max="10" width="13.140625" customWidth="1"/>
    <col min="11" max="11" width="10.28515625" customWidth="1"/>
    <col min="12" max="12" width="13" customWidth="1"/>
    <col min="13" max="13" width="16.5703125" customWidth="1"/>
    <col min="14" max="14" width="7.85546875" style="15" customWidth="1"/>
    <col min="15" max="15" width="7.85546875" style="15" hidden="1" customWidth="1"/>
    <col min="16" max="16" width="7.85546875" style="15" customWidth="1"/>
    <col min="17" max="34" width="7.85546875" style="15" hidden="1" customWidth="1"/>
    <col min="35" max="35" width="7.85546875" style="15" customWidth="1"/>
    <col min="36" max="36" width="7.85546875" style="15" hidden="1" customWidth="1"/>
    <col min="37" max="37" width="7.85546875" style="15" customWidth="1"/>
    <col min="38" max="42" width="7.85546875" style="15" hidden="1" customWidth="1"/>
    <col min="43" max="45" width="7.85546875" style="15" customWidth="1"/>
    <col min="46" max="55" width="7.85546875" style="15" hidden="1" customWidth="1"/>
    <col min="56" max="56" width="7.85546875" style="15" customWidth="1"/>
    <col min="57" max="58" width="7.85546875" style="15" hidden="1" customWidth="1"/>
    <col min="59" max="59" width="7.85546875" style="15" customWidth="1"/>
    <col min="60" max="61" width="7.85546875" style="15" hidden="1" customWidth="1"/>
    <col min="62" max="62" width="7.85546875" style="15" customWidth="1"/>
    <col min="63" max="65" width="7.85546875" style="15" hidden="1" customWidth="1"/>
    <col min="66" max="67" width="7.85546875" style="15" customWidth="1"/>
    <col min="68" max="84" width="7.85546875" style="15" hidden="1" customWidth="1"/>
    <col min="85" max="85" width="7.85546875" style="15" customWidth="1"/>
    <col min="86" max="86" width="11" style="15" customWidth="1"/>
    <col min="87" max="87" width="27.140625" style="15" customWidth="1"/>
    <col min="88" max="88" width="10.7109375" style="15" customWidth="1"/>
    <col min="89" max="89" width="11.28515625" style="2" customWidth="1"/>
    <col min="90" max="90" width="13.85546875" style="2" bestFit="1" customWidth="1"/>
    <col min="91" max="91" width="9.140625" style="13" customWidth="1"/>
    <col min="92" max="92" width="9.140625" style="2" customWidth="1"/>
    <col min="93" max="93" width="9.140625" style="8" customWidth="1"/>
    <col min="94" max="94" width="12" style="2" bestFit="1" customWidth="1"/>
    <col min="95" max="95" width="9.140625" style="5" customWidth="1"/>
    <col min="96" max="96" width="12.28515625" style="2" bestFit="1" customWidth="1"/>
    <col min="97" max="97" width="13.85546875" style="2" bestFit="1" customWidth="1"/>
    <col min="98" max="98" width="9.140625" style="5" customWidth="1"/>
    <col min="99" max="99" width="11.5703125" customWidth="1"/>
    <col min="100" max="100" width="9.140625" style="5" customWidth="1"/>
    <col min="101" max="101" width="10.28515625" bestFit="1" customWidth="1"/>
  </cols>
  <sheetData>
    <row r="1" spans="1:110" s="22" customFormat="1" ht="28.9" customHeight="1" x14ac:dyDescent="0.25">
      <c r="A1" s="88"/>
      <c r="B1" s="88"/>
      <c r="C1" s="89"/>
      <c r="D1" s="89"/>
      <c r="E1" s="26"/>
      <c r="H1" s="27"/>
      <c r="N1" s="124" t="s">
        <v>82</v>
      </c>
      <c r="O1" s="124"/>
      <c r="P1" s="124"/>
      <c r="Q1" s="124"/>
      <c r="R1" s="124"/>
      <c r="S1" s="124"/>
      <c r="T1" s="124"/>
      <c r="U1" s="124"/>
      <c r="V1" s="125" t="s">
        <v>4</v>
      </c>
      <c r="W1" s="125"/>
      <c r="X1" s="126" t="s">
        <v>3</v>
      </c>
      <c r="Y1" s="126"/>
      <c r="Z1" s="126"/>
      <c r="AA1" s="126"/>
      <c r="AB1" s="126"/>
      <c r="AC1" s="126"/>
      <c r="AD1" s="126"/>
      <c r="AE1" s="126"/>
      <c r="AF1" s="127" t="s">
        <v>5</v>
      </c>
      <c r="AG1" s="127"/>
      <c r="AH1" s="128" t="s">
        <v>6</v>
      </c>
      <c r="AI1" s="128"/>
      <c r="AJ1" s="128"/>
      <c r="AK1" s="128"/>
      <c r="AL1" s="128"/>
      <c r="AM1" s="128"/>
      <c r="AN1" s="128"/>
      <c r="AO1" s="128"/>
      <c r="AP1" s="128"/>
      <c r="AQ1" s="35" t="s">
        <v>7</v>
      </c>
      <c r="AR1" s="120" t="s">
        <v>8</v>
      </c>
      <c r="AS1" s="121"/>
      <c r="AT1" s="121"/>
      <c r="AU1" s="121"/>
      <c r="AV1" s="121"/>
      <c r="AW1" s="121"/>
      <c r="AX1" s="121"/>
      <c r="AY1" s="121"/>
      <c r="AZ1" s="121"/>
      <c r="BA1" s="122" t="s">
        <v>9</v>
      </c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3" t="s">
        <v>10</v>
      </c>
      <c r="BM1" s="123"/>
      <c r="BN1" s="123"/>
      <c r="BO1" s="123"/>
      <c r="BP1" s="123"/>
      <c r="BQ1" s="123"/>
      <c r="BR1" s="123"/>
      <c r="BS1" s="123"/>
      <c r="BT1" s="123"/>
      <c r="BU1" s="123"/>
      <c r="BV1" s="123"/>
      <c r="BW1" s="123"/>
      <c r="BX1" s="39" t="s">
        <v>11</v>
      </c>
      <c r="BY1" s="42" t="s">
        <v>12</v>
      </c>
      <c r="BZ1" s="30" t="s">
        <v>13</v>
      </c>
      <c r="CA1" s="34" t="s">
        <v>14</v>
      </c>
      <c r="CB1" s="31" t="s">
        <v>15</v>
      </c>
      <c r="CC1" s="45" t="s">
        <v>16</v>
      </c>
      <c r="CD1" s="47" t="s">
        <v>17</v>
      </c>
      <c r="CE1" s="41" t="s">
        <v>18</v>
      </c>
      <c r="CF1" s="30" t="s">
        <v>19</v>
      </c>
      <c r="CG1" s="117" t="s">
        <v>84</v>
      </c>
      <c r="CH1" s="118"/>
      <c r="CI1" s="118"/>
      <c r="CJ1" s="119"/>
      <c r="CK1" s="65" t="s">
        <v>20</v>
      </c>
      <c r="CL1" s="23" t="s">
        <v>21</v>
      </c>
      <c r="CM1" s="24" t="s">
        <v>40</v>
      </c>
      <c r="CN1" s="23" t="s">
        <v>81</v>
      </c>
      <c r="CO1" s="25"/>
      <c r="CP1" s="26"/>
      <c r="CQ1" s="27"/>
      <c r="CR1" s="26"/>
      <c r="CS1" s="26"/>
      <c r="CT1" s="27"/>
      <c r="CV1" s="27"/>
      <c r="CZ1" s="22" t="s">
        <v>126</v>
      </c>
    </row>
    <row r="2" spans="1:110" s="11" customFormat="1" ht="89.25" x14ac:dyDescent="0.25">
      <c r="A2" s="80" t="s">
        <v>0</v>
      </c>
      <c r="B2" s="81" t="s">
        <v>85</v>
      </c>
      <c r="C2" s="80" t="s">
        <v>1</v>
      </c>
      <c r="D2" s="80" t="s">
        <v>2</v>
      </c>
      <c r="E2" s="3" t="s">
        <v>31</v>
      </c>
      <c r="F2" s="9" t="s">
        <v>32</v>
      </c>
      <c r="G2" s="9" t="s">
        <v>33</v>
      </c>
      <c r="H2" s="4" t="s">
        <v>34</v>
      </c>
      <c r="I2" s="9" t="s">
        <v>35</v>
      </c>
      <c r="J2" s="9" t="s">
        <v>36</v>
      </c>
      <c r="K2" s="9" t="s">
        <v>37</v>
      </c>
      <c r="L2" s="9" t="s">
        <v>38</v>
      </c>
      <c r="M2" s="9" t="s">
        <v>39</v>
      </c>
      <c r="N2" s="82" t="s">
        <v>41</v>
      </c>
      <c r="O2" s="82" t="s">
        <v>46</v>
      </c>
      <c r="P2" s="82" t="s">
        <v>43</v>
      </c>
      <c r="Q2" s="82" t="s">
        <v>123</v>
      </c>
      <c r="R2" s="82" t="s">
        <v>124</v>
      </c>
      <c r="S2" s="82" t="s">
        <v>125</v>
      </c>
      <c r="T2" s="82" t="s">
        <v>44</v>
      </c>
      <c r="U2" s="82" t="s">
        <v>45</v>
      </c>
      <c r="V2" s="82" t="s">
        <v>41</v>
      </c>
      <c r="W2" s="82" t="s">
        <v>46</v>
      </c>
      <c r="X2" s="83" t="s">
        <v>53</v>
      </c>
      <c r="Y2" s="83" t="s">
        <v>57</v>
      </c>
      <c r="Z2" s="83" t="s">
        <v>60</v>
      </c>
      <c r="AA2" s="83" t="s">
        <v>65</v>
      </c>
      <c r="AB2" s="83" t="s">
        <v>69</v>
      </c>
      <c r="AC2" s="83" t="s">
        <v>71</v>
      </c>
      <c r="AD2" s="83" t="s">
        <v>73</v>
      </c>
      <c r="AE2" s="83" t="s">
        <v>75</v>
      </c>
      <c r="AF2" s="83" t="s">
        <v>52</v>
      </c>
      <c r="AG2" s="83" t="s">
        <v>56</v>
      </c>
      <c r="AH2" s="83" t="s">
        <v>51</v>
      </c>
      <c r="AI2" s="83" t="s">
        <v>47</v>
      </c>
      <c r="AJ2" s="83" t="s">
        <v>59</v>
      </c>
      <c r="AK2" s="83" t="s">
        <v>64</v>
      </c>
      <c r="AL2" s="83" t="s">
        <v>68</v>
      </c>
      <c r="AM2" s="83" t="s">
        <v>87</v>
      </c>
      <c r="AN2" s="83" t="s">
        <v>88</v>
      </c>
      <c r="AO2" s="83" t="s">
        <v>86</v>
      </c>
      <c r="AP2" s="83" t="s">
        <v>94</v>
      </c>
      <c r="AQ2" s="84" t="s">
        <v>7</v>
      </c>
      <c r="AR2" s="83" t="s">
        <v>54</v>
      </c>
      <c r="AS2" s="83" t="s">
        <v>58</v>
      </c>
      <c r="AT2" s="83" t="s">
        <v>63</v>
      </c>
      <c r="AU2" s="83" t="s">
        <v>61</v>
      </c>
      <c r="AV2" s="83" t="s">
        <v>66</v>
      </c>
      <c r="AW2" s="83" t="s">
        <v>70</v>
      </c>
      <c r="AX2" s="83" t="s">
        <v>48</v>
      </c>
      <c r="AY2" s="83" t="s">
        <v>122</v>
      </c>
      <c r="AZ2" s="83" t="s">
        <v>74</v>
      </c>
      <c r="BA2" s="83" t="s">
        <v>55</v>
      </c>
      <c r="BB2" s="83" t="s">
        <v>42</v>
      </c>
      <c r="BC2" s="83" t="s">
        <v>62</v>
      </c>
      <c r="BD2" s="83" t="s">
        <v>67</v>
      </c>
      <c r="BE2" s="83" t="s">
        <v>89</v>
      </c>
      <c r="BF2" s="83" t="s">
        <v>72</v>
      </c>
      <c r="BG2" s="83" t="s">
        <v>49</v>
      </c>
      <c r="BH2" s="83" t="s">
        <v>76</v>
      </c>
      <c r="BI2" s="83" t="s">
        <v>77</v>
      </c>
      <c r="BJ2" s="83" t="s">
        <v>78</v>
      </c>
      <c r="BK2" s="83" t="s">
        <v>80</v>
      </c>
      <c r="BL2" s="83" t="s">
        <v>54</v>
      </c>
      <c r="BM2" s="83" t="s">
        <v>58</v>
      </c>
      <c r="BN2" s="83" t="s">
        <v>63</v>
      </c>
      <c r="BO2" s="83" t="s">
        <v>61</v>
      </c>
      <c r="BP2" s="83" t="s">
        <v>90</v>
      </c>
      <c r="BQ2" s="83" t="s">
        <v>95</v>
      </c>
      <c r="BR2" s="83" t="s">
        <v>91</v>
      </c>
      <c r="BS2" s="83" t="s">
        <v>66</v>
      </c>
      <c r="BT2" s="83" t="s">
        <v>48</v>
      </c>
      <c r="BU2" s="83" t="s">
        <v>122</v>
      </c>
      <c r="BV2" s="83" t="s">
        <v>74</v>
      </c>
      <c r="BW2" s="83" t="s">
        <v>79</v>
      </c>
      <c r="BX2" s="84" t="s">
        <v>11</v>
      </c>
      <c r="BY2" s="84" t="s">
        <v>50</v>
      </c>
      <c r="BZ2" s="85" t="s">
        <v>13</v>
      </c>
      <c r="CA2" s="86" t="s">
        <v>14</v>
      </c>
      <c r="CB2" s="85" t="s">
        <v>15</v>
      </c>
      <c r="CC2" s="85" t="s">
        <v>16</v>
      </c>
      <c r="CD2" s="85" t="s">
        <v>17</v>
      </c>
      <c r="CE2" s="86" t="s">
        <v>18</v>
      </c>
      <c r="CF2" s="85" t="s">
        <v>19</v>
      </c>
      <c r="CG2" s="69" t="s">
        <v>83</v>
      </c>
      <c r="CH2" s="69" t="s">
        <v>92</v>
      </c>
      <c r="CI2" s="69" t="s">
        <v>93</v>
      </c>
      <c r="CJ2" s="69" t="s">
        <v>96</v>
      </c>
      <c r="CK2" s="14"/>
      <c r="CL2" s="14"/>
      <c r="CM2" s="12"/>
      <c r="CN2" s="14"/>
      <c r="CO2" s="7" t="s">
        <v>22</v>
      </c>
      <c r="CP2" s="3" t="s">
        <v>23</v>
      </c>
      <c r="CQ2" s="4" t="s">
        <v>24</v>
      </c>
      <c r="CR2" s="3" t="s">
        <v>25</v>
      </c>
      <c r="CS2" s="3" t="s">
        <v>26</v>
      </c>
      <c r="CT2" s="4" t="s">
        <v>27</v>
      </c>
      <c r="CU2" s="9" t="s">
        <v>28</v>
      </c>
      <c r="CV2" s="4" t="s">
        <v>29</v>
      </c>
      <c r="CW2" s="9" t="s">
        <v>30</v>
      </c>
      <c r="CX2" s="4" t="s">
        <v>97</v>
      </c>
      <c r="CY2" s="9" t="s">
        <v>98</v>
      </c>
      <c r="DA2" s="11" t="s">
        <v>307</v>
      </c>
      <c r="DB2" s="11" t="s">
        <v>312</v>
      </c>
      <c r="DC2" s="11" t="s">
        <v>308</v>
      </c>
      <c r="DD2" s="11" t="s">
        <v>309</v>
      </c>
      <c r="DE2" s="11" t="s">
        <v>310</v>
      </c>
      <c r="DF2" s="11" t="s">
        <v>311</v>
      </c>
    </row>
    <row r="3" spans="1:110" s="14" customFormat="1" x14ac:dyDescent="0.25">
      <c r="A3" s="16"/>
      <c r="B3" s="61"/>
      <c r="C3" s="16"/>
      <c r="D3" s="16"/>
      <c r="E3" s="3"/>
      <c r="F3" s="77"/>
      <c r="G3" s="64"/>
      <c r="H3" s="3"/>
      <c r="I3" s="3"/>
      <c r="J3" s="3"/>
      <c r="K3" s="78"/>
      <c r="L3" s="3"/>
      <c r="M3" s="3"/>
      <c r="N3" s="17">
        <v>269</v>
      </c>
      <c r="O3" s="17">
        <f>+IFERROR(VLOOKUP($O$2,Sheet1!J:L,2,0),0)</f>
        <v>0</v>
      </c>
      <c r="P3" s="17">
        <v>929</v>
      </c>
      <c r="Q3" s="17">
        <f>+IFERROR(VLOOKUP($Q$2,Sheet1!J:M,2,0),0)</f>
        <v>0</v>
      </c>
      <c r="R3" s="17">
        <f>+IFERROR(VLOOKUP($R$2,Sheet1!J:M,2,0),0)</f>
        <v>0</v>
      </c>
      <c r="S3" s="17">
        <f>+IFERROR(VLOOKUP($S$2,Sheet1!J:M,2,0),0)</f>
        <v>0</v>
      </c>
      <c r="T3" s="17">
        <f>+IFERROR(VLOOKUP($T$2,Sheet1!J:M,2,0),0)</f>
        <v>0</v>
      </c>
      <c r="U3" s="17">
        <f>+IFERROR(VLOOKUP($U$2,Sheet1!J:M,2,0),0)</f>
        <v>0</v>
      </c>
      <c r="V3" s="17">
        <f>+IFERROR(VLOOKUP($V$2,Sheet1!N:Q,2,0),0)</f>
        <v>0</v>
      </c>
      <c r="W3" s="17">
        <f>+IFERROR(VLOOKUP($W$2,Sheet1!N:O,2,0),0)</f>
        <v>0</v>
      </c>
      <c r="X3" s="18">
        <f>+IFERROR(VLOOKUP($X$2,Sheet1!F:I,2,0),0)</f>
        <v>0</v>
      </c>
      <c r="Y3" s="18">
        <f>+IFERROR(VLOOKUP($Y$2,Sheet1!F:I,2,0),0)</f>
        <v>0</v>
      </c>
      <c r="Z3" s="18">
        <f>+IFERROR(VLOOKUP($Z$2,Sheet1!F:I,2,0),0)</f>
        <v>0</v>
      </c>
      <c r="AA3" s="18">
        <f>+IFERROR(VLOOKUP($AA$2,Sheet1!F:I,2,0),0)</f>
        <v>0</v>
      </c>
      <c r="AB3" s="18">
        <f>+IFERROR(VLOOKUP($AB$2,Sheet1!F:I,2,0),0)</f>
        <v>0</v>
      </c>
      <c r="AC3" s="18">
        <f>+IFERROR(VLOOKUP($AC$2,Sheet1!F:I,2,0),0)</f>
        <v>0</v>
      </c>
      <c r="AD3" s="18">
        <f>+IFERROR(VLOOKUP($AD$2,Sheet1!F:I,2,0),0)</f>
        <v>0</v>
      </c>
      <c r="AE3" s="18">
        <f>+IFERROR(VLOOKUP($AE$2,Sheet1!F:I,2,0),0)</f>
        <v>0</v>
      </c>
      <c r="AF3" s="18">
        <f>+IFERROR(VLOOKUP($AF$2,Sheet1!R:U,2,0),0)</f>
        <v>0</v>
      </c>
      <c r="AG3" s="18">
        <f>+IFERROR(VLOOKUP($AG$2,Sheet1!R:U,2,0),0)</f>
        <v>0</v>
      </c>
      <c r="AH3" s="18">
        <f>+IFERROR(VLOOKUP($AH$2,Sheet1!V:Y,2,0),0)</f>
        <v>0</v>
      </c>
      <c r="AI3" s="18">
        <v>111</v>
      </c>
      <c r="AJ3" s="18">
        <f>+IFERROR(VLOOKUP($AJ$2,Sheet1!V:Y,2,0),0)</f>
        <v>0</v>
      </c>
      <c r="AK3" s="18">
        <v>65</v>
      </c>
      <c r="AL3" s="18">
        <f>+IFERROR(VLOOKUP($AL$2,Sheet1!V:Y,2,0),0)</f>
        <v>0</v>
      </c>
      <c r="AM3" s="18">
        <f>+IFERROR(VLOOKUP($AM$2,Sheet1!V:Y,2,0),0)</f>
        <v>0</v>
      </c>
      <c r="AN3" s="18">
        <f>+IFERROR(VLOOKUP($AN$2,Sheet1!V:Y,2,0),0)</f>
        <v>0</v>
      </c>
      <c r="AO3" s="18">
        <f>+IFERROR(VLOOKUP($AO$2,Sheet1!V:Y,2,0),0)</f>
        <v>0</v>
      </c>
      <c r="AP3" s="18">
        <f>+IFERROR(VLOOKUP($AP$2,Sheet1!V:Y,2,0),0)</f>
        <v>0</v>
      </c>
      <c r="AQ3" s="19">
        <v>108</v>
      </c>
      <c r="AR3" s="18">
        <v>79</v>
      </c>
      <c r="AS3" s="18">
        <v>79</v>
      </c>
      <c r="AT3" s="18">
        <f>+IFERROR(VLOOKUP($AT$2,Sheet1!AD2:AG840,2,0),0)</f>
        <v>0</v>
      </c>
      <c r="AU3" s="18">
        <f>+IFERROR(VLOOKUP($AU$2,Sheet1!AD2:AG840,2,0),0)</f>
        <v>0</v>
      </c>
      <c r="AV3" s="18">
        <f>+IFERROR(VLOOKUP($AV$2,Sheet1!AD2:AG840,2,0),0)</f>
        <v>0</v>
      </c>
      <c r="AW3" s="18">
        <f>+IFERROR(VLOOKUP($AW$2,Sheet1!AD2:AG840,2,0),0)</f>
        <v>0</v>
      </c>
      <c r="AX3" s="18">
        <f>+IFERROR(VLOOKUP($AX$2,Sheet1!AD2:AG840,2,0),0)</f>
        <v>0</v>
      </c>
      <c r="AY3" s="18">
        <f>+IFERROR(VLOOKUP($AY$2,Sheet1!AD2:AG840,2,0),0)</f>
        <v>0</v>
      </c>
      <c r="AZ3" s="18">
        <f>+IFERROR(VLOOKUP($AZ$2,Sheet1!AD2:AG840,2,0),0)</f>
        <v>0</v>
      </c>
      <c r="BA3" s="18">
        <f>+IFERROR(VLOOKUP($BA$2,Sheet1!AH2:AK840,2,0),0)</f>
        <v>0</v>
      </c>
      <c r="BB3" s="18">
        <f>+IFERROR(VLOOKUP($BB$2,Sheet1!AH2:AK840,2,0),0)</f>
        <v>0</v>
      </c>
      <c r="BC3" s="18">
        <f>+IFERROR(VLOOKUP($BC$2,Sheet1!AH2:AK840,2,0),0)</f>
        <v>0</v>
      </c>
      <c r="BD3" s="18">
        <v>274</v>
      </c>
      <c r="BE3" s="18">
        <f>+IFERROR(VLOOKUP($BE$2,Sheet1!AH2:AK840,2,0),0)</f>
        <v>0</v>
      </c>
      <c r="BF3" s="18">
        <f>+IFERROR(VLOOKUP($BF$2,Sheet1!AH2:AK840,2,0),0)</f>
        <v>0</v>
      </c>
      <c r="BG3" s="18">
        <v>75</v>
      </c>
      <c r="BH3" s="18">
        <f>+IFERROR(VLOOKUP($BH$2,Sheet1!AH2:AK840,2,0),0)</f>
        <v>0</v>
      </c>
      <c r="BI3" s="18">
        <f>+IFERROR(VLOOKUP($BI$2,Sheet1!AH2:AK840,2,0),0)</f>
        <v>0</v>
      </c>
      <c r="BJ3" s="18">
        <v>79</v>
      </c>
      <c r="BK3" s="18">
        <f>+IFERROR(VLOOKUP($BK$2,Sheet1!AH2:AK840,2,0),0)</f>
        <v>0</v>
      </c>
      <c r="BL3" s="18">
        <f>+IFERROR(VLOOKUP($BL$2,Sheet1!AL2:AO840,2,0),0)</f>
        <v>0</v>
      </c>
      <c r="BM3" s="18">
        <f>+IFERROR(VLOOKUP($BM$2,Sheet1!AL2:AO840,2,0),0)</f>
        <v>0</v>
      </c>
      <c r="BN3" s="18">
        <v>123</v>
      </c>
      <c r="BO3" s="18">
        <v>123</v>
      </c>
      <c r="BP3" s="18">
        <f>+IFERROR(VLOOKUP($BP$2,Sheet1!AL2:AO840,2,0),0)</f>
        <v>0</v>
      </c>
      <c r="BQ3" s="18">
        <f>+IFERROR(VLOOKUP($BQ$2,Sheet1!AL2:AO840,2,0),0)</f>
        <v>0</v>
      </c>
      <c r="BR3" s="18">
        <f>+IFERROR(VLOOKUP($BR$2,Sheet1!AL2:AO840,2,0),0)</f>
        <v>0</v>
      </c>
      <c r="BS3" s="18">
        <f>+IFERROR(VLOOKUP($BS$2,Sheet1!AL2:AO840,2,0),0)</f>
        <v>0</v>
      </c>
      <c r="BT3" s="18">
        <f>+IFERROR(VLOOKUP($BT$2,Sheet1!AL2:AO840,2,0),0)</f>
        <v>0</v>
      </c>
      <c r="BU3" s="18">
        <f>+IFERROR(VLOOKUP($BU$2,Sheet1!AL2:AO840,2,0),0)</f>
        <v>0</v>
      </c>
      <c r="BV3" s="18">
        <f>+IFERROR(VLOOKUP($BV$2,Sheet1!AL2:AO840,2,0),0)</f>
        <v>0</v>
      </c>
      <c r="BW3" s="18">
        <f>+IFERROR(VLOOKUP($BW$2,Sheet1!AL2:AO840,2,0),0)</f>
        <v>0</v>
      </c>
      <c r="BX3" s="19">
        <f>+IFERROR(VLOOKUP($BX$2,Sheet1!AP2:AS840,2,0),0)</f>
        <v>0</v>
      </c>
      <c r="BY3" s="19">
        <f>+IFERROR(VLOOKUP($BY$2,Sheet1!AT2:AW840,2,0),0)</f>
        <v>0</v>
      </c>
      <c r="BZ3" s="20">
        <f>+IFERROR(VLOOKUP($BZ$2,Sheet1!AX2:BA840,2,0),0)</f>
        <v>0</v>
      </c>
      <c r="CA3" s="21">
        <f>+IFERROR(VLOOKUP($CA$2,Sheet1!BB2:BE840,2,0),0)</f>
        <v>0</v>
      </c>
      <c r="CB3" s="20">
        <f>+IFERROR(VLOOKUP($CB$2,Sheet1!BF2:BI840,2,0),0)</f>
        <v>0</v>
      </c>
      <c r="CC3" s="20">
        <f>+IFERROR(VLOOKUP($CC$2,Sheet1!BJ2:BM840,2,0),0)</f>
        <v>0</v>
      </c>
      <c r="CD3" s="20">
        <f>+IFERROR(VLOOKUP($CD$2,Sheet1!BN2:BQ840,2,0),0)</f>
        <v>0</v>
      </c>
      <c r="CE3" s="21">
        <f>+IFERROR(VLOOKUP($CE$2,Sheet1!BR2:BU840,2,0),0)</f>
        <v>0</v>
      </c>
      <c r="CF3" s="20">
        <f>+IFERROR(VLOOKUP($CF$2,Sheet1!BV2:BY840,2,0),0)</f>
        <v>0</v>
      </c>
      <c r="CG3" s="66"/>
      <c r="CH3" s="66"/>
      <c r="CI3" s="66"/>
      <c r="CJ3" s="66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</row>
    <row r="4" spans="1:110" s="22" customFormat="1" ht="30" x14ac:dyDescent="0.25">
      <c r="A4" s="6" t="str">
        <f>Sheet1!A2</f>
        <v>ENQ-16887-25-26</v>
      </c>
      <c r="B4" s="87">
        <v>45902</v>
      </c>
      <c r="C4" s="6" t="str">
        <f>Sheet1!C2</f>
        <v>FA0200008</v>
      </c>
      <c r="D4" s="6" t="str">
        <f>Sheet1!D2</f>
        <v>2 CORE X 2.5 SQ. MM. CU/ARD - WIRE (PVC)</v>
      </c>
      <c r="E4" s="23">
        <f t="shared" ref="E4:E15" si="0">CS4+CU4+CW4+CY4</f>
        <v>96370.590399999986</v>
      </c>
      <c r="F4" s="108">
        <f>ROUNDUP(M22,0)</f>
        <v>22500</v>
      </c>
      <c r="G4" s="28">
        <f t="shared" ref="G4:G15" si="1">E4+F4</f>
        <v>118870.59039999999</v>
      </c>
      <c r="H4" s="29">
        <f>Sheet1!CR2</f>
        <v>0.18</v>
      </c>
      <c r="I4" s="28">
        <f t="shared" ref="I4:I15" si="2">G4*H4</f>
        <v>21396.706271999996</v>
      </c>
      <c r="J4" s="28">
        <f t="shared" ref="J4:J15" si="3">G4+I4</f>
        <v>140267.29667199997</v>
      </c>
      <c r="K4" s="79">
        <f>Sheet1!CU2</f>
        <v>2</v>
      </c>
      <c r="L4" s="76" t="str">
        <f>Sheet1!CV2</f>
        <v>KMS</v>
      </c>
      <c r="M4" s="23">
        <f t="shared" ref="M4:M15" si="4">J4*K4</f>
        <v>280534.59334399994</v>
      </c>
      <c r="N4" s="71">
        <f>+IFERROR(VLOOKUP($N$2,Sheet1!J2:L2,3,0),0)</f>
        <v>0</v>
      </c>
      <c r="O4" s="71">
        <f>+IFERROR(VLOOKUP($O$2,Sheet1!J2:L2,3,0),0)</f>
        <v>0</v>
      </c>
      <c r="P4" s="71">
        <f>+IFERROR(VLOOKUP($P$2,Sheet1!J2:M2,3,0),0)</f>
        <v>44</v>
      </c>
      <c r="Q4" s="71">
        <f>+IFERROR(VLOOKUP($Q$2,Sheet1!J2:M2,3,0),0)</f>
        <v>0</v>
      </c>
      <c r="R4" s="71">
        <f>+IFERROR(VLOOKUP($R$2,Sheet1!J2:M2,3,0),0)</f>
        <v>0</v>
      </c>
      <c r="S4" s="71">
        <f>+IFERROR(VLOOKUP($S$2,Sheet1!J2:M2,3,0),0)</f>
        <v>0</v>
      </c>
      <c r="T4" s="71">
        <f>+IFERROR(VLOOKUP($T$2,Sheet1!J2:M2,3,0),0)</f>
        <v>0</v>
      </c>
      <c r="U4" s="71">
        <f>+IFERROR(VLOOKUP($U$2,Sheet1!J2:M2,3,0),0)</f>
        <v>0</v>
      </c>
      <c r="V4" s="72">
        <f>+IFERROR(VLOOKUP($V$2,Sheet1!N2:Q2,3,0),0)</f>
        <v>0</v>
      </c>
      <c r="W4" s="72">
        <f>+IFERROR(VLOOKUP($W$2,Sheet1!N2:Q2,3,0),0)</f>
        <v>0</v>
      </c>
      <c r="X4" s="73">
        <f>+IFERROR(VLOOKUP($X$2,Sheet1!F2:I2,3,0),0)</f>
        <v>0</v>
      </c>
      <c r="Y4" s="73">
        <f>+IFERROR(VLOOKUP($Y$2,Sheet1!F2:I2,3,0),0)</f>
        <v>0</v>
      </c>
      <c r="Z4" s="73">
        <f>+IFERROR(VLOOKUP($Z$2,Sheet1!F2:I2,3,0),0)</f>
        <v>0</v>
      </c>
      <c r="AA4" s="73">
        <f>+IFERROR(VLOOKUP($AA$2,Sheet1!F2:I2,3,0),0)</f>
        <v>0</v>
      </c>
      <c r="AB4" s="73">
        <f>+IFERROR(VLOOKUP($AB$2,Sheet1!F2:I2,3,0),0)</f>
        <v>0</v>
      </c>
      <c r="AC4" s="73">
        <f>+IFERROR(VLOOKUP($AC$2,Sheet1!F2:I2,3,0),0)</f>
        <v>0</v>
      </c>
      <c r="AD4" s="73">
        <f>+IFERROR(VLOOKUP($AD$2,Sheet1!F2:I2,3,0),0)</f>
        <v>0</v>
      </c>
      <c r="AE4" s="73">
        <f>+IFERROR(VLOOKUP($AE$2,Sheet1!F2:I2,3,0),0)</f>
        <v>0</v>
      </c>
      <c r="AF4" s="74">
        <f>+IFERROR(VLOOKUP($AF$2,Sheet1!R2:U2,3,0),0)</f>
        <v>0</v>
      </c>
      <c r="AG4" s="32">
        <f>+IFERROR(VLOOKUP($AG$2,Sheet1!R2:U2,3,0),0)</f>
        <v>0</v>
      </c>
      <c r="AH4" s="75">
        <f>+IFERROR(VLOOKUP($AH$2,Sheet1!V2:Y2,3,0),0)</f>
        <v>0</v>
      </c>
      <c r="AI4" s="33">
        <f>+IFERROR(VLOOKUP($AI$2,Sheet1!V2:Y2,3,0),0)</f>
        <v>0</v>
      </c>
      <c r="AJ4" s="33">
        <f>+IFERROR(VLOOKUP($AJ$2,Sheet1!V2:Y2,3,0),0)</f>
        <v>0</v>
      </c>
      <c r="AK4" s="33">
        <f>+IFERROR(VLOOKUP($AK$2,Sheet1!V2:Y2,3,0),0)</f>
        <v>26</v>
      </c>
      <c r="AL4" s="33">
        <f>+IFERROR(VLOOKUP($AL$2,Sheet1!V2:Y2,3,0),0)</f>
        <v>0</v>
      </c>
      <c r="AM4" s="33">
        <f>+IFERROR(VLOOKUP($AM$2,Sheet1!V2:Y2,3,0),0)</f>
        <v>0</v>
      </c>
      <c r="AN4" s="33">
        <f>+IFERROR(VLOOKUP($AN$2,Sheet1!V2:Y2,3,0),0)</f>
        <v>0</v>
      </c>
      <c r="AO4" s="33">
        <f>+IFERROR(VLOOKUP($AO$2,Sheet1!V2:Y2,3,0),0)</f>
        <v>0</v>
      </c>
      <c r="AP4" s="33">
        <f>+IFERROR(VLOOKUP($AP$2,Sheet1!V2:Y2,3,0),0)</f>
        <v>0</v>
      </c>
      <c r="AQ4" s="36">
        <f>+IFERROR(VLOOKUP($AQ$2,Sheet1!Z2:AB2,3,0),0)</f>
        <v>3</v>
      </c>
      <c r="AR4" s="37">
        <f>+IFERROR(VLOOKUP($AR$2,Sheet1!AD2:AG2,3,0),0)</f>
        <v>39</v>
      </c>
      <c r="AS4" s="37">
        <f>+IFERROR(VLOOKUP($AS$2,Sheet1!AD2:AG2,3,0),0)</f>
        <v>0</v>
      </c>
      <c r="AT4" s="37">
        <f>+IFERROR(VLOOKUP($AT$2,Sheet1!AD2:AG2,3,0),0)</f>
        <v>0</v>
      </c>
      <c r="AU4" s="37">
        <f>+IFERROR(VLOOKUP($AU$2,Sheet1!AD2:AG2,3,0),0)</f>
        <v>0</v>
      </c>
      <c r="AV4" s="37">
        <f>+IFERROR(VLOOKUP($AV$2,Sheet1!AD2:AG2,3,0),0)</f>
        <v>0</v>
      </c>
      <c r="AW4" s="37">
        <f>+IFERROR(VLOOKUP($AW$2,Sheet1!AD2:AG2,3,0),0)</f>
        <v>0</v>
      </c>
      <c r="AX4" s="37">
        <f>+IFERROR(VLOOKUP($AX$2,Sheet1!AD2:AG2,3,0),0)</f>
        <v>0</v>
      </c>
      <c r="AY4" s="37">
        <f>+IFERROR(VLOOKUP($AY$2,Sheet1!AD2:AG2,3,0),0)</f>
        <v>0</v>
      </c>
      <c r="AZ4" s="37">
        <f>+IFERROR(VLOOKUP($AZ$2,Sheet1!AD2:AG2,3,0),0)</f>
        <v>0</v>
      </c>
      <c r="BA4" s="36">
        <f>+IFERROR(VLOOKUP($BA$2,Sheet1!AH2:AK2,3,0),0)</f>
        <v>0</v>
      </c>
      <c r="BB4" s="36">
        <f>+IFERROR(VLOOKUP($BB$2,Sheet1!AH2:AK2,3,0),0)</f>
        <v>0</v>
      </c>
      <c r="BC4" s="36">
        <f>+IFERROR(VLOOKUP($BC$2,Sheet1!AH2:AK2,3,0),0)</f>
        <v>0</v>
      </c>
      <c r="BD4" s="36">
        <f>+IFERROR(VLOOKUP($BD$2,Sheet1!AH2:AK2,3,0),0)</f>
        <v>0</v>
      </c>
      <c r="BE4" s="36">
        <f>+IFERROR(VLOOKUP($BE$2,Sheet1!AH2:AK2,3,0),0)</f>
        <v>0</v>
      </c>
      <c r="BF4" s="36">
        <f>+IFERROR(VLOOKUP($BF$2,Sheet1!AH2:AK2,3,0),0)</f>
        <v>0</v>
      </c>
      <c r="BG4" s="36">
        <f>+IFERROR(VLOOKUP($BG$2,Sheet1!AH2:AK2,3,0),0)</f>
        <v>0</v>
      </c>
      <c r="BH4" s="36">
        <f>+IFERROR(VLOOKUP($BH$2,Sheet1!AH2:AK2,3,0),0)</f>
        <v>0</v>
      </c>
      <c r="BI4" s="36">
        <f>+IFERROR(VLOOKUP($BI$2,Sheet1!AH2:AK2,3,0),0)</f>
        <v>0</v>
      </c>
      <c r="BJ4" s="36">
        <f>+IFERROR(VLOOKUP($BJ$2,Sheet1!AH2:AK2,3,0),0)</f>
        <v>251</v>
      </c>
      <c r="BK4" s="36">
        <f>+IFERROR(VLOOKUP($BK$2,Sheet1!AH2:AK2,3,0),0)</f>
        <v>0</v>
      </c>
      <c r="BL4" s="9">
        <f>+IFERROR(VLOOKUP($BL$2,Sheet1!AL2:AO2,3,0),0)</f>
        <v>0</v>
      </c>
      <c r="BM4" s="9">
        <f>+IFERROR(VLOOKUP($BM$2,Sheet1!AL2:AO2,3,0),0)</f>
        <v>0</v>
      </c>
      <c r="BN4" s="9">
        <f>+IFERROR(VLOOKUP($BN$2,Sheet1!AL2:AO2,3,0),0)</f>
        <v>93</v>
      </c>
      <c r="BO4" s="9">
        <f>+IFERROR(VLOOKUP($BO$2,Sheet1!AL2:AO2,3,0),0)</f>
        <v>0</v>
      </c>
      <c r="BP4" s="9">
        <f>+IFERROR(VLOOKUP($BP$2,Sheet1!AL2:AO2,3,0),0)</f>
        <v>0</v>
      </c>
      <c r="BQ4" s="9">
        <f>+IFERROR(VLOOKUP($BQ$2,Sheet1!AL2:AO2,3,0),0)</f>
        <v>0</v>
      </c>
      <c r="BR4" s="9">
        <f>+IFERROR(VLOOKUP($BR$2,Sheet1!AL2:AO2,3,0),0)</f>
        <v>0</v>
      </c>
      <c r="BS4" s="9">
        <f>+IFERROR(VLOOKUP($BS$2,Sheet1!AL2:AO2,3,0),0)</f>
        <v>0</v>
      </c>
      <c r="BT4" s="9">
        <f>+IFERROR(VLOOKUP($BT$2,Sheet1!AL2:AO2,3,0),0)</f>
        <v>0</v>
      </c>
      <c r="BU4" s="9">
        <f>+IFERROR(VLOOKUP($BU$2,Sheet1!AL2:AO2,3,0),0)</f>
        <v>0</v>
      </c>
      <c r="BV4" s="9">
        <f>+IFERROR(VLOOKUP($BV$2,Sheet1!AL2:AO2,3,0),0)</f>
        <v>0</v>
      </c>
      <c r="BW4" s="9">
        <f>+IFERROR(VLOOKUP($BW$2,Sheet1!AL2:AO2,3,0),0)</f>
        <v>0</v>
      </c>
      <c r="BX4" s="40">
        <f>+IFERROR(VLOOKUP($BX$2,Sheet1!AP2:AS2,3,0),0)</f>
        <v>0</v>
      </c>
      <c r="BY4" s="43">
        <f>+IFERROR(VLOOKUP($BY$2,Sheet1!AT2:AW2,3,0),0)</f>
        <v>0</v>
      </c>
      <c r="BZ4" s="44">
        <f>+IFERROR(VLOOKUP($BZ$2,Sheet1!AX2:BA2,3,0),0)</f>
        <v>0</v>
      </c>
      <c r="CA4" s="46">
        <f>+IFERROR(VLOOKUP($CA$2,Sheet1!BB2:BE2,3,0),0)</f>
        <v>0</v>
      </c>
      <c r="CB4" s="48">
        <f>+IFERROR(VLOOKUP($CB$2,Sheet1!BF2:BI2,3,0),0)</f>
        <v>0</v>
      </c>
      <c r="CC4" s="49">
        <f>+IFERROR(VLOOKUP($CC$2,Sheet1!BJ2:BM2,3,0),0)</f>
        <v>0</v>
      </c>
      <c r="CD4" s="50">
        <f>+IFERROR(VLOOKUP($CD$2,Sheet1!BN2:BQ2,3,0),0)</f>
        <v>0</v>
      </c>
      <c r="CE4" s="38">
        <f>+IFERROR(VLOOKUP($CE$2,Sheet1!BR2:BU2,3,0),0)</f>
        <v>0</v>
      </c>
      <c r="CF4" s="44">
        <f>+IFERROR(VLOOKUP($CF$2,Sheet1!BV2:BY2,3,0),0)</f>
        <v>0</v>
      </c>
      <c r="CG4" s="67" t="s">
        <v>269</v>
      </c>
      <c r="CH4" s="68" t="s">
        <v>231</v>
      </c>
      <c r="CI4" s="68" t="s">
        <v>276</v>
      </c>
      <c r="CJ4" s="68">
        <v>500</v>
      </c>
      <c r="CK4" s="23">
        <f>3150/0.5</f>
        <v>6300</v>
      </c>
      <c r="CL4" s="23">
        <f t="shared" ref="CL4:CL15" si="5">SUMPRODUCT($N$3:$CF$3,N4:CF4)+CK4</f>
        <v>83539</v>
      </c>
      <c r="CM4" s="24">
        <f>Sheet1!CB2</f>
        <v>0</v>
      </c>
      <c r="CN4" s="23">
        <f t="shared" ref="CN4:CN15" si="6">CL4*CM4</f>
        <v>0</v>
      </c>
      <c r="CO4" s="95">
        <v>0.12</v>
      </c>
      <c r="CP4" s="23">
        <f t="shared" ref="CP4:CP15" si="7">CL4*CO4</f>
        <v>10024.68</v>
      </c>
      <c r="CQ4" s="95">
        <v>0</v>
      </c>
      <c r="CR4" s="23">
        <f t="shared" ref="CR4:CR15" si="8">CL4*CQ4</f>
        <v>0</v>
      </c>
      <c r="CS4" s="23">
        <f t="shared" ref="CS4:CS15" si="9">CL4+CN4+CP4+CR4</f>
        <v>93563.68</v>
      </c>
      <c r="CT4" s="95">
        <v>0.02</v>
      </c>
      <c r="CU4" s="112">
        <f t="shared" ref="CU4:CU15" si="10">CS4*CT4</f>
        <v>1871.2736</v>
      </c>
      <c r="CV4" s="95">
        <v>0.01</v>
      </c>
      <c r="CW4" s="112">
        <f t="shared" ref="CW4:CW15" si="11">CS4*CV4</f>
        <v>935.63679999999999</v>
      </c>
      <c r="CX4" s="95">
        <f>Sheet1!CM2</f>
        <v>0</v>
      </c>
      <c r="CY4" s="6">
        <f t="shared" ref="CY4:CY15" si="12">CX4*CS4</f>
        <v>0</v>
      </c>
      <c r="DA4" s="22">
        <f>324*1000</f>
        <v>324000</v>
      </c>
      <c r="DB4" s="22">
        <f>DA4*15%</f>
        <v>48600</v>
      </c>
      <c r="DC4" s="22">
        <f>DA4*9%</f>
        <v>29160</v>
      </c>
      <c r="DE4" s="22">
        <f>DA4+DB4+DC4+DD4</f>
        <v>401760</v>
      </c>
      <c r="DF4" s="113">
        <f>((DE4-E4)/DE4)*100</f>
        <v>76.012895659099968</v>
      </c>
    </row>
    <row r="5" spans="1:110" s="22" customFormat="1" ht="30" x14ac:dyDescent="0.25">
      <c r="A5" s="6" t="str">
        <f>Sheet1!A3</f>
        <v>ENQ-16887-25-26</v>
      </c>
      <c r="B5" s="87">
        <v>45902</v>
      </c>
      <c r="C5" s="6" t="str">
        <f>Sheet1!C3</f>
        <v>FA0200009</v>
      </c>
      <c r="D5" s="6" t="str">
        <f>Sheet1!D3</f>
        <v>3 CORE X 2.5 SQ. MM. CU/ARD - WIRE (PVC)</v>
      </c>
      <c r="E5" s="23">
        <f t="shared" si="0"/>
        <v>122015.11840000001</v>
      </c>
      <c r="F5" s="108">
        <f t="shared" ref="F5:F15" si="13">ROUNDUP(M23,0)</f>
        <v>3462</v>
      </c>
      <c r="G5" s="28">
        <f t="shared" si="1"/>
        <v>125477.11840000001</v>
      </c>
      <c r="H5" s="29">
        <f>Sheet1!CR3</f>
        <v>0.18</v>
      </c>
      <c r="I5" s="28">
        <f t="shared" si="2"/>
        <v>22585.881312000001</v>
      </c>
      <c r="J5" s="28">
        <f t="shared" si="3"/>
        <v>148062.99971200002</v>
      </c>
      <c r="K5" s="79">
        <f>Sheet1!CU3</f>
        <v>13</v>
      </c>
      <c r="L5" s="76" t="str">
        <f>Sheet1!CV3</f>
        <v>KMS</v>
      </c>
      <c r="M5" s="23">
        <f t="shared" si="4"/>
        <v>1924818.9962560004</v>
      </c>
      <c r="N5" s="71">
        <f>+IFERROR(VLOOKUP($N$2,Sheet1!J3:L3,3,0),0)</f>
        <v>0</v>
      </c>
      <c r="O5" s="71">
        <f>+IFERROR(VLOOKUP($O$2,Sheet1!J3:L3,3,0),0)</f>
        <v>0</v>
      </c>
      <c r="P5" s="71">
        <f>+IFERROR(VLOOKUP($P$2,Sheet1!J3:M3,3,0),0)</f>
        <v>67</v>
      </c>
      <c r="Q5" s="71">
        <f>+IFERROR(VLOOKUP($Q$2,Sheet1!J3:M3,3,0),0)</f>
        <v>0</v>
      </c>
      <c r="R5" s="71">
        <f>+IFERROR(VLOOKUP($R$2,Sheet1!J3:M3,3,0),0)</f>
        <v>0</v>
      </c>
      <c r="S5" s="71">
        <f>+IFERROR(VLOOKUP($S$2,Sheet1!J3:M3,3,0),0)</f>
        <v>0</v>
      </c>
      <c r="T5" s="71">
        <f>+IFERROR(VLOOKUP($T$2,Sheet1!J3:M3,3,0),0)</f>
        <v>0</v>
      </c>
      <c r="U5" s="71">
        <f>+IFERROR(VLOOKUP($U$2,Sheet1!J3:M3,3,0),0)</f>
        <v>0</v>
      </c>
      <c r="V5" s="72">
        <f>+IFERROR(VLOOKUP($V$2,Sheet1!N3:Q3,3,0),0)</f>
        <v>0</v>
      </c>
      <c r="W5" s="72">
        <f>+IFERROR(VLOOKUP($W$2,Sheet1!N3:Q3,3,0),0)</f>
        <v>0</v>
      </c>
      <c r="X5" s="73">
        <f>+IFERROR(VLOOKUP($X$2,Sheet1!F3:I3,3,0),0)</f>
        <v>0</v>
      </c>
      <c r="Y5" s="73">
        <f>+IFERROR(VLOOKUP($Y$2,Sheet1!F3:I3,3,0),0)</f>
        <v>0</v>
      </c>
      <c r="Z5" s="73">
        <f>+IFERROR(VLOOKUP($Z$2,Sheet1!F3:I3,3,0),0)</f>
        <v>0</v>
      </c>
      <c r="AA5" s="73">
        <f>+IFERROR(VLOOKUP($AA$2,Sheet1!F3:I3,3,0),0)</f>
        <v>0</v>
      </c>
      <c r="AB5" s="73">
        <f>+IFERROR(VLOOKUP($AB$2,Sheet1!F3:I3,3,0),0)</f>
        <v>0</v>
      </c>
      <c r="AC5" s="73">
        <f>+IFERROR(VLOOKUP($AC$2,Sheet1!F3:I3,3,0),0)</f>
        <v>0</v>
      </c>
      <c r="AD5" s="73">
        <f>+IFERROR(VLOOKUP($AD$2,Sheet1!F3:I3,3,0),0)</f>
        <v>0</v>
      </c>
      <c r="AE5" s="73">
        <f>+IFERROR(VLOOKUP($AE$2,Sheet1!F3:I3,3,0),0)</f>
        <v>0</v>
      </c>
      <c r="AF5" s="74">
        <f>+IFERROR(VLOOKUP($AF$2,Sheet1!R3:U3,3,0),0)</f>
        <v>0</v>
      </c>
      <c r="AG5" s="32">
        <f>+IFERROR(VLOOKUP($AG$2,Sheet1!R3:U3,3,0),0)</f>
        <v>0</v>
      </c>
      <c r="AH5" s="75">
        <f>+IFERROR(VLOOKUP($AH$2,Sheet1!V3:Y3,3,0),0)</f>
        <v>0</v>
      </c>
      <c r="AI5" s="33">
        <f>+IFERROR(VLOOKUP($AI$2,Sheet1!V3:Y3,3,0),0)</f>
        <v>0</v>
      </c>
      <c r="AJ5" s="33">
        <f>+IFERROR(VLOOKUP($AJ$2,Sheet1!V3:Y3,3,0),0)</f>
        <v>0</v>
      </c>
      <c r="AK5" s="33">
        <f>+IFERROR(VLOOKUP($AK$2,Sheet1!V3:Y3,3,0),0)</f>
        <v>39</v>
      </c>
      <c r="AL5" s="33">
        <f>+IFERROR(VLOOKUP($AL$2,Sheet1!V3:Y3,3,0),0)</f>
        <v>0</v>
      </c>
      <c r="AM5" s="33">
        <f>+IFERROR(VLOOKUP($AM$2,Sheet1!V3:Y3,3,0),0)</f>
        <v>0</v>
      </c>
      <c r="AN5" s="33">
        <f>+IFERROR(VLOOKUP($AN$2,Sheet1!V3:Y3,3,0),0)</f>
        <v>0</v>
      </c>
      <c r="AO5" s="33">
        <f>+IFERROR(VLOOKUP($AO$2,Sheet1!V3:Y3,3,0),0)</f>
        <v>0</v>
      </c>
      <c r="AP5" s="33">
        <f>+IFERROR(VLOOKUP($AP$2,Sheet1!V3:Y3,3,0),0)</f>
        <v>0</v>
      </c>
      <c r="AQ5" s="36">
        <f>+IFERROR(VLOOKUP($AQ$2,Sheet1!Z3:AB3,3,0),0)</f>
        <v>3</v>
      </c>
      <c r="AR5" s="37">
        <f>+IFERROR(VLOOKUP($AR$2,Sheet1!AD3:AG3,3,0),0)</f>
        <v>20</v>
      </c>
      <c r="AS5" s="37">
        <f>+IFERROR(VLOOKUP($AS$2,Sheet1!AD3:AG3,3,0),0)</f>
        <v>0</v>
      </c>
      <c r="AT5" s="37">
        <f>+IFERROR(VLOOKUP($AT$2,Sheet1!AD3:AG3,3,0),0)</f>
        <v>0</v>
      </c>
      <c r="AU5" s="37">
        <f>+IFERROR(VLOOKUP($AU$2,Sheet1!AD3:AG3,3,0),0)</f>
        <v>0</v>
      </c>
      <c r="AV5" s="37">
        <f>+IFERROR(VLOOKUP($AV$2,Sheet1!AD3:AG3,3,0),0)</f>
        <v>0</v>
      </c>
      <c r="AW5" s="37">
        <f>+IFERROR(VLOOKUP($AW$2,Sheet1!AD3:AG3,3,0),0)</f>
        <v>0</v>
      </c>
      <c r="AX5" s="37">
        <f>+IFERROR(VLOOKUP($AX$2,Sheet1!AD3:AG3,3,0),0)</f>
        <v>0</v>
      </c>
      <c r="AY5" s="37">
        <f>+IFERROR(VLOOKUP($AY$2,Sheet1!AD3:AG3,3,0),0)</f>
        <v>0</v>
      </c>
      <c r="AZ5" s="37">
        <f>+IFERROR(VLOOKUP($AZ$2,Sheet1!AD3:AG3,3,0),0)</f>
        <v>0</v>
      </c>
      <c r="BA5" s="36">
        <f>+IFERROR(VLOOKUP($BA$2,Sheet1!AH3:AK3,3,0),0)</f>
        <v>0</v>
      </c>
      <c r="BB5" s="36">
        <f>+IFERROR(VLOOKUP($BB$2,Sheet1!AH3:AK3,3,0),0)</f>
        <v>0</v>
      </c>
      <c r="BC5" s="36">
        <f>+IFERROR(VLOOKUP($BC$2,Sheet1!AH3:AK3,3,0),0)</f>
        <v>0</v>
      </c>
      <c r="BD5" s="36">
        <f>+IFERROR(VLOOKUP($BD$2,Sheet1!AH3:AK3,3,0),0)</f>
        <v>0</v>
      </c>
      <c r="BE5" s="36">
        <f>+IFERROR(VLOOKUP($BE$2,Sheet1!AH3:AK3,3,0),0)</f>
        <v>0</v>
      </c>
      <c r="BF5" s="36">
        <f>+IFERROR(VLOOKUP($BF$2,Sheet1!AH3:AK3,3,0),0)</f>
        <v>0</v>
      </c>
      <c r="BG5" s="36">
        <f>+IFERROR(VLOOKUP($BG$2,Sheet1!AH3:AK3,3,0),0)</f>
        <v>0</v>
      </c>
      <c r="BH5" s="36">
        <f>+IFERROR(VLOOKUP($BH$2,Sheet1!AH3:AK3,3,0),0)</f>
        <v>0</v>
      </c>
      <c r="BI5" s="36">
        <f>+IFERROR(VLOOKUP($BI$2,Sheet1!AH3:AK3,3,0),0)</f>
        <v>0</v>
      </c>
      <c r="BJ5" s="36">
        <f>+IFERROR(VLOOKUP($BJ$2,Sheet1!AH3:AK3,3,0),0)</f>
        <v>264</v>
      </c>
      <c r="BK5" s="36">
        <f>+IFERROR(VLOOKUP($BK$2,Sheet1!AH3:AK3,3,0),0)</f>
        <v>0</v>
      </c>
      <c r="BL5" s="9">
        <f>+IFERROR(VLOOKUP($BL$2,Sheet1!AL3:AO3,3,0),0)</f>
        <v>0</v>
      </c>
      <c r="BM5" s="9">
        <f>+IFERROR(VLOOKUP($BM$2,Sheet1!AL3:AO3,3,0),0)</f>
        <v>0</v>
      </c>
      <c r="BN5" s="9">
        <f>+IFERROR(VLOOKUP($BN$2,Sheet1!AL3:AO3,3,0),0)</f>
        <v>97</v>
      </c>
      <c r="BO5" s="9">
        <f>+IFERROR(VLOOKUP($BO$2,Sheet1!AL3:AO3,3,0),0)</f>
        <v>0</v>
      </c>
      <c r="BP5" s="9">
        <f>+IFERROR(VLOOKUP($BP$2,Sheet1!AL3:AO3,3,0),0)</f>
        <v>0</v>
      </c>
      <c r="BQ5" s="9">
        <f>+IFERROR(VLOOKUP($BQ$2,Sheet1!AL3:AO3,3,0),0)</f>
        <v>0</v>
      </c>
      <c r="BR5" s="9">
        <f>+IFERROR(VLOOKUP($BR$2,Sheet1!AL3:AO3,3,0),0)</f>
        <v>0</v>
      </c>
      <c r="BS5" s="9">
        <f>+IFERROR(VLOOKUP($BS$2,Sheet1!AL3:AO3,3,0),0)</f>
        <v>0</v>
      </c>
      <c r="BT5" s="9">
        <f>+IFERROR(VLOOKUP($BT$2,Sheet1!AL3:AO3,3,0),0)</f>
        <v>0</v>
      </c>
      <c r="BU5" s="9">
        <f>+IFERROR(VLOOKUP($BU$2,Sheet1!AL3:AO3,3,0),0)</f>
        <v>0</v>
      </c>
      <c r="BV5" s="9">
        <f>+IFERROR(VLOOKUP($BV$2,Sheet1!AL3:AO3,3,0),0)</f>
        <v>0</v>
      </c>
      <c r="BW5" s="9">
        <f>+IFERROR(VLOOKUP($BW$2,Sheet1!AL3:AO3,3,0),0)</f>
        <v>0</v>
      </c>
      <c r="BX5" s="40">
        <f>+IFERROR(VLOOKUP($BX$2,Sheet1!AP3:AS3,3,0),0)</f>
        <v>0</v>
      </c>
      <c r="BY5" s="43">
        <f>+IFERROR(VLOOKUP($BY$2,Sheet1!AT3:AW3,3,0),0)</f>
        <v>0</v>
      </c>
      <c r="BZ5" s="44">
        <f>+IFERROR(VLOOKUP($BZ$2,Sheet1!AX3:BA3,3,0),0)</f>
        <v>0</v>
      </c>
      <c r="CA5" s="46">
        <f>+IFERROR(VLOOKUP($CA$2,Sheet1!BB3:BE3,3,0),0)</f>
        <v>0</v>
      </c>
      <c r="CB5" s="48">
        <f>+IFERROR(VLOOKUP($CB$2,Sheet1!BF3:BI3,3,0),0)</f>
        <v>0</v>
      </c>
      <c r="CC5" s="49">
        <f>+IFERROR(VLOOKUP($CC$2,Sheet1!BJ3:BM3,3,0),0)</f>
        <v>0</v>
      </c>
      <c r="CD5" s="50">
        <f>+IFERROR(VLOOKUP($CD$2,Sheet1!BN3:BQ3,3,0),0)</f>
        <v>0</v>
      </c>
      <c r="CE5" s="38">
        <f>+IFERROR(VLOOKUP($CE$2,Sheet1!BR3:BU3,3,0),0)</f>
        <v>0</v>
      </c>
      <c r="CF5" s="44">
        <f>+IFERROR(VLOOKUP($CF$2,Sheet1!BV3:BY3,3,0),0)</f>
        <v>0</v>
      </c>
      <c r="CG5" s="67" t="s">
        <v>269</v>
      </c>
      <c r="CH5" s="68" t="s">
        <v>231</v>
      </c>
      <c r="CI5" s="68" t="s">
        <v>276</v>
      </c>
      <c r="CJ5" s="68">
        <v>500</v>
      </c>
      <c r="CK5" s="23">
        <f>3150/0.5</f>
        <v>6300</v>
      </c>
      <c r="CL5" s="23">
        <f t="shared" si="5"/>
        <v>105769</v>
      </c>
      <c r="CM5" s="24">
        <f>Sheet1!CB3</f>
        <v>0</v>
      </c>
      <c r="CN5" s="23">
        <f t="shared" si="6"/>
        <v>0</v>
      </c>
      <c r="CO5" s="95">
        <v>0.12</v>
      </c>
      <c r="CP5" s="23">
        <f t="shared" si="7"/>
        <v>12692.279999999999</v>
      </c>
      <c r="CQ5" s="95">
        <v>0</v>
      </c>
      <c r="CR5" s="23">
        <f t="shared" si="8"/>
        <v>0</v>
      </c>
      <c r="CS5" s="23">
        <f t="shared" si="9"/>
        <v>118461.28</v>
      </c>
      <c r="CT5" s="95">
        <v>0.02</v>
      </c>
      <c r="CU5" s="112">
        <f t="shared" si="10"/>
        <v>2369.2256000000002</v>
      </c>
      <c r="CV5" s="95">
        <v>0.01</v>
      </c>
      <c r="CW5" s="112">
        <f t="shared" si="11"/>
        <v>1184.6128000000001</v>
      </c>
      <c r="CX5" s="95">
        <f>Sheet1!CM3</f>
        <v>0</v>
      </c>
      <c r="CY5" s="6">
        <f t="shared" si="12"/>
        <v>0</v>
      </c>
      <c r="DA5" s="22">
        <f>418*1000</f>
        <v>418000</v>
      </c>
      <c r="DB5" s="22">
        <f t="shared" ref="DB5:DB15" si="14">DA5*15%</f>
        <v>62700</v>
      </c>
      <c r="DC5" s="22">
        <f>DA5*9%</f>
        <v>37620</v>
      </c>
      <c r="DE5" s="22">
        <f t="shared" ref="DE5:DE15" si="15">DA5+DB5+DC5+DD5</f>
        <v>518320</v>
      </c>
      <c r="DF5" s="113">
        <f t="shared" ref="DF5:DF15" si="16">((DE5-E5)/DE5)*100</f>
        <v>76.459500231517211</v>
      </c>
    </row>
    <row r="6" spans="1:110" s="22" customFormat="1" ht="30" x14ac:dyDescent="0.25">
      <c r="A6" s="6" t="str">
        <f>Sheet1!A4</f>
        <v>ENQ-16887-25-26</v>
      </c>
      <c r="B6" s="87">
        <v>45902</v>
      </c>
      <c r="C6" s="6" t="str">
        <f>Sheet1!C4</f>
        <v>FA0200016</v>
      </c>
      <c r="D6" s="6" t="str">
        <f>Sheet1!D4</f>
        <v>5 CORE X 2.5 SQ. MM. CU/ARD - WIRE (PVC)</v>
      </c>
      <c r="E6" s="23">
        <f t="shared" si="0"/>
        <v>179696.272</v>
      </c>
      <c r="F6" s="108">
        <f t="shared" si="13"/>
        <v>4091</v>
      </c>
      <c r="G6" s="28">
        <f t="shared" si="1"/>
        <v>183787.272</v>
      </c>
      <c r="H6" s="29">
        <f>Sheet1!CR4</f>
        <v>0.18</v>
      </c>
      <c r="I6" s="28">
        <f t="shared" si="2"/>
        <v>33081.708959999996</v>
      </c>
      <c r="J6" s="28">
        <f t="shared" si="3"/>
        <v>216868.98095999999</v>
      </c>
      <c r="K6" s="79">
        <f>Sheet1!CU4</f>
        <v>11</v>
      </c>
      <c r="L6" s="76" t="str">
        <f>Sheet1!CV4</f>
        <v>KMS</v>
      </c>
      <c r="M6" s="23">
        <f t="shared" si="4"/>
        <v>2385558.7905599996</v>
      </c>
      <c r="N6" s="71">
        <f>+IFERROR(VLOOKUP($N$2,Sheet1!J4:L4,3,0),0)</f>
        <v>0</v>
      </c>
      <c r="O6" s="71">
        <f>+IFERROR(VLOOKUP($O$2,Sheet1!J4:L4,3,0),0)</f>
        <v>0</v>
      </c>
      <c r="P6" s="71">
        <f>+IFERROR(VLOOKUP($P$2,Sheet1!J4:M4,3,0),0)</f>
        <v>111</v>
      </c>
      <c r="Q6" s="71">
        <f>+IFERROR(VLOOKUP($Q$2,Sheet1!J4:M4,3,0),0)</f>
        <v>0</v>
      </c>
      <c r="R6" s="71">
        <f>+IFERROR(VLOOKUP($R$2,Sheet1!J4:M4,3,0),0)</f>
        <v>0</v>
      </c>
      <c r="S6" s="71">
        <f>+IFERROR(VLOOKUP($S$2,Sheet1!J4:M4,3,0),0)</f>
        <v>0</v>
      </c>
      <c r="T6" s="71">
        <f>+IFERROR(VLOOKUP($T$2,Sheet1!J4:M4,3,0),0)</f>
        <v>0</v>
      </c>
      <c r="U6" s="71">
        <f>+IFERROR(VLOOKUP($U$2,Sheet1!J4:M4,3,0),0)</f>
        <v>0</v>
      </c>
      <c r="V6" s="72">
        <f>+IFERROR(VLOOKUP($V$2,Sheet1!N4:Q4,3,0),0)</f>
        <v>0</v>
      </c>
      <c r="W6" s="72">
        <f>+IFERROR(VLOOKUP($W$2,Sheet1!N4:Q4,3,0),0)</f>
        <v>0</v>
      </c>
      <c r="X6" s="73">
        <f>+IFERROR(VLOOKUP($X$2,Sheet1!F4:I4,3,0),0)</f>
        <v>0</v>
      </c>
      <c r="Y6" s="73">
        <f>+IFERROR(VLOOKUP($Y$2,Sheet1!F4:I4,3,0),0)</f>
        <v>0</v>
      </c>
      <c r="Z6" s="73">
        <f>+IFERROR(VLOOKUP($Z$2,Sheet1!F4:I4,3,0),0)</f>
        <v>0</v>
      </c>
      <c r="AA6" s="73">
        <f>+IFERROR(VLOOKUP($AA$2,Sheet1!F4:I4,3,0),0)</f>
        <v>0</v>
      </c>
      <c r="AB6" s="73">
        <f>+IFERROR(VLOOKUP($AB$2,Sheet1!F4:I4,3,0),0)</f>
        <v>0</v>
      </c>
      <c r="AC6" s="73">
        <f>+IFERROR(VLOOKUP($AC$2,Sheet1!F4:I4,3,0),0)</f>
        <v>0</v>
      </c>
      <c r="AD6" s="73">
        <f>+IFERROR(VLOOKUP($AD$2,Sheet1!F4:I4,3,0),0)</f>
        <v>0</v>
      </c>
      <c r="AE6" s="73">
        <f>+IFERROR(VLOOKUP($AE$2,Sheet1!F4:I4,3,0),0)</f>
        <v>0</v>
      </c>
      <c r="AF6" s="74">
        <f>+IFERROR(VLOOKUP($AF$2,Sheet1!R4:U4,3,0),0)</f>
        <v>0</v>
      </c>
      <c r="AG6" s="32">
        <f>+IFERROR(VLOOKUP($AG$2,Sheet1!R4:U4,3,0),0)</f>
        <v>0</v>
      </c>
      <c r="AH6" s="75">
        <f>+IFERROR(VLOOKUP($AH$2,Sheet1!V4:Y4,3,0),0)</f>
        <v>0</v>
      </c>
      <c r="AI6" s="33">
        <f>+IFERROR(VLOOKUP($AI$2,Sheet1!V4:Y4,3,0),0)</f>
        <v>0</v>
      </c>
      <c r="AJ6" s="33">
        <f>+IFERROR(VLOOKUP($AJ$2,Sheet1!V4:Y4,3,0),0)</f>
        <v>0</v>
      </c>
      <c r="AK6" s="33">
        <f>+IFERROR(VLOOKUP($AK$2,Sheet1!V4:Y4,3,0),0)</f>
        <v>65</v>
      </c>
      <c r="AL6" s="33">
        <f>+IFERROR(VLOOKUP($AL$2,Sheet1!V4:Y4,3,0),0)</f>
        <v>0</v>
      </c>
      <c r="AM6" s="33">
        <f>+IFERROR(VLOOKUP($AM$2,Sheet1!V4:Y4,3,0),0)</f>
        <v>0</v>
      </c>
      <c r="AN6" s="33">
        <f>+IFERROR(VLOOKUP($AN$2,Sheet1!V4:Y4,3,0),0)</f>
        <v>0</v>
      </c>
      <c r="AO6" s="33">
        <f>+IFERROR(VLOOKUP($AO$2,Sheet1!V4:Y4,3,0),0)</f>
        <v>0</v>
      </c>
      <c r="AP6" s="33">
        <f>+IFERROR(VLOOKUP($AP$2,Sheet1!V4:Y4,3,0),0)</f>
        <v>0</v>
      </c>
      <c r="AQ6" s="36">
        <f>+IFERROR(VLOOKUP($AQ$2,Sheet1!Z4:AB4,3,0),0)</f>
        <v>4</v>
      </c>
      <c r="AR6" s="37">
        <f>+IFERROR(VLOOKUP($AR$2,Sheet1!AD4:AG4,3,0),0)</f>
        <v>28</v>
      </c>
      <c r="AS6" s="37">
        <f>+IFERROR(VLOOKUP($AS$2,Sheet1!AD4:AG4,3,0),0)</f>
        <v>0</v>
      </c>
      <c r="AT6" s="37">
        <f>+IFERROR(VLOOKUP($AT$2,Sheet1!AD4:AG4,3,0),0)</f>
        <v>0</v>
      </c>
      <c r="AU6" s="37">
        <f>+IFERROR(VLOOKUP($AU$2,Sheet1!AD4:AG4,3,0),0)</f>
        <v>0</v>
      </c>
      <c r="AV6" s="37">
        <f>+IFERROR(VLOOKUP($AV$2,Sheet1!AD4:AG4,3,0),0)</f>
        <v>0</v>
      </c>
      <c r="AW6" s="37">
        <f>+IFERROR(VLOOKUP($AW$2,Sheet1!AD4:AG4,3,0),0)</f>
        <v>0</v>
      </c>
      <c r="AX6" s="37">
        <f>+IFERROR(VLOOKUP($AX$2,Sheet1!AD4:AG4,3,0),0)</f>
        <v>0</v>
      </c>
      <c r="AY6" s="37">
        <f>+IFERROR(VLOOKUP($AY$2,Sheet1!AD4:AG4,3,0),0)</f>
        <v>0</v>
      </c>
      <c r="AZ6" s="37">
        <f>+IFERROR(VLOOKUP($AZ$2,Sheet1!AD4:AG4,3,0),0)</f>
        <v>0</v>
      </c>
      <c r="BA6" s="36">
        <f>+IFERROR(VLOOKUP($BA$2,Sheet1!AH4:AK4,3,0),0)</f>
        <v>0</v>
      </c>
      <c r="BB6" s="36">
        <f>+IFERROR(VLOOKUP($BB$2,Sheet1!AH4:AK4,3,0),0)</f>
        <v>0</v>
      </c>
      <c r="BC6" s="36">
        <f>+IFERROR(VLOOKUP($BC$2,Sheet1!AH4:AK4,3,0),0)</f>
        <v>0</v>
      </c>
      <c r="BD6" s="36">
        <f>+IFERROR(VLOOKUP($BD$2,Sheet1!AH4:AK4,3,0),0)</f>
        <v>0</v>
      </c>
      <c r="BE6" s="36">
        <f>+IFERROR(VLOOKUP($BE$2,Sheet1!AH4:AK4,3,0),0)</f>
        <v>0</v>
      </c>
      <c r="BF6" s="36">
        <f>+IFERROR(VLOOKUP($BF$2,Sheet1!AH4:AK4,3,0),0)</f>
        <v>0</v>
      </c>
      <c r="BG6" s="36">
        <f>+IFERROR(VLOOKUP($BG$2,Sheet1!AH4:AK4,3,0),0)</f>
        <v>0</v>
      </c>
      <c r="BH6" s="36">
        <f>+IFERROR(VLOOKUP($BH$2,Sheet1!AH4:AK4,3,0),0)</f>
        <v>0</v>
      </c>
      <c r="BI6" s="36">
        <f>+IFERROR(VLOOKUP($BI$2,Sheet1!AH4:AK4,3,0),0)</f>
        <v>0</v>
      </c>
      <c r="BJ6" s="36">
        <f>+IFERROR(VLOOKUP($BJ$2,Sheet1!AH4:AK4,3,0),0)</f>
        <v>314</v>
      </c>
      <c r="BK6" s="36">
        <f>+IFERROR(VLOOKUP($BK$2,Sheet1!AH4:AK4,3,0),0)</f>
        <v>0</v>
      </c>
      <c r="BL6" s="9">
        <f>+IFERROR(VLOOKUP($BL$2,Sheet1!AL4:AO4,3,0),0)</f>
        <v>0</v>
      </c>
      <c r="BM6" s="9">
        <f>+IFERROR(VLOOKUP($BM$2,Sheet1!AL4:AO4,3,0),0)</f>
        <v>0</v>
      </c>
      <c r="BN6" s="9">
        <f>+IFERROR(VLOOKUP($BN$2,Sheet1!AL4:AO4,3,0),0)</f>
        <v>112</v>
      </c>
      <c r="BO6" s="9">
        <f>+IFERROR(VLOOKUP($BO$2,Sheet1!AL4:AO4,3,0),0)</f>
        <v>0</v>
      </c>
      <c r="BP6" s="9">
        <f>+IFERROR(VLOOKUP($BP$2,Sheet1!AL4:AO4,3,0),0)</f>
        <v>0</v>
      </c>
      <c r="BQ6" s="9">
        <f>+IFERROR(VLOOKUP($BQ$2,Sheet1!AL4:AO4,3,0),0)</f>
        <v>0</v>
      </c>
      <c r="BR6" s="9">
        <f>+IFERROR(VLOOKUP($BR$2,Sheet1!AL4:AO4,3,0),0)</f>
        <v>0</v>
      </c>
      <c r="BS6" s="9">
        <f>+IFERROR(VLOOKUP($BS$2,Sheet1!AL4:AO4,3,0),0)</f>
        <v>0</v>
      </c>
      <c r="BT6" s="9">
        <f>+IFERROR(VLOOKUP($BT$2,Sheet1!AL4:AO4,3,0),0)</f>
        <v>0</v>
      </c>
      <c r="BU6" s="9">
        <f>+IFERROR(VLOOKUP($BU$2,Sheet1!AL4:AO4,3,0),0)</f>
        <v>0</v>
      </c>
      <c r="BV6" s="9">
        <f>+IFERROR(VLOOKUP($BV$2,Sheet1!AL4:AO4,3,0),0)</f>
        <v>0</v>
      </c>
      <c r="BW6" s="9">
        <f>+IFERROR(VLOOKUP($BW$2,Sheet1!AL4:AO4,3,0),0)</f>
        <v>0</v>
      </c>
      <c r="BX6" s="40">
        <f>+IFERROR(VLOOKUP($BX$2,Sheet1!AP4:AS4,3,0),0)</f>
        <v>0</v>
      </c>
      <c r="BY6" s="43">
        <f>+IFERROR(VLOOKUP($BY$2,Sheet1!AT4:AW4,3,0),0)</f>
        <v>0</v>
      </c>
      <c r="BZ6" s="44">
        <f>+IFERROR(VLOOKUP($BZ$2,Sheet1!AX4:BA4,3,0),0)</f>
        <v>0</v>
      </c>
      <c r="CA6" s="46">
        <f>+IFERROR(VLOOKUP($CA$2,Sheet1!BB4:BE4,3,0),0)</f>
        <v>0</v>
      </c>
      <c r="CB6" s="48">
        <f>+IFERROR(VLOOKUP($CB$2,Sheet1!BF4:BI4,3,0),0)</f>
        <v>0</v>
      </c>
      <c r="CC6" s="49">
        <f>+IFERROR(VLOOKUP($CC$2,Sheet1!BJ4:BM4,3,0),0)</f>
        <v>0</v>
      </c>
      <c r="CD6" s="50">
        <f>+IFERROR(VLOOKUP($CD$2,Sheet1!BN4:BQ4,3,0),0)</f>
        <v>0</v>
      </c>
      <c r="CE6" s="38">
        <f>+IFERROR(VLOOKUP($CE$2,Sheet1!BR4:BU4,3,0),0)</f>
        <v>0</v>
      </c>
      <c r="CF6" s="44">
        <f>+IFERROR(VLOOKUP($CF$2,Sheet1!BV4:BY4,3,0),0)</f>
        <v>0</v>
      </c>
      <c r="CG6" s="67" t="s">
        <v>269</v>
      </c>
      <c r="CH6" s="68" t="s">
        <v>277</v>
      </c>
      <c r="CI6" s="68" t="s">
        <v>278</v>
      </c>
      <c r="CJ6" s="68">
        <v>500</v>
      </c>
      <c r="CK6" s="23">
        <f>3600/0.5</f>
        <v>7200</v>
      </c>
      <c r="CL6" s="23">
        <f t="shared" si="5"/>
        <v>155770</v>
      </c>
      <c r="CM6" s="24">
        <f>Sheet1!CB4</f>
        <v>0</v>
      </c>
      <c r="CN6" s="23">
        <f t="shared" si="6"/>
        <v>0</v>
      </c>
      <c r="CO6" s="95">
        <v>0.12</v>
      </c>
      <c r="CP6" s="23">
        <f t="shared" si="7"/>
        <v>18692.399999999998</v>
      </c>
      <c r="CQ6" s="95">
        <v>0</v>
      </c>
      <c r="CR6" s="23">
        <f t="shared" si="8"/>
        <v>0</v>
      </c>
      <c r="CS6" s="23">
        <f t="shared" si="9"/>
        <v>174462.4</v>
      </c>
      <c r="CT6" s="95">
        <v>0.02</v>
      </c>
      <c r="CU6" s="112">
        <f t="shared" si="10"/>
        <v>3489.248</v>
      </c>
      <c r="CV6" s="95">
        <v>0.01</v>
      </c>
      <c r="CW6" s="112">
        <f t="shared" si="11"/>
        <v>1744.624</v>
      </c>
      <c r="CX6" s="95">
        <f>Sheet1!CM4</f>
        <v>0</v>
      </c>
      <c r="CY6" s="6">
        <f t="shared" si="12"/>
        <v>0</v>
      </c>
      <c r="DA6" s="22">
        <f>663*1000</f>
        <v>663000</v>
      </c>
      <c r="DB6" s="22">
        <f t="shared" si="14"/>
        <v>99450</v>
      </c>
      <c r="DC6" s="22">
        <f>DA6*6%</f>
        <v>39780</v>
      </c>
      <c r="DE6" s="22">
        <f t="shared" si="15"/>
        <v>802230</v>
      </c>
      <c r="DF6" s="113">
        <f t="shared" si="16"/>
        <v>77.60040487142092</v>
      </c>
    </row>
    <row r="7" spans="1:110" s="22" customFormat="1" ht="30" x14ac:dyDescent="0.25">
      <c r="A7" s="6" t="str">
        <f>Sheet1!A5</f>
        <v>ENQ-16887-25-26</v>
      </c>
      <c r="B7" s="87">
        <v>45902</v>
      </c>
      <c r="C7" s="6" t="str">
        <f>Sheet1!C5</f>
        <v>FA0200073</v>
      </c>
      <c r="D7" s="6" t="str">
        <f>Sheet1!D5</f>
        <v>19 CORE X 2.5 SQ. MM. CU/ARD - WIRE (PVC)</v>
      </c>
      <c r="E7" s="23">
        <f t="shared" si="0"/>
        <v>579775.13439999998</v>
      </c>
      <c r="F7" s="108">
        <f t="shared" si="13"/>
        <v>6429</v>
      </c>
      <c r="G7" s="28">
        <f t="shared" si="1"/>
        <v>586204.13439999998</v>
      </c>
      <c r="H7" s="29">
        <f>Sheet1!CR5</f>
        <v>0.18</v>
      </c>
      <c r="I7" s="28">
        <f t="shared" si="2"/>
        <v>105516.744192</v>
      </c>
      <c r="J7" s="28">
        <f t="shared" si="3"/>
        <v>691720.87859199999</v>
      </c>
      <c r="K7" s="79">
        <f>Sheet1!CU5</f>
        <v>14</v>
      </c>
      <c r="L7" s="76" t="str">
        <f>Sheet1!CV5</f>
        <v>KMS</v>
      </c>
      <c r="M7" s="23">
        <f t="shared" si="4"/>
        <v>9684092.3002879992</v>
      </c>
      <c r="N7" s="71">
        <f>+IFERROR(VLOOKUP($N$2,Sheet1!J5:L5,3,0),0)</f>
        <v>0</v>
      </c>
      <c r="O7" s="71">
        <f>+IFERROR(VLOOKUP($O$2,Sheet1!J5:L5,3,0),0)</f>
        <v>0</v>
      </c>
      <c r="P7" s="71">
        <f>+IFERROR(VLOOKUP($P$2,Sheet1!J5:M5,3,0),0)</f>
        <v>422</v>
      </c>
      <c r="Q7" s="71">
        <f>+IFERROR(VLOOKUP($Q$2,Sheet1!J5:M5,3,0),0)</f>
        <v>0</v>
      </c>
      <c r="R7" s="71">
        <f>+IFERROR(VLOOKUP($R$2,Sheet1!J5:M5,3,0),0)</f>
        <v>0</v>
      </c>
      <c r="S7" s="71">
        <f>+IFERROR(VLOOKUP($S$2,Sheet1!J5:M5,3,0),0)</f>
        <v>0</v>
      </c>
      <c r="T7" s="71">
        <f>+IFERROR(VLOOKUP($T$2,Sheet1!J5:M5,3,0),0)</f>
        <v>0</v>
      </c>
      <c r="U7" s="71">
        <f>+IFERROR(VLOOKUP($U$2,Sheet1!J5:M5,3,0),0)</f>
        <v>0</v>
      </c>
      <c r="V7" s="72">
        <f>+IFERROR(VLOOKUP($V$2,Sheet1!N5:Q5,3,0),0)</f>
        <v>0</v>
      </c>
      <c r="W7" s="72">
        <f>+IFERROR(VLOOKUP($W$2,Sheet1!N5:Q5,3,0),0)</f>
        <v>0</v>
      </c>
      <c r="X7" s="73">
        <f>+IFERROR(VLOOKUP($X$2,Sheet1!F5:I5,3,0),0)</f>
        <v>0</v>
      </c>
      <c r="Y7" s="73">
        <f>+IFERROR(VLOOKUP($Y$2,Sheet1!F5:I5,3,0),0)</f>
        <v>0</v>
      </c>
      <c r="Z7" s="73">
        <f>+IFERROR(VLOOKUP($Z$2,Sheet1!F5:I5,3,0),0)</f>
        <v>0</v>
      </c>
      <c r="AA7" s="73">
        <f>+IFERROR(VLOOKUP($AA$2,Sheet1!F5:I5,3,0),0)</f>
        <v>0</v>
      </c>
      <c r="AB7" s="73">
        <f>+IFERROR(VLOOKUP($AB$2,Sheet1!F5:I5,3,0),0)</f>
        <v>0</v>
      </c>
      <c r="AC7" s="73">
        <f>+IFERROR(VLOOKUP($AC$2,Sheet1!F5:I5,3,0),0)</f>
        <v>0</v>
      </c>
      <c r="AD7" s="73">
        <f>+IFERROR(VLOOKUP($AD$2,Sheet1!F5:I5,3,0),0)</f>
        <v>0</v>
      </c>
      <c r="AE7" s="73">
        <f>+IFERROR(VLOOKUP($AE$2,Sheet1!F5:I5,3,0),0)</f>
        <v>0</v>
      </c>
      <c r="AF7" s="74">
        <f>+IFERROR(VLOOKUP($AF$2,Sheet1!R5:U5,3,0),0)</f>
        <v>0</v>
      </c>
      <c r="AG7" s="32">
        <f>+IFERROR(VLOOKUP($AG$2,Sheet1!R5:U5,3,0),0)</f>
        <v>0</v>
      </c>
      <c r="AH7" s="75">
        <f>+IFERROR(VLOOKUP($AH$2,Sheet1!V5:Y5,3,0),0)</f>
        <v>0</v>
      </c>
      <c r="AI7" s="33">
        <f>+IFERROR(VLOOKUP($AI$2,Sheet1!V5:Y5,3,0),0)</f>
        <v>0</v>
      </c>
      <c r="AJ7" s="33">
        <f>+IFERROR(VLOOKUP($AJ$2,Sheet1!V5:Y5,3,0),0)</f>
        <v>0</v>
      </c>
      <c r="AK7" s="33">
        <f>+IFERROR(VLOOKUP($AK$2,Sheet1!V5:Y5,3,0),0)</f>
        <v>247</v>
      </c>
      <c r="AL7" s="33">
        <f>+IFERROR(VLOOKUP($AL$2,Sheet1!V5:Y5,3,0),0)</f>
        <v>0</v>
      </c>
      <c r="AM7" s="33">
        <f>+IFERROR(VLOOKUP($AM$2,Sheet1!V5:Y5,3,0),0)</f>
        <v>0</v>
      </c>
      <c r="AN7" s="33">
        <f>+IFERROR(VLOOKUP($AN$2,Sheet1!V5:Y5,3,0),0)</f>
        <v>0</v>
      </c>
      <c r="AO7" s="33">
        <f>+IFERROR(VLOOKUP($AO$2,Sheet1!V5:Y5,3,0),0)</f>
        <v>0</v>
      </c>
      <c r="AP7" s="33">
        <f>+IFERROR(VLOOKUP($AP$2,Sheet1!V5:Y5,3,0),0)</f>
        <v>0</v>
      </c>
      <c r="AQ7" s="36">
        <f>+IFERROR(VLOOKUP($AQ$2,Sheet1!Z5:AB5,3,0),0)</f>
        <v>7</v>
      </c>
      <c r="AR7" s="37">
        <f>+IFERROR(VLOOKUP($AR$2,Sheet1!AD5:AG5,3,0),0)</f>
        <v>48</v>
      </c>
      <c r="AS7" s="37">
        <f>+IFERROR(VLOOKUP($AS$2,Sheet1!AD5:AG5,3,0),0)</f>
        <v>0</v>
      </c>
      <c r="AT7" s="37">
        <f>+IFERROR(VLOOKUP($AT$2,Sheet1!AD5:AG5,3,0),0)</f>
        <v>0</v>
      </c>
      <c r="AU7" s="37">
        <f>+IFERROR(VLOOKUP($AU$2,Sheet1!AD5:AG5,3,0),0)</f>
        <v>0</v>
      </c>
      <c r="AV7" s="37">
        <f>+IFERROR(VLOOKUP($AV$2,Sheet1!AD5:AG5,3,0),0)</f>
        <v>0</v>
      </c>
      <c r="AW7" s="37">
        <f>+IFERROR(VLOOKUP($AW$2,Sheet1!AD5:AG5,3,0),0)</f>
        <v>0</v>
      </c>
      <c r="AX7" s="37">
        <f>+IFERROR(VLOOKUP($AX$2,Sheet1!AD5:AG5,3,0),0)</f>
        <v>0</v>
      </c>
      <c r="AY7" s="37">
        <f>+IFERROR(VLOOKUP($AY$2,Sheet1!AD5:AG5,3,0),0)</f>
        <v>0</v>
      </c>
      <c r="AZ7" s="37">
        <f>+IFERROR(VLOOKUP($AZ$2,Sheet1!AD5:AG5,3,0),0)</f>
        <v>0</v>
      </c>
      <c r="BA7" s="36">
        <f>+IFERROR(VLOOKUP($BA$2,Sheet1!AH5:AK5,3,0),0)</f>
        <v>0</v>
      </c>
      <c r="BB7" s="36">
        <f>+IFERROR(VLOOKUP($BB$2,Sheet1!AH5:AK5,3,0),0)</f>
        <v>0</v>
      </c>
      <c r="BC7" s="36">
        <f>+IFERROR(VLOOKUP($BC$2,Sheet1!AH5:AK5,3,0),0)</f>
        <v>0</v>
      </c>
      <c r="BD7" s="36">
        <f>+IFERROR(VLOOKUP($BD$2,Sheet1!AH5:AK5,3,0),0)</f>
        <v>0</v>
      </c>
      <c r="BE7" s="36">
        <f>+IFERROR(VLOOKUP($BE$2,Sheet1!AH5:AK5,3,0),0)</f>
        <v>0</v>
      </c>
      <c r="BF7" s="36">
        <f>+IFERROR(VLOOKUP($BF$2,Sheet1!AH5:AK5,3,0),0)</f>
        <v>0</v>
      </c>
      <c r="BG7" s="36">
        <f>+IFERROR(VLOOKUP($BG$2,Sheet1!AH5:AK5,3,0),0)</f>
        <v>0</v>
      </c>
      <c r="BH7" s="36">
        <f>+IFERROR(VLOOKUP($BH$2,Sheet1!AH5:AK5,3,0),0)</f>
        <v>0</v>
      </c>
      <c r="BI7" s="36">
        <f>+IFERROR(VLOOKUP($BI$2,Sheet1!AH5:AK5,3,0),0)</f>
        <v>0</v>
      </c>
      <c r="BJ7" s="36">
        <f>+IFERROR(VLOOKUP($BJ$2,Sheet1!AH5:AK5,3,0),0)</f>
        <v>607</v>
      </c>
      <c r="BK7" s="36">
        <f>+IFERROR(VLOOKUP($BK$2,Sheet1!AH5:AK5,3,0),0)</f>
        <v>0</v>
      </c>
      <c r="BL7" s="9">
        <f>+IFERROR(VLOOKUP($BL$2,Sheet1!AL5:AO5,3,0),0)</f>
        <v>0</v>
      </c>
      <c r="BM7" s="9">
        <f>+IFERROR(VLOOKUP($BM$2,Sheet1!AL5:AO5,3,0),0)</f>
        <v>0</v>
      </c>
      <c r="BN7" s="9">
        <f>+IFERROR(VLOOKUP($BN$2,Sheet1!AL5:AO5,3,0),0)</f>
        <v>195</v>
      </c>
      <c r="BO7" s="9">
        <f>+IFERROR(VLOOKUP($BO$2,Sheet1!AL5:AO5,3,0),0)</f>
        <v>0</v>
      </c>
      <c r="BP7" s="9">
        <f>+IFERROR(VLOOKUP($BP$2,Sheet1!AL5:AO5,3,0),0)</f>
        <v>0</v>
      </c>
      <c r="BQ7" s="9">
        <f>+IFERROR(VLOOKUP($BQ$2,Sheet1!AL5:AO5,3,0),0)</f>
        <v>0</v>
      </c>
      <c r="BR7" s="9">
        <f>+IFERROR(VLOOKUP($BR$2,Sheet1!AL5:AO5,3,0),0)</f>
        <v>0</v>
      </c>
      <c r="BS7" s="9">
        <f>+IFERROR(VLOOKUP($BS$2,Sheet1!AL5:AO5,3,0),0)</f>
        <v>0</v>
      </c>
      <c r="BT7" s="9">
        <f>+IFERROR(VLOOKUP($BT$2,Sheet1!AL5:AO5,3,0),0)</f>
        <v>0</v>
      </c>
      <c r="BU7" s="9">
        <f>+IFERROR(VLOOKUP($BU$2,Sheet1!AL5:AO5,3,0),0)</f>
        <v>0</v>
      </c>
      <c r="BV7" s="9">
        <f>+IFERROR(VLOOKUP($BV$2,Sheet1!AL5:AO5,3,0),0)</f>
        <v>0</v>
      </c>
      <c r="BW7" s="9">
        <f>+IFERROR(VLOOKUP($BW$2,Sheet1!AL5:AO5,3,0),0)</f>
        <v>0</v>
      </c>
      <c r="BX7" s="40">
        <f>+IFERROR(VLOOKUP($BX$2,Sheet1!AP5:AS5,3,0),0)</f>
        <v>0</v>
      </c>
      <c r="BY7" s="43">
        <f>+IFERROR(VLOOKUP($BY$2,Sheet1!AT5:AW5,3,0),0)</f>
        <v>0</v>
      </c>
      <c r="BZ7" s="44">
        <f>+IFERROR(VLOOKUP($BZ$2,Sheet1!AX5:BA5,3,0),0)</f>
        <v>0</v>
      </c>
      <c r="CA7" s="46">
        <f>+IFERROR(VLOOKUP($CA$2,Sheet1!BB5:BE5,3,0),0)</f>
        <v>0</v>
      </c>
      <c r="CB7" s="48">
        <f>+IFERROR(VLOOKUP($CB$2,Sheet1!BF5:BI5,3,0),0)</f>
        <v>0</v>
      </c>
      <c r="CC7" s="49">
        <f>+IFERROR(VLOOKUP($CC$2,Sheet1!BJ5:BM5,3,0),0)</f>
        <v>0</v>
      </c>
      <c r="CD7" s="50">
        <f>+IFERROR(VLOOKUP($CD$2,Sheet1!BN5:BQ5,3,0),0)</f>
        <v>0</v>
      </c>
      <c r="CE7" s="38">
        <f>+IFERROR(VLOOKUP($CE$2,Sheet1!BR5:BU5,3,0),0)</f>
        <v>0</v>
      </c>
      <c r="CF7" s="44">
        <f>+IFERROR(VLOOKUP($CF$2,Sheet1!BV5:BY5,3,0),0)</f>
        <v>0</v>
      </c>
      <c r="CG7" s="67" t="s">
        <v>269</v>
      </c>
      <c r="CH7" s="68" t="s">
        <v>279</v>
      </c>
      <c r="CI7" s="68" t="s">
        <v>280</v>
      </c>
      <c r="CJ7" s="68">
        <v>500</v>
      </c>
      <c r="CK7" s="23">
        <f>9000/0.5</f>
        <v>18000</v>
      </c>
      <c r="CL7" s="23">
        <f t="shared" si="5"/>
        <v>502579</v>
      </c>
      <c r="CM7" s="24">
        <f>Sheet1!CB5</f>
        <v>0</v>
      </c>
      <c r="CN7" s="23">
        <f t="shared" si="6"/>
        <v>0</v>
      </c>
      <c r="CO7" s="95">
        <v>0.12</v>
      </c>
      <c r="CP7" s="23">
        <f t="shared" si="7"/>
        <v>60309.479999999996</v>
      </c>
      <c r="CQ7" s="95">
        <v>0</v>
      </c>
      <c r="CR7" s="23">
        <f t="shared" si="8"/>
        <v>0</v>
      </c>
      <c r="CS7" s="23">
        <f t="shared" si="9"/>
        <v>562888.48</v>
      </c>
      <c r="CT7" s="95">
        <v>0.02</v>
      </c>
      <c r="CU7" s="112">
        <f t="shared" si="10"/>
        <v>11257.7696</v>
      </c>
      <c r="CV7" s="95">
        <v>0.01</v>
      </c>
      <c r="CW7" s="112">
        <f t="shared" si="11"/>
        <v>5628.8847999999998</v>
      </c>
      <c r="CX7" s="95">
        <f>Sheet1!CM5</f>
        <v>0</v>
      </c>
      <c r="CY7" s="6">
        <f t="shared" si="12"/>
        <v>0</v>
      </c>
      <c r="DA7" s="22">
        <f>2234*1000</f>
        <v>2234000</v>
      </c>
      <c r="DB7" s="22">
        <f t="shared" si="14"/>
        <v>335100</v>
      </c>
      <c r="DC7" s="22">
        <f>DA7*6%</f>
        <v>134040</v>
      </c>
      <c r="DD7" s="22">
        <f>DA7*18%</f>
        <v>402120</v>
      </c>
      <c r="DE7" s="22">
        <f t="shared" si="15"/>
        <v>3105260</v>
      </c>
      <c r="DF7" s="113">
        <f t="shared" si="16"/>
        <v>81.329256345684414</v>
      </c>
    </row>
    <row r="8" spans="1:110" s="22" customFormat="1" ht="30" x14ac:dyDescent="0.25">
      <c r="A8" s="6" t="str">
        <f>Sheet1!A10</f>
        <v>ENQ-16887-25-26</v>
      </c>
      <c r="B8" s="87">
        <v>45902</v>
      </c>
      <c r="C8" s="6" t="str">
        <f>Sheet1!C10</f>
        <v>FA1100007</v>
      </c>
      <c r="D8" s="6" t="str">
        <f>Sheet1!D10</f>
        <v>3.5 CORE X 70 SQ. MM. AL/ARD - STRIP (PVC)</v>
      </c>
      <c r="E8" s="23">
        <f t="shared" si="0"/>
        <v>339072.60100000002</v>
      </c>
      <c r="F8" s="108">
        <f t="shared" si="13"/>
        <v>10589</v>
      </c>
      <c r="G8" s="28">
        <f t="shared" si="1"/>
        <v>349661.60100000002</v>
      </c>
      <c r="H8" s="29">
        <f>Sheet1!CR10</f>
        <v>0.18</v>
      </c>
      <c r="I8" s="28">
        <f t="shared" si="2"/>
        <v>62939.088179999999</v>
      </c>
      <c r="J8" s="28">
        <f t="shared" si="3"/>
        <v>412600.68918000004</v>
      </c>
      <c r="K8" s="79">
        <f>Sheet1!CU10</f>
        <v>17</v>
      </c>
      <c r="L8" s="76" t="str">
        <f>Sheet1!CV10</f>
        <v>KMS</v>
      </c>
      <c r="M8" s="23">
        <f t="shared" si="4"/>
        <v>7014211.7160600005</v>
      </c>
      <c r="N8" s="71">
        <f>+IFERROR(VLOOKUP($N$2,Sheet1!J10:L10,3,0),0)</f>
        <v>662</v>
      </c>
      <c r="O8" s="71">
        <f>+IFERROR(VLOOKUP($O$2,Sheet1!J10:L10,3,0),0)</f>
        <v>0</v>
      </c>
      <c r="P8" s="71">
        <f>+IFERROR(VLOOKUP($P$2,Sheet1!J10:M10,3,0),0)</f>
        <v>0</v>
      </c>
      <c r="Q8" s="71">
        <f>+IFERROR(VLOOKUP($Q$2,Sheet1!J10:M10,3,0),0)</f>
        <v>0</v>
      </c>
      <c r="R8" s="71">
        <f>+IFERROR(VLOOKUP($R$2,Sheet1!J10:M10,3,0),0)</f>
        <v>0</v>
      </c>
      <c r="S8" s="71">
        <f>+IFERROR(VLOOKUP($S$2,Sheet1!J10:M10,3,0),0)</f>
        <v>0</v>
      </c>
      <c r="T8" s="71">
        <f>+IFERROR(VLOOKUP($T$2,Sheet1!J10:M10,3,0),0)</f>
        <v>0</v>
      </c>
      <c r="U8" s="71">
        <f>+IFERROR(VLOOKUP($U$2,Sheet1!J10:M10,3,0),0)</f>
        <v>0</v>
      </c>
      <c r="V8" s="72">
        <f>+IFERROR(VLOOKUP($V$2,Sheet1!N10:Q10,3,0),0)</f>
        <v>0</v>
      </c>
      <c r="W8" s="72">
        <f>+IFERROR(VLOOKUP($W$2,Sheet1!N10:Q10,3,0),0)</f>
        <v>0</v>
      </c>
      <c r="X8" s="73">
        <f>+IFERROR(VLOOKUP($X$2,Sheet1!F10:I10,3,0),0)</f>
        <v>0</v>
      </c>
      <c r="Y8" s="73">
        <f>+IFERROR(VLOOKUP($Y$2,Sheet1!F10:I10,3,0),0)</f>
        <v>0</v>
      </c>
      <c r="Z8" s="73">
        <f>+IFERROR(VLOOKUP($Z$2,Sheet1!F10:I10,3,0),0)</f>
        <v>0</v>
      </c>
      <c r="AA8" s="73">
        <f>+IFERROR(VLOOKUP($AA$2,Sheet1!F10:I10,3,0),0)</f>
        <v>0</v>
      </c>
      <c r="AB8" s="73">
        <f>+IFERROR(VLOOKUP($AB$2,Sheet1!F10:I10,3,0),0)</f>
        <v>0</v>
      </c>
      <c r="AC8" s="73">
        <f>+IFERROR(VLOOKUP($AC$2,Sheet1!F10:I10,3,0),0)</f>
        <v>0</v>
      </c>
      <c r="AD8" s="73">
        <f>+IFERROR(VLOOKUP($AD$2,Sheet1!F10:I10,3,0),0)</f>
        <v>0</v>
      </c>
      <c r="AE8" s="73">
        <f>+IFERROR(VLOOKUP($AE$2,Sheet1!F10:I10,3,0),0)</f>
        <v>0</v>
      </c>
      <c r="AF8" s="74">
        <f>+IFERROR(VLOOKUP($AF$2,Sheet1!R10:U10,3,0),0)</f>
        <v>0</v>
      </c>
      <c r="AG8" s="32">
        <f>+IFERROR(VLOOKUP($AG$2,Sheet1!R10:U10,3,0),0)</f>
        <v>0</v>
      </c>
      <c r="AH8" s="75">
        <f>+IFERROR(VLOOKUP($AH$2,Sheet1!V10:Y10,3,0),0)</f>
        <v>0</v>
      </c>
      <c r="AI8" s="33">
        <f>+IFERROR(VLOOKUP($AI$2,Sheet1!V10:Y10,3,0),0)</f>
        <v>0</v>
      </c>
      <c r="AJ8" s="33">
        <f>+IFERROR(VLOOKUP($AJ$2,Sheet1!V10:Y10,3,0),0)</f>
        <v>0</v>
      </c>
      <c r="AK8" s="33">
        <f>+IFERROR(VLOOKUP($AK$2,Sheet1!V10:Y10,3,0),0)</f>
        <v>250</v>
      </c>
      <c r="AL8" s="33">
        <f>+IFERROR(VLOOKUP($AL$2,Sheet1!V10:Y10,3,0),0)</f>
        <v>0</v>
      </c>
      <c r="AM8" s="33">
        <f>+IFERROR(VLOOKUP($AM$2,Sheet1!V10:Y10,3,0),0)</f>
        <v>0</v>
      </c>
      <c r="AN8" s="33">
        <f>+IFERROR(VLOOKUP($AN$2,Sheet1!V10:Y10,3,0),0)</f>
        <v>0</v>
      </c>
      <c r="AO8" s="33">
        <f>+IFERROR(VLOOKUP($AO$2,Sheet1!V10:Y10,3,0),0)</f>
        <v>0</v>
      </c>
      <c r="AP8" s="33">
        <f>+IFERROR(VLOOKUP($AP$2,Sheet1!V10:Y10,3,0),0)</f>
        <v>0</v>
      </c>
      <c r="AQ8" s="36">
        <f>+IFERROR(VLOOKUP($AQ$2,Sheet1!Z10:AB10,3,0),0)</f>
        <v>0</v>
      </c>
      <c r="AR8" s="37">
        <f>+IFERROR(VLOOKUP($AR$2,Sheet1!AD10:AG10,3,0),0)</f>
        <v>76</v>
      </c>
      <c r="AS8" s="37">
        <f>+IFERROR(VLOOKUP($AS$2,Sheet1!AD10:AG10,3,0),0)</f>
        <v>0</v>
      </c>
      <c r="AT8" s="37">
        <f>+IFERROR(VLOOKUP($AT$2,Sheet1!AD10:AG10,3,0),0)</f>
        <v>0</v>
      </c>
      <c r="AU8" s="37">
        <f>+IFERROR(VLOOKUP($AU$2,Sheet1!AD10:AG10,3,0),0)</f>
        <v>0</v>
      </c>
      <c r="AV8" s="37">
        <f>+IFERROR(VLOOKUP($AV$2,Sheet1!AD10:AG10,3,0),0)</f>
        <v>0</v>
      </c>
      <c r="AW8" s="37">
        <f>+IFERROR(VLOOKUP($AW$2,Sheet1!AD10:AG10,3,0),0)</f>
        <v>0</v>
      </c>
      <c r="AX8" s="37">
        <f>+IFERROR(VLOOKUP($AX$2,Sheet1!AD10:AG10,3,0),0)</f>
        <v>0</v>
      </c>
      <c r="AY8" s="37">
        <f>+IFERROR(VLOOKUP($AY$2,Sheet1!AD10:AG10,3,0),0)</f>
        <v>0</v>
      </c>
      <c r="AZ8" s="37">
        <f>+IFERROR(VLOOKUP($AZ$2,Sheet1!AD10:AG10,3,0),0)</f>
        <v>0</v>
      </c>
      <c r="BA8" s="36">
        <f>+IFERROR(VLOOKUP($BA$2,Sheet1!AH10:AK10,3,0),0)</f>
        <v>0</v>
      </c>
      <c r="BB8" s="36">
        <f>+IFERROR(VLOOKUP($BB$2,Sheet1!AH10:AK10,3,0),0)</f>
        <v>0</v>
      </c>
      <c r="BC8" s="36">
        <f>+IFERROR(VLOOKUP($BC$2,Sheet1!AH10:AK10,3,0),0)</f>
        <v>0</v>
      </c>
      <c r="BD8" s="36">
        <f>+IFERROR(VLOOKUP($BD$2,Sheet1!AH10:AK10,3,0),0)</f>
        <v>0</v>
      </c>
      <c r="BE8" s="36">
        <f>+IFERROR(VLOOKUP($BE$2,Sheet1!AH10:AK10,3,0),0)</f>
        <v>0</v>
      </c>
      <c r="BF8" s="36">
        <f>+IFERROR(VLOOKUP($BF$2,Sheet1!AH10:AK10,3,0),0)</f>
        <v>0</v>
      </c>
      <c r="BG8" s="36">
        <f>+IFERROR(VLOOKUP($BG$2,Sheet1!AH10:AK10,3,0),0)</f>
        <v>476</v>
      </c>
      <c r="BH8" s="36">
        <f>+IFERROR(VLOOKUP($BH$2,Sheet1!AH10:AK10,3,0),0)</f>
        <v>0</v>
      </c>
      <c r="BI8" s="36">
        <f>+IFERROR(VLOOKUP($BI$2,Sheet1!AH10:AK10,3,0),0)</f>
        <v>0</v>
      </c>
      <c r="BJ8" s="36">
        <f>+IFERROR(VLOOKUP($BJ$2,Sheet1!AH10:AK10,3,0),0)</f>
        <v>0</v>
      </c>
      <c r="BK8" s="36">
        <f>+IFERROR(VLOOKUP($BK$2,Sheet1!AH10:AK10,3,0),0)</f>
        <v>0</v>
      </c>
      <c r="BL8" s="9">
        <f>+IFERROR(VLOOKUP($BL$2,Sheet1!AL10:AO10,3,0),0)</f>
        <v>0</v>
      </c>
      <c r="BM8" s="9">
        <f>+IFERROR(VLOOKUP($BM$2,Sheet1!AL10:AO10,3,0),0)</f>
        <v>0</v>
      </c>
      <c r="BN8" s="9">
        <f>+IFERROR(VLOOKUP($BN$2,Sheet1!AL10:AO10,3,0),0)</f>
        <v>262</v>
      </c>
      <c r="BO8" s="9">
        <f>+IFERROR(VLOOKUP($BO$2,Sheet1!AL10:AO10,3,0),0)</f>
        <v>0</v>
      </c>
      <c r="BP8" s="9">
        <f>+IFERROR(VLOOKUP($BP$2,Sheet1!AL10:AO10,3,0),0)</f>
        <v>0</v>
      </c>
      <c r="BQ8" s="9">
        <f>+IFERROR(VLOOKUP($BQ$2,Sheet1!AL10:AO10,3,0),0)</f>
        <v>0</v>
      </c>
      <c r="BR8" s="9">
        <f>+IFERROR(VLOOKUP($BR$2,Sheet1!AL10:AO10,3,0),0)</f>
        <v>0</v>
      </c>
      <c r="BS8" s="9">
        <f>+IFERROR(VLOOKUP($BS$2,Sheet1!AL10:AO10,3,0),0)</f>
        <v>0</v>
      </c>
      <c r="BT8" s="9">
        <f>+IFERROR(VLOOKUP($BT$2,Sheet1!AL10:AO10,3,0),0)</f>
        <v>0</v>
      </c>
      <c r="BU8" s="9">
        <f>+IFERROR(VLOOKUP($BU$2,Sheet1!AL10:AO10,3,0),0)</f>
        <v>0</v>
      </c>
      <c r="BV8" s="9">
        <f>+IFERROR(VLOOKUP($BV$2,Sheet1!AL10:AO10,3,0),0)</f>
        <v>0</v>
      </c>
      <c r="BW8" s="9">
        <f>+IFERROR(VLOOKUP($BW$2,Sheet1!AL10:AO10,3,0),0)</f>
        <v>0</v>
      </c>
      <c r="BX8" s="40">
        <f>+IFERROR(VLOOKUP($BX$2,Sheet1!AP10:AS10,3,0),0)</f>
        <v>0</v>
      </c>
      <c r="BY8" s="43">
        <f>+IFERROR(VLOOKUP($BY$2,Sheet1!AT10:AW10,3,0),0)</f>
        <v>0</v>
      </c>
      <c r="BZ8" s="44">
        <f>+IFERROR(VLOOKUP($BZ$2,Sheet1!AX10:BA10,3,0),0)</f>
        <v>0</v>
      </c>
      <c r="CA8" s="46">
        <f>+IFERROR(VLOOKUP($CA$2,Sheet1!BB10:BE10,3,0),0)</f>
        <v>0</v>
      </c>
      <c r="CB8" s="48">
        <f>+IFERROR(VLOOKUP($CB$2,Sheet1!BF10:BI10,3,0),0)</f>
        <v>0</v>
      </c>
      <c r="CC8" s="49">
        <f>+IFERROR(VLOOKUP($CC$2,Sheet1!BJ10:BM10,3,0),0)</f>
        <v>0</v>
      </c>
      <c r="CD8" s="50">
        <f>+IFERROR(VLOOKUP($CD$2,Sheet1!BN10:BQ10,3,0),0)</f>
        <v>0</v>
      </c>
      <c r="CE8" s="38">
        <f>+IFERROR(VLOOKUP($CE$2,Sheet1!BR10:BU10,3,0),0)</f>
        <v>0</v>
      </c>
      <c r="CF8" s="44">
        <f>+IFERROR(VLOOKUP($CF$2,Sheet1!BV10:BY10,3,0),0)</f>
        <v>0</v>
      </c>
      <c r="CG8" s="67" t="s">
        <v>269</v>
      </c>
      <c r="CH8" s="68" t="s">
        <v>281</v>
      </c>
      <c r="CI8" s="68" t="s">
        <v>282</v>
      </c>
      <c r="CJ8" s="68">
        <v>500</v>
      </c>
      <c r="CK8" s="23">
        <f>9000/0.5</f>
        <v>18000</v>
      </c>
      <c r="CL8" s="23">
        <f t="shared" si="5"/>
        <v>286258</v>
      </c>
      <c r="CM8" s="24">
        <f>Sheet1!CB10</f>
        <v>0</v>
      </c>
      <c r="CN8" s="23">
        <f t="shared" si="6"/>
        <v>0</v>
      </c>
      <c r="CO8" s="95">
        <v>0.15</v>
      </c>
      <c r="CP8" s="23">
        <f t="shared" si="7"/>
        <v>42938.7</v>
      </c>
      <c r="CQ8" s="95">
        <v>0</v>
      </c>
      <c r="CR8" s="23">
        <f t="shared" si="8"/>
        <v>0</v>
      </c>
      <c r="CS8" s="23">
        <f t="shared" si="9"/>
        <v>329196.7</v>
      </c>
      <c r="CT8" s="95">
        <v>0.02</v>
      </c>
      <c r="CU8" s="112">
        <f t="shared" si="10"/>
        <v>6583.9340000000002</v>
      </c>
      <c r="CV8" s="95">
        <v>0.01</v>
      </c>
      <c r="CW8" s="112">
        <f t="shared" si="11"/>
        <v>3291.9670000000001</v>
      </c>
      <c r="CX8" s="95">
        <f>Sheet1!CM10</f>
        <v>0</v>
      </c>
      <c r="CY8" s="6">
        <f t="shared" si="12"/>
        <v>0</v>
      </c>
      <c r="DA8" s="22">
        <f>1369*1000</f>
        <v>1369000</v>
      </c>
      <c r="DB8" s="22">
        <f t="shared" si="14"/>
        <v>205350</v>
      </c>
      <c r="DC8" s="22">
        <f>DA8*7.5%</f>
        <v>102675</v>
      </c>
      <c r="DE8" s="22">
        <f t="shared" si="15"/>
        <v>1677025</v>
      </c>
      <c r="DF8" s="113">
        <f t="shared" si="16"/>
        <v>79.781303140978807</v>
      </c>
    </row>
    <row r="9" spans="1:110" s="22" customFormat="1" ht="30" x14ac:dyDescent="0.25">
      <c r="A9" s="6" t="str">
        <f>Sheet1!A9</f>
        <v>ENQ-16887-25-26</v>
      </c>
      <c r="B9" s="87">
        <v>45902</v>
      </c>
      <c r="C9" s="6" t="str">
        <f>Sheet1!C9</f>
        <v>FA0900019</v>
      </c>
      <c r="D9" s="6" t="str">
        <f>Sheet1!D9</f>
        <v>2 CORE X 6 SQ. MM. AL/ARD - WIRE (PVC)</v>
      </c>
      <c r="E9" s="23">
        <f t="shared" si="0"/>
        <v>75049.919999999998</v>
      </c>
      <c r="F9" s="108">
        <f t="shared" si="13"/>
        <v>11250</v>
      </c>
      <c r="G9" s="28">
        <f t="shared" si="1"/>
        <v>86299.92</v>
      </c>
      <c r="H9" s="29">
        <f>Sheet1!CR9</f>
        <v>0.18</v>
      </c>
      <c r="I9" s="28">
        <f t="shared" si="2"/>
        <v>15533.9856</v>
      </c>
      <c r="J9" s="28">
        <f t="shared" si="3"/>
        <v>101833.9056</v>
      </c>
      <c r="K9" s="79">
        <f>Sheet1!CU9</f>
        <v>4</v>
      </c>
      <c r="L9" s="76" t="str">
        <f>Sheet1!CV9</f>
        <v>KMS</v>
      </c>
      <c r="M9" s="23">
        <f t="shared" si="4"/>
        <v>407335.62239999999</v>
      </c>
      <c r="N9" s="71">
        <f>+IFERROR(VLOOKUP($N$2,Sheet1!J9:L9,3,0),0)</f>
        <v>32</v>
      </c>
      <c r="O9" s="71">
        <f>+IFERROR(VLOOKUP($O$2,Sheet1!J9:L9,3,0),0)</f>
        <v>0</v>
      </c>
      <c r="P9" s="71">
        <f>+IFERROR(VLOOKUP($P$2,Sheet1!J9:M9,3,0),0)</f>
        <v>0</v>
      </c>
      <c r="Q9" s="71">
        <f>+IFERROR(VLOOKUP($Q$2,Sheet1!J9:M9,3,0),0)</f>
        <v>0</v>
      </c>
      <c r="R9" s="71">
        <f>+IFERROR(VLOOKUP($R$2,Sheet1!J9:M9,3,0),0)</f>
        <v>0</v>
      </c>
      <c r="S9" s="71">
        <f>+IFERROR(VLOOKUP($S$2,Sheet1!J9:M9,3,0),0)</f>
        <v>0</v>
      </c>
      <c r="T9" s="71">
        <f>+IFERROR(VLOOKUP($T$2,Sheet1!J9:M9,3,0),0)</f>
        <v>0</v>
      </c>
      <c r="U9" s="71">
        <f>+IFERROR(VLOOKUP($U$2,Sheet1!J9:M9,3,0),0)</f>
        <v>0</v>
      </c>
      <c r="V9" s="72">
        <f>+IFERROR(VLOOKUP($V$2,Sheet1!N9:Q9,3,0),0)</f>
        <v>0</v>
      </c>
      <c r="W9" s="72">
        <f>+IFERROR(VLOOKUP($W$2,Sheet1!N9:Q9,3,0),0)</f>
        <v>0</v>
      </c>
      <c r="X9" s="73">
        <f>+IFERROR(VLOOKUP($X$2,Sheet1!F9:I9,3,0),0)</f>
        <v>0</v>
      </c>
      <c r="Y9" s="73">
        <f>+IFERROR(VLOOKUP($Y$2,Sheet1!F9:I9,3,0),0)</f>
        <v>0</v>
      </c>
      <c r="Z9" s="73">
        <f>+IFERROR(VLOOKUP($Z$2,Sheet1!F9:I9,3,0),0)</f>
        <v>0</v>
      </c>
      <c r="AA9" s="73">
        <f>+IFERROR(VLOOKUP($AA$2,Sheet1!F9:I9,3,0),0)</f>
        <v>0</v>
      </c>
      <c r="AB9" s="73">
        <f>+IFERROR(VLOOKUP($AB$2,Sheet1!F9:I9,3,0),0)</f>
        <v>0</v>
      </c>
      <c r="AC9" s="73">
        <f>+IFERROR(VLOOKUP($AC$2,Sheet1!F9:I9,3,0),0)</f>
        <v>0</v>
      </c>
      <c r="AD9" s="73">
        <f>+IFERROR(VLOOKUP($AD$2,Sheet1!F9:I9,3,0),0)</f>
        <v>0</v>
      </c>
      <c r="AE9" s="73">
        <f>+IFERROR(VLOOKUP($AE$2,Sheet1!F9:I9,3,0),0)</f>
        <v>0</v>
      </c>
      <c r="AF9" s="74">
        <f>+IFERROR(VLOOKUP($AF$2,Sheet1!R9:U9,3,0),0)</f>
        <v>0</v>
      </c>
      <c r="AG9" s="32">
        <f>+IFERROR(VLOOKUP($AG$2,Sheet1!R9:U9,3,0),0)</f>
        <v>0</v>
      </c>
      <c r="AH9" s="75">
        <f>+IFERROR(VLOOKUP($AH$2,Sheet1!V9:Y9,3,0),0)</f>
        <v>0</v>
      </c>
      <c r="AI9" s="33">
        <f>+IFERROR(VLOOKUP($AI$2,Sheet1!V9:Y9,3,0),0)</f>
        <v>0</v>
      </c>
      <c r="AJ9" s="33">
        <f>+IFERROR(VLOOKUP($AJ$2,Sheet1!V9:Y9,3,0),0)</f>
        <v>0</v>
      </c>
      <c r="AK9" s="33">
        <f>+IFERROR(VLOOKUP($AK$2,Sheet1!V9:Y9,3,0),0)</f>
        <v>44</v>
      </c>
      <c r="AL9" s="33">
        <f>+IFERROR(VLOOKUP($AL$2,Sheet1!V9:Y9,3,0),0)</f>
        <v>0</v>
      </c>
      <c r="AM9" s="33">
        <f>+IFERROR(VLOOKUP($AM$2,Sheet1!V9:Y9,3,0),0)</f>
        <v>0</v>
      </c>
      <c r="AN9" s="33">
        <f>+IFERROR(VLOOKUP($AN$2,Sheet1!V9:Y9,3,0),0)</f>
        <v>0</v>
      </c>
      <c r="AO9" s="33">
        <f>+IFERROR(VLOOKUP($AO$2,Sheet1!V9:Y9,3,0),0)</f>
        <v>0</v>
      </c>
      <c r="AP9" s="33">
        <f>+IFERROR(VLOOKUP($AP$2,Sheet1!V9:Y9,3,0),0)</f>
        <v>0</v>
      </c>
      <c r="AQ9" s="36">
        <f>+IFERROR(VLOOKUP($AQ$2,Sheet1!Z9:AB9,3,0),0)</f>
        <v>0</v>
      </c>
      <c r="AR9" s="37">
        <f>+IFERROR(VLOOKUP($AR$2,Sheet1!AD9:AG9,3,0),0)</f>
        <v>68</v>
      </c>
      <c r="AS9" s="37">
        <f>+IFERROR(VLOOKUP($AS$2,Sheet1!AD9:AG9,3,0),0)</f>
        <v>0</v>
      </c>
      <c r="AT9" s="37">
        <f>+IFERROR(VLOOKUP($AT$2,Sheet1!AD9:AG9,3,0),0)</f>
        <v>0</v>
      </c>
      <c r="AU9" s="37">
        <f>+IFERROR(VLOOKUP($AU$2,Sheet1!AD9:AG9,3,0),0)</f>
        <v>0</v>
      </c>
      <c r="AV9" s="37">
        <f>+IFERROR(VLOOKUP($AV$2,Sheet1!AD9:AG9,3,0),0)</f>
        <v>0</v>
      </c>
      <c r="AW9" s="37">
        <f>+IFERROR(VLOOKUP($AW$2,Sheet1!AD9:AG9,3,0),0)</f>
        <v>0</v>
      </c>
      <c r="AX9" s="37">
        <f>+IFERROR(VLOOKUP($AX$2,Sheet1!AD9:AG9,3,0),0)</f>
        <v>0</v>
      </c>
      <c r="AY9" s="37">
        <f>+IFERROR(VLOOKUP($AY$2,Sheet1!AD9:AG9,3,0),0)</f>
        <v>0</v>
      </c>
      <c r="AZ9" s="37">
        <f>+IFERROR(VLOOKUP($AZ$2,Sheet1!AD9:AG9,3,0),0)</f>
        <v>0</v>
      </c>
      <c r="BA9" s="36">
        <f>+IFERROR(VLOOKUP($BA$2,Sheet1!AH9:AK9,3,0),0)</f>
        <v>0</v>
      </c>
      <c r="BB9" s="36">
        <f>+IFERROR(VLOOKUP($BB$2,Sheet1!AH9:AK9,3,0),0)</f>
        <v>0</v>
      </c>
      <c r="BC9" s="36">
        <f>+IFERROR(VLOOKUP($BC$2,Sheet1!AH9:AK9,3,0),0)</f>
        <v>0</v>
      </c>
      <c r="BD9" s="36">
        <f>+IFERROR(VLOOKUP($BD$2,Sheet1!AH9:AK9,3,0),0)</f>
        <v>0</v>
      </c>
      <c r="BE9" s="36">
        <f>+IFERROR(VLOOKUP($BE$2,Sheet1!AH9:AK9,3,0),0)</f>
        <v>0</v>
      </c>
      <c r="BF9" s="36">
        <f>+IFERROR(VLOOKUP($BF$2,Sheet1!AH9:AK9,3,0),0)</f>
        <v>0</v>
      </c>
      <c r="BG9" s="36">
        <f>+IFERROR(VLOOKUP($BG$2,Sheet1!AH9:AK9,3,0),0)</f>
        <v>0</v>
      </c>
      <c r="BH9" s="36">
        <f>+IFERROR(VLOOKUP($BH$2,Sheet1!AH9:AK9,3,0),0)</f>
        <v>0</v>
      </c>
      <c r="BI9" s="36">
        <f>+IFERROR(VLOOKUP($BI$2,Sheet1!AH9:AK9,3,0),0)</f>
        <v>0</v>
      </c>
      <c r="BJ9" s="36">
        <f>+IFERROR(VLOOKUP($BJ$2,Sheet1!AH9:AK9,3,0),0)</f>
        <v>314</v>
      </c>
      <c r="BK9" s="36">
        <f>+IFERROR(VLOOKUP($BK$2,Sheet1!AH9:AK9,3,0),0)</f>
        <v>0</v>
      </c>
      <c r="BL9" s="9">
        <f>+IFERROR(VLOOKUP($BL$2,Sheet1!AL9:AO9,3,0),0)</f>
        <v>0</v>
      </c>
      <c r="BM9" s="9">
        <f>+IFERROR(VLOOKUP($BM$2,Sheet1!AL9:AO9,3,0),0)</f>
        <v>0</v>
      </c>
      <c r="BN9" s="9">
        <f>+IFERROR(VLOOKUP($BN$2,Sheet1!AL9:AO9,3,0),0)</f>
        <v>118</v>
      </c>
      <c r="BO9" s="9">
        <f>+IFERROR(VLOOKUP($BO$2,Sheet1!AL9:AO9,3,0),0)</f>
        <v>0</v>
      </c>
      <c r="BP9" s="9">
        <f>+IFERROR(VLOOKUP($BP$2,Sheet1!AL9:AO9,3,0),0)</f>
        <v>0</v>
      </c>
      <c r="BQ9" s="9">
        <f>+IFERROR(VLOOKUP($BQ$2,Sheet1!AL9:AO9,3,0),0)</f>
        <v>0</v>
      </c>
      <c r="BR9" s="9">
        <f>+IFERROR(VLOOKUP($BR$2,Sheet1!AL9:AO9,3,0),0)</f>
        <v>0</v>
      </c>
      <c r="BS9" s="9">
        <f>+IFERROR(VLOOKUP($BS$2,Sheet1!AL9:AO9,3,0),0)</f>
        <v>0</v>
      </c>
      <c r="BT9" s="9">
        <f>+IFERROR(VLOOKUP($BT$2,Sheet1!AL9:AO9,3,0),0)</f>
        <v>0</v>
      </c>
      <c r="BU9" s="9">
        <f>+IFERROR(VLOOKUP($BU$2,Sheet1!AL9:AO9,3,0),0)</f>
        <v>0</v>
      </c>
      <c r="BV9" s="9">
        <f>+IFERROR(VLOOKUP($BV$2,Sheet1!AL9:AO9,3,0),0)</f>
        <v>0</v>
      </c>
      <c r="BW9" s="9">
        <f>+IFERROR(VLOOKUP($BW$2,Sheet1!AL9:AO9,3,0),0)</f>
        <v>0</v>
      </c>
      <c r="BX9" s="40">
        <f>+IFERROR(VLOOKUP($BX$2,Sheet1!AP9:AS9,3,0),0)</f>
        <v>0</v>
      </c>
      <c r="BY9" s="43">
        <f>+IFERROR(VLOOKUP($BY$2,Sheet1!AT9:AW9,3,0),0)</f>
        <v>0</v>
      </c>
      <c r="BZ9" s="44">
        <f>+IFERROR(VLOOKUP($BZ$2,Sheet1!AX9:BA9,3,0),0)</f>
        <v>0</v>
      </c>
      <c r="CA9" s="46">
        <f>+IFERROR(VLOOKUP($CA$2,Sheet1!BB9:BE9,3,0),0)</f>
        <v>0</v>
      </c>
      <c r="CB9" s="48">
        <f>+IFERROR(VLOOKUP($CB$2,Sheet1!BF9:BI9,3,0),0)</f>
        <v>0</v>
      </c>
      <c r="CC9" s="49">
        <f>+IFERROR(VLOOKUP($CC$2,Sheet1!BJ9:BM9,3,0),0)</f>
        <v>0</v>
      </c>
      <c r="CD9" s="50">
        <f>+IFERROR(VLOOKUP($CD$2,Sheet1!BN9:BQ9,3,0),0)</f>
        <v>0</v>
      </c>
      <c r="CE9" s="38">
        <f>+IFERROR(VLOOKUP($CE$2,Sheet1!BR9:BU9,3,0),0)</f>
        <v>0</v>
      </c>
      <c r="CF9" s="44">
        <f>+IFERROR(VLOOKUP($CF$2,Sheet1!BV9:BY9,3,0),0)</f>
        <v>0</v>
      </c>
      <c r="CG9" s="67" t="s">
        <v>269</v>
      </c>
      <c r="CH9" s="68" t="s">
        <v>277</v>
      </c>
      <c r="CI9" s="68" t="s">
        <v>278</v>
      </c>
      <c r="CJ9" s="68">
        <v>500</v>
      </c>
      <c r="CK9" s="23">
        <f>3600/0.5</f>
        <v>7200</v>
      </c>
      <c r="CL9" s="23">
        <f t="shared" si="5"/>
        <v>63360</v>
      </c>
      <c r="CM9" s="24">
        <f>Sheet1!CB9</f>
        <v>0</v>
      </c>
      <c r="CN9" s="23">
        <f t="shared" si="6"/>
        <v>0</v>
      </c>
      <c r="CO9" s="95">
        <v>0.15</v>
      </c>
      <c r="CP9" s="23">
        <f t="shared" si="7"/>
        <v>9504</v>
      </c>
      <c r="CQ9" s="95">
        <v>0</v>
      </c>
      <c r="CR9" s="23">
        <f t="shared" si="8"/>
        <v>0</v>
      </c>
      <c r="CS9" s="23">
        <f t="shared" si="9"/>
        <v>72864</v>
      </c>
      <c r="CT9" s="95">
        <v>0.02</v>
      </c>
      <c r="CU9" s="112">
        <f t="shared" si="10"/>
        <v>1457.28</v>
      </c>
      <c r="CV9" s="95">
        <v>0.01</v>
      </c>
      <c r="CW9" s="112">
        <f t="shared" si="11"/>
        <v>728.64</v>
      </c>
      <c r="CX9" s="95">
        <f>Sheet1!CM9</f>
        <v>0</v>
      </c>
      <c r="CY9" s="6">
        <f t="shared" si="12"/>
        <v>0</v>
      </c>
      <c r="DA9" s="22">
        <f>263*1000</f>
        <v>263000</v>
      </c>
      <c r="DB9" s="22">
        <f t="shared" si="14"/>
        <v>39450</v>
      </c>
      <c r="DC9" s="22">
        <f>DA9*11.5%</f>
        <v>30245</v>
      </c>
      <c r="DE9" s="22">
        <f t="shared" si="15"/>
        <v>332695</v>
      </c>
      <c r="DF9" s="113">
        <f t="shared" si="16"/>
        <v>77.441825095057041</v>
      </c>
    </row>
    <row r="10" spans="1:110" s="22" customFormat="1" ht="30" x14ac:dyDescent="0.25">
      <c r="A10" s="6" t="str">
        <f>Sheet1!A6</f>
        <v>ENQ-16887-25-26</v>
      </c>
      <c r="B10" s="87">
        <v>45902</v>
      </c>
      <c r="C10" s="6" t="str">
        <f>Sheet1!C6</f>
        <v>FA0700002</v>
      </c>
      <c r="D10" s="6" t="str">
        <f>Sheet1!D6</f>
        <v>1 CORE X 630 SQ. MM. AL/ARD (XLPE)</v>
      </c>
      <c r="E10" s="23">
        <f t="shared" si="0"/>
        <v>847566.60600000003</v>
      </c>
      <c r="F10" s="108">
        <f t="shared" si="13"/>
        <v>12858</v>
      </c>
      <c r="G10" s="28">
        <f t="shared" si="1"/>
        <v>860424.60600000003</v>
      </c>
      <c r="H10" s="29">
        <f>Sheet1!CR6</f>
        <v>0.18</v>
      </c>
      <c r="I10" s="28">
        <f t="shared" si="2"/>
        <v>154876.42908</v>
      </c>
      <c r="J10" s="28">
        <f t="shared" si="3"/>
        <v>1015301.0350800001</v>
      </c>
      <c r="K10" s="79">
        <f>Sheet1!CU6</f>
        <v>7</v>
      </c>
      <c r="L10" s="76" t="str">
        <f>Sheet1!CV6</f>
        <v>KMS</v>
      </c>
      <c r="M10" s="23">
        <f t="shared" si="4"/>
        <v>7107107.2455600007</v>
      </c>
      <c r="N10" s="71">
        <f>+IFERROR(VLOOKUP($N$2,Sheet1!J6:L6,3,0),0)</f>
        <v>1701</v>
      </c>
      <c r="O10" s="71">
        <f>+IFERROR(VLOOKUP($O$2,Sheet1!J6:L6,3,0),0)</f>
        <v>0</v>
      </c>
      <c r="P10" s="71">
        <f>+IFERROR(VLOOKUP($P$2,Sheet1!J6:M6,3,0),0)</f>
        <v>0</v>
      </c>
      <c r="Q10" s="71">
        <f>+IFERROR(VLOOKUP($Q$2,Sheet1!J6:M6,3,0),0)</f>
        <v>0</v>
      </c>
      <c r="R10" s="71">
        <f>+IFERROR(VLOOKUP($R$2,Sheet1!J6:M6,3,0),0)</f>
        <v>0</v>
      </c>
      <c r="S10" s="71">
        <f>+IFERROR(VLOOKUP($S$2,Sheet1!J6:M6,3,0),0)</f>
        <v>0</v>
      </c>
      <c r="T10" s="71">
        <f>+IFERROR(VLOOKUP($T$2,Sheet1!J6:M6,3,0),0)</f>
        <v>0</v>
      </c>
      <c r="U10" s="71">
        <f>+IFERROR(VLOOKUP($U$2,Sheet1!J6:M6,3,0),0)</f>
        <v>0</v>
      </c>
      <c r="V10" s="72">
        <f>+IFERROR(VLOOKUP($V$2,Sheet1!N6:Q6,3,0),0)</f>
        <v>0</v>
      </c>
      <c r="W10" s="72">
        <f>+IFERROR(VLOOKUP($W$2,Sheet1!N6:Q6,3,0),0)</f>
        <v>0</v>
      </c>
      <c r="X10" s="73">
        <f>+IFERROR(VLOOKUP($X$2,Sheet1!F6:I6,3,0),0)</f>
        <v>0</v>
      </c>
      <c r="Y10" s="73">
        <f>+IFERROR(VLOOKUP($Y$2,Sheet1!F6:I6,3,0),0)</f>
        <v>0</v>
      </c>
      <c r="Z10" s="73">
        <f>+IFERROR(VLOOKUP($Z$2,Sheet1!F6:I6,3,0),0)</f>
        <v>0</v>
      </c>
      <c r="AA10" s="73">
        <f>+IFERROR(VLOOKUP($AA$2,Sheet1!F6:I6,3,0),0)</f>
        <v>0</v>
      </c>
      <c r="AB10" s="73">
        <f>+IFERROR(VLOOKUP($AB$2,Sheet1!F6:I6,3,0),0)</f>
        <v>0</v>
      </c>
      <c r="AC10" s="73">
        <f>+IFERROR(VLOOKUP($AC$2,Sheet1!F6:I6,3,0),0)</f>
        <v>0</v>
      </c>
      <c r="AD10" s="73">
        <f>+IFERROR(VLOOKUP($AD$2,Sheet1!F6:I6,3,0),0)</f>
        <v>0</v>
      </c>
      <c r="AE10" s="73">
        <f>+IFERROR(VLOOKUP($AE$2,Sheet1!F6:I6,3,0),0)</f>
        <v>0</v>
      </c>
      <c r="AF10" s="74">
        <f>+IFERROR(VLOOKUP($AF$2,Sheet1!R6:U6,3,0),0)</f>
        <v>0</v>
      </c>
      <c r="AG10" s="32">
        <f>+IFERROR(VLOOKUP($AG$2,Sheet1!R6:U6,3,0),0)</f>
        <v>0</v>
      </c>
      <c r="AH10" s="75">
        <f>+IFERROR(VLOOKUP($AH$2,Sheet1!V6:Y6,3,0),0)</f>
        <v>0</v>
      </c>
      <c r="AI10" s="33">
        <f>+IFERROR(VLOOKUP($AI$2,Sheet1!V6:Y6,3,0),0)</f>
        <v>295</v>
      </c>
      <c r="AJ10" s="33">
        <f>+IFERROR(VLOOKUP($AJ$2,Sheet1!V6:Y6,3,0),0)</f>
        <v>0</v>
      </c>
      <c r="AK10" s="33">
        <f>+IFERROR(VLOOKUP($AK$2,Sheet1!V6:Y6,3,0),0)</f>
        <v>0</v>
      </c>
      <c r="AL10" s="33">
        <f>+IFERROR(VLOOKUP($AL$2,Sheet1!V6:Y6,3,0),0)</f>
        <v>0</v>
      </c>
      <c r="AM10" s="33">
        <f>+IFERROR(VLOOKUP($AM$2,Sheet1!V6:Y6,3,0),0)</f>
        <v>0</v>
      </c>
      <c r="AN10" s="33">
        <f>+IFERROR(VLOOKUP($AN$2,Sheet1!V6:Y6,3,0),0)</f>
        <v>0</v>
      </c>
      <c r="AO10" s="33">
        <f>+IFERROR(VLOOKUP($AO$2,Sheet1!V6:Y6,3,0),0)</f>
        <v>0</v>
      </c>
      <c r="AP10" s="33">
        <f>+IFERROR(VLOOKUP($AP$2,Sheet1!V6:Y6,3,0),0)</f>
        <v>0</v>
      </c>
      <c r="AQ10" s="36">
        <f>+IFERROR(VLOOKUP($AQ$2,Sheet1!Z6:AB6,3,0),0)</f>
        <v>0</v>
      </c>
      <c r="AR10" s="37">
        <f>+IFERROR(VLOOKUP($AR$2,Sheet1!AD6:AG6,3,0),0)</f>
        <v>0</v>
      </c>
      <c r="AS10" s="37">
        <f>+IFERROR(VLOOKUP($AS$2,Sheet1!AD6:AG6,3,0),0)</f>
        <v>0</v>
      </c>
      <c r="AT10" s="37">
        <f>+IFERROR(VLOOKUP($AT$2,Sheet1!AD6:AG6,3,0),0)</f>
        <v>0</v>
      </c>
      <c r="AU10" s="37">
        <f>+IFERROR(VLOOKUP($AU$2,Sheet1!AD6:AG6,3,0),0)</f>
        <v>0</v>
      </c>
      <c r="AV10" s="37">
        <f>+IFERROR(VLOOKUP($AV$2,Sheet1!AD6:AG6,3,0),0)</f>
        <v>0</v>
      </c>
      <c r="AW10" s="37">
        <f>+IFERROR(VLOOKUP($AW$2,Sheet1!AD6:AG6,3,0),0)</f>
        <v>0</v>
      </c>
      <c r="AX10" s="37">
        <f>+IFERROR(VLOOKUP($AX$2,Sheet1!AD6:AG6,3,0),0)</f>
        <v>0</v>
      </c>
      <c r="AY10" s="37">
        <f>+IFERROR(VLOOKUP($AY$2,Sheet1!AD6:AG6,3,0),0)</f>
        <v>0</v>
      </c>
      <c r="AZ10" s="37">
        <f>+IFERROR(VLOOKUP($AZ$2,Sheet1!AD6:AG6,3,0),0)</f>
        <v>0</v>
      </c>
      <c r="BA10" s="36">
        <f>+IFERROR(VLOOKUP($BA$2,Sheet1!AH6:AK6,3,0),0)</f>
        <v>0</v>
      </c>
      <c r="BB10" s="36">
        <f>+IFERROR(VLOOKUP($BB$2,Sheet1!AH6:AK6,3,0),0)</f>
        <v>0</v>
      </c>
      <c r="BC10" s="36">
        <f>+IFERROR(VLOOKUP($BC$2,Sheet1!AH6:AK6,3,0),0)</f>
        <v>0</v>
      </c>
      <c r="BD10" s="100">
        <v>552</v>
      </c>
      <c r="BE10" s="36">
        <f>+IFERROR(VLOOKUP($BE$2,Sheet1!AH6:AK6,3,0),0)</f>
        <v>0</v>
      </c>
      <c r="BF10" s="36">
        <f>+IFERROR(VLOOKUP($BF$2,Sheet1!AH6:AK6,3,0),0)</f>
        <v>0</v>
      </c>
      <c r="BG10" s="36">
        <f>+IFERROR(VLOOKUP($BG$2,Sheet1!AH6:AK6,3,0),0)</f>
        <v>0</v>
      </c>
      <c r="BH10" s="36">
        <f>+IFERROR(VLOOKUP($BH$2,Sheet1!AH6:AK6,3,0),0)</f>
        <v>0</v>
      </c>
      <c r="BI10" s="36">
        <f>+IFERROR(VLOOKUP($BI$2,Sheet1!AH6:AK6,3,0),0)</f>
        <v>0</v>
      </c>
      <c r="BJ10" s="36">
        <f>+IFERROR(VLOOKUP($BJ$2,Sheet1!AH6:AK6,3,0),0)</f>
        <v>0</v>
      </c>
      <c r="BK10" s="36">
        <f>+IFERROR(VLOOKUP($BK$2,Sheet1!AH6:AK6,3,0),0)</f>
        <v>0</v>
      </c>
      <c r="BL10" s="9">
        <f>+IFERROR(VLOOKUP($BL$2,Sheet1!AL6:AO6,3,0),0)</f>
        <v>0</v>
      </c>
      <c r="BM10" s="9">
        <f>+IFERROR(VLOOKUP($BM$2,Sheet1!AL6:AO6,3,0),0)</f>
        <v>0</v>
      </c>
      <c r="BN10" s="9">
        <f>+IFERROR(VLOOKUP($BN$2,Sheet1!AL6:AO6,3,0),0)</f>
        <v>0</v>
      </c>
      <c r="BO10" s="99">
        <v>382</v>
      </c>
      <c r="BP10" s="9">
        <f>+IFERROR(VLOOKUP($BP$2,Sheet1!AL6:AO6,3,0),0)</f>
        <v>0</v>
      </c>
      <c r="BQ10" s="9">
        <f>+IFERROR(VLOOKUP($BQ$2,Sheet1!AL6:AO6,3,0),0)</f>
        <v>0</v>
      </c>
      <c r="BR10" s="9">
        <f>+IFERROR(VLOOKUP($BR$2,Sheet1!AL6:AO6,3,0),0)</f>
        <v>0</v>
      </c>
      <c r="BS10" s="9">
        <f>+IFERROR(VLOOKUP($BS$2,Sheet1!AL6:AO6,3,0),0)</f>
        <v>0</v>
      </c>
      <c r="BT10" s="9">
        <f>+IFERROR(VLOOKUP($BT$2,Sheet1!AL6:AO6,3,0),0)</f>
        <v>0</v>
      </c>
      <c r="BU10" s="9">
        <f>+IFERROR(VLOOKUP($BU$2,Sheet1!AL6:AO6,3,0),0)</f>
        <v>0</v>
      </c>
      <c r="BV10" s="9">
        <f>+IFERROR(VLOOKUP($BV$2,Sheet1!AL6:AO6,3,0),0)</f>
        <v>0</v>
      </c>
      <c r="BW10" s="9">
        <f>+IFERROR(VLOOKUP($BW$2,Sheet1!AL6:AO6,3,0),0)</f>
        <v>0</v>
      </c>
      <c r="BX10" s="40">
        <f>+IFERROR(VLOOKUP($BX$2,Sheet1!AP6:AS6,3,0),0)</f>
        <v>0</v>
      </c>
      <c r="BY10" s="43">
        <f>+IFERROR(VLOOKUP($BY$2,Sheet1!AT6:AW6,3,0),0)</f>
        <v>0</v>
      </c>
      <c r="BZ10" s="44">
        <f>+IFERROR(VLOOKUP($BZ$2,Sheet1!AX6:BA6,3,0),0)</f>
        <v>0</v>
      </c>
      <c r="CA10" s="46">
        <f>+IFERROR(VLOOKUP($CA$2,Sheet1!BB6:BE6,3,0),0)</f>
        <v>0</v>
      </c>
      <c r="CB10" s="48">
        <f>+IFERROR(VLOOKUP($CB$2,Sheet1!BF6:BI6,3,0),0)</f>
        <v>0</v>
      </c>
      <c r="CC10" s="49">
        <f>+IFERROR(VLOOKUP($CC$2,Sheet1!BJ6:BM6,3,0),0)</f>
        <v>0</v>
      </c>
      <c r="CD10" s="50">
        <f>+IFERROR(VLOOKUP($CD$2,Sheet1!BN6:BQ6,3,0),0)</f>
        <v>0</v>
      </c>
      <c r="CE10" s="38">
        <f>+IFERROR(VLOOKUP($CE$2,Sheet1!BR6:BU6,3,0),0)</f>
        <v>0</v>
      </c>
      <c r="CF10" s="44">
        <f>+IFERROR(VLOOKUP($CF$2,Sheet1!BV6:BY6,3,0),0)</f>
        <v>0</v>
      </c>
      <c r="CG10" s="67" t="s">
        <v>269</v>
      </c>
      <c r="CH10" s="68" t="s">
        <v>270</v>
      </c>
      <c r="CI10" s="68" t="s">
        <v>271</v>
      </c>
      <c r="CJ10" s="68">
        <v>500</v>
      </c>
      <c r="CK10" s="23">
        <f>13500/0.5</f>
        <v>27000</v>
      </c>
      <c r="CL10" s="23">
        <f t="shared" si="5"/>
        <v>715548</v>
      </c>
      <c r="CM10" s="24">
        <f>Sheet1!CB6</f>
        <v>0</v>
      </c>
      <c r="CN10" s="23">
        <f t="shared" si="6"/>
        <v>0</v>
      </c>
      <c r="CO10" s="95">
        <v>0.15</v>
      </c>
      <c r="CP10" s="23">
        <f t="shared" si="7"/>
        <v>107332.2</v>
      </c>
      <c r="CQ10" s="95">
        <v>0</v>
      </c>
      <c r="CR10" s="23">
        <f t="shared" si="8"/>
        <v>0</v>
      </c>
      <c r="CS10" s="23">
        <f t="shared" si="9"/>
        <v>822880.2</v>
      </c>
      <c r="CT10" s="95">
        <v>0.02</v>
      </c>
      <c r="CU10" s="112">
        <f t="shared" si="10"/>
        <v>16457.603999999999</v>
      </c>
      <c r="CV10" s="95">
        <v>0.01</v>
      </c>
      <c r="CW10" s="112">
        <f t="shared" si="11"/>
        <v>8228.8019999999997</v>
      </c>
      <c r="CX10" s="95">
        <f>Sheet1!CM6</f>
        <v>0</v>
      </c>
      <c r="CY10" s="6">
        <f t="shared" si="12"/>
        <v>0</v>
      </c>
      <c r="DA10" s="22">
        <f>3233*1000</f>
        <v>3233000</v>
      </c>
      <c r="DC10" s="22">
        <f t="shared" ref="DC10:DC15" si="17">DA10*7.5%</f>
        <v>242475</v>
      </c>
      <c r="DD10" s="22">
        <f>DA10*30%</f>
        <v>969900</v>
      </c>
      <c r="DE10" s="22">
        <f t="shared" si="15"/>
        <v>4445375</v>
      </c>
      <c r="DF10" s="113">
        <f t="shared" si="16"/>
        <v>80.933743362483483</v>
      </c>
    </row>
    <row r="11" spans="1:110" s="22" customFormat="1" ht="30" x14ac:dyDescent="0.25">
      <c r="A11" s="6" t="str">
        <f>Sheet1!A11</f>
        <v>ENQ-16887-25-26</v>
      </c>
      <c r="B11" s="87">
        <v>45902</v>
      </c>
      <c r="C11" s="6" t="str">
        <f>Sheet1!C11</f>
        <v>FA1100085</v>
      </c>
      <c r="D11" s="6" t="str">
        <f>Sheet1!D11</f>
        <v>3.5 CORE X 300 SQ. MM. AL/ARD - WIRE (XLPE)</v>
      </c>
      <c r="E11" s="23">
        <f t="shared" si="0"/>
        <v>1404799.2324999999</v>
      </c>
      <c r="F11" s="108">
        <f t="shared" si="13"/>
        <v>31765</v>
      </c>
      <c r="G11" s="28">
        <f t="shared" si="1"/>
        <v>1436564.2324999999</v>
      </c>
      <c r="H11" s="29">
        <f>Sheet1!CR11</f>
        <v>0.18</v>
      </c>
      <c r="I11" s="28">
        <f t="shared" si="2"/>
        <v>258581.56184999997</v>
      </c>
      <c r="J11" s="28">
        <f t="shared" si="3"/>
        <v>1695145.7943499999</v>
      </c>
      <c r="K11" s="79">
        <f>Sheet1!CU11</f>
        <v>17</v>
      </c>
      <c r="L11" s="76" t="str">
        <f>Sheet1!CV11</f>
        <v>KMS</v>
      </c>
      <c r="M11" s="23">
        <f t="shared" si="4"/>
        <v>28817478.503949996</v>
      </c>
      <c r="N11" s="71">
        <f>+IFERROR(VLOOKUP($N$2,Sheet1!J11:L11,3,0),0)</f>
        <v>2835</v>
      </c>
      <c r="O11" s="71">
        <f>+IFERROR(VLOOKUP($O$2,Sheet1!J11:L11,3,0),0)</f>
        <v>0</v>
      </c>
      <c r="P11" s="71">
        <f>+IFERROR(VLOOKUP($P$2,Sheet1!J11:M11,3,0),0)</f>
        <v>0</v>
      </c>
      <c r="Q11" s="71">
        <f>+IFERROR(VLOOKUP($Q$2,Sheet1!J11:M11,3,0),0)</f>
        <v>0</v>
      </c>
      <c r="R11" s="71">
        <f>+IFERROR(VLOOKUP($R$2,Sheet1!J11:M11,3,0),0)</f>
        <v>0</v>
      </c>
      <c r="S11" s="71">
        <f>+IFERROR(VLOOKUP($S$2,Sheet1!J11:M11,3,0),0)</f>
        <v>0</v>
      </c>
      <c r="T11" s="71">
        <f>+IFERROR(VLOOKUP($T$2,Sheet1!J11:M11,3,0),0)</f>
        <v>0</v>
      </c>
      <c r="U11" s="71">
        <f>+IFERROR(VLOOKUP($U$2,Sheet1!J11:M11,3,0),0)</f>
        <v>0</v>
      </c>
      <c r="V11" s="72">
        <f>+IFERROR(VLOOKUP($V$2,Sheet1!N11:Q11,3,0),0)</f>
        <v>0</v>
      </c>
      <c r="W11" s="72">
        <f>+IFERROR(VLOOKUP($W$2,Sheet1!N11:Q11,3,0),0)</f>
        <v>0</v>
      </c>
      <c r="X11" s="73">
        <f>+IFERROR(VLOOKUP($X$2,Sheet1!F11:I11,3,0),0)</f>
        <v>0</v>
      </c>
      <c r="Y11" s="73">
        <f>+IFERROR(VLOOKUP($Y$2,Sheet1!F11:I11,3,0),0)</f>
        <v>0</v>
      </c>
      <c r="Z11" s="73">
        <f>+IFERROR(VLOOKUP($Z$2,Sheet1!F11:I11,3,0),0)</f>
        <v>0</v>
      </c>
      <c r="AA11" s="73">
        <f>+IFERROR(VLOOKUP($AA$2,Sheet1!F11:I11,3,0),0)</f>
        <v>0</v>
      </c>
      <c r="AB11" s="73">
        <f>+IFERROR(VLOOKUP($AB$2,Sheet1!F11:I11,3,0),0)</f>
        <v>0</v>
      </c>
      <c r="AC11" s="73">
        <f>+IFERROR(VLOOKUP($AC$2,Sheet1!F11:I11,3,0),0)</f>
        <v>0</v>
      </c>
      <c r="AD11" s="73">
        <f>+IFERROR(VLOOKUP($AD$2,Sheet1!F11:I11,3,0),0)</f>
        <v>0</v>
      </c>
      <c r="AE11" s="73">
        <f>+IFERROR(VLOOKUP($AE$2,Sheet1!F11:I11,3,0),0)</f>
        <v>0</v>
      </c>
      <c r="AF11" s="74">
        <f>+IFERROR(VLOOKUP($AF$2,Sheet1!R11:U11,3,0),0)</f>
        <v>0</v>
      </c>
      <c r="AG11" s="32">
        <f>+IFERROR(VLOOKUP($AG$2,Sheet1!R11:U11,3,0),0)</f>
        <v>0</v>
      </c>
      <c r="AH11" s="75">
        <f>+IFERROR(VLOOKUP($AH$2,Sheet1!V11:Y11,3,0),0)</f>
        <v>0</v>
      </c>
      <c r="AI11" s="33">
        <f>+IFERROR(VLOOKUP($AI$2,Sheet1!V11:Y11,3,0),0)</f>
        <v>430</v>
      </c>
      <c r="AJ11" s="33">
        <f>+IFERROR(VLOOKUP($AJ$2,Sheet1!V11:Y11,3,0),0)</f>
        <v>0</v>
      </c>
      <c r="AK11" s="33">
        <f>+IFERROR(VLOOKUP($AK$2,Sheet1!V11:Y11,3,0),0)</f>
        <v>0</v>
      </c>
      <c r="AL11" s="33">
        <f>+IFERROR(VLOOKUP($AL$2,Sheet1!V11:Y11,3,0),0)</f>
        <v>0</v>
      </c>
      <c r="AM11" s="33">
        <f>+IFERROR(VLOOKUP($AM$2,Sheet1!V11:Y11,3,0),0)</f>
        <v>0</v>
      </c>
      <c r="AN11" s="33">
        <f>+IFERROR(VLOOKUP($AN$2,Sheet1!V11:Y11,3,0),0)</f>
        <v>0</v>
      </c>
      <c r="AO11" s="33">
        <f>+IFERROR(VLOOKUP($AO$2,Sheet1!V11:Y11,3,0),0)</f>
        <v>0</v>
      </c>
      <c r="AP11" s="33">
        <f>+IFERROR(VLOOKUP($AP$2,Sheet1!V11:Y11,3,0),0)</f>
        <v>0</v>
      </c>
      <c r="AQ11" s="36">
        <f>+IFERROR(VLOOKUP($AQ$2,Sheet1!Z11:AB11,3,0),0)</f>
        <v>0</v>
      </c>
      <c r="AR11" s="37">
        <f>+IFERROR(VLOOKUP($AR$2,Sheet1!AD11:AG11,3,0),0)</f>
        <v>0</v>
      </c>
      <c r="AS11" s="37">
        <f>+IFERROR(VLOOKUP($AS$2,Sheet1!AD11:AG11,3,0),0)</f>
        <v>245</v>
      </c>
      <c r="AT11" s="37">
        <f>+IFERROR(VLOOKUP($AT$2,Sheet1!AD11:AG11,3,0),0)</f>
        <v>0</v>
      </c>
      <c r="AU11" s="37">
        <f>+IFERROR(VLOOKUP($AU$2,Sheet1!AD11:AG11,3,0),0)</f>
        <v>0</v>
      </c>
      <c r="AV11" s="37">
        <f>+IFERROR(VLOOKUP($AV$2,Sheet1!AD11:AG11,3,0),0)</f>
        <v>0</v>
      </c>
      <c r="AW11" s="37">
        <f>+IFERROR(VLOOKUP($AW$2,Sheet1!AD11:AG11,3,0),0)</f>
        <v>0</v>
      </c>
      <c r="AX11" s="37">
        <f>+IFERROR(VLOOKUP($AX$2,Sheet1!AD11:AG11,3,0),0)</f>
        <v>0</v>
      </c>
      <c r="AY11" s="37">
        <f>+IFERROR(VLOOKUP($AY$2,Sheet1!AD11:AG11,3,0),0)</f>
        <v>0</v>
      </c>
      <c r="AZ11" s="37">
        <f>+IFERROR(VLOOKUP($AZ$2,Sheet1!AD11:AG11,3,0),0)</f>
        <v>0</v>
      </c>
      <c r="BA11" s="36">
        <f>+IFERROR(VLOOKUP($BA$2,Sheet1!AH11:AK11,3,0),0)</f>
        <v>0</v>
      </c>
      <c r="BB11" s="36">
        <f>+IFERROR(VLOOKUP($BB$2,Sheet1!AH11:AK11,3,0),0)</f>
        <v>0</v>
      </c>
      <c r="BC11" s="36">
        <f>+IFERROR(VLOOKUP($BC$2,Sheet1!AH11:AK11,3,0),0)</f>
        <v>0</v>
      </c>
      <c r="BD11" s="36">
        <f>+IFERROR(VLOOKUP($BD$2,Sheet1!AH11:AK11,3,0),0)</f>
        <v>0</v>
      </c>
      <c r="BE11" s="36">
        <f>+IFERROR(VLOOKUP($BE$2,Sheet1!AH11:AK11,3,0),0)</f>
        <v>0</v>
      </c>
      <c r="BF11" s="36">
        <f>+IFERROR(VLOOKUP($BF$2,Sheet1!AH11:AK11,3,0),0)</f>
        <v>0</v>
      </c>
      <c r="BG11" s="36">
        <f>+IFERROR(VLOOKUP($BG$2,Sheet1!AH11:AK11,3,0),0)</f>
        <v>0</v>
      </c>
      <c r="BH11" s="36">
        <f>+IFERROR(VLOOKUP($BH$2,Sheet1!AH11:AK11,3,0),0)</f>
        <v>0</v>
      </c>
      <c r="BI11" s="36">
        <f>+IFERROR(VLOOKUP($BI$2,Sheet1!AH11:AK11,3,0),0)</f>
        <v>0</v>
      </c>
      <c r="BJ11" s="100">
        <v>2927</v>
      </c>
      <c r="BK11" s="36">
        <f>+IFERROR(VLOOKUP($BK$2,Sheet1!AH11:AK11,3,0),0)</f>
        <v>0</v>
      </c>
      <c r="BL11" s="9">
        <f>+IFERROR(VLOOKUP($BL$2,Sheet1!AL11:AO11,3,0),0)</f>
        <v>0</v>
      </c>
      <c r="BM11" s="9">
        <f>+IFERROR(VLOOKUP($BM$2,Sheet1!AL11:AO11,3,0),0)</f>
        <v>0</v>
      </c>
      <c r="BN11" s="9">
        <f>+IFERROR(VLOOKUP($BN$2,Sheet1!AL11:AO11,3,0),0)</f>
        <v>0</v>
      </c>
      <c r="BO11" s="99">
        <v>724</v>
      </c>
      <c r="BP11" s="9">
        <f>+IFERROR(VLOOKUP($BP$2,Sheet1!AL11:AO11,3,0),0)</f>
        <v>0</v>
      </c>
      <c r="BQ11" s="9">
        <f>+IFERROR(VLOOKUP($BQ$2,Sheet1!AL11:AO11,3,0),0)</f>
        <v>0</v>
      </c>
      <c r="BR11" s="9">
        <f>+IFERROR(VLOOKUP($BR$2,Sheet1!AL11:AO11,3,0),0)</f>
        <v>0</v>
      </c>
      <c r="BS11" s="9">
        <f>+IFERROR(VLOOKUP($BS$2,Sheet1!AL11:AO11,3,0),0)</f>
        <v>0</v>
      </c>
      <c r="BT11" s="9">
        <f>+IFERROR(VLOOKUP($BT$2,Sheet1!AL11:AO11,3,0),0)</f>
        <v>0</v>
      </c>
      <c r="BU11" s="9">
        <f>+IFERROR(VLOOKUP($BU$2,Sheet1!AL11:AO11,3,0),0)</f>
        <v>0</v>
      </c>
      <c r="BV11" s="9">
        <f>+IFERROR(VLOOKUP($BV$2,Sheet1!AL11:AO11,3,0),0)</f>
        <v>0</v>
      </c>
      <c r="BW11" s="9">
        <f>+IFERROR(VLOOKUP($BW$2,Sheet1!AL11:AO11,3,0),0)</f>
        <v>0</v>
      </c>
      <c r="BX11" s="40">
        <f>+IFERROR(VLOOKUP($BX$2,Sheet1!AP11:AS11,3,0),0)</f>
        <v>0</v>
      </c>
      <c r="BY11" s="43">
        <f>+IFERROR(VLOOKUP($BY$2,Sheet1!AT11:AW11,3,0),0)</f>
        <v>0</v>
      </c>
      <c r="BZ11" s="44">
        <f>+IFERROR(VLOOKUP($BZ$2,Sheet1!AX11:BA11,3,0),0)</f>
        <v>0</v>
      </c>
      <c r="CA11" s="46">
        <f>+IFERROR(VLOOKUP($CA$2,Sheet1!BB11:BE11,3,0),0)</f>
        <v>0</v>
      </c>
      <c r="CB11" s="48">
        <f>+IFERROR(VLOOKUP($CB$2,Sheet1!BF11:BI11,3,0),0)</f>
        <v>0</v>
      </c>
      <c r="CC11" s="49">
        <f>+IFERROR(VLOOKUP($CC$2,Sheet1!BJ11:BM11,3,0),0)</f>
        <v>0</v>
      </c>
      <c r="CD11" s="50">
        <f>+IFERROR(VLOOKUP($CD$2,Sheet1!BN11:BQ11,3,0),0)</f>
        <v>0</v>
      </c>
      <c r="CE11" s="38">
        <f>+IFERROR(VLOOKUP($CE$2,Sheet1!BR11:BU11,3,0),0)</f>
        <v>0</v>
      </c>
      <c r="CF11" s="44">
        <f>+IFERROR(VLOOKUP($CF$2,Sheet1!BV11:BY11,3,0),0)</f>
        <v>0</v>
      </c>
      <c r="CG11" s="67" t="s">
        <v>269</v>
      </c>
      <c r="CH11" s="68" t="s">
        <v>283</v>
      </c>
      <c r="CI11" s="68" t="s">
        <v>284</v>
      </c>
      <c r="CJ11" s="68">
        <v>500</v>
      </c>
      <c r="CK11" s="23">
        <f>18000/0.5</f>
        <v>36000</v>
      </c>
      <c r="CL11" s="23">
        <f t="shared" si="5"/>
        <v>1185985</v>
      </c>
      <c r="CM11" s="24">
        <f>Sheet1!CB11</f>
        <v>0</v>
      </c>
      <c r="CN11" s="23">
        <f t="shared" si="6"/>
        <v>0</v>
      </c>
      <c r="CO11" s="95">
        <v>0.15</v>
      </c>
      <c r="CP11" s="23">
        <f t="shared" si="7"/>
        <v>177897.75</v>
      </c>
      <c r="CQ11" s="95">
        <v>0</v>
      </c>
      <c r="CR11" s="23">
        <f t="shared" si="8"/>
        <v>0</v>
      </c>
      <c r="CS11" s="23">
        <f t="shared" si="9"/>
        <v>1363882.75</v>
      </c>
      <c r="CT11" s="95">
        <v>0.02</v>
      </c>
      <c r="CU11" s="112">
        <f t="shared" si="10"/>
        <v>27277.654999999999</v>
      </c>
      <c r="CV11" s="95">
        <v>0.01</v>
      </c>
      <c r="CW11" s="112">
        <f t="shared" si="11"/>
        <v>13638.827499999999</v>
      </c>
      <c r="CX11" s="95">
        <f>Sheet1!CM11</f>
        <v>0</v>
      </c>
      <c r="CY11" s="6">
        <f t="shared" si="12"/>
        <v>0</v>
      </c>
      <c r="DA11" s="22">
        <f>4986*1000</f>
        <v>4986000</v>
      </c>
      <c r="DC11" s="22">
        <f t="shared" si="17"/>
        <v>373950</v>
      </c>
      <c r="DD11" s="22">
        <f t="shared" ref="DD11:DD13" si="18">DA11*30%</f>
        <v>1495800</v>
      </c>
      <c r="DE11" s="22">
        <f t="shared" si="15"/>
        <v>6855750</v>
      </c>
      <c r="DF11" s="113">
        <f t="shared" si="16"/>
        <v>79.509182328702195</v>
      </c>
    </row>
    <row r="12" spans="1:110" s="22" customFormat="1" ht="30" x14ac:dyDescent="0.25">
      <c r="A12" s="6" t="str">
        <f>Sheet1!A12</f>
        <v>ENQ-16887-25-26</v>
      </c>
      <c r="B12" s="87">
        <v>45902</v>
      </c>
      <c r="C12" s="6" t="str">
        <f>Sheet1!C12</f>
        <v>FA1100106</v>
      </c>
      <c r="D12" s="6" t="str">
        <f>Sheet1!D12</f>
        <v>3.5 CORE X 150 SQ. MM. AL/ARD - WIRE (XLPE)</v>
      </c>
      <c r="E12" s="23">
        <f t="shared" si="0"/>
        <v>706402.63400000008</v>
      </c>
      <c r="F12" s="108">
        <f t="shared" si="13"/>
        <v>12858</v>
      </c>
      <c r="G12" s="28">
        <f t="shared" si="1"/>
        <v>719260.63400000008</v>
      </c>
      <c r="H12" s="29">
        <f>Sheet1!CR12</f>
        <v>0.18</v>
      </c>
      <c r="I12" s="28">
        <f t="shared" si="2"/>
        <v>129466.91412000002</v>
      </c>
      <c r="J12" s="28">
        <f t="shared" si="3"/>
        <v>848727.54812000005</v>
      </c>
      <c r="K12" s="79">
        <f>Sheet1!CU12</f>
        <v>14</v>
      </c>
      <c r="L12" s="76" t="str">
        <f>Sheet1!CV12</f>
        <v>KMS</v>
      </c>
      <c r="M12" s="23">
        <f t="shared" si="4"/>
        <v>11882185.67368</v>
      </c>
      <c r="N12" s="71">
        <f>+IFERROR(VLOOKUP($N$2,Sheet1!J12:L12,3,0),0)</f>
        <v>1404</v>
      </c>
      <c r="O12" s="71">
        <f>+IFERROR(VLOOKUP($O$2,Sheet1!J12:L12,3,0),0)</f>
        <v>0</v>
      </c>
      <c r="P12" s="71">
        <f>+IFERROR(VLOOKUP($P$2,Sheet1!J12:M12,3,0),0)</f>
        <v>0</v>
      </c>
      <c r="Q12" s="71">
        <f>+IFERROR(VLOOKUP($Q$2,Sheet1!J12:M12,3,0),0)</f>
        <v>0</v>
      </c>
      <c r="R12" s="71">
        <f>+IFERROR(VLOOKUP($R$2,Sheet1!J12:M12,3,0),0)</f>
        <v>0</v>
      </c>
      <c r="S12" s="71">
        <f>+IFERROR(VLOOKUP($S$2,Sheet1!J12:M12,3,0),0)</f>
        <v>0</v>
      </c>
      <c r="T12" s="71">
        <f>+IFERROR(VLOOKUP($T$2,Sheet1!J12:M12,3,0),0)</f>
        <v>0</v>
      </c>
      <c r="U12" s="71">
        <f>+IFERROR(VLOOKUP($U$2,Sheet1!J12:M12,3,0),0)</f>
        <v>0</v>
      </c>
      <c r="V12" s="72">
        <f>+IFERROR(VLOOKUP($V$2,Sheet1!N12:Q12,3,0),0)</f>
        <v>0</v>
      </c>
      <c r="W12" s="72">
        <f>+IFERROR(VLOOKUP($W$2,Sheet1!N12:Q12,3,0),0)</f>
        <v>0</v>
      </c>
      <c r="X12" s="73">
        <f>+IFERROR(VLOOKUP($X$2,Sheet1!F12:I12,3,0),0)</f>
        <v>0</v>
      </c>
      <c r="Y12" s="73">
        <f>+IFERROR(VLOOKUP($Y$2,Sheet1!F12:I12,3,0),0)</f>
        <v>0</v>
      </c>
      <c r="Z12" s="73">
        <f>+IFERROR(VLOOKUP($Z$2,Sheet1!F12:I12,3,0),0)</f>
        <v>0</v>
      </c>
      <c r="AA12" s="73">
        <f>+IFERROR(VLOOKUP($AA$2,Sheet1!F12:I12,3,0),0)</f>
        <v>0</v>
      </c>
      <c r="AB12" s="73">
        <f>+IFERROR(VLOOKUP($AB$2,Sheet1!F12:I12,3,0),0)</f>
        <v>0</v>
      </c>
      <c r="AC12" s="73">
        <f>+IFERROR(VLOOKUP($AC$2,Sheet1!F12:I12,3,0),0)</f>
        <v>0</v>
      </c>
      <c r="AD12" s="73">
        <f>+IFERROR(VLOOKUP($AD$2,Sheet1!F12:I12,3,0),0)</f>
        <v>0</v>
      </c>
      <c r="AE12" s="73">
        <f>+IFERROR(VLOOKUP($AE$2,Sheet1!F12:I12,3,0),0)</f>
        <v>0</v>
      </c>
      <c r="AF12" s="74">
        <f>+IFERROR(VLOOKUP($AF$2,Sheet1!R12:U12,3,0),0)</f>
        <v>0</v>
      </c>
      <c r="AG12" s="32">
        <f>+IFERROR(VLOOKUP($AG$2,Sheet1!R12:U12,3,0),0)</f>
        <v>0</v>
      </c>
      <c r="AH12" s="75">
        <f>+IFERROR(VLOOKUP($AH$2,Sheet1!V12:Y12,3,0),0)</f>
        <v>0</v>
      </c>
      <c r="AI12" s="33">
        <f>+IFERROR(VLOOKUP($AI$2,Sheet1!V12:Y12,3,0),0)</f>
        <v>244</v>
      </c>
      <c r="AJ12" s="33">
        <f>+IFERROR(VLOOKUP($AJ$2,Sheet1!V12:Y12,3,0),0)</f>
        <v>0</v>
      </c>
      <c r="AK12" s="33">
        <f>+IFERROR(VLOOKUP($AK$2,Sheet1!V12:Y12,3,0),0)</f>
        <v>0</v>
      </c>
      <c r="AL12" s="33">
        <f>+IFERROR(VLOOKUP($AL$2,Sheet1!V12:Y12,3,0),0)</f>
        <v>0</v>
      </c>
      <c r="AM12" s="33">
        <f>+IFERROR(VLOOKUP($AM$2,Sheet1!V12:Y12,3,0),0)</f>
        <v>0</v>
      </c>
      <c r="AN12" s="33">
        <f>+IFERROR(VLOOKUP($AN$2,Sheet1!V12:Y12,3,0),0)</f>
        <v>0</v>
      </c>
      <c r="AO12" s="33">
        <f>+IFERROR(VLOOKUP($AO$2,Sheet1!V12:Y12,3,0),0)</f>
        <v>0</v>
      </c>
      <c r="AP12" s="33">
        <f>+IFERROR(VLOOKUP($AP$2,Sheet1!V12:Y12,3,0),0)</f>
        <v>0</v>
      </c>
      <c r="AQ12" s="36">
        <f>+IFERROR(VLOOKUP($AQ$2,Sheet1!Z12:AB12,3,0),0)</f>
        <v>0</v>
      </c>
      <c r="AR12" s="37">
        <f>+IFERROR(VLOOKUP($AR$2,Sheet1!AD12:AG12,3,0),0)</f>
        <v>0</v>
      </c>
      <c r="AS12" s="37">
        <f>+IFERROR(VLOOKUP($AS$2,Sheet1!AD12:AG12,3,0),0)</f>
        <v>124</v>
      </c>
      <c r="AT12" s="37">
        <f>+IFERROR(VLOOKUP($AT$2,Sheet1!AD12:AG12,3,0),0)</f>
        <v>0</v>
      </c>
      <c r="AU12" s="37">
        <f>+IFERROR(VLOOKUP($AU$2,Sheet1!AD12:AG12,3,0),0)</f>
        <v>0</v>
      </c>
      <c r="AV12" s="37">
        <f>+IFERROR(VLOOKUP($AV$2,Sheet1!AD12:AG12,3,0),0)</f>
        <v>0</v>
      </c>
      <c r="AW12" s="37">
        <f>+IFERROR(VLOOKUP($AW$2,Sheet1!AD12:AG12,3,0),0)</f>
        <v>0</v>
      </c>
      <c r="AX12" s="37">
        <f>+IFERROR(VLOOKUP($AX$2,Sheet1!AD12:AG12,3,0),0)</f>
        <v>0</v>
      </c>
      <c r="AY12" s="37">
        <f>+IFERROR(VLOOKUP($AY$2,Sheet1!AD12:AG12,3,0),0)</f>
        <v>0</v>
      </c>
      <c r="AZ12" s="37">
        <f>+IFERROR(VLOOKUP($AZ$2,Sheet1!AD12:AG12,3,0),0)</f>
        <v>0</v>
      </c>
      <c r="BA12" s="36">
        <f>+IFERROR(VLOOKUP($BA$2,Sheet1!AH12:AK12,3,0),0)</f>
        <v>0</v>
      </c>
      <c r="BB12" s="36">
        <f>+IFERROR(VLOOKUP($BB$2,Sheet1!AH12:AK12,3,0),0)</f>
        <v>0</v>
      </c>
      <c r="BC12" s="36">
        <f>+IFERROR(VLOOKUP($BC$2,Sheet1!AH12:AK12,3,0),0)</f>
        <v>0</v>
      </c>
      <c r="BD12" s="36">
        <f>+IFERROR(VLOOKUP($BD$2,Sheet1!AH12:AK12,3,0),0)</f>
        <v>0</v>
      </c>
      <c r="BE12" s="36">
        <f>+IFERROR(VLOOKUP($BE$2,Sheet1!AH12:AK12,3,0),0)</f>
        <v>0</v>
      </c>
      <c r="BF12" s="36">
        <f>+IFERROR(VLOOKUP($BF$2,Sheet1!AH12:AK12,3,0),0)</f>
        <v>0</v>
      </c>
      <c r="BG12" s="36">
        <f>+IFERROR(VLOOKUP($BG$2,Sheet1!AH12:AK12,3,0),0)</f>
        <v>0</v>
      </c>
      <c r="BH12" s="36">
        <f>+IFERROR(VLOOKUP($BH$2,Sheet1!AH12:AK12,3,0),0)</f>
        <v>0</v>
      </c>
      <c r="BI12" s="36">
        <f>+IFERROR(VLOOKUP($BI$2,Sheet1!AH12:AK12,3,0),0)</f>
        <v>0</v>
      </c>
      <c r="BJ12" s="36">
        <f>+IFERROR(VLOOKUP($BJ$2,Sheet1!AH12:AK12,3,0),0)</f>
        <v>1312</v>
      </c>
      <c r="BK12" s="36">
        <f>+IFERROR(VLOOKUP($BK$2,Sheet1!AH12:AK12,3,0),0)</f>
        <v>0</v>
      </c>
      <c r="BL12" s="9">
        <f>+IFERROR(VLOOKUP($BL$2,Sheet1!AL12:AO12,3,0),0)</f>
        <v>0</v>
      </c>
      <c r="BM12" s="9">
        <f>+IFERROR(VLOOKUP($BM$2,Sheet1!AL12:AO12,3,0),0)</f>
        <v>0</v>
      </c>
      <c r="BN12" s="9">
        <f>+IFERROR(VLOOKUP($BN$2,Sheet1!AL12:AO12,3,0),0)</f>
        <v>0</v>
      </c>
      <c r="BO12" s="9">
        <f>+IFERROR(VLOOKUP($BO$2,Sheet1!AL12:AO12,3,0),0)</f>
        <v>416</v>
      </c>
      <c r="BP12" s="9">
        <f>+IFERROR(VLOOKUP($BP$2,Sheet1!AL12:AO12,3,0),0)</f>
        <v>0</v>
      </c>
      <c r="BQ12" s="9">
        <f>+IFERROR(VLOOKUP($BQ$2,Sheet1!AL12:AO12,3,0),0)</f>
        <v>0</v>
      </c>
      <c r="BR12" s="9">
        <f>+IFERROR(VLOOKUP($BR$2,Sheet1!AL12:AO12,3,0),0)</f>
        <v>0</v>
      </c>
      <c r="BS12" s="9">
        <f>+IFERROR(VLOOKUP($BS$2,Sheet1!AL12:AO12,3,0),0)</f>
        <v>0</v>
      </c>
      <c r="BT12" s="9">
        <f>+IFERROR(VLOOKUP($BT$2,Sheet1!AL12:AO12,3,0),0)</f>
        <v>0</v>
      </c>
      <c r="BU12" s="9">
        <f>+IFERROR(VLOOKUP($BU$2,Sheet1!AL12:AO12,3,0),0)</f>
        <v>0</v>
      </c>
      <c r="BV12" s="9">
        <f>+IFERROR(VLOOKUP($BV$2,Sheet1!AL12:AO12,3,0),0)</f>
        <v>0</v>
      </c>
      <c r="BW12" s="9">
        <f>+IFERROR(VLOOKUP($BW$2,Sheet1!AL12:AO12,3,0),0)</f>
        <v>0</v>
      </c>
      <c r="BX12" s="40">
        <f>+IFERROR(VLOOKUP($BX$2,Sheet1!AP12:AS12,3,0),0)</f>
        <v>0</v>
      </c>
      <c r="BY12" s="43">
        <f>+IFERROR(VLOOKUP($BY$2,Sheet1!AT12:AW12,3,0),0)</f>
        <v>0</v>
      </c>
      <c r="BZ12" s="44">
        <f>+IFERROR(VLOOKUP($BZ$2,Sheet1!AX12:BA12,3,0),0)</f>
        <v>0</v>
      </c>
      <c r="CA12" s="46">
        <f>+IFERROR(VLOOKUP($CA$2,Sheet1!BB12:BE12,3,0),0)</f>
        <v>0</v>
      </c>
      <c r="CB12" s="48">
        <f>+IFERROR(VLOOKUP($CB$2,Sheet1!BF12:BI12,3,0),0)</f>
        <v>0</v>
      </c>
      <c r="CC12" s="49">
        <f>+IFERROR(VLOOKUP($CC$2,Sheet1!BJ12:BM12,3,0),0)</f>
        <v>0</v>
      </c>
      <c r="CD12" s="50">
        <f>+IFERROR(VLOOKUP($CD$2,Sheet1!BN12:BQ12,3,0),0)</f>
        <v>0</v>
      </c>
      <c r="CE12" s="38">
        <f>+IFERROR(VLOOKUP($CE$2,Sheet1!BR12:BU12,3,0),0)</f>
        <v>0</v>
      </c>
      <c r="CF12" s="44">
        <f>+IFERROR(VLOOKUP($CF$2,Sheet1!BV12:BY12,3,0),0)</f>
        <v>0</v>
      </c>
      <c r="CG12" s="67" t="s">
        <v>269</v>
      </c>
      <c r="CH12" s="68" t="s">
        <v>270</v>
      </c>
      <c r="CI12" s="68" t="s">
        <v>271</v>
      </c>
      <c r="CJ12" s="68">
        <v>500</v>
      </c>
      <c r="CK12" s="23">
        <f>13500/0.5</f>
        <v>27000</v>
      </c>
      <c r="CL12" s="23">
        <f t="shared" si="5"/>
        <v>596372</v>
      </c>
      <c r="CM12" s="24">
        <f>Sheet1!CB12</f>
        <v>0</v>
      </c>
      <c r="CN12" s="23">
        <f t="shared" si="6"/>
        <v>0</v>
      </c>
      <c r="CO12" s="95">
        <v>0.15</v>
      </c>
      <c r="CP12" s="23">
        <f t="shared" si="7"/>
        <v>89455.8</v>
      </c>
      <c r="CQ12" s="95">
        <v>0</v>
      </c>
      <c r="CR12" s="23">
        <f t="shared" si="8"/>
        <v>0</v>
      </c>
      <c r="CS12" s="23">
        <f t="shared" si="9"/>
        <v>685827.8</v>
      </c>
      <c r="CT12" s="95">
        <v>0.02</v>
      </c>
      <c r="CU12" s="112">
        <f t="shared" si="10"/>
        <v>13716.556</v>
      </c>
      <c r="CV12" s="95">
        <v>0.01</v>
      </c>
      <c r="CW12" s="112">
        <f t="shared" si="11"/>
        <v>6858.2780000000002</v>
      </c>
      <c r="CX12" s="95">
        <f>Sheet1!CM12</f>
        <v>0</v>
      </c>
      <c r="CY12" s="6">
        <f t="shared" si="12"/>
        <v>0</v>
      </c>
      <c r="DA12" s="22">
        <f>2549*1000</f>
        <v>2549000</v>
      </c>
      <c r="DC12" s="22">
        <f t="shared" si="17"/>
        <v>191175</v>
      </c>
      <c r="DD12" s="22">
        <f t="shared" si="18"/>
        <v>764700</v>
      </c>
      <c r="DE12" s="22">
        <f t="shared" si="15"/>
        <v>3504875</v>
      </c>
      <c r="DF12" s="113">
        <f t="shared" si="16"/>
        <v>79.845140440101275</v>
      </c>
    </row>
    <row r="13" spans="1:110" s="22" customFormat="1" ht="30" x14ac:dyDescent="0.25">
      <c r="A13" s="6" t="str">
        <f>Sheet1!A13</f>
        <v>ENQ-16887-25-26</v>
      </c>
      <c r="B13" s="87">
        <v>45902</v>
      </c>
      <c r="C13" s="6" t="str">
        <f>Sheet1!C13</f>
        <v>FA1100107</v>
      </c>
      <c r="D13" s="6" t="str">
        <f>Sheet1!D13</f>
        <v>3.5 CORE X 95 SQ. MM. AL/ARD - WIRE (XLPE)</v>
      </c>
      <c r="E13" s="23">
        <f t="shared" si="0"/>
        <v>485030.24450000003</v>
      </c>
      <c r="F13" s="108">
        <f t="shared" si="13"/>
        <v>10385</v>
      </c>
      <c r="G13" s="28">
        <f t="shared" si="1"/>
        <v>495415.24450000003</v>
      </c>
      <c r="H13" s="29">
        <f>Sheet1!CR13</f>
        <v>0.18</v>
      </c>
      <c r="I13" s="28">
        <f t="shared" si="2"/>
        <v>89174.744009999995</v>
      </c>
      <c r="J13" s="28">
        <f t="shared" si="3"/>
        <v>584589.98851000005</v>
      </c>
      <c r="K13" s="79">
        <f>Sheet1!CU13</f>
        <v>13</v>
      </c>
      <c r="L13" s="76" t="str">
        <f>Sheet1!CV13</f>
        <v>KMS</v>
      </c>
      <c r="M13" s="23">
        <f t="shared" si="4"/>
        <v>7599669.8506300002</v>
      </c>
      <c r="N13" s="71">
        <f>+IFERROR(VLOOKUP($N$2,Sheet1!J13:L13,3,0),0)</f>
        <v>904</v>
      </c>
      <c r="O13" s="71">
        <f>+IFERROR(VLOOKUP($O$2,Sheet1!J13:L13,3,0),0)</f>
        <v>0</v>
      </c>
      <c r="P13" s="71">
        <f>+IFERROR(VLOOKUP($P$2,Sheet1!J13:M13,3,0),0)</f>
        <v>0</v>
      </c>
      <c r="Q13" s="71">
        <f>+IFERROR(VLOOKUP($Q$2,Sheet1!J13:M13,3,0),0)</f>
        <v>0</v>
      </c>
      <c r="R13" s="71">
        <f>+IFERROR(VLOOKUP($R$2,Sheet1!J13:M13,3,0),0)</f>
        <v>0</v>
      </c>
      <c r="S13" s="71">
        <f>+IFERROR(VLOOKUP($S$2,Sheet1!J13:M13,3,0),0)</f>
        <v>0</v>
      </c>
      <c r="T13" s="71">
        <f>+IFERROR(VLOOKUP($T$2,Sheet1!J13:M13,3,0),0)</f>
        <v>0</v>
      </c>
      <c r="U13" s="71">
        <f>+IFERROR(VLOOKUP($U$2,Sheet1!J13:M13,3,0),0)</f>
        <v>0</v>
      </c>
      <c r="V13" s="72">
        <f>+IFERROR(VLOOKUP($V$2,Sheet1!N13:Q13,3,0),0)</f>
        <v>0</v>
      </c>
      <c r="W13" s="72">
        <f>+IFERROR(VLOOKUP($W$2,Sheet1!N13:Q13,3,0),0)</f>
        <v>0</v>
      </c>
      <c r="X13" s="73">
        <f>+IFERROR(VLOOKUP($X$2,Sheet1!F13:I13,3,0),0)</f>
        <v>0</v>
      </c>
      <c r="Y13" s="73">
        <f>+IFERROR(VLOOKUP($Y$2,Sheet1!F13:I13,3,0),0)</f>
        <v>0</v>
      </c>
      <c r="Z13" s="73">
        <f>+IFERROR(VLOOKUP($Z$2,Sheet1!F13:I13,3,0),0)</f>
        <v>0</v>
      </c>
      <c r="AA13" s="73">
        <f>+IFERROR(VLOOKUP($AA$2,Sheet1!F13:I13,3,0),0)</f>
        <v>0</v>
      </c>
      <c r="AB13" s="73">
        <f>+IFERROR(VLOOKUP($AB$2,Sheet1!F13:I13,3,0),0)</f>
        <v>0</v>
      </c>
      <c r="AC13" s="73">
        <f>+IFERROR(VLOOKUP($AC$2,Sheet1!F13:I13,3,0),0)</f>
        <v>0</v>
      </c>
      <c r="AD13" s="73">
        <f>+IFERROR(VLOOKUP($AD$2,Sheet1!F13:I13,3,0),0)</f>
        <v>0</v>
      </c>
      <c r="AE13" s="73">
        <f>+IFERROR(VLOOKUP($AE$2,Sheet1!F13:I13,3,0),0)</f>
        <v>0</v>
      </c>
      <c r="AF13" s="74">
        <f>+IFERROR(VLOOKUP($AF$2,Sheet1!R13:U13,3,0),0)</f>
        <v>0</v>
      </c>
      <c r="AG13" s="32">
        <f>+IFERROR(VLOOKUP($AG$2,Sheet1!R13:U13,3,0),0)</f>
        <v>0</v>
      </c>
      <c r="AH13" s="75">
        <f>+IFERROR(VLOOKUP($AH$2,Sheet1!V13:Y13,3,0),0)</f>
        <v>0</v>
      </c>
      <c r="AI13" s="33">
        <f>+IFERROR(VLOOKUP($AI$2,Sheet1!V13:Y13,3,0),0)</f>
        <v>157</v>
      </c>
      <c r="AJ13" s="33">
        <f>+IFERROR(VLOOKUP($AJ$2,Sheet1!V13:Y13,3,0),0)</f>
        <v>0</v>
      </c>
      <c r="AK13" s="33">
        <f>+IFERROR(VLOOKUP($AK$2,Sheet1!V13:Y13,3,0),0)</f>
        <v>0</v>
      </c>
      <c r="AL13" s="33">
        <f>+IFERROR(VLOOKUP($AL$2,Sheet1!V13:Y13,3,0),0)</f>
        <v>0</v>
      </c>
      <c r="AM13" s="33">
        <f>+IFERROR(VLOOKUP($AM$2,Sheet1!V13:Y13,3,0),0)</f>
        <v>0</v>
      </c>
      <c r="AN13" s="33">
        <f>+IFERROR(VLOOKUP($AN$2,Sheet1!V13:Y13,3,0),0)</f>
        <v>0</v>
      </c>
      <c r="AO13" s="33">
        <f>+IFERROR(VLOOKUP($AO$2,Sheet1!V13:Y13,3,0),0)</f>
        <v>0</v>
      </c>
      <c r="AP13" s="33">
        <f>+IFERROR(VLOOKUP($AP$2,Sheet1!V13:Y13,3,0),0)</f>
        <v>0</v>
      </c>
      <c r="AQ13" s="36">
        <f>+IFERROR(VLOOKUP($AQ$2,Sheet1!Z13:AB13,3,0),0)</f>
        <v>0</v>
      </c>
      <c r="AR13" s="37">
        <f>+IFERROR(VLOOKUP($AR$2,Sheet1!AD13:AG13,3,0),0)</f>
        <v>0</v>
      </c>
      <c r="AS13" s="37">
        <f>+IFERROR(VLOOKUP($AS$2,Sheet1!AD13:AG13,3,0),0)</f>
        <v>86</v>
      </c>
      <c r="AT13" s="37">
        <f>+IFERROR(VLOOKUP($AT$2,Sheet1!AD13:AG13,3,0),0)</f>
        <v>0</v>
      </c>
      <c r="AU13" s="37">
        <f>+IFERROR(VLOOKUP($AU$2,Sheet1!AD13:AG13,3,0),0)</f>
        <v>0</v>
      </c>
      <c r="AV13" s="37">
        <f>+IFERROR(VLOOKUP($AV$2,Sheet1!AD13:AG13,3,0),0)</f>
        <v>0</v>
      </c>
      <c r="AW13" s="37">
        <f>+IFERROR(VLOOKUP($AW$2,Sheet1!AD13:AG13,3,0),0)</f>
        <v>0</v>
      </c>
      <c r="AX13" s="37">
        <f>+IFERROR(VLOOKUP($AX$2,Sheet1!AD13:AG13,3,0),0)</f>
        <v>0</v>
      </c>
      <c r="AY13" s="37">
        <f>+IFERROR(VLOOKUP($AY$2,Sheet1!AD13:AG13,3,0),0)</f>
        <v>0</v>
      </c>
      <c r="AZ13" s="37">
        <f>+IFERROR(VLOOKUP($AZ$2,Sheet1!AD13:AG13,3,0),0)</f>
        <v>0</v>
      </c>
      <c r="BA13" s="36">
        <f>+IFERROR(VLOOKUP($BA$2,Sheet1!AH13:AK13,3,0),0)</f>
        <v>0</v>
      </c>
      <c r="BB13" s="36">
        <f>+IFERROR(VLOOKUP($BB$2,Sheet1!AH13:AK13,3,0),0)</f>
        <v>0</v>
      </c>
      <c r="BC13" s="36">
        <f>+IFERROR(VLOOKUP($BC$2,Sheet1!AH13:AK13,3,0),0)</f>
        <v>0</v>
      </c>
      <c r="BD13" s="36">
        <f>+IFERROR(VLOOKUP($BD$2,Sheet1!AH13:AK13,3,0),0)</f>
        <v>0</v>
      </c>
      <c r="BE13" s="36">
        <f>+IFERROR(VLOOKUP($BE$2,Sheet1!AH13:AK13,3,0),0)</f>
        <v>0</v>
      </c>
      <c r="BF13" s="36">
        <f>+IFERROR(VLOOKUP($BF$2,Sheet1!AH13:AK13,3,0),0)</f>
        <v>0</v>
      </c>
      <c r="BG13" s="36">
        <f>+IFERROR(VLOOKUP($BG$2,Sheet1!AH13:AK13,3,0),0)</f>
        <v>0</v>
      </c>
      <c r="BH13" s="36">
        <f>+IFERROR(VLOOKUP($BH$2,Sheet1!AH13:AK13,3,0),0)</f>
        <v>0</v>
      </c>
      <c r="BI13" s="36">
        <f>+IFERROR(VLOOKUP($BI$2,Sheet1!AH13:AK13,3,0),0)</f>
        <v>0</v>
      </c>
      <c r="BJ13" s="36">
        <f>+IFERROR(VLOOKUP($BJ$2,Sheet1!AH13:AK13,3,0),0)</f>
        <v>1060</v>
      </c>
      <c r="BK13" s="36">
        <f>+IFERROR(VLOOKUP($BK$2,Sheet1!AH13:AK13,3,0),0)</f>
        <v>0</v>
      </c>
      <c r="BL13" s="9">
        <f>+IFERROR(VLOOKUP($BL$2,Sheet1!AL13:AO13,3,0),0)</f>
        <v>0</v>
      </c>
      <c r="BM13" s="9">
        <f>+IFERROR(VLOOKUP($BM$2,Sheet1!AL13:AO13,3,0),0)</f>
        <v>0</v>
      </c>
      <c r="BN13" s="9">
        <f>+IFERROR(VLOOKUP($BN$2,Sheet1!AL13:AO13,3,0),0)</f>
        <v>0</v>
      </c>
      <c r="BO13" s="9">
        <f>+IFERROR(VLOOKUP($BO$2,Sheet1!AL13:AO13,3,0),0)</f>
        <v>328</v>
      </c>
      <c r="BP13" s="9">
        <f>+IFERROR(VLOOKUP($BP$2,Sheet1!AL13:AO13,3,0),0)</f>
        <v>0</v>
      </c>
      <c r="BQ13" s="9">
        <f>+IFERROR(VLOOKUP($BQ$2,Sheet1!AL13:AO13,3,0),0)</f>
        <v>0</v>
      </c>
      <c r="BR13" s="9">
        <f>+IFERROR(VLOOKUP($BR$2,Sheet1!AL13:AO13,3,0),0)</f>
        <v>0</v>
      </c>
      <c r="BS13" s="9">
        <f>+IFERROR(VLOOKUP($BS$2,Sheet1!AL13:AO13,3,0),0)</f>
        <v>0</v>
      </c>
      <c r="BT13" s="9">
        <f>+IFERROR(VLOOKUP($BT$2,Sheet1!AL13:AO13,3,0),0)</f>
        <v>0</v>
      </c>
      <c r="BU13" s="9">
        <f>+IFERROR(VLOOKUP($BU$2,Sheet1!AL13:AO13,3,0),0)</f>
        <v>0</v>
      </c>
      <c r="BV13" s="9">
        <f>+IFERROR(VLOOKUP($BV$2,Sheet1!AL13:AO13,3,0),0)</f>
        <v>0</v>
      </c>
      <c r="BW13" s="9">
        <f>+IFERROR(VLOOKUP($BW$2,Sheet1!AL13:AO13,3,0),0)</f>
        <v>0</v>
      </c>
      <c r="BX13" s="40">
        <f>+IFERROR(VLOOKUP($BX$2,Sheet1!AP13:AS13,3,0),0)</f>
        <v>0</v>
      </c>
      <c r="BY13" s="43">
        <f>+IFERROR(VLOOKUP($BY$2,Sheet1!AT13:AW13,3,0),0)</f>
        <v>0</v>
      </c>
      <c r="BZ13" s="44">
        <f>+IFERROR(VLOOKUP($BZ$2,Sheet1!AX13:BA13,3,0),0)</f>
        <v>0</v>
      </c>
      <c r="CA13" s="46">
        <f>+IFERROR(VLOOKUP($CA$2,Sheet1!BB13:BE13,3,0),0)</f>
        <v>0</v>
      </c>
      <c r="CB13" s="48">
        <f>+IFERROR(VLOOKUP($CB$2,Sheet1!BF13:BI13,3,0),0)</f>
        <v>0</v>
      </c>
      <c r="CC13" s="49">
        <f>+IFERROR(VLOOKUP($CC$2,Sheet1!BJ13:BM13,3,0),0)</f>
        <v>0</v>
      </c>
      <c r="CD13" s="50">
        <f>+IFERROR(VLOOKUP($CD$2,Sheet1!BN13:BQ13,3,0),0)</f>
        <v>0</v>
      </c>
      <c r="CE13" s="38">
        <f>+IFERROR(VLOOKUP($CE$2,Sheet1!BR13:BU13,3,0),0)</f>
        <v>0</v>
      </c>
      <c r="CF13" s="44">
        <f>+IFERROR(VLOOKUP($CF$2,Sheet1!BV13:BY13,3,0),0)</f>
        <v>0</v>
      </c>
      <c r="CG13" s="67" t="s">
        <v>269</v>
      </c>
      <c r="CH13" s="68" t="s">
        <v>285</v>
      </c>
      <c r="CI13" s="68" t="s">
        <v>286</v>
      </c>
      <c r="CJ13" s="68">
        <v>500</v>
      </c>
      <c r="CK13" s="23">
        <f>9000/0.5</f>
        <v>18000</v>
      </c>
      <c r="CL13" s="23">
        <f t="shared" si="5"/>
        <v>409481</v>
      </c>
      <c r="CM13" s="24">
        <f>Sheet1!CB13</f>
        <v>0</v>
      </c>
      <c r="CN13" s="23">
        <f t="shared" si="6"/>
        <v>0</v>
      </c>
      <c r="CO13" s="95">
        <v>0.15</v>
      </c>
      <c r="CP13" s="23">
        <f t="shared" si="7"/>
        <v>61422.149999999994</v>
      </c>
      <c r="CQ13" s="95">
        <v>0</v>
      </c>
      <c r="CR13" s="23">
        <f t="shared" si="8"/>
        <v>0</v>
      </c>
      <c r="CS13" s="23">
        <f t="shared" si="9"/>
        <v>470903.15</v>
      </c>
      <c r="CT13" s="95">
        <v>0.02</v>
      </c>
      <c r="CU13" s="112">
        <f t="shared" si="10"/>
        <v>9418.0630000000001</v>
      </c>
      <c r="CV13" s="95">
        <v>0.01</v>
      </c>
      <c r="CW13" s="112">
        <f t="shared" si="11"/>
        <v>4709.0315000000001</v>
      </c>
      <c r="CX13" s="95">
        <f>Sheet1!CM13</f>
        <v>0</v>
      </c>
      <c r="CY13" s="6">
        <f t="shared" si="12"/>
        <v>0</v>
      </c>
      <c r="DA13" s="22">
        <f>1717*1000</f>
        <v>1717000</v>
      </c>
      <c r="DC13" s="22">
        <f t="shared" si="17"/>
        <v>128775</v>
      </c>
      <c r="DD13" s="22">
        <f t="shared" si="18"/>
        <v>515100</v>
      </c>
      <c r="DE13" s="22">
        <f t="shared" si="15"/>
        <v>2360875</v>
      </c>
      <c r="DF13" s="113">
        <f t="shared" si="16"/>
        <v>79.455488134695813</v>
      </c>
    </row>
    <row r="14" spans="1:110" s="22" customFormat="1" ht="30" x14ac:dyDescent="0.25">
      <c r="A14" s="6" t="str">
        <f>Sheet1!A7</f>
        <v>ENQ-16887-25-26</v>
      </c>
      <c r="B14" s="87">
        <v>45902</v>
      </c>
      <c r="C14" s="6" t="str">
        <f>Sheet1!C7</f>
        <v>FA0700008</v>
      </c>
      <c r="D14" s="6" t="str">
        <f>Sheet1!D7</f>
        <v>1 CORE X 300 SQ. MM. AL/ARD. (XLPE)</v>
      </c>
      <c r="E14" s="23">
        <f t="shared" si="0"/>
        <v>509420.28399999999</v>
      </c>
      <c r="F14" s="108">
        <f t="shared" si="13"/>
        <v>12858</v>
      </c>
      <c r="G14" s="28">
        <f t="shared" si="1"/>
        <v>522278.28399999999</v>
      </c>
      <c r="H14" s="29">
        <f>Sheet1!CR7</f>
        <v>0.18</v>
      </c>
      <c r="I14" s="28">
        <f t="shared" si="2"/>
        <v>94010.091119999997</v>
      </c>
      <c r="J14" s="28">
        <f t="shared" si="3"/>
        <v>616288.37511999998</v>
      </c>
      <c r="K14" s="79">
        <f>Sheet1!CU7</f>
        <v>7</v>
      </c>
      <c r="L14" s="76" t="str">
        <f>Sheet1!CV7</f>
        <v>KMS</v>
      </c>
      <c r="M14" s="23">
        <f t="shared" si="4"/>
        <v>4314018.6258399999</v>
      </c>
      <c r="N14" s="71">
        <f>+IFERROR(VLOOKUP($N$2,Sheet1!J7:L7,3,0),0)</f>
        <v>810</v>
      </c>
      <c r="O14" s="71">
        <f>+IFERROR(VLOOKUP($O$2,Sheet1!J7:L7,3,0),0)</f>
        <v>0</v>
      </c>
      <c r="P14" s="71">
        <f>+IFERROR(VLOOKUP($P$2,Sheet1!J7:M7,3,0),0)</f>
        <v>0</v>
      </c>
      <c r="Q14" s="71">
        <f>+IFERROR(VLOOKUP($Q$2,Sheet1!J7:M7,3,0),0)</f>
        <v>0</v>
      </c>
      <c r="R14" s="71">
        <f>+IFERROR(VLOOKUP($R$2,Sheet1!J7:M7,3,0),0)</f>
        <v>0</v>
      </c>
      <c r="S14" s="71">
        <f>+IFERROR(VLOOKUP($S$2,Sheet1!J7:M7,3,0),0)</f>
        <v>0</v>
      </c>
      <c r="T14" s="71">
        <f>+IFERROR(VLOOKUP($T$2,Sheet1!J7:M7,3,0),0)</f>
        <v>0</v>
      </c>
      <c r="U14" s="71">
        <f>+IFERROR(VLOOKUP($U$2,Sheet1!J7:M7,3,0),0)</f>
        <v>0</v>
      </c>
      <c r="V14" s="72">
        <f>+IFERROR(VLOOKUP($V$2,Sheet1!N7:Q7,3,0),0)</f>
        <v>0</v>
      </c>
      <c r="W14" s="72">
        <f>+IFERROR(VLOOKUP($W$2,Sheet1!N7:Q7,3,0),0)</f>
        <v>0</v>
      </c>
      <c r="X14" s="73">
        <f>+IFERROR(VLOOKUP($X$2,Sheet1!F7:I7,3,0),0)</f>
        <v>0</v>
      </c>
      <c r="Y14" s="73">
        <f>+IFERROR(VLOOKUP($Y$2,Sheet1!F7:I7,3,0),0)</f>
        <v>0</v>
      </c>
      <c r="Z14" s="73">
        <f>+IFERROR(VLOOKUP($Z$2,Sheet1!F7:I7,3,0),0)</f>
        <v>0</v>
      </c>
      <c r="AA14" s="73">
        <f>+IFERROR(VLOOKUP($AA$2,Sheet1!F7:I7,3,0),0)</f>
        <v>0</v>
      </c>
      <c r="AB14" s="73">
        <f>+IFERROR(VLOOKUP($AB$2,Sheet1!F7:I7,3,0),0)</f>
        <v>0</v>
      </c>
      <c r="AC14" s="73">
        <f>+IFERROR(VLOOKUP($AC$2,Sheet1!F7:I7,3,0),0)</f>
        <v>0</v>
      </c>
      <c r="AD14" s="73">
        <f>+IFERROR(VLOOKUP($AD$2,Sheet1!F7:I7,3,0),0)</f>
        <v>0</v>
      </c>
      <c r="AE14" s="73">
        <f>+IFERROR(VLOOKUP($AE$2,Sheet1!F7:I7,3,0),0)</f>
        <v>0</v>
      </c>
      <c r="AF14" s="74">
        <f>+IFERROR(VLOOKUP($AF$2,Sheet1!R7:U7,3,0),0)</f>
        <v>0</v>
      </c>
      <c r="AG14" s="32">
        <f>+IFERROR(VLOOKUP($AG$2,Sheet1!R7:U7,3,0),0)</f>
        <v>0</v>
      </c>
      <c r="AH14" s="75">
        <f>+IFERROR(VLOOKUP($AH$2,Sheet1!V7:Y7,3,0),0)</f>
        <v>0</v>
      </c>
      <c r="AI14" s="33">
        <f>+IFERROR(VLOOKUP($AI$2,Sheet1!V7:Y7,3,0),0)</f>
        <v>154</v>
      </c>
      <c r="AJ14" s="33">
        <f>+IFERROR(VLOOKUP($AJ$2,Sheet1!V7:Y7,3,0),0)</f>
        <v>0</v>
      </c>
      <c r="AK14" s="33">
        <f>+IFERROR(VLOOKUP($AK$2,Sheet1!V7:Y7,3,0),0)</f>
        <v>0</v>
      </c>
      <c r="AL14" s="33">
        <f>+IFERROR(VLOOKUP($AL$2,Sheet1!V7:Y7,3,0),0)</f>
        <v>0</v>
      </c>
      <c r="AM14" s="33">
        <f>+IFERROR(VLOOKUP($AM$2,Sheet1!V7:Y7,3,0),0)</f>
        <v>0</v>
      </c>
      <c r="AN14" s="33">
        <f>+IFERROR(VLOOKUP($AN$2,Sheet1!V7:Y7,3,0),0)</f>
        <v>0</v>
      </c>
      <c r="AO14" s="33">
        <f>+IFERROR(VLOOKUP($AO$2,Sheet1!V7:Y7,3,0),0)</f>
        <v>0</v>
      </c>
      <c r="AP14" s="33">
        <f>+IFERROR(VLOOKUP($AP$2,Sheet1!V7:Y7,3,0),0)</f>
        <v>0</v>
      </c>
      <c r="AQ14" s="36">
        <f>+IFERROR(VLOOKUP($AQ$2,Sheet1!Z7:AB7,3,0),0)</f>
        <v>0</v>
      </c>
      <c r="AR14" s="37">
        <f>+IFERROR(VLOOKUP($AR$2,Sheet1!AD7:AG7,3,0),0)</f>
        <v>0</v>
      </c>
      <c r="AS14" s="37">
        <f>+IFERROR(VLOOKUP($AS$2,Sheet1!AD7:AG7,3,0),0)</f>
        <v>0</v>
      </c>
      <c r="AT14" s="37">
        <f>+IFERROR(VLOOKUP($AT$2,Sheet1!AD7:AG7,3,0),0)</f>
        <v>0</v>
      </c>
      <c r="AU14" s="37">
        <f>+IFERROR(VLOOKUP($AU$2,Sheet1!AD7:AG7,3,0),0)</f>
        <v>0</v>
      </c>
      <c r="AV14" s="37">
        <f>+IFERROR(VLOOKUP($AV$2,Sheet1!AD7:AG7,3,0),0)</f>
        <v>0</v>
      </c>
      <c r="AW14" s="37">
        <f>+IFERROR(VLOOKUP($AW$2,Sheet1!AD7:AG7,3,0),0)</f>
        <v>0</v>
      </c>
      <c r="AX14" s="37">
        <f>+IFERROR(VLOOKUP($AX$2,Sheet1!AD7:AG7,3,0),0)</f>
        <v>0</v>
      </c>
      <c r="AY14" s="37">
        <f>+IFERROR(VLOOKUP($AY$2,Sheet1!AD7:AG7,3,0),0)</f>
        <v>0</v>
      </c>
      <c r="AZ14" s="37">
        <f>+IFERROR(VLOOKUP($AZ$2,Sheet1!AD7:AG7,3,0),0)</f>
        <v>0</v>
      </c>
      <c r="BA14" s="36">
        <f>+IFERROR(VLOOKUP($BA$2,Sheet1!AH7:AK7,3,0),0)</f>
        <v>0</v>
      </c>
      <c r="BB14" s="36">
        <f>+IFERROR(VLOOKUP($BB$2,Sheet1!AH7:AK7,3,0),0)</f>
        <v>0</v>
      </c>
      <c r="BC14" s="36">
        <f>+IFERROR(VLOOKUP($BC$2,Sheet1!AH7:AK7,3,0),0)</f>
        <v>0</v>
      </c>
      <c r="BD14" s="100">
        <v>526</v>
      </c>
      <c r="BE14" s="36">
        <f>+IFERROR(VLOOKUP($BE$2,Sheet1!AH7:AK7,3,0),0)</f>
        <v>0</v>
      </c>
      <c r="BF14" s="36">
        <f>+IFERROR(VLOOKUP($BF$2,Sheet1!AH7:AK7,3,0),0)</f>
        <v>0</v>
      </c>
      <c r="BG14" s="36">
        <f>+IFERROR(VLOOKUP($BG$2,Sheet1!AH7:AK7,3,0),0)</f>
        <v>0</v>
      </c>
      <c r="BH14" s="36">
        <f>+IFERROR(VLOOKUP($BH$2,Sheet1!AH7:AK7,3,0),0)</f>
        <v>0</v>
      </c>
      <c r="BI14" s="36">
        <f>+IFERROR(VLOOKUP($BI$2,Sheet1!AH7:AK7,3,0),0)</f>
        <v>0</v>
      </c>
      <c r="BJ14" s="36">
        <f>+IFERROR(VLOOKUP($BJ$2,Sheet1!AH7:AK7,3,0),0)</f>
        <v>0</v>
      </c>
      <c r="BK14" s="36">
        <f>+IFERROR(VLOOKUP($BK$2,Sheet1!AH7:AK7,3,0),0)</f>
        <v>0</v>
      </c>
      <c r="BL14" s="9">
        <f>+IFERROR(VLOOKUP($BL$2,Sheet1!AL7:AO7,3,0),0)</f>
        <v>0</v>
      </c>
      <c r="BM14" s="9">
        <f>+IFERROR(VLOOKUP($BM$2,Sheet1!AL7:AO7,3,0),0)</f>
        <v>0</v>
      </c>
      <c r="BN14" s="9">
        <f>+IFERROR(VLOOKUP($BN$2,Sheet1!AL7:AO7,3,0),0)</f>
        <v>0</v>
      </c>
      <c r="BO14" s="99">
        <v>268</v>
      </c>
      <c r="BP14" s="9">
        <f>+IFERROR(VLOOKUP($BP$2,Sheet1!AL7:AO7,3,0),0)</f>
        <v>0</v>
      </c>
      <c r="BQ14" s="9">
        <f>+IFERROR(VLOOKUP($BQ$2,Sheet1!AL7:AO7,3,0),0)</f>
        <v>0</v>
      </c>
      <c r="BR14" s="9">
        <f>+IFERROR(VLOOKUP($BR$2,Sheet1!AL7:AO7,3,0),0)</f>
        <v>0</v>
      </c>
      <c r="BS14" s="9">
        <f>+IFERROR(VLOOKUP($BS$2,Sheet1!AL7:AO7,3,0),0)</f>
        <v>0</v>
      </c>
      <c r="BT14" s="9">
        <f>+IFERROR(VLOOKUP($BT$2,Sheet1!AL7:AO7,3,0),0)</f>
        <v>0</v>
      </c>
      <c r="BU14" s="9">
        <f>+IFERROR(VLOOKUP($BU$2,Sheet1!AL7:AO7,3,0),0)</f>
        <v>0</v>
      </c>
      <c r="BV14" s="9">
        <f>+IFERROR(VLOOKUP($BV$2,Sheet1!AL7:AO7,3,0),0)</f>
        <v>0</v>
      </c>
      <c r="BW14" s="9">
        <f>+IFERROR(VLOOKUP($BW$2,Sheet1!AL7:AO7,3,0),0)</f>
        <v>0</v>
      </c>
      <c r="BX14" s="40">
        <f>+IFERROR(VLOOKUP($BX$2,Sheet1!AP7:AS7,3,0),0)</f>
        <v>0</v>
      </c>
      <c r="BY14" s="43">
        <f>+IFERROR(VLOOKUP($BY$2,Sheet1!AT7:AW7,3,0),0)</f>
        <v>0</v>
      </c>
      <c r="BZ14" s="44">
        <f>+IFERROR(VLOOKUP($BZ$2,Sheet1!AX7:BA7,3,0),0)</f>
        <v>0</v>
      </c>
      <c r="CA14" s="46">
        <f>+IFERROR(VLOOKUP($CA$2,Sheet1!BB7:BE7,3,0),0)</f>
        <v>0</v>
      </c>
      <c r="CB14" s="48">
        <f>+IFERROR(VLOOKUP($CB$2,Sheet1!BF7:BI7,3,0),0)</f>
        <v>0</v>
      </c>
      <c r="CC14" s="49">
        <f>+IFERROR(VLOOKUP($CC$2,Sheet1!BJ7:BM7,3,0),0)</f>
        <v>0</v>
      </c>
      <c r="CD14" s="50">
        <f>+IFERROR(VLOOKUP($CD$2,Sheet1!BN7:BQ7,3,0),0)</f>
        <v>0</v>
      </c>
      <c r="CE14" s="38">
        <f>+IFERROR(VLOOKUP($CE$2,Sheet1!BR7:BU7,3,0),0)</f>
        <v>0</v>
      </c>
      <c r="CF14" s="44">
        <f>+IFERROR(VLOOKUP($CF$2,Sheet1!BV7:BY7,3,0),0)</f>
        <v>0</v>
      </c>
      <c r="CG14" s="67" t="s">
        <v>269</v>
      </c>
      <c r="CH14" s="68" t="s">
        <v>281</v>
      </c>
      <c r="CI14" s="68" t="s">
        <v>282</v>
      </c>
      <c r="CJ14" s="68">
        <v>500</v>
      </c>
      <c r="CK14" s="23">
        <f>9000/0.5</f>
        <v>18000</v>
      </c>
      <c r="CL14" s="23">
        <f t="shared" si="5"/>
        <v>430072</v>
      </c>
      <c r="CM14" s="24">
        <f>Sheet1!CB7</f>
        <v>0</v>
      </c>
      <c r="CN14" s="23">
        <f t="shared" si="6"/>
        <v>0</v>
      </c>
      <c r="CO14" s="95">
        <v>0.15</v>
      </c>
      <c r="CP14" s="23">
        <f t="shared" si="7"/>
        <v>64510.799999999996</v>
      </c>
      <c r="CQ14" s="95">
        <v>0</v>
      </c>
      <c r="CR14" s="23">
        <f t="shared" si="8"/>
        <v>0</v>
      </c>
      <c r="CS14" s="23">
        <f t="shared" si="9"/>
        <v>494582.8</v>
      </c>
      <c r="CT14" s="95">
        <v>0.02</v>
      </c>
      <c r="CU14" s="112">
        <f t="shared" si="10"/>
        <v>9891.6560000000009</v>
      </c>
      <c r="CV14" s="95">
        <v>0.01</v>
      </c>
      <c r="CW14" s="112">
        <f t="shared" si="11"/>
        <v>4945.8280000000004</v>
      </c>
      <c r="CX14" s="95">
        <f>Sheet1!CM7</f>
        <v>0</v>
      </c>
      <c r="CY14" s="6">
        <f t="shared" si="12"/>
        <v>0</v>
      </c>
      <c r="DA14" s="22">
        <f>1665*1000</f>
        <v>1665000</v>
      </c>
      <c r="DC14" s="22">
        <f t="shared" si="17"/>
        <v>124875</v>
      </c>
      <c r="DD14" s="22">
        <f t="shared" ref="DD14:DD15" si="19">DA14*30%</f>
        <v>499500</v>
      </c>
      <c r="DE14" s="22">
        <f t="shared" si="15"/>
        <v>2289375</v>
      </c>
      <c r="DF14" s="113">
        <f t="shared" si="16"/>
        <v>77.748499743379739</v>
      </c>
    </row>
    <row r="15" spans="1:110" s="22" customFormat="1" ht="30.75" thickBot="1" x14ac:dyDescent="0.3">
      <c r="A15" s="6" t="str">
        <f>Sheet1!A8</f>
        <v>ENQ-16887-25-26</v>
      </c>
      <c r="B15" s="87">
        <v>45902</v>
      </c>
      <c r="C15" s="6" t="str">
        <f>Sheet1!C8</f>
        <v>FA0700009</v>
      </c>
      <c r="D15" s="6" t="str">
        <f>Sheet1!D8</f>
        <v>1 CORE X 150 SQ. MM. ALU/ARD (XLPE)</v>
      </c>
      <c r="E15" s="23">
        <f t="shared" si="0"/>
        <v>245615.55100000001</v>
      </c>
      <c r="F15" s="108">
        <f t="shared" si="13"/>
        <v>4500</v>
      </c>
      <c r="G15" s="28">
        <f t="shared" si="1"/>
        <v>250115.55100000001</v>
      </c>
      <c r="H15" s="29">
        <f>Sheet1!CR8</f>
        <v>0.18</v>
      </c>
      <c r="I15" s="28">
        <f t="shared" si="2"/>
        <v>45020.799180000002</v>
      </c>
      <c r="J15" s="28">
        <f t="shared" si="3"/>
        <v>295136.35018000001</v>
      </c>
      <c r="K15" s="79">
        <f>Sheet1!CU8</f>
        <v>10</v>
      </c>
      <c r="L15" s="76" t="str">
        <f>Sheet1!CV8</f>
        <v>KMS</v>
      </c>
      <c r="M15" s="23">
        <f t="shared" si="4"/>
        <v>2951363.5018000002</v>
      </c>
      <c r="N15" s="71">
        <f>+IFERROR(VLOOKUP($N$2,Sheet1!J8:L8,3,0),0)</f>
        <v>405</v>
      </c>
      <c r="O15" s="71">
        <f>+IFERROR(VLOOKUP($O$2,Sheet1!J8:L8,3,0),0)</f>
        <v>0</v>
      </c>
      <c r="P15" s="71">
        <f>+IFERROR(VLOOKUP($P$2,Sheet1!J8:M8,3,0),0)</f>
        <v>0</v>
      </c>
      <c r="Q15" s="71">
        <f>+IFERROR(VLOOKUP($Q$2,Sheet1!J8:M8,3,0),0)</f>
        <v>0</v>
      </c>
      <c r="R15" s="71">
        <f>+IFERROR(VLOOKUP($R$2,Sheet1!J8:M8,3,0),0)</f>
        <v>0</v>
      </c>
      <c r="S15" s="71">
        <f>+IFERROR(VLOOKUP($S$2,Sheet1!J8:M8,3,0),0)</f>
        <v>0</v>
      </c>
      <c r="T15" s="71">
        <f>+IFERROR(VLOOKUP($T$2,Sheet1!J8:M8,3,0),0)</f>
        <v>0</v>
      </c>
      <c r="U15" s="71">
        <f>+IFERROR(VLOOKUP($U$2,Sheet1!J8:M8,3,0),0)</f>
        <v>0</v>
      </c>
      <c r="V15" s="72">
        <f>+IFERROR(VLOOKUP($V$2,Sheet1!N8:Q8,3,0),0)</f>
        <v>0</v>
      </c>
      <c r="W15" s="72">
        <f>+IFERROR(VLOOKUP($W$2,Sheet1!N8:Q8,3,0),0)</f>
        <v>0</v>
      </c>
      <c r="X15" s="73">
        <f>+IFERROR(VLOOKUP($X$2,Sheet1!F8:I8,3,0),0)</f>
        <v>0</v>
      </c>
      <c r="Y15" s="73">
        <f>+IFERROR(VLOOKUP($Y$2,Sheet1!F8:I8,3,0),0)</f>
        <v>0</v>
      </c>
      <c r="Z15" s="73">
        <f>+IFERROR(VLOOKUP($Z$2,Sheet1!F8:I8,3,0),0)</f>
        <v>0</v>
      </c>
      <c r="AA15" s="73">
        <f>+IFERROR(VLOOKUP($AA$2,Sheet1!F8:I8,3,0),0)</f>
        <v>0</v>
      </c>
      <c r="AB15" s="73">
        <f>+IFERROR(VLOOKUP($AB$2,Sheet1!F8:I8,3,0),0)</f>
        <v>0</v>
      </c>
      <c r="AC15" s="73">
        <f>+IFERROR(VLOOKUP($AC$2,Sheet1!F8:I8,3,0),0)</f>
        <v>0</v>
      </c>
      <c r="AD15" s="73">
        <f>+IFERROR(VLOOKUP($AD$2,Sheet1!F8:I8,3,0),0)</f>
        <v>0</v>
      </c>
      <c r="AE15" s="73">
        <f>+IFERROR(VLOOKUP($AE$2,Sheet1!F8:I8,3,0),0)</f>
        <v>0</v>
      </c>
      <c r="AF15" s="74">
        <f>+IFERROR(VLOOKUP($AF$2,Sheet1!R8:U8,3,0),0)</f>
        <v>0</v>
      </c>
      <c r="AG15" s="32">
        <f>+IFERROR(VLOOKUP($AG$2,Sheet1!R8:U8,3,0),0)</f>
        <v>0</v>
      </c>
      <c r="AH15" s="75">
        <f>+IFERROR(VLOOKUP($AH$2,Sheet1!V8:Y8,3,0),0)</f>
        <v>0</v>
      </c>
      <c r="AI15" s="33">
        <f>+IFERROR(VLOOKUP($AI$2,Sheet1!V8:Y8,3,0),0)</f>
        <v>93</v>
      </c>
      <c r="AJ15" s="33">
        <f>+IFERROR(VLOOKUP($AJ$2,Sheet1!V8:Y8,3,0),0)</f>
        <v>0</v>
      </c>
      <c r="AK15" s="33">
        <f>+IFERROR(VLOOKUP($AK$2,Sheet1!V8:Y8,3,0),0)</f>
        <v>0</v>
      </c>
      <c r="AL15" s="33">
        <f>+IFERROR(VLOOKUP($AL$2,Sheet1!V8:Y8,3,0),0)</f>
        <v>0</v>
      </c>
      <c r="AM15" s="33">
        <f>+IFERROR(VLOOKUP($AM$2,Sheet1!V8:Y8,3,0),0)</f>
        <v>0</v>
      </c>
      <c r="AN15" s="33">
        <f>+IFERROR(VLOOKUP($AN$2,Sheet1!V8:Y8,3,0),0)</f>
        <v>0</v>
      </c>
      <c r="AO15" s="33">
        <f>+IFERROR(VLOOKUP($AO$2,Sheet1!V8:Y8,3,0),0)</f>
        <v>0</v>
      </c>
      <c r="AP15" s="33">
        <f>+IFERROR(VLOOKUP($AP$2,Sheet1!V8:Y8,3,0),0)</f>
        <v>0</v>
      </c>
      <c r="AQ15" s="36">
        <f>+IFERROR(VLOOKUP($AQ$2,Sheet1!Z8:AB8,3,0),0)</f>
        <v>0</v>
      </c>
      <c r="AR15" s="37">
        <f>+IFERROR(VLOOKUP($AR$2,Sheet1!AD8:AG8,3,0),0)</f>
        <v>0</v>
      </c>
      <c r="AS15" s="37">
        <f>+IFERROR(VLOOKUP($AS$2,Sheet1!AD8:AG8,3,0),0)</f>
        <v>0</v>
      </c>
      <c r="AT15" s="37">
        <f>+IFERROR(VLOOKUP($AT$2,Sheet1!AD8:AG8,3,0),0)</f>
        <v>0</v>
      </c>
      <c r="AU15" s="37">
        <f>+IFERROR(VLOOKUP($AU$2,Sheet1!AD8:AG8,3,0),0)</f>
        <v>0</v>
      </c>
      <c r="AV15" s="37">
        <f>+IFERROR(VLOOKUP($AV$2,Sheet1!AD8:AG8,3,0),0)</f>
        <v>0</v>
      </c>
      <c r="AW15" s="37">
        <f>+IFERROR(VLOOKUP($AW$2,Sheet1!AD8:AG8,3,0),0)</f>
        <v>0</v>
      </c>
      <c r="AX15" s="37">
        <f>+IFERROR(VLOOKUP($AX$2,Sheet1!AD8:AG8,3,0),0)</f>
        <v>0</v>
      </c>
      <c r="AY15" s="37">
        <f>+IFERROR(VLOOKUP($AY$2,Sheet1!AD8:AG8,3,0),0)</f>
        <v>0</v>
      </c>
      <c r="AZ15" s="37">
        <f>+IFERROR(VLOOKUP($AZ$2,Sheet1!AD8:AG8,3,0),0)</f>
        <v>0</v>
      </c>
      <c r="BA15" s="36">
        <f>+IFERROR(VLOOKUP($BA$2,Sheet1!AH8:AK8,3,0),0)</f>
        <v>0</v>
      </c>
      <c r="BB15" s="36">
        <f>+IFERROR(VLOOKUP($BB$2,Sheet1!AH8:AK8,3,0),0)</f>
        <v>0</v>
      </c>
      <c r="BC15" s="36">
        <f>+IFERROR(VLOOKUP($BC$2,Sheet1!AH8:AK8,3,0),0)</f>
        <v>0</v>
      </c>
      <c r="BD15" s="36">
        <f>+IFERROR(VLOOKUP($BD$2,Sheet1!AH8:AK8,3,0),0)</f>
        <v>175</v>
      </c>
      <c r="BE15" s="36">
        <f>+IFERROR(VLOOKUP($BE$2,Sheet1!AH8:AK8,3,0),0)</f>
        <v>0</v>
      </c>
      <c r="BF15" s="36">
        <f>+IFERROR(VLOOKUP($BF$2,Sheet1!AH8:AK8,3,0),0)</f>
        <v>0</v>
      </c>
      <c r="BG15" s="36">
        <f>+IFERROR(VLOOKUP($BG$2,Sheet1!AH8:AK8,3,0),0)</f>
        <v>0</v>
      </c>
      <c r="BH15" s="36">
        <f>+IFERROR(VLOOKUP($BH$2,Sheet1!AH8:AK8,3,0),0)</f>
        <v>0</v>
      </c>
      <c r="BI15" s="36">
        <f>+IFERROR(VLOOKUP($BI$2,Sheet1!AH8:AK8,3,0),0)</f>
        <v>0</v>
      </c>
      <c r="BJ15" s="36">
        <f>+IFERROR(VLOOKUP($BJ$2,Sheet1!AH8:AK8,3,0),0)</f>
        <v>0</v>
      </c>
      <c r="BK15" s="36">
        <f>+IFERROR(VLOOKUP($BK$2,Sheet1!AH8:AK8,3,0),0)</f>
        <v>0</v>
      </c>
      <c r="BL15" s="9">
        <f>+IFERROR(VLOOKUP($BL$2,Sheet1!AL8:AO8,3,0),0)</f>
        <v>0</v>
      </c>
      <c r="BM15" s="9">
        <f>+IFERROR(VLOOKUP($BM$2,Sheet1!AL8:AO8,3,0),0)</f>
        <v>0</v>
      </c>
      <c r="BN15" s="9">
        <f>+IFERROR(VLOOKUP($BN$2,Sheet1!AL8:AO8,3,0),0)</f>
        <v>0</v>
      </c>
      <c r="BO15" s="9">
        <f>+IFERROR(VLOOKUP($BO$2,Sheet1!AL8:AO8,3,0),0)</f>
        <v>180</v>
      </c>
      <c r="BP15" s="9">
        <f>+IFERROR(VLOOKUP($BP$2,Sheet1!AL8:AO8,3,0),0)</f>
        <v>0</v>
      </c>
      <c r="BQ15" s="9">
        <f>+IFERROR(VLOOKUP($BQ$2,Sheet1!AL8:AO8,3,0),0)</f>
        <v>0</v>
      </c>
      <c r="BR15" s="9">
        <f>+IFERROR(VLOOKUP($BR$2,Sheet1!AL8:AO8,3,0),0)</f>
        <v>0</v>
      </c>
      <c r="BS15" s="9">
        <f>+IFERROR(VLOOKUP($BS$2,Sheet1!AL8:AO8,3,0),0)</f>
        <v>0</v>
      </c>
      <c r="BT15" s="9">
        <f>+IFERROR(VLOOKUP($BT$2,Sheet1!AL8:AO8,3,0),0)</f>
        <v>0</v>
      </c>
      <c r="BU15" s="9">
        <f>+IFERROR(VLOOKUP($BU$2,Sheet1!AL8:AO8,3,0),0)</f>
        <v>0</v>
      </c>
      <c r="BV15" s="9">
        <f>+IFERROR(VLOOKUP($BV$2,Sheet1!AL8:AO8,3,0),0)</f>
        <v>0</v>
      </c>
      <c r="BW15" s="9">
        <f>+IFERROR(VLOOKUP($BW$2,Sheet1!AL8:AO8,3,0),0)</f>
        <v>0</v>
      </c>
      <c r="BX15" s="40">
        <f>+IFERROR(VLOOKUP($BX$2,Sheet1!AP8:AS8,3,0),0)</f>
        <v>0</v>
      </c>
      <c r="BY15" s="43">
        <f>+IFERROR(VLOOKUP($BY$2,Sheet1!AT8:AW8,3,0),0)</f>
        <v>0</v>
      </c>
      <c r="BZ15" s="44">
        <f>+IFERROR(VLOOKUP($BZ$2,Sheet1!AX8:BA8,3,0),0)</f>
        <v>0</v>
      </c>
      <c r="CA15" s="46">
        <f>+IFERROR(VLOOKUP($CA$2,Sheet1!BB8:BE8,3,0),0)</f>
        <v>0</v>
      </c>
      <c r="CB15" s="48">
        <f>+IFERROR(VLOOKUP($CB$2,Sheet1!BF8:BI8,3,0),0)</f>
        <v>0</v>
      </c>
      <c r="CC15" s="49">
        <f>+IFERROR(VLOOKUP($CC$2,Sheet1!BJ8:BM8,3,0),0)</f>
        <v>0</v>
      </c>
      <c r="CD15" s="50">
        <f>+IFERROR(VLOOKUP($CD$2,Sheet1!BN8:BQ8,3,0),0)</f>
        <v>0</v>
      </c>
      <c r="CE15" s="38">
        <f>+IFERROR(VLOOKUP($CE$2,Sheet1!BR8:BU8,3,0),0)</f>
        <v>0</v>
      </c>
      <c r="CF15" s="44">
        <f>+IFERROR(VLOOKUP($CF$2,Sheet1!BV8:BY8,3,0),0)</f>
        <v>0</v>
      </c>
      <c r="CG15" s="67" t="s">
        <v>269</v>
      </c>
      <c r="CH15" s="68" t="s">
        <v>279</v>
      </c>
      <c r="CI15" s="68" t="s">
        <v>280</v>
      </c>
      <c r="CJ15" s="68">
        <v>500</v>
      </c>
      <c r="CK15" s="23">
        <f>9000/0.5</f>
        <v>18000</v>
      </c>
      <c r="CL15" s="23">
        <f t="shared" si="5"/>
        <v>207358</v>
      </c>
      <c r="CM15" s="24">
        <f>Sheet1!CB8</f>
        <v>0</v>
      </c>
      <c r="CN15" s="23">
        <f t="shared" si="6"/>
        <v>0</v>
      </c>
      <c r="CO15" s="95">
        <v>0.15</v>
      </c>
      <c r="CP15" s="23">
        <f t="shared" si="7"/>
        <v>31103.699999999997</v>
      </c>
      <c r="CQ15" s="95">
        <v>0</v>
      </c>
      <c r="CR15" s="23">
        <f t="shared" si="8"/>
        <v>0</v>
      </c>
      <c r="CS15" s="23">
        <f t="shared" si="9"/>
        <v>238461.7</v>
      </c>
      <c r="CT15" s="95">
        <v>0.02</v>
      </c>
      <c r="CU15" s="112">
        <f t="shared" si="10"/>
        <v>4769.2340000000004</v>
      </c>
      <c r="CV15" s="95">
        <v>0.01</v>
      </c>
      <c r="CW15" s="112">
        <f t="shared" si="11"/>
        <v>2384.6170000000002</v>
      </c>
      <c r="CX15" s="95">
        <f>Sheet1!CM8</f>
        <v>0</v>
      </c>
      <c r="CY15" s="6">
        <f t="shared" si="12"/>
        <v>0</v>
      </c>
      <c r="DA15" s="22">
        <f>891*1000</f>
        <v>891000</v>
      </c>
      <c r="DC15" s="22">
        <f t="shared" si="17"/>
        <v>66825</v>
      </c>
      <c r="DD15" s="22">
        <f t="shared" si="19"/>
        <v>267300</v>
      </c>
      <c r="DE15" s="22">
        <f t="shared" si="15"/>
        <v>1225125</v>
      </c>
      <c r="DF15" s="113">
        <f t="shared" si="16"/>
        <v>79.951796673808801</v>
      </c>
    </row>
    <row r="16" spans="1:110" ht="34.5" customHeight="1" thickBot="1" x14ac:dyDescent="0.3">
      <c r="C16" s="98" t="s">
        <v>267</v>
      </c>
      <c r="D16" s="114" t="s">
        <v>268</v>
      </c>
      <c r="E16" s="115"/>
      <c r="F16" s="115"/>
      <c r="G16" s="115"/>
      <c r="H16" s="116"/>
      <c r="M16" s="109">
        <f>SUM(M4:M15)</f>
        <v>84368375.420367986</v>
      </c>
    </row>
    <row r="17" spans="4:43" x14ac:dyDescent="0.25">
      <c r="L17" s="104" t="s">
        <v>305</v>
      </c>
      <c r="M17" s="110">
        <v>105711037</v>
      </c>
    </row>
    <row r="18" spans="4:43" x14ac:dyDescent="0.25">
      <c r="L18" s="104" t="s">
        <v>306</v>
      </c>
      <c r="M18" s="111">
        <f>((M16-M17)/M16)*100</f>
        <v>-25.296992472939721</v>
      </c>
    </row>
    <row r="21" spans="4:43" ht="75" x14ac:dyDescent="0.25">
      <c r="E21" s="1" t="s">
        <v>127</v>
      </c>
      <c r="F21" s="1" t="s">
        <v>128</v>
      </c>
      <c r="G21" s="90" t="s">
        <v>129</v>
      </c>
      <c r="H21" s="1" t="s">
        <v>130</v>
      </c>
      <c r="I21" s="1" t="s">
        <v>131</v>
      </c>
      <c r="J21" s="1" t="s">
        <v>132</v>
      </c>
      <c r="K21" s="1" t="s">
        <v>133</v>
      </c>
      <c r="L21" s="1" t="s">
        <v>134</v>
      </c>
      <c r="M21" s="91" t="s">
        <v>135</v>
      </c>
      <c r="P21" s="15" t="s">
        <v>272</v>
      </c>
      <c r="AI21" s="15" t="s">
        <v>273</v>
      </c>
      <c r="AK21" s="15" t="s">
        <v>274</v>
      </c>
      <c r="AQ21" s="15" t="s">
        <v>275</v>
      </c>
    </row>
    <row r="22" spans="4:43" ht="30" x14ac:dyDescent="0.25">
      <c r="D22" s="15" t="str">
        <f t="shared" ref="D22:D33" si="20">D4</f>
        <v>2 CORE X 2.5 SQ. MM. CU/ARD - WIRE (PVC)</v>
      </c>
      <c r="E22" s="92">
        <f t="shared" ref="E22:E33" si="21">K4</f>
        <v>2</v>
      </c>
      <c r="F22" s="93">
        <f t="shared" ref="F22:F33" si="22">CJ4/1000</f>
        <v>0.5</v>
      </c>
      <c r="G22" s="90" t="s">
        <v>287</v>
      </c>
      <c r="H22" s="94">
        <v>45000</v>
      </c>
      <c r="I22" s="93">
        <v>48</v>
      </c>
      <c r="J22" s="90">
        <f>F22*I22</f>
        <v>24</v>
      </c>
      <c r="K22" s="90">
        <f>ROUNDUP((E22/J22),0)</f>
        <v>1</v>
      </c>
      <c r="L22" s="90">
        <f>H22*K22</f>
        <v>45000</v>
      </c>
      <c r="M22" s="96">
        <f>L22/E22</f>
        <v>22500</v>
      </c>
      <c r="N22" s="101" t="str">
        <f t="shared" ref="N22:N33" si="23">CH4</f>
        <v>MD0100004</v>
      </c>
      <c r="P22" s="15">
        <f t="shared" ref="P22:P33" si="24">SUM(N4:BO4)</f>
        <v>456</v>
      </c>
      <c r="AI22" s="15">
        <f>3150/90</f>
        <v>35</v>
      </c>
      <c r="AK22" s="15">
        <f>((P22*F22)+AI22)</f>
        <v>263</v>
      </c>
      <c r="AQ22" s="15">
        <f>AK22*I22</f>
        <v>12624</v>
      </c>
    </row>
    <row r="23" spans="4:43" ht="30" x14ac:dyDescent="0.25">
      <c r="D23" s="15" t="str">
        <f t="shared" si="20"/>
        <v>3 CORE X 2.5 SQ. MM. CU/ARD - WIRE (PVC)</v>
      </c>
      <c r="E23" s="92">
        <f t="shared" si="21"/>
        <v>13</v>
      </c>
      <c r="F23" s="93">
        <f t="shared" si="22"/>
        <v>0.5</v>
      </c>
      <c r="G23" s="90" t="s">
        <v>287</v>
      </c>
      <c r="H23" s="94">
        <v>45000</v>
      </c>
      <c r="I23" s="93">
        <v>48</v>
      </c>
      <c r="J23" s="90">
        <f t="shared" ref="J23:J33" si="25">F23*I23</f>
        <v>24</v>
      </c>
      <c r="K23" s="90">
        <f t="shared" ref="K23:K33" si="26">ROUNDUP((E23/J23),0)</f>
        <v>1</v>
      </c>
      <c r="L23" s="90">
        <f t="shared" ref="L23:L33" si="27">H23*K23</f>
        <v>45000</v>
      </c>
      <c r="M23" s="96">
        <f t="shared" ref="M23:M33" si="28">L23/E23</f>
        <v>3461.5384615384614</v>
      </c>
      <c r="N23" s="101" t="str">
        <f t="shared" si="23"/>
        <v>MD0100004</v>
      </c>
      <c r="P23" s="15">
        <f t="shared" si="24"/>
        <v>490</v>
      </c>
      <c r="AI23" s="15">
        <f>3150/90</f>
        <v>35</v>
      </c>
      <c r="AK23" s="15">
        <f t="shared" ref="AK23:AK33" si="29">((P23*F23)+AI23)</f>
        <v>280</v>
      </c>
      <c r="AQ23" s="15">
        <f t="shared" ref="AQ23:AQ33" si="30">AK23*I23</f>
        <v>13440</v>
      </c>
    </row>
    <row r="24" spans="4:43" ht="30" x14ac:dyDescent="0.25">
      <c r="D24" s="15" t="str">
        <f t="shared" si="20"/>
        <v>5 CORE X 2.5 SQ. MM. CU/ARD - WIRE (PVC)</v>
      </c>
      <c r="E24" s="92">
        <f t="shared" si="21"/>
        <v>11</v>
      </c>
      <c r="F24" s="93">
        <f t="shared" si="22"/>
        <v>0.5</v>
      </c>
      <c r="G24" s="90" t="s">
        <v>287</v>
      </c>
      <c r="H24" s="94">
        <v>45000</v>
      </c>
      <c r="I24" s="93">
        <v>42</v>
      </c>
      <c r="J24" s="90">
        <f t="shared" si="25"/>
        <v>21</v>
      </c>
      <c r="K24" s="90">
        <f t="shared" si="26"/>
        <v>1</v>
      </c>
      <c r="L24" s="90">
        <f t="shared" si="27"/>
        <v>45000</v>
      </c>
      <c r="M24" s="96">
        <f t="shared" si="28"/>
        <v>4090.909090909091</v>
      </c>
      <c r="N24" s="101" t="str">
        <f t="shared" si="23"/>
        <v>MD0200019</v>
      </c>
      <c r="P24" s="15">
        <f t="shared" si="24"/>
        <v>634</v>
      </c>
      <c r="AI24" s="15">
        <f>3600/90</f>
        <v>40</v>
      </c>
      <c r="AK24" s="15">
        <f t="shared" si="29"/>
        <v>357</v>
      </c>
      <c r="AQ24" s="15">
        <f t="shared" si="30"/>
        <v>14994</v>
      </c>
    </row>
    <row r="25" spans="4:43" ht="30" x14ac:dyDescent="0.25">
      <c r="D25" s="15" t="str">
        <f t="shared" si="20"/>
        <v>19 CORE X 2.5 SQ. MM. CU/ARD - WIRE (PVC)</v>
      </c>
      <c r="E25" s="92">
        <f t="shared" si="21"/>
        <v>14</v>
      </c>
      <c r="F25" s="93">
        <f t="shared" si="22"/>
        <v>0.5</v>
      </c>
      <c r="G25" s="90" t="s">
        <v>287</v>
      </c>
      <c r="H25" s="94">
        <v>45000</v>
      </c>
      <c r="I25" s="93">
        <v>16</v>
      </c>
      <c r="J25" s="90">
        <f t="shared" si="25"/>
        <v>8</v>
      </c>
      <c r="K25" s="90">
        <f t="shared" si="26"/>
        <v>2</v>
      </c>
      <c r="L25" s="90">
        <f t="shared" si="27"/>
        <v>90000</v>
      </c>
      <c r="M25" s="96">
        <f t="shared" si="28"/>
        <v>6428.5714285714284</v>
      </c>
      <c r="N25" s="101" t="str">
        <f t="shared" si="23"/>
        <v>SP0400144</v>
      </c>
      <c r="P25" s="15">
        <f t="shared" si="24"/>
        <v>1526</v>
      </c>
      <c r="AI25" s="15">
        <f>9000/90</f>
        <v>100</v>
      </c>
      <c r="AK25" s="15">
        <f t="shared" si="29"/>
        <v>863</v>
      </c>
      <c r="AQ25" s="15">
        <f t="shared" si="30"/>
        <v>13808</v>
      </c>
    </row>
    <row r="26" spans="4:43" ht="30" x14ac:dyDescent="0.25">
      <c r="D26" s="15" t="str">
        <f t="shared" si="20"/>
        <v>3.5 CORE X 70 SQ. MM. AL/ARD - STRIP (PVC)</v>
      </c>
      <c r="E26" s="92">
        <f t="shared" si="21"/>
        <v>17</v>
      </c>
      <c r="F26" s="93">
        <f t="shared" si="22"/>
        <v>0.5</v>
      </c>
      <c r="G26" s="90" t="s">
        <v>287</v>
      </c>
      <c r="H26" s="94">
        <v>45000</v>
      </c>
      <c r="I26" s="93">
        <v>9</v>
      </c>
      <c r="J26" s="90">
        <f t="shared" si="25"/>
        <v>4.5</v>
      </c>
      <c r="K26" s="90">
        <f t="shared" si="26"/>
        <v>4</v>
      </c>
      <c r="L26" s="90">
        <f t="shared" si="27"/>
        <v>180000</v>
      </c>
      <c r="M26" s="96">
        <f t="shared" si="28"/>
        <v>10588.235294117647</v>
      </c>
      <c r="N26" s="101" t="str">
        <f t="shared" si="23"/>
        <v>SP0400145</v>
      </c>
      <c r="P26" s="15">
        <f t="shared" si="24"/>
        <v>1726</v>
      </c>
      <c r="AI26" s="15">
        <f>9000/90</f>
        <v>100</v>
      </c>
      <c r="AK26" s="15">
        <f t="shared" si="29"/>
        <v>963</v>
      </c>
      <c r="AQ26" s="15">
        <f t="shared" si="30"/>
        <v>8667</v>
      </c>
    </row>
    <row r="27" spans="4:43" ht="30" x14ac:dyDescent="0.25">
      <c r="D27" s="15" t="str">
        <f t="shared" si="20"/>
        <v>2 CORE X 6 SQ. MM. AL/ARD - WIRE (PVC)</v>
      </c>
      <c r="E27" s="92">
        <f t="shared" si="21"/>
        <v>4</v>
      </c>
      <c r="F27" s="93">
        <f t="shared" si="22"/>
        <v>0.5</v>
      </c>
      <c r="G27" s="90" t="s">
        <v>287</v>
      </c>
      <c r="H27" s="94">
        <v>45000</v>
      </c>
      <c r="I27" s="93">
        <v>42</v>
      </c>
      <c r="J27" s="90">
        <f t="shared" si="25"/>
        <v>21</v>
      </c>
      <c r="K27" s="90">
        <f t="shared" si="26"/>
        <v>1</v>
      </c>
      <c r="L27" s="90">
        <f t="shared" si="27"/>
        <v>45000</v>
      </c>
      <c r="M27" s="96">
        <f t="shared" si="28"/>
        <v>11250</v>
      </c>
      <c r="N27" s="101" t="str">
        <f t="shared" si="23"/>
        <v>MD0200019</v>
      </c>
      <c r="P27" s="15">
        <f t="shared" si="24"/>
        <v>576</v>
      </c>
      <c r="AI27" s="15">
        <f>3600/90</f>
        <v>40</v>
      </c>
      <c r="AK27" s="15">
        <f t="shared" si="29"/>
        <v>328</v>
      </c>
      <c r="AQ27" s="15">
        <f t="shared" si="30"/>
        <v>13776</v>
      </c>
    </row>
    <row r="28" spans="4:43" ht="30" x14ac:dyDescent="0.25">
      <c r="D28" s="15" t="str">
        <f t="shared" si="20"/>
        <v>1 CORE X 630 SQ. MM. AL/ARD (XLPE)</v>
      </c>
      <c r="E28" s="92">
        <f t="shared" si="21"/>
        <v>7</v>
      </c>
      <c r="F28" s="93">
        <f t="shared" si="22"/>
        <v>0.5</v>
      </c>
      <c r="G28" s="90" t="s">
        <v>287</v>
      </c>
      <c r="H28" s="94">
        <v>45000</v>
      </c>
      <c r="I28" s="93">
        <v>8</v>
      </c>
      <c r="J28" s="90">
        <f t="shared" si="25"/>
        <v>4</v>
      </c>
      <c r="K28" s="90">
        <f t="shared" si="26"/>
        <v>2</v>
      </c>
      <c r="L28" s="90">
        <f t="shared" si="27"/>
        <v>90000</v>
      </c>
      <c r="M28" s="96">
        <f t="shared" si="28"/>
        <v>12857.142857142857</v>
      </c>
      <c r="N28" s="101" t="str">
        <f t="shared" si="23"/>
        <v>SP0400125</v>
      </c>
      <c r="P28" s="15">
        <f t="shared" si="24"/>
        <v>2930</v>
      </c>
      <c r="AI28" s="15">
        <f>13500/90</f>
        <v>150</v>
      </c>
      <c r="AK28" s="15">
        <f t="shared" si="29"/>
        <v>1615</v>
      </c>
      <c r="AQ28" s="15">
        <f t="shared" si="30"/>
        <v>12920</v>
      </c>
    </row>
    <row r="29" spans="4:43" ht="30" x14ac:dyDescent="0.25">
      <c r="D29" s="15" t="str">
        <f t="shared" si="20"/>
        <v>3.5 CORE X 300 SQ. MM. AL/ARD - WIRE (XLPE)</v>
      </c>
      <c r="E29" s="92">
        <f t="shared" si="21"/>
        <v>17</v>
      </c>
      <c r="F29" s="93">
        <f t="shared" si="22"/>
        <v>0.5</v>
      </c>
      <c r="G29" s="90" t="s">
        <v>287</v>
      </c>
      <c r="H29" s="94">
        <v>45000</v>
      </c>
      <c r="I29" s="93">
        <v>3</v>
      </c>
      <c r="J29" s="90">
        <f t="shared" si="25"/>
        <v>1.5</v>
      </c>
      <c r="K29" s="90">
        <f t="shared" si="26"/>
        <v>12</v>
      </c>
      <c r="L29" s="90">
        <f t="shared" si="27"/>
        <v>540000</v>
      </c>
      <c r="M29" s="96">
        <f t="shared" si="28"/>
        <v>31764.705882352941</v>
      </c>
      <c r="N29" s="101" t="str">
        <f t="shared" si="23"/>
        <v>SP0400112</v>
      </c>
      <c r="P29" s="15">
        <f t="shared" si="24"/>
        <v>7161</v>
      </c>
      <c r="AI29" s="15">
        <f>18000/90</f>
        <v>200</v>
      </c>
      <c r="AK29" s="15">
        <f t="shared" si="29"/>
        <v>3780.5</v>
      </c>
      <c r="AQ29" s="15">
        <f t="shared" si="30"/>
        <v>11341.5</v>
      </c>
    </row>
    <row r="30" spans="4:43" ht="30" x14ac:dyDescent="0.25">
      <c r="D30" s="15" t="str">
        <f t="shared" si="20"/>
        <v>3.5 CORE X 150 SQ. MM. AL/ARD - WIRE (XLPE)</v>
      </c>
      <c r="E30" s="92">
        <f t="shared" si="21"/>
        <v>14</v>
      </c>
      <c r="F30" s="93">
        <f t="shared" si="22"/>
        <v>0.5</v>
      </c>
      <c r="G30" s="90" t="s">
        <v>287</v>
      </c>
      <c r="H30" s="94">
        <v>45000</v>
      </c>
      <c r="I30" s="93">
        <v>8</v>
      </c>
      <c r="J30" s="90">
        <f t="shared" si="25"/>
        <v>4</v>
      </c>
      <c r="K30" s="90">
        <f t="shared" si="26"/>
        <v>4</v>
      </c>
      <c r="L30" s="90">
        <f t="shared" si="27"/>
        <v>180000</v>
      </c>
      <c r="M30" s="96">
        <f t="shared" si="28"/>
        <v>12857.142857142857</v>
      </c>
      <c r="N30" s="101" t="str">
        <f t="shared" si="23"/>
        <v>SP0400125</v>
      </c>
      <c r="P30" s="15">
        <f t="shared" si="24"/>
        <v>3500</v>
      </c>
      <c r="AI30" s="15">
        <f>13500/90</f>
        <v>150</v>
      </c>
      <c r="AK30" s="15">
        <f t="shared" si="29"/>
        <v>1900</v>
      </c>
      <c r="AQ30" s="15">
        <f t="shared" si="30"/>
        <v>15200</v>
      </c>
    </row>
    <row r="31" spans="4:43" ht="30" x14ac:dyDescent="0.25">
      <c r="D31" s="15" t="str">
        <f t="shared" si="20"/>
        <v>3.5 CORE X 95 SQ. MM. AL/ARD - WIRE (XLPE)</v>
      </c>
      <c r="E31" s="92">
        <f t="shared" si="21"/>
        <v>13</v>
      </c>
      <c r="F31" s="93">
        <f t="shared" si="22"/>
        <v>0.5</v>
      </c>
      <c r="G31" s="90" t="s">
        <v>287</v>
      </c>
      <c r="H31" s="94">
        <v>45000</v>
      </c>
      <c r="I31" s="93">
        <v>10</v>
      </c>
      <c r="J31" s="90">
        <f t="shared" si="25"/>
        <v>5</v>
      </c>
      <c r="K31" s="90">
        <f t="shared" si="26"/>
        <v>3</v>
      </c>
      <c r="L31" s="90">
        <f t="shared" si="27"/>
        <v>135000</v>
      </c>
      <c r="M31" s="96">
        <f t="shared" si="28"/>
        <v>10384.615384615385</v>
      </c>
      <c r="N31" s="101" t="str">
        <f t="shared" si="23"/>
        <v>SP0400124</v>
      </c>
      <c r="P31" s="15">
        <f t="shared" si="24"/>
        <v>2535</v>
      </c>
      <c r="AI31" s="15">
        <f>9000/90</f>
        <v>100</v>
      </c>
      <c r="AK31" s="15">
        <f t="shared" si="29"/>
        <v>1367.5</v>
      </c>
      <c r="AQ31" s="15">
        <f t="shared" si="30"/>
        <v>13675</v>
      </c>
    </row>
    <row r="32" spans="4:43" ht="30" x14ac:dyDescent="0.25">
      <c r="D32" s="15" t="str">
        <f t="shared" si="20"/>
        <v>1 CORE X 300 SQ. MM. AL/ARD. (XLPE)</v>
      </c>
      <c r="E32" s="92">
        <f t="shared" si="21"/>
        <v>7</v>
      </c>
      <c r="F32" s="93">
        <f t="shared" si="22"/>
        <v>0.5</v>
      </c>
      <c r="G32" s="90" t="s">
        <v>287</v>
      </c>
      <c r="H32" s="94">
        <v>45000</v>
      </c>
      <c r="I32" s="93">
        <v>9</v>
      </c>
      <c r="J32" s="90">
        <f t="shared" si="25"/>
        <v>4.5</v>
      </c>
      <c r="K32" s="90">
        <f t="shared" si="26"/>
        <v>2</v>
      </c>
      <c r="L32" s="90">
        <f t="shared" si="27"/>
        <v>90000</v>
      </c>
      <c r="M32" s="96">
        <f t="shared" si="28"/>
        <v>12857.142857142857</v>
      </c>
      <c r="N32" s="101" t="str">
        <f t="shared" si="23"/>
        <v>SP0400145</v>
      </c>
      <c r="P32" s="15">
        <f t="shared" si="24"/>
        <v>1758</v>
      </c>
      <c r="AI32" s="15">
        <f>9000/90</f>
        <v>100</v>
      </c>
      <c r="AK32" s="15">
        <f t="shared" si="29"/>
        <v>979</v>
      </c>
      <c r="AQ32" s="15">
        <f t="shared" si="30"/>
        <v>8811</v>
      </c>
    </row>
    <row r="33" spans="4:43" ht="30" x14ac:dyDescent="0.25">
      <c r="D33" s="15" t="str">
        <f t="shared" si="20"/>
        <v>1 CORE X 150 SQ. MM. ALU/ARD (XLPE)</v>
      </c>
      <c r="E33" s="92">
        <f t="shared" si="21"/>
        <v>10</v>
      </c>
      <c r="F33" s="93">
        <f t="shared" si="22"/>
        <v>0.5</v>
      </c>
      <c r="G33" s="90" t="s">
        <v>287</v>
      </c>
      <c r="H33" s="94">
        <v>45000</v>
      </c>
      <c r="I33" s="93">
        <v>24</v>
      </c>
      <c r="J33" s="90">
        <f t="shared" si="25"/>
        <v>12</v>
      </c>
      <c r="K33" s="90">
        <f t="shared" si="26"/>
        <v>1</v>
      </c>
      <c r="L33" s="90">
        <f t="shared" si="27"/>
        <v>45000</v>
      </c>
      <c r="M33" s="96">
        <f t="shared" si="28"/>
        <v>4500</v>
      </c>
      <c r="N33" s="101" t="str">
        <f t="shared" si="23"/>
        <v>SP0400144</v>
      </c>
      <c r="P33" s="15">
        <f t="shared" si="24"/>
        <v>853</v>
      </c>
      <c r="AI33" s="15">
        <f>9000/90</f>
        <v>100</v>
      </c>
      <c r="AK33" s="15">
        <f t="shared" si="29"/>
        <v>526.5</v>
      </c>
      <c r="AQ33" s="15">
        <f t="shared" si="30"/>
        <v>12636</v>
      </c>
    </row>
    <row r="34" spans="4:43" x14ac:dyDescent="0.25">
      <c r="M34" s="97"/>
    </row>
    <row r="35" spans="4:43" x14ac:dyDescent="0.25">
      <c r="M35" s="97"/>
    </row>
    <row r="36" spans="4:43" x14ac:dyDescent="0.25">
      <c r="G36" s="106" t="s">
        <v>303</v>
      </c>
      <c r="H36" s="107" t="s">
        <v>304</v>
      </c>
      <c r="M36" s="97"/>
    </row>
    <row r="37" spans="4:43" x14ac:dyDescent="0.25">
      <c r="G37" s="102" t="s">
        <v>288</v>
      </c>
      <c r="H37" s="2">
        <v>44500</v>
      </c>
      <c r="M37" s="97"/>
    </row>
    <row r="38" spans="4:43" x14ac:dyDescent="0.25">
      <c r="G38" s="103" t="s">
        <v>289</v>
      </c>
      <c r="H38" s="2">
        <v>42000</v>
      </c>
      <c r="M38" s="97"/>
    </row>
    <row r="39" spans="4:43" x14ac:dyDescent="0.25">
      <c r="G39" s="103" t="s">
        <v>290</v>
      </c>
      <c r="H39" s="2">
        <v>44100</v>
      </c>
      <c r="M39" s="97"/>
    </row>
    <row r="40" spans="4:43" x14ac:dyDescent="0.25">
      <c r="G40" s="103" t="s">
        <v>291</v>
      </c>
      <c r="H40" s="2">
        <v>41000</v>
      </c>
      <c r="M40" s="97"/>
    </row>
    <row r="41" spans="4:43" x14ac:dyDescent="0.25">
      <c r="G41" s="103" t="s">
        <v>292</v>
      </c>
      <c r="H41" s="2">
        <v>44500</v>
      </c>
      <c r="M41" s="97"/>
    </row>
    <row r="42" spans="4:43" x14ac:dyDescent="0.25">
      <c r="G42" s="103" t="s">
        <v>293</v>
      </c>
      <c r="H42" s="2">
        <v>33600</v>
      </c>
      <c r="M42" s="97"/>
    </row>
    <row r="43" spans="4:43" x14ac:dyDescent="0.25">
      <c r="G43" s="103" t="s">
        <v>294</v>
      </c>
      <c r="H43" s="2">
        <v>43500</v>
      </c>
      <c r="M43" s="97"/>
    </row>
    <row r="44" spans="4:43" x14ac:dyDescent="0.25">
      <c r="G44" s="103" t="s">
        <v>295</v>
      </c>
      <c r="H44" s="2">
        <v>40000</v>
      </c>
      <c r="M44" s="97"/>
    </row>
    <row r="45" spans="4:43" x14ac:dyDescent="0.25">
      <c r="G45" s="103" t="s">
        <v>296</v>
      </c>
      <c r="H45" s="2">
        <v>48500</v>
      </c>
      <c r="M45" s="97"/>
    </row>
    <row r="46" spans="4:43" x14ac:dyDescent="0.25">
      <c r="G46" s="103" t="s">
        <v>297</v>
      </c>
      <c r="H46" s="2">
        <v>48500</v>
      </c>
      <c r="M46" s="97"/>
    </row>
    <row r="47" spans="4:43" x14ac:dyDescent="0.25">
      <c r="G47" s="103" t="s">
        <v>298</v>
      </c>
      <c r="H47" s="2">
        <v>51500</v>
      </c>
      <c r="M47" s="97"/>
    </row>
    <row r="48" spans="4:43" x14ac:dyDescent="0.25">
      <c r="G48" s="103" t="s">
        <v>299</v>
      </c>
      <c r="H48" s="2">
        <v>50500</v>
      </c>
      <c r="M48" s="97"/>
    </row>
    <row r="49" spans="7:13" x14ac:dyDescent="0.25">
      <c r="G49" s="103" t="s">
        <v>300</v>
      </c>
      <c r="H49" s="2">
        <v>45200</v>
      </c>
      <c r="M49" s="97"/>
    </row>
    <row r="50" spans="7:13" x14ac:dyDescent="0.25">
      <c r="G50" s="103" t="s">
        <v>301</v>
      </c>
      <c r="H50" s="2">
        <v>48300</v>
      </c>
      <c r="M50" s="97"/>
    </row>
    <row r="51" spans="7:13" x14ac:dyDescent="0.25">
      <c r="G51" s="104" t="s">
        <v>302</v>
      </c>
      <c r="H51" s="105">
        <f>AVERAGE(H37:H50)</f>
        <v>44692.857142857145</v>
      </c>
      <c r="M51" s="97"/>
    </row>
    <row r="52" spans="7:13" x14ac:dyDescent="0.25">
      <c r="G52" s="103"/>
      <c r="H52" s="2"/>
      <c r="M52" s="97"/>
    </row>
    <row r="53" spans="7:13" x14ac:dyDescent="0.25">
      <c r="G53" s="103"/>
      <c r="H53" s="2"/>
      <c r="M53" s="97"/>
    </row>
    <row r="54" spans="7:13" x14ac:dyDescent="0.25">
      <c r="G54" s="103"/>
      <c r="H54" s="2"/>
      <c r="M54" s="97"/>
    </row>
    <row r="55" spans="7:13" x14ac:dyDescent="0.25">
      <c r="G55" s="103"/>
      <c r="H55" s="2"/>
      <c r="M55" s="97"/>
    </row>
    <row r="56" spans="7:13" x14ac:dyDescent="0.25">
      <c r="G56" s="103"/>
      <c r="H56" s="2"/>
      <c r="M56" s="97"/>
    </row>
    <row r="57" spans="7:13" x14ac:dyDescent="0.25">
      <c r="G57" s="103"/>
      <c r="H57" s="2"/>
      <c r="M57" s="97"/>
    </row>
    <row r="58" spans="7:13" x14ac:dyDescent="0.25">
      <c r="G58" s="103"/>
      <c r="H58" s="2"/>
      <c r="M58" s="97"/>
    </row>
    <row r="59" spans="7:13" x14ac:dyDescent="0.25">
      <c r="G59" s="103"/>
      <c r="M59" s="97"/>
    </row>
    <row r="60" spans="7:13" x14ac:dyDescent="0.25">
      <c r="G60" s="103"/>
      <c r="M60" s="97"/>
    </row>
    <row r="61" spans="7:13" x14ac:dyDescent="0.25">
      <c r="M61" s="97"/>
    </row>
    <row r="62" spans="7:13" x14ac:dyDescent="0.25">
      <c r="M62" s="97"/>
    </row>
    <row r="63" spans="7:13" x14ac:dyDescent="0.25">
      <c r="M63" s="97"/>
    </row>
    <row r="64" spans="7:13" x14ac:dyDescent="0.25">
      <c r="M64" s="97"/>
    </row>
    <row r="65" spans="13:13" x14ac:dyDescent="0.25">
      <c r="M65" s="97"/>
    </row>
    <row r="66" spans="13:13" x14ac:dyDescent="0.25">
      <c r="M66" s="97"/>
    </row>
    <row r="67" spans="13:13" x14ac:dyDescent="0.25">
      <c r="M67" s="97"/>
    </row>
  </sheetData>
  <sortState xmlns:xlrd2="http://schemas.microsoft.com/office/spreadsheetml/2017/richdata2" ref="A4:CY15">
    <sortCondition ref="F4:F15"/>
  </sortState>
  <mergeCells count="10">
    <mergeCell ref="D16:H16"/>
    <mergeCell ref="CG1:CJ1"/>
    <mergeCell ref="AR1:AZ1"/>
    <mergeCell ref="BA1:BK1"/>
    <mergeCell ref="BL1:BW1"/>
    <mergeCell ref="N1:U1"/>
    <mergeCell ref="V1:W1"/>
    <mergeCell ref="X1:AE1"/>
    <mergeCell ref="AF1:AG1"/>
    <mergeCell ref="AH1:AP1"/>
  </mergeCells>
  <pageMargins left="0.7" right="0.7" top="0.75" bottom="0.75" header="0.3" footer="0.3"/>
  <pageSetup scale="21" fitToHeight="0" orientation="landscape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AUTO CALCULATION SHEET (2)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cp:lastPrinted>2025-09-03T09:47:40Z</cp:lastPrinted>
  <dcterms:created xsi:type="dcterms:W3CDTF">2021-04-03T12:13:55Z</dcterms:created>
  <dcterms:modified xsi:type="dcterms:W3CDTF">2025-09-03T11:19:28Z</dcterms:modified>
</cp:coreProperties>
</file>