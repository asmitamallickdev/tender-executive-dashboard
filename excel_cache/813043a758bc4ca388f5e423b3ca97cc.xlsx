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24226"/>
  <mc:AlternateContent xmlns:mc="http://schemas.openxmlformats.org/markup-compatibility/2006">
    <mc:Choice Requires="x15">
      <x15ac:absPath xmlns:x15ac="http://schemas.microsoft.com/office/spreadsheetml/2010/11/ac" url="E:\working\2024-25\02_FEBRUARY 2025\TPCODL-1765-COVERED-15214\"/>
    </mc:Choice>
  </mc:AlternateContent>
  <xr:revisionPtr revIDLastSave="0" documentId="13_ncr:1_{0AFE0A66-98C6-41D0-8E39-D58DD9663D22}" xr6:coauthVersionLast="47" xr6:coauthVersionMax="47" xr10:uidLastSave="{00000000-0000-0000-0000-000000000000}"/>
  <bookViews>
    <workbookView xWindow="0" yWindow="6495" windowWidth="28800" windowHeight="9105" firstSheet="1" activeTab="1" xr2:uid="{00000000-000D-0000-FFFF-FFFF00000000}"/>
  </bookViews>
  <sheets>
    <sheet name="Sheet1" sheetId="1" state="hidden" r:id="rId1"/>
    <sheet name="AUTO CALCULATION SHEET (2)" sheetId="4" r:id="rId2"/>
    <sheet name="PV ON IS"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2" i="4" l="1"/>
  <c r="AK40" i="6"/>
  <c r="AK39" i="6"/>
  <c r="AK38" i="6"/>
  <c r="AK37" i="6"/>
  <c r="AK36" i="6"/>
  <c r="AK35" i="6"/>
  <c r="AJ40" i="6"/>
  <c r="AJ39" i="6"/>
  <c r="AJ38" i="6"/>
  <c r="AJ37" i="6"/>
  <c r="AJ36" i="6"/>
  <c r="AJ35" i="6"/>
  <c r="AH40" i="6"/>
  <c r="AH39" i="6"/>
  <c r="AH38" i="6"/>
  <c r="AH37" i="6"/>
  <c r="AH36" i="6"/>
  <c r="AH35" i="6"/>
  <c r="AB40" i="6"/>
  <c r="AB39" i="6"/>
  <c r="AB38" i="6"/>
  <c r="AB37" i="6"/>
  <c r="AB36" i="6"/>
  <c r="AB35" i="6"/>
  <c r="AA40" i="6"/>
  <c r="AA39" i="6"/>
  <c r="AA38" i="6"/>
  <c r="AA37" i="6"/>
  <c r="AA36" i="6"/>
  <c r="AA35" i="6"/>
  <c r="Z40" i="6"/>
  <c r="Z39" i="6"/>
  <c r="Z38" i="6"/>
  <c r="Z37" i="6"/>
  <c r="Z36" i="6"/>
  <c r="Z35" i="6"/>
  <c r="Y40" i="6"/>
  <c r="Y39" i="6"/>
  <c r="Y38" i="6"/>
  <c r="Y37" i="6"/>
  <c r="Y36" i="6"/>
  <c r="Y35" i="6"/>
  <c r="X40" i="6"/>
  <c r="X39" i="6"/>
  <c r="X38" i="6"/>
  <c r="X37" i="6"/>
  <c r="X36" i="6"/>
  <c r="X35" i="6"/>
  <c r="W40" i="6"/>
  <c r="W39" i="6"/>
  <c r="W38" i="6"/>
  <c r="W37" i="6"/>
  <c r="W36" i="6"/>
  <c r="W35" i="6"/>
  <c r="V40" i="6"/>
  <c r="V39" i="6"/>
  <c r="V38" i="6"/>
  <c r="V37" i="6"/>
  <c r="V36" i="6"/>
  <c r="V35" i="6"/>
  <c r="U40" i="6"/>
  <c r="U39" i="6"/>
  <c r="U38" i="6"/>
  <c r="U37" i="6"/>
  <c r="U36" i="6"/>
  <c r="U35" i="6"/>
  <c r="T36" i="6"/>
  <c r="T37" i="6"/>
  <c r="T38" i="6"/>
  <c r="T39" i="6"/>
  <c r="T40" i="6"/>
  <c r="T35" i="6"/>
  <c r="K40" i="4"/>
  <c r="K41" i="4"/>
  <c r="K42" i="4"/>
  <c r="K43" i="4"/>
  <c r="K44" i="4"/>
  <c r="K39" i="4"/>
  <c r="H40" i="4"/>
  <c r="H41" i="4"/>
  <c r="H42" i="4"/>
  <c r="H43" i="4"/>
  <c r="H44" i="4"/>
  <c r="H39" i="4"/>
  <c r="E40" i="4"/>
  <c r="E41" i="4"/>
  <c r="E42" i="4"/>
  <c r="E43" i="4"/>
  <c r="E44" i="4"/>
  <c r="E39" i="4"/>
  <c r="D40" i="4"/>
  <c r="D41" i="4"/>
  <c r="D42" i="4"/>
  <c r="D43" i="4"/>
  <c r="D44" i="4"/>
  <c r="D39" i="4"/>
  <c r="C40" i="4"/>
  <c r="C41" i="4"/>
  <c r="C42" i="4"/>
  <c r="C43" i="4"/>
  <c r="C44" i="4"/>
  <c r="C39" i="4"/>
  <c r="B40" i="4"/>
  <c r="B41" i="4"/>
  <c r="B42" i="4"/>
  <c r="B43" i="4"/>
  <c r="B44" i="4"/>
  <c r="B39" i="4"/>
  <c r="A40" i="4"/>
  <c r="A41" i="4"/>
  <c r="A42" i="4"/>
  <c r="A43" i="4"/>
  <c r="A44" i="4"/>
  <c r="A39" i="4"/>
  <c r="AE33" i="4" l="1"/>
  <c r="AE32" i="4"/>
  <c r="AE31" i="4"/>
  <c r="AE30" i="4"/>
  <c r="AE29" i="4"/>
  <c r="AE28" i="4"/>
  <c r="AI36" i="6"/>
  <c r="AI37" i="6"/>
  <c r="AI38" i="6"/>
  <c r="AI39" i="6"/>
  <c r="AI40" i="6"/>
  <c r="AI35" i="6"/>
  <c r="AC36" i="6"/>
  <c r="AD36" i="6"/>
  <c r="AE36" i="6"/>
  <c r="AF36" i="6"/>
  <c r="AG36" i="6"/>
  <c r="AC37" i="6"/>
  <c r="AD37" i="6"/>
  <c r="AE37" i="6"/>
  <c r="AF37" i="6"/>
  <c r="AG37" i="6"/>
  <c r="AC38" i="6"/>
  <c r="AD38" i="6"/>
  <c r="AE38" i="6"/>
  <c r="AF38" i="6"/>
  <c r="AG38" i="6"/>
  <c r="AC39" i="6"/>
  <c r="AD39" i="6"/>
  <c r="AE39" i="6"/>
  <c r="AF39" i="6"/>
  <c r="AG39" i="6"/>
  <c r="AC40" i="6"/>
  <c r="AD40" i="6"/>
  <c r="AE40" i="6"/>
  <c r="AF40" i="6"/>
  <c r="AG40" i="6"/>
  <c r="AG35" i="6"/>
  <c r="AF35" i="6"/>
  <c r="AE35" i="6"/>
  <c r="AD35" i="6"/>
  <c r="AC35" i="6"/>
  <c r="AG33" i="6"/>
  <c r="AF33" i="6"/>
  <c r="AE33" i="6"/>
  <c r="AD33" i="6"/>
  <c r="AC33" i="6"/>
  <c r="I36" i="6"/>
  <c r="I37" i="6"/>
  <c r="I38" i="6"/>
  <c r="I39" i="6"/>
  <c r="I40" i="6"/>
  <c r="I35" i="6"/>
  <c r="F29" i="4" l="1"/>
  <c r="J29" i="4" s="1"/>
  <c r="F30" i="4"/>
  <c r="J30" i="4" s="1"/>
  <c r="E31" i="4"/>
  <c r="F31" i="4"/>
  <c r="J31" i="4" s="1"/>
  <c r="E32" i="4"/>
  <c r="F32" i="4"/>
  <c r="J32" i="4" s="1"/>
  <c r="E33" i="4"/>
  <c r="F33" i="4"/>
  <c r="J33" i="4"/>
  <c r="F28" i="4"/>
  <c r="J28" i="4" s="1"/>
  <c r="K32" i="4" l="1"/>
  <c r="M32" i="4" s="1"/>
  <c r="L32" i="4"/>
  <c r="F23" i="4"/>
  <c r="F43" i="4" s="1"/>
  <c r="G43" i="4" s="1"/>
  <c r="K33" i="4"/>
  <c r="M33" i="4" s="1"/>
  <c r="K31" i="4"/>
  <c r="M31" i="4" s="1"/>
  <c r="AF19" i="4"/>
  <c r="AG19" i="4"/>
  <c r="AF20" i="4"/>
  <c r="AG20" i="4"/>
  <c r="AF21" i="4"/>
  <c r="AG21" i="4"/>
  <c r="AF22" i="4"/>
  <c r="AG22" i="4"/>
  <c r="AF23" i="4"/>
  <c r="AG23" i="4"/>
  <c r="AF24" i="4"/>
  <c r="AG24" i="4"/>
  <c r="BY17" i="4"/>
  <c r="A22" i="4"/>
  <c r="C22" i="4"/>
  <c r="D22" i="4"/>
  <c r="H22" i="4"/>
  <c r="L22" i="4"/>
  <c r="N22" i="4"/>
  <c r="P22" i="4"/>
  <c r="Q22" i="4"/>
  <c r="R22" i="4"/>
  <c r="S22" i="4"/>
  <c r="T22" i="4"/>
  <c r="U22" i="4"/>
  <c r="V22" i="4"/>
  <c r="W22" i="4"/>
  <c r="X22" i="4"/>
  <c r="Y22" i="4"/>
  <c r="Z22" i="4"/>
  <c r="AA22" i="4"/>
  <c r="AB22" i="4"/>
  <c r="AD22" i="4"/>
  <c r="AH22" i="4"/>
  <c r="AI22" i="4"/>
  <c r="AJ22" i="4"/>
  <c r="AK22" i="4"/>
  <c r="AL22" i="4"/>
  <c r="AM22" i="4"/>
  <c r="AN22" i="4"/>
  <c r="AO22" i="4"/>
  <c r="AP22" i="4"/>
  <c r="AQ22" i="4"/>
  <c r="AR22" i="4"/>
  <c r="AS22" i="4"/>
  <c r="AT22" i="4"/>
  <c r="AU22" i="4"/>
  <c r="AV22" i="4"/>
  <c r="AW22" i="4"/>
  <c r="AX22" i="4"/>
  <c r="AY22" i="4"/>
  <c r="AZ22" i="4"/>
  <c r="BA22" i="4"/>
  <c r="BB22" i="4"/>
  <c r="BC22" i="4"/>
  <c r="BD22" i="4"/>
  <c r="BE22" i="4"/>
  <c r="BF22" i="4"/>
  <c r="BG22" i="4"/>
  <c r="BH22" i="4"/>
  <c r="BI22" i="4"/>
  <c r="BJ22" i="4"/>
  <c r="BK22" i="4"/>
  <c r="BM22" i="4"/>
  <c r="BN22" i="4"/>
  <c r="BO22" i="4"/>
  <c r="BP22" i="4"/>
  <c r="BQ22" i="4"/>
  <c r="BR22" i="4"/>
  <c r="BS22" i="4"/>
  <c r="BT22" i="4"/>
  <c r="CB22" i="4"/>
  <c r="A19" i="4"/>
  <c r="C19" i="4"/>
  <c r="D19" i="4"/>
  <c r="H19" i="4"/>
  <c r="K19" i="4"/>
  <c r="E28" i="4" s="1"/>
  <c r="K28" i="4" s="1"/>
  <c r="M28" i="4" s="1"/>
  <c r="L19" i="4"/>
  <c r="N19" i="4"/>
  <c r="P19" i="4"/>
  <c r="Q19" i="4"/>
  <c r="R19" i="4"/>
  <c r="S19" i="4"/>
  <c r="T19" i="4"/>
  <c r="U19" i="4"/>
  <c r="V19" i="4"/>
  <c r="W19" i="4"/>
  <c r="X19" i="4"/>
  <c r="Y19" i="4"/>
  <c r="Z19" i="4"/>
  <c r="AA19" i="4"/>
  <c r="AB19" i="4"/>
  <c r="AD19" i="4"/>
  <c r="AH19" i="4"/>
  <c r="AI19" i="4"/>
  <c r="AJ19" i="4"/>
  <c r="AK19" i="4"/>
  <c r="AL19" i="4"/>
  <c r="AM19" i="4"/>
  <c r="AN19" i="4"/>
  <c r="AO19" i="4"/>
  <c r="AP19" i="4"/>
  <c r="AQ19" i="4"/>
  <c r="AR19" i="4"/>
  <c r="AS19" i="4"/>
  <c r="AT19" i="4"/>
  <c r="AU19" i="4"/>
  <c r="AV19" i="4"/>
  <c r="AW19" i="4"/>
  <c r="AX19" i="4"/>
  <c r="AY19" i="4"/>
  <c r="AZ19" i="4"/>
  <c r="BA19" i="4"/>
  <c r="BB19" i="4"/>
  <c r="BC19" i="4"/>
  <c r="BD19" i="4"/>
  <c r="BE19" i="4"/>
  <c r="BF19" i="4"/>
  <c r="BG19" i="4"/>
  <c r="BH19" i="4"/>
  <c r="BI19" i="4"/>
  <c r="BJ19" i="4"/>
  <c r="BK19" i="4"/>
  <c r="BM19" i="4"/>
  <c r="BN19" i="4"/>
  <c r="BO19" i="4"/>
  <c r="BP19" i="4"/>
  <c r="BQ19" i="4"/>
  <c r="BR19" i="4"/>
  <c r="BS19" i="4"/>
  <c r="BT19" i="4"/>
  <c r="CB19" i="4"/>
  <c r="A24" i="4"/>
  <c r="C24" i="4"/>
  <c r="D24" i="4"/>
  <c r="H24" i="4"/>
  <c r="L24" i="4"/>
  <c r="N24" i="4"/>
  <c r="P24" i="4"/>
  <c r="Q24" i="4"/>
  <c r="R24" i="4"/>
  <c r="S24" i="4"/>
  <c r="T24" i="4"/>
  <c r="U24" i="4"/>
  <c r="V24" i="4"/>
  <c r="W24" i="4"/>
  <c r="X24" i="4"/>
  <c r="Y24" i="4"/>
  <c r="Z24" i="4"/>
  <c r="AA24" i="4"/>
  <c r="AB24" i="4"/>
  <c r="AD24" i="4"/>
  <c r="AH24" i="4"/>
  <c r="AI24" i="4"/>
  <c r="AJ24" i="4"/>
  <c r="AK24" i="4"/>
  <c r="AL24" i="4"/>
  <c r="AM24" i="4"/>
  <c r="AN24" i="4"/>
  <c r="AO24" i="4"/>
  <c r="AP24" i="4"/>
  <c r="AQ24" i="4"/>
  <c r="AR24" i="4"/>
  <c r="AS24" i="4"/>
  <c r="AT24" i="4"/>
  <c r="AU24" i="4"/>
  <c r="AV24" i="4"/>
  <c r="AW24" i="4"/>
  <c r="AX24" i="4"/>
  <c r="AY24" i="4"/>
  <c r="AZ24" i="4"/>
  <c r="BA24" i="4"/>
  <c r="BB24" i="4"/>
  <c r="BC24" i="4"/>
  <c r="BD24" i="4"/>
  <c r="BE24" i="4"/>
  <c r="BF24" i="4"/>
  <c r="BG24" i="4"/>
  <c r="BH24" i="4"/>
  <c r="BI24" i="4"/>
  <c r="BJ24" i="4"/>
  <c r="BK24" i="4"/>
  <c r="BM24" i="4"/>
  <c r="BN24" i="4"/>
  <c r="BO24" i="4"/>
  <c r="BP24" i="4"/>
  <c r="BQ24" i="4"/>
  <c r="BR24" i="4"/>
  <c r="BS24" i="4"/>
  <c r="BT24" i="4"/>
  <c r="CB24" i="4"/>
  <c r="A20" i="4"/>
  <c r="C20" i="4"/>
  <c r="D20" i="4"/>
  <c r="H20" i="4"/>
  <c r="K20" i="4"/>
  <c r="E29" i="4" s="1"/>
  <c r="K29" i="4" s="1"/>
  <c r="M29" i="4" s="1"/>
  <c r="L20" i="4"/>
  <c r="N20" i="4"/>
  <c r="P20" i="4"/>
  <c r="Q20" i="4"/>
  <c r="R20" i="4"/>
  <c r="S20" i="4"/>
  <c r="T20" i="4"/>
  <c r="U20" i="4"/>
  <c r="V20" i="4"/>
  <c r="W20" i="4"/>
  <c r="X20" i="4"/>
  <c r="Y20" i="4"/>
  <c r="Z20" i="4"/>
  <c r="AA20" i="4"/>
  <c r="AB20" i="4"/>
  <c r="AD20" i="4"/>
  <c r="AH20" i="4"/>
  <c r="AI20" i="4"/>
  <c r="AJ20" i="4"/>
  <c r="AK20" i="4"/>
  <c r="AL20" i="4"/>
  <c r="AM20" i="4"/>
  <c r="AN20" i="4"/>
  <c r="AO20" i="4"/>
  <c r="AP20" i="4"/>
  <c r="AQ20" i="4"/>
  <c r="AR20" i="4"/>
  <c r="AS20" i="4"/>
  <c r="AT20" i="4"/>
  <c r="AU20" i="4"/>
  <c r="AV20" i="4"/>
  <c r="AW20" i="4"/>
  <c r="AX20" i="4"/>
  <c r="AY20" i="4"/>
  <c r="AZ20" i="4"/>
  <c r="BA20" i="4"/>
  <c r="BB20" i="4"/>
  <c r="BC20" i="4"/>
  <c r="BD20" i="4"/>
  <c r="BE20" i="4"/>
  <c r="BF20" i="4"/>
  <c r="BG20" i="4"/>
  <c r="BH20" i="4"/>
  <c r="BI20" i="4"/>
  <c r="BJ20" i="4"/>
  <c r="BK20" i="4"/>
  <c r="BM20" i="4"/>
  <c r="BN20" i="4"/>
  <c r="BO20" i="4"/>
  <c r="BP20" i="4"/>
  <c r="BQ20" i="4"/>
  <c r="BR20" i="4"/>
  <c r="BS20" i="4"/>
  <c r="BT20" i="4"/>
  <c r="CB20" i="4"/>
  <c r="A23" i="4"/>
  <c r="C23" i="4"/>
  <c r="D23" i="4"/>
  <c r="H23" i="4"/>
  <c r="L23" i="4"/>
  <c r="N23" i="4"/>
  <c r="P23" i="4"/>
  <c r="Q23" i="4"/>
  <c r="R23" i="4"/>
  <c r="S23" i="4"/>
  <c r="T23" i="4"/>
  <c r="U23" i="4"/>
  <c r="V23" i="4"/>
  <c r="W23" i="4"/>
  <c r="X23" i="4"/>
  <c r="Y23" i="4"/>
  <c r="Z23" i="4"/>
  <c r="AA23" i="4"/>
  <c r="AB23" i="4"/>
  <c r="AD23" i="4"/>
  <c r="AH23" i="4"/>
  <c r="AI23" i="4"/>
  <c r="AJ23" i="4"/>
  <c r="AK23" i="4"/>
  <c r="AL23" i="4"/>
  <c r="AM23" i="4"/>
  <c r="AN23" i="4"/>
  <c r="AO23" i="4"/>
  <c r="AP23" i="4"/>
  <c r="AQ23" i="4"/>
  <c r="AR23" i="4"/>
  <c r="AS23" i="4"/>
  <c r="AT23" i="4"/>
  <c r="AU23" i="4"/>
  <c r="AV23" i="4"/>
  <c r="AW23" i="4"/>
  <c r="AX23" i="4"/>
  <c r="AY23" i="4"/>
  <c r="AZ23" i="4"/>
  <c r="BA23" i="4"/>
  <c r="BB23" i="4"/>
  <c r="BC23" i="4"/>
  <c r="BD23" i="4"/>
  <c r="BE23" i="4"/>
  <c r="BF23" i="4"/>
  <c r="BG23" i="4"/>
  <c r="BH23" i="4"/>
  <c r="BI23" i="4"/>
  <c r="BJ23" i="4"/>
  <c r="BK23" i="4"/>
  <c r="BM23" i="4"/>
  <c r="BN23" i="4"/>
  <c r="BO23" i="4"/>
  <c r="BP23" i="4"/>
  <c r="BQ23" i="4"/>
  <c r="BR23" i="4"/>
  <c r="BS23" i="4"/>
  <c r="BT23" i="4"/>
  <c r="CB23" i="4"/>
  <c r="J43" i="4" l="1"/>
  <c r="M43" i="4" s="1"/>
  <c r="I43" i="4"/>
  <c r="D32" i="4"/>
  <c r="A39" i="6"/>
  <c r="AC29" i="4"/>
  <c r="BL29" i="4" s="1"/>
  <c r="BU29" i="4" s="1"/>
  <c r="AC33" i="4"/>
  <c r="BL33" i="4" s="1"/>
  <c r="BU33" i="4" s="1"/>
  <c r="D33" i="4"/>
  <c r="A40" i="6"/>
  <c r="D28" i="4"/>
  <c r="A35" i="6"/>
  <c r="AC32" i="4"/>
  <c r="BL32" i="4" s="1"/>
  <c r="BU32" i="4" s="1"/>
  <c r="D29" i="4"/>
  <c r="A36" i="6"/>
  <c r="AC28" i="4"/>
  <c r="BL28" i="4" s="1"/>
  <c r="BU28" i="4" s="1"/>
  <c r="AC31" i="4"/>
  <c r="BL31" i="4" s="1"/>
  <c r="BU31" i="4" s="1"/>
  <c r="D31" i="4"/>
  <c r="A38" i="6"/>
  <c r="L33" i="4"/>
  <c r="F24" i="4"/>
  <c r="F44" i="4" s="1"/>
  <c r="G44" i="4" s="1"/>
  <c r="L31" i="4"/>
  <c r="F22" i="4"/>
  <c r="F42" i="4" s="1"/>
  <c r="G42" i="4" s="1"/>
  <c r="L29" i="4"/>
  <c r="F20" i="4"/>
  <c r="F40" i="4" s="1"/>
  <c r="G40" i="4" s="1"/>
  <c r="L28" i="4"/>
  <c r="F19" i="4"/>
  <c r="F39" i="4" s="1"/>
  <c r="G39" i="4" s="1"/>
  <c r="BX17" i="4"/>
  <c r="BW17" i="4"/>
  <c r="BV17" i="4"/>
  <c r="B17" i="4"/>
  <c r="I44" i="4" l="1"/>
  <c r="J44" i="4"/>
  <c r="M44" i="4" s="1"/>
  <c r="I42" i="4"/>
  <c r="J42" i="4"/>
  <c r="M42" i="4" s="1"/>
  <c r="I40" i="4"/>
  <c r="J40" i="4"/>
  <c r="M40" i="4" s="1"/>
  <c r="J39" i="4"/>
  <c r="M39" i="4" s="1"/>
  <c r="I39" i="4"/>
  <c r="AB21" i="4"/>
  <c r="AA21" i="4"/>
  <c r="Z21" i="4"/>
  <c r="Y21" i="4"/>
  <c r="X21" i="4"/>
  <c r="W21" i="4"/>
  <c r="V21" i="4"/>
  <c r="U21" i="4"/>
  <c r="T21" i="4"/>
  <c r="S21" i="4"/>
  <c r="BT21" i="4"/>
  <c r="BS21" i="4"/>
  <c r="BR21" i="4"/>
  <c r="BQ21" i="4"/>
  <c r="BP21" i="4"/>
  <c r="BO21" i="4"/>
  <c r="BN21" i="4"/>
  <c r="BM21" i="4"/>
  <c r="BK21" i="4"/>
  <c r="BJ21" i="4"/>
  <c r="BI21" i="4"/>
  <c r="BH21" i="4"/>
  <c r="BG21" i="4"/>
  <c r="BF21" i="4"/>
  <c r="BE21" i="4"/>
  <c r="BD21" i="4"/>
  <c r="BC21" i="4"/>
  <c r="BB21" i="4"/>
  <c r="BA21" i="4"/>
  <c r="AZ21" i="4"/>
  <c r="AY21" i="4"/>
  <c r="AX21" i="4"/>
  <c r="AW21" i="4"/>
  <c r="AV21" i="4"/>
  <c r="AU21" i="4"/>
  <c r="AT21" i="4"/>
  <c r="AS21" i="4"/>
  <c r="AR21" i="4"/>
  <c r="AQ21" i="4"/>
  <c r="AP21" i="4"/>
  <c r="AO21" i="4"/>
  <c r="AN21" i="4"/>
  <c r="AM21" i="4"/>
  <c r="AL21" i="4"/>
  <c r="AK21" i="4"/>
  <c r="AJ21" i="4"/>
  <c r="AI21" i="4"/>
  <c r="AH21" i="4"/>
  <c r="AD21" i="4"/>
  <c r="N18" i="4"/>
  <c r="N21" i="4" l="1"/>
  <c r="R21" i="4"/>
  <c r="Q21" i="4"/>
  <c r="P21" i="4"/>
  <c r="AC30" i="4" s="1"/>
  <c r="BL30" i="4" s="1"/>
  <c r="BU30" i="4" s="1"/>
  <c r="N16" i="4"/>
  <c r="L21" i="4"/>
  <c r="K21" i="4"/>
  <c r="E30" i="4" s="1"/>
  <c r="K30" i="4" s="1"/>
  <c r="M30" i="4" s="1"/>
  <c r="H21" i="4"/>
  <c r="CB21" i="4"/>
  <c r="D21" i="4"/>
  <c r="C21" i="4"/>
  <c r="A21" i="4"/>
  <c r="D30" i="4" l="1"/>
  <c r="A37" i="6"/>
  <c r="L30" i="4"/>
  <c r="F21" i="4"/>
  <c r="F41" i="4" s="1"/>
  <c r="G41" i="4" s="1"/>
  <c r="CA24" i="4"/>
  <c r="CA23" i="4"/>
  <c r="CA20" i="4"/>
  <c r="CA19" i="4"/>
  <c r="CA22" i="4"/>
  <c r="CA21" i="4"/>
  <c r="I41" i="4" l="1"/>
  <c r="J41" i="4" s="1"/>
  <c r="M41" i="4" s="1"/>
  <c r="M45" i="4" s="1"/>
  <c r="CE22" i="4"/>
  <c r="CG22" i="4"/>
  <c r="CC22" i="4"/>
  <c r="CC19" i="4"/>
  <c r="CG19" i="4"/>
  <c r="CE19" i="4"/>
  <c r="CE23" i="4"/>
  <c r="CC23" i="4"/>
  <c r="CG23" i="4"/>
  <c r="CC20" i="4"/>
  <c r="CG20" i="4"/>
  <c r="CE20" i="4"/>
  <c r="CC24" i="4"/>
  <c r="CG24" i="4"/>
  <c r="CE24" i="4"/>
  <c r="CC21" i="4"/>
  <c r="CE21" i="4"/>
  <c r="CG21" i="4"/>
  <c r="CH22" i="4" l="1"/>
  <c r="CL22" i="4" s="1"/>
  <c r="CH20" i="4"/>
  <c r="CH24" i="4"/>
  <c r="CH23" i="4"/>
  <c r="CH19" i="4"/>
  <c r="CH21" i="4"/>
  <c r="CJ22" i="4" l="1"/>
  <c r="E22" i="4" s="1"/>
  <c r="CJ19" i="4"/>
  <c r="CL19" i="4"/>
  <c r="CL23" i="4"/>
  <c r="CJ23" i="4"/>
  <c r="CL20" i="4"/>
  <c r="CJ20" i="4"/>
  <c r="CJ24" i="4"/>
  <c r="CL24" i="4"/>
  <c r="CJ21" i="4"/>
  <c r="CL21" i="4"/>
  <c r="G22" i="4" l="1"/>
  <c r="I22" i="4" s="1"/>
  <c r="J22" i="4" s="1"/>
  <c r="M22" i="4" s="1"/>
  <c r="AL38" i="6"/>
  <c r="AP38" i="6" s="1"/>
  <c r="E20" i="4"/>
  <c r="E19" i="4"/>
  <c r="E23" i="4"/>
  <c r="E24" i="4"/>
  <c r="E21" i="4"/>
  <c r="AL37" i="6" s="1"/>
  <c r="AP37" i="6" s="1"/>
  <c r="G19" i="4" l="1"/>
  <c r="I19" i="4" s="1"/>
  <c r="J19" i="4" s="1"/>
  <c r="M19" i="4" s="1"/>
  <c r="AL35" i="6"/>
  <c r="AP35" i="6" s="1"/>
  <c r="G20" i="4"/>
  <c r="I20" i="4" s="1"/>
  <c r="J20" i="4" s="1"/>
  <c r="M20" i="4" s="1"/>
  <c r="AL36" i="6"/>
  <c r="AP36" i="6" s="1"/>
  <c r="G24" i="4"/>
  <c r="I24" i="4" s="1"/>
  <c r="J24" i="4" s="1"/>
  <c r="M24" i="4" s="1"/>
  <c r="AL40" i="6"/>
  <c r="AP40" i="6" s="1"/>
  <c r="G23" i="4"/>
  <c r="I23" i="4" s="1"/>
  <c r="J23" i="4" s="1"/>
  <c r="M23" i="4" s="1"/>
  <c r="AL39" i="6"/>
  <c r="AP39" i="6" s="1"/>
  <c r="G21" i="4"/>
  <c r="I21" i="4" s="1"/>
  <c r="J21" i="4" s="1"/>
  <c r="M21" i="4" s="1"/>
  <c r="M25" i="4" l="1"/>
  <c r="M46"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7" authorId="0" shapeId="0" xr:uid="{21097430-21F1-417B-A9BC-1CCEB792BCA6}">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<sst xmlns="http://schemas.openxmlformats.org/spreadsheetml/2006/main" count="427" uniqueCount="312">
  <si>
    <t>DOCKET NO.</t>
  </si>
  <si>
    <t>ITEM CODE</t>
  </si>
  <si>
    <t>PROPOSE ERP ITEM NAME</t>
  </si>
  <si>
    <t>Insulation Screening (Metallic)</t>
  </si>
  <si>
    <t>Weight (Insulation Screening (Metallic))</t>
  </si>
  <si>
    <t>Conductor</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</si>
  <si>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</si>
  <si>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</si>
  <si>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</si>
  <si>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</si>
  <si>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</si>
  <si>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</si>
  <si>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</si>
  <si>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</si>
  <si>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</si>
  <si>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</si>
  <si>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</si>
  <si>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</si>
  <si>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</si>
  <si>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</si>
  <si>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</si>
  <si>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</si>
  <si>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</si>
  <si>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</si>
  <si>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FIRM %</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</si>
  <si>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</si>
  <si>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</si>
  <si>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</si>
  <si>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</si>
  <si>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</si>
  <si>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</si>
  <si>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</si>
  <si>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</si>
  <si>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</si>
  <si>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</si>
  <si>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</si>
  <si>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</si>
  <si>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</si>
  <si>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</si>
  <si>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</si>
  <si>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</si>
  <si>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</si>
  <si>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</si>
  <si>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</si>
  <si>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</si>
  <si>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</si>
  <si>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</si>
  <si>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</si>
  <si>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</si>
  <si>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</si>
  <si>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</si>
  <si>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</si>
  <si>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</si>
  <si>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</si>
  <si>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</si>
  <si>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</si>
  <si>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</si>
  <si>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</si>
  <si>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</si>
  <si>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</si>
  <si>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</si>
  <si>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</si>
  <si>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</si>
  <si>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</si>
  <si>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</si>
  <si>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</si>
  <si>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</si>
  <si>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</si>
  <si>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</si>
  <si>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</si>
  <si>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</si>
  <si>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</si>
  <si>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</si>
  <si>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</si>
  <si>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</si>
  <si>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</si>
  <si>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</si>
  <si>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</si>
  <si>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</si>
  <si>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</si>
  <si>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</si>
  <si>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</si>
  <si>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</si>
  <si>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</si>
  <si>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</si>
  <si>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</si>
  <si>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</si>
  <si>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</si>
  <si>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</si>
  <si>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</si>
  <si>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</si>
  <si>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</si>
  <si>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</si>
  <si>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</si>
  <si>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</si>
  <si>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</si>
  <si>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</si>
  <si>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</si>
  <si>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</si>
  <si>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DRUM CODE</t>
  </si>
  <si>
    <t>DRUM SIZE (FxbXtx Ft)</t>
  </si>
  <si>
    <t xml:space="preserve">Rate Contract for Supply Covered Conductor for TPCODL, TPNODL, TPSODL &amp; TPWODL. </t>
  </si>
  <si>
    <t xml:space="preserve"> TPCODL / CCG / 23-24 / 1000001765 </t>
  </si>
  <si>
    <t xml:space="preserve">Tata Power Odisha DISCOMs </t>
  </si>
  <si>
    <t xml:space="preserve">No. of bidders allowed to participate in RA process shall be: Total No. of bidders on whom tender would be split PLUS 2 more bidders.  Illustrative example: Total no. of qualified bidders is 10 &amp; tender needs to split amongst 4 bidders.  PLUS 2 means (04 + 02 = 06) means lowest 6 bidders i.e., L1 to L6 bidders would be allowed in the RA process. Balance, H1 to H4 bidders would not be allowed in the RA process. </t>
  </si>
  <si>
    <t xml:space="preserve">Bids shall remain valid for 180 days from the due date of submission of the bid. Notwithstanding clause above, CCG may solicit the Bidder’s consent to an extension of the Period of Bid Validity. The request and responses thereto shall be made in writing. </t>
  </si>
  <si>
    <t xml:space="preserve">Delivery Period shall be 60 Days from date of receipt of release order / CAT-A GTP approval, whichever is later.  </t>
  </si>
  <si>
    <t xml:space="preserve">Standard Packing length - 1000 (+/- 5%) as per PO terms </t>
  </si>
  <si>
    <t xml:space="preserve">The Conductor shall be wound on wooden/STEEL drums and packed in line with requirements of IS 10418- 1982. The ends of the Conductor shall be sealed by means of non-hygroscopic sealing material. Heat or cold Shrinkable end caps with sealant shall be used for effectively sealing the end terminals of the covered conductor. The inner diameter range of cap shall be such that it shall tightly fit to the covered conductors to prevent moisture ingress. </t>
  </si>
  <si>
    <t>Propose Drum Type</t>
  </si>
  <si>
    <t>Insulation Screening(Metallic)</t>
  </si>
  <si>
    <t>RM Rate(Insulation Screening(Metallic))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</si>
  <si>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</si>
  <si>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</si>
  <si>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</si>
  <si>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</si>
  <si>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</si>
  <si>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</si>
  <si>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</si>
  <si>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</si>
  <si>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</si>
  <si>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</si>
  <si>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</si>
  <si>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</si>
  <si>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</si>
  <si>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</si>
  <si>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</si>
  <si>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</si>
  <si>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</si>
  <si>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</si>
  <si>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</si>
  <si>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</si>
  <si>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</si>
  <si>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</si>
  <si>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</si>
  <si>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</si>
  <si>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</si>
  <si>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</si>
  <si>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</si>
  <si>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</si>
  <si>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</si>
  <si>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</si>
  <si>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</si>
  <si>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</si>
  <si>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</si>
  <si>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</si>
  <si>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</si>
  <si>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</si>
  <si>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</si>
  <si>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</si>
  <si>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</si>
  <si>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</si>
  <si>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</si>
  <si>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</si>
  <si>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</si>
  <si>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</si>
  <si>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</si>
  <si>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</si>
  <si>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</si>
  <si>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</si>
  <si>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</si>
  <si>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</si>
  <si>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</si>
  <si>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</si>
  <si>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</si>
  <si>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</si>
  <si>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</si>
  <si>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</si>
  <si>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</si>
  <si>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</si>
  <si>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</si>
  <si>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</si>
  <si>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</si>
  <si>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</si>
  <si>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</si>
  <si>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Value</t>
  </si>
  <si>
    <t>MFG Value</t>
  </si>
  <si>
    <t>Profit Value</t>
  </si>
  <si>
    <t>1st EX-Works</t>
  </si>
  <si>
    <t>Intt Value</t>
  </si>
  <si>
    <t>Insp Value</t>
  </si>
  <si>
    <t>EX-Works Per KM</t>
  </si>
  <si>
    <t>Freight Per KM</t>
  </si>
  <si>
    <t>Price Including Freight Per KM</t>
  </si>
  <si>
    <t>GST Value</t>
  </si>
  <si>
    <t>Price Including GST &amp; Freight Per KM</t>
  </si>
  <si>
    <t>Total Price Of Full QTY(Including Freight&amp;GST)</t>
  </si>
  <si>
    <t>Party Standard Length(MTR)</t>
  </si>
  <si>
    <t>ENQ-15214-22-23</t>
  </si>
  <si>
    <t>FA2900004</t>
  </si>
  <si>
    <t>COVERED CONDUCTOR - 1 CORE x 100 SQ. MM. (AAAC) - 11KV</t>
  </si>
  <si>
    <t>WOOD</t>
  </si>
  <si>
    <t>Alumimium Alloy</t>
  </si>
  <si>
    <t>Extruded Semiconductive</t>
  </si>
  <si>
    <t>KMS</t>
  </si>
  <si>
    <t>MD0100075</t>
  </si>
  <si>
    <t>DRUM - 42 X 15 X 23 X 2 (LOMBU)</t>
  </si>
  <si>
    <t>FA2900008</t>
  </si>
  <si>
    <t>COVERED CONDUCTOR - 1 CORE X 99 SQ. MM. (AAAC) - 33 KV</t>
  </si>
  <si>
    <t>MD0100015</t>
  </si>
  <si>
    <t>DRUM - 48 X 20 X 28 X 2.25</t>
  </si>
  <si>
    <t>FA2900029</t>
  </si>
  <si>
    <t>COVERED CONDUCTOR - 1 CORE X 55 SQ. MM. (AAAC) - 11 KV</t>
  </si>
  <si>
    <t>MD0100005</t>
  </si>
  <si>
    <t>DRUM - 36 X 14 X 23 X 2</t>
  </si>
  <si>
    <t>FA2900032</t>
  </si>
  <si>
    <t>COVERED CONDUCTOR - 1 CORE X 232 SQ. MM. (AAAC) - 33 KV</t>
  </si>
  <si>
    <t>MD0100019</t>
  </si>
  <si>
    <t>DRUM - 54 X 24 X 32 X 3</t>
  </si>
  <si>
    <t>FA2900034</t>
  </si>
  <si>
    <t>COVERED CONDUCTOR - 1 CORE X 80 SQ. MM. (AAAC) - 11 KV</t>
  </si>
  <si>
    <t>MD0100085</t>
  </si>
  <si>
    <t>DRUM - 43 X 15 X 28 X 2.25</t>
  </si>
  <si>
    <t>FA2900014</t>
  </si>
  <si>
    <t>COVERED CONDUCTOR - 1 CORE x 150 SQ. MM. (XLPE) (AAAC) - 33 KV</t>
  </si>
  <si>
    <t>MD0100099</t>
  </si>
  <si>
    <t>DRUM - 48 X 14 X 36 X 2.25 (LOMBU)</t>
  </si>
  <si>
    <t>AL 59</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</si>
  <si>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</si>
  <si>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</si>
  <si>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</si>
  <si>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</si>
  <si>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</si>
  <si>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</si>
  <si>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</si>
  <si>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</si>
  <si>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</si>
  <si>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</si>
  <si>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PV Terms</t>
  </si>
  <si>
    <t>PV FORMULA</t>
  </si>
  <si>
    <t>P=Po + WAL(AL-Alo)+WA(AL-Alo)+WF(FE-Feo)+WSc(SC-Sco)+WI(IN-Ino)+WO(IN-Ino)</t>
  </si>
  <si>
    <t>P = Ex-works price payable in Rs. per km as adjusted in accordance with the price variation clause</t>
  </si>
  <si>
    <t>Po = Ex-works price quoted/confirmed in Rs. per km.</t>
  </si>
  <si>
    <t>WA = Variation factor of Aluminium in MV Covered Conductor as per the type of MVC conductor</t>
  </si>
  <si>
    <t>WAL = Variation factor of AL-59 in MV Covered Conductor as per the type of MVC conductor</t>
  </si>
  <si>
    <t>ALo = Price of LME CSP Average of Aluminium. This price is as applicable for the month, ONE month prior to the date of tender opening.</t>
  </si>
  <si>
    <t>AL = Price of LME CSP Average of Aluminium. This price is as applicable for the month, ONE month prior to the date of delivery.</t>
  </si>
  <si>
    <t>WF = Variation factor of Steel Content in ACSR and AL-59 ACS MVC Conductor as per the type of MVC conductor</t>
  </si>
  <si>
    <t>FEo = Price of High Tensile Galvanized Steel Wire in Rs./MT of appropriate size. This price is as applicable for the month, ONE month prior to the date of tender opening.</t>
  </si>
  <si>
    <t>FE = Price of High Tensile Galvanized Steel Wire in Rs./MT of appropriate size. This price is as applicable for the month, ONE month prior to the date of delivery.</t>
  </si>
  <si>
    <t>WSc = Variation factor of Semiconducting conductor screening as per the type of MVC Conductor</t>
  </si>
  <si>
    <t>WI = Variation factor of inner insulation as per the type of MVC conductor</t>
  </si>
  <si>
    <t>WO = Variation factor of outer insulation as per the type of MVC conductor</t>
  </si>
  <si>
    <t>SCo = Price of Semiconducting conductor screening in Rs./MT. This price is as applicable for the month, ONE month prior to the date of tender opening.</t>
  </si>
  <si>
    <t>SC = Price of Semiconducting conductor screening in Rs./MT. This price is as applicable for the month, ONE month prior to the date of delivery.</t>
  </si>
  <si>
    <t>INo = Price of XLPE Compound/ Polymeric Compound (HDPE) as used for inner/outer insulation in Rs./MT. This price is as applicable for the month, ONE month prior to the date of tender opening.</t>
  </si>
  <si>
    <t>IN = Price of XLPE Compound/ Polymeric Compound (HDPE) as used for inner/outer insulation in Rs./MT.  This price is as applicable for the month, ONE month prior to the date of delivery.</t>
  </si>
  <si>
    <t>Item</t>
  </si>
  <si>
    <t>Calculation part</t>
  </si>
  <si>
    <t>Date of Inspection</t>
  </si>
  <si>
    <t>Applicable Date</t>
  </si>
  <si>
    <t>BASE DATE</t>
  </si>
  <si>
    <t>FACTORS</t>
  </si>
  <si>
    <t>Ex-Work
Po</t>
  </si>
  <si>
    <t>PVC of WAL</t>
  </si>
  <si>
    <t>PVC of WA</t>
  </si>
  <si>
    <t>PVC of WF</t>
  </si>
  <si>
    <t>PVC of WSC</t>
  </si>
  <si>
    <t>PVC of WI</t>
  </si>
  <si>
    <t>PVC of WO</t>
  </si>
  <si>
    <t>PVC per KM</t>
  </si>
  <si>
    <t>Billing Price/PKM</t>
  </si>
  <si>
    <t>VALUE ADDITION CALCULATION</t>
  </si>
  <si>
    <t>Date</t>
  </si>
  <si>
    <t>Al</t>
  </si>
  <si>
    <t>FE</t>
  </si>
  <si>
    <t>SC</t>
  </si>
  <si>
    <t>IN</t>
  </si>
  <si>
    <t>Alo</t>
  </si>
  <si>
    <t>FEo</t>
  </si>
  <si>
    <t>SCo</t>
  </si>
  <si>
    <t>INo</t>
  </si>
  <si>
    <t>WAL</t>
  </si>
  <si>
    <t>WA</t>
  </si>
  <si>
    <t>WF</t>
  </si>
  <si>
    <t>WSC</t>
  </si>
  <si>
    <t>WI</t>
  </si>
  <si>
    <t>WO</t>
  </si>
  <si>
    <t>RMC</t>
  </si>
  <si>
    <t>Drum</t>
  </si>
  <si>
    <t>VA</t>
  </si>
  <si>
    <t>Groos VA%</t>
  </si>
  <si>
    <t>Mfg %</t>
  </si>
  <si>
    <t>Int %</t>
  </si>
  <si>
    <t>Ins%</t>
  </si>
  <si>
    <t>Net VA</t>
  </si>
  <si>
    <t>PROVISIONAL</t>
  </si>
  <si>
    <t>The line-item prices shall be subject to Price variation clause as per latest IEEMA circular for Medium Voltage Covered Conductors.</t>
  </si>
  <si>
    <t>28-02-2025; 17:00 Hrs.</t>
  </si>
  <si>
    <t>SP0400144</t>
  </si>
  <si>
    <t>CORRUGATED DISPATCH STEEL DRUM 1060 X 600 X 965 MM</t>
  </si>
  <si>
    <t>SP0400124</t>
  </si>
  <si>
    <t>CORRUGATED DISPATCH STEEL DRUM 1220 X 550 X 915 MM</t>
  </si>
  <si>
    <t>SP0400152</t>
  </si>
  <si>
    <t>CORRUGATED DISPATCH STEEL DRUM 1500 X 800 X 915</t>
  </si>
  <si>
    <t>STEEL</t>
  </si>
  <si>
    <t>RMC+DRUM</t>
  </si>
  <si>
    <t>CABLE WEIGHT KG/KM</t>
  </si>
  <si>
    <t>DRUM WEIGHT</t>
  </si>
  <si>
    <t>CABLE+DRUM WEIGHT</t>
  </si>
  <si>
    <t>TRUCK WEIGHT</t>
  </si>
  <si>
    <t>SOMBHU SIR CONFIRMED OVER PHONE</t>
  </si>
  <si>
    <t>EX-WORKS (PER MTR)</t>
  </si>
  <si>
    <t>FREIGHT PER MTR</t>
  </si>
  <si>
    <t>PRICE INCLUDING FREIGHT (PER MTR)</t>
  </si>
  <si>
    <t>MTR</t>
  </si>
  <si>
    <t>16MT Truck fare</t>
  </si>
  <si>
    <t>Bhubaneswar</t>
  </si>
  <si>
    <t>Balia</t>
  </si>
  <si>
    <t>Berhampur</t>
  </si>
  <si>
    <t>Burla</t>
  </si>
  <si>
    <t>Average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</si>
</sst>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 #,##0.00_ ;_ * \-#,##0.00_ ;_ * &quot;-&quot;??_ ;_ @_ "/>
    <numFmt numFmtId="165" formatCode="0.000%"/>
    <numFmt numFmtId="166" formatCode="&quot;Rs.&quot;#,##0"/>
    <numFmt numFmtId="167" formatCode="0.0"/>
    <numFmt numFmtId="168" formatCode="0.0000"/>
    <numFmt numFmtId="169" formatCode="&quot;Rs.&quot;#,##0.00"/>
  </numFmts>
  <fonts count="20"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sz val="10"/>
      <name val="Verdana"/>
      <family val="2"/>
    </font>
    <font>
      <sz val="10"/>
      <name val="Calibri"/>
      <family val="2"/>
      <scheme val="minor"/>
    </font>
    <font>
      <b/>
      <sz val="10"/>
      <name val="Calibri"/>
      <family val="2"/>
      <scheme val="minor"/>
    </font>
    <font>
      <b/>
      <sz val="10"/>
      <name val="Arial"/>
      <family val="2"/>
    </font>
    <font>
      <sz val="10"/>
      <color rgb="FFFF0000"/>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xf numFmtId="9" fontId="11" fillId="0" borderId="0" applyFont="0" applyFill="0" applyBorder="0" applyAlignment="0" applyProtection="0"/>
  </cellStyleXfs>
  <cellXfs count="191">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0" fontId="11" fillId="0" borderId="1" xfId="4" applyBorder="1" applyAlignment="1">
      <alignment vertical="center"/>
    </xf>
    <xf numFmtId="14" fontId="15" fillId="0" borderId="0" xfId="4" applyNumberFormat="1" applyFont="1" applyAlignment="1">
      <alignment horizontal="center" vertical="center"/>
    </xf>
    <xf numFmtId="0" fontId="16" fillId="0" borderId="0" xfId="4" applyFont="1" applyAlignment="1">
      <alignment horizontal="center"/>
    </xf>
    <xf numFmtId="0" fontId="16" fillId="0" borderId="0" xfId="6" applyFont="1"/>
    <xf numFmtId="0" fontId="11" fillId="0" borderId="0" xfId="4"/>
    <xf numFmtId="0" fontId="17" fillId="0" borderId="10" xfId="4" applyFont="1" applyBorder="1" applyAlignment="1">
      <alignment vertical="center" wrapText="1"/>
    </xf>
    <xf numFmtId="0" fontId="10" fillId="0" borderId="0" xfId="4" applyFont="1" applyAlignment="1">
      <alignment horizontal="left" vertical="top" wrapText="1"/>
    </xf>
    <xf numFmtId="0" fontId="3" fillId="0" borderId="0" xfId="4" applyFont="1" applyAlignment="1">
      <alignment vertical="center"/>
    </xf>
    <xf numFmtId="0" fontId="17" fillId="0" borderId="0" xfId="4" applyFont="1" applyAlignment="1">
      <alignment horizontal="center"/>
    </xf>
    <xf numFmtId="0" fontId="17" fillId="0" borderId="0" xfId="4" applyFont="1" applyAlignment="1">
      <alignment vertical="top"/>
    </xf>
    <xf numFmtId="0" fontId="17" fillId="0" borderId="0" xfId="4" applyFont="1" applyAlignment="1">
      <alignment horizontal="center" vertical="center"/>
    </xf>
    <xf numFmtId="0" fontId="17" fillId="0" borderId="0" xfId="4" applyFont="1" applyAlignment="1">
      <alignment vertical="center" wrapText="1"/>
    </xf>
    <xf numFmtId="0" fontId="17" fillId="0" borderId="0" xfId="4" applyFont="1" applyAlignment="1">
      <alignment vertical="center"/>
    </xf>
    <xf numFmtId="14" fontId="16" fillId="0" borderId="0" xfId="4" applyNumberFormat="1" applyFont="1" applyAlignment="1">
      <alignment horizontal="center"/>
    </xf>
    <xf numFmtId="0" fontId="17" fillId="0" borderId="1" xfId="6" applyFont="1" applyBorder="1" applyAlignment="1">
      <alignment horizontal="center" vertical="center" wrapText="1"/>
    </xf>
    <xf numFmtId="2" fontId="17" fillId="0" borderId="6" xfId="6" applyNumberFormat="1" applyFont="1" applyBorder="1" applyAlignment="1">
      <alignment horizontal="center" vertical="center" wrapText="1"/>
    </xf>
    <xf numFmtId="2" fontId="17" fillId="0" borderId="1" xfId="6" applyNumberFormat="1" applyFont="1" applyBorder="1" applyAlignment="1">
      <alignment horizontal="center" vertical="center" wrapText="1"/>
    </xf>
    <xf numFmtId="2" fontId="17" fillId="0" borderId="17" xfId="6" applyNumberFormat="1" applyFont="1" applyBorder="1" applyAlignment="1">
      <alignment horizontal="center" vertical="center" wrapText="1"/>
    </xf>
    <xf numFmtId="0" fontId="5" fillId="3" borderId="5" xfId="0" applyFont="1" applyFill="1" applyBorder="1" applyAlignment="1">
      <alignment vertical="center" wrapText="1"/>
    </xf>
    <xf numFmtId="0" fontId="7" fillId="2" borderId="12" xfId="3" applyFont="1" applyFill="1" applyBorder="1" applyAlignment="1">
      <alignment vertical="center" wrapText="1"/>
    </xf>
    <xf numFmtId="0" fontId="7" fillId="2" borderId="15" xfId="3" applyFont="1" applyFill="1" applyBorder="1" applyAlignment="1">
      <alignment vertical="center" wrapText="1"/>
    </xf>
    <xf numFmtId="0" fontId="18" fillId="0" borderId="5" xfId="6" applyFont="1" applyBorder="1" applyAlignment="1">
      <alignment horizontal="center" vertical="center" wrapText="1"/>
    </xf>
    <xf numFmtId="0" fontId="18" fillId="0" borderId="12" xfId="6" applyFont="1" applyBorder="1" applyAlignment="1">
      <alignment horizontal="center" vertical="center" wrapText="1"/>
    </xf>
    <xf numFmtId="0" fontId="18" fillId="0" borderId="14" xfId="6" applyFont="1" applyBorder="1" applyAlignment="1">
      <alignment horizontal="center" vertical="center" wrapText="1"/>
    </xf>
    <xf numFmtId="0" fontId="18" fillId="0" borderId="11" xfId="6" applyFont="1" applyBorder="1" applyAlignment="1">
      <alignment horizontal="center" vertical="center" wrapText="1"/>
    </xf>
    <xf numFmtId="0" fontId="11" fillId="0" borderId="16" xfId="4" applyBorder="1"/>
    <xf numFmtId="0" fontId="16" fillId="0" borderId="16" xfId="6" applyFont="1" applyBorder="1"/>
    <xf numFmtId="0" fontId="16" fillId="0" borderId="6" xfId="6" applyFont="1" applyBorder="1" applyAlignment="1">
      <alignment horizontal="left" vertical="center" wrapText="1"/>
    </xf>
    <xf numFmtId="14" fontId="16" fillId="0" borderId="1" xfId="6" applyNumberFormat="1" applyFont="1" applyBorder="1" applyAlignment="1">
      <alignment horizontal="center" vertical="center" wrapText="1"/>
    </xf>
    <xf numFmtId="14" fontId="16" fillId="0" borderId="2" xfId="6" applyNumberFormat="1" applyFont="1" applyBorder="1" applyAlignment="1">
      <alignment horizontal="center" vertical="center" wrapText="1"/>
    </xf>
    <xf numFmtId="14" fontId="16" fillId="0" borderId="17" xfId="6" applyNumberFormat="1" applyFont="1" applyBorder="1" applyAlignment="1">
      <alignment horizontal="center" vertical="center" wrapText="1"/>
    </xf>
    <xf numFmtId="14" fontId="16" fillId="0" borderId="6" xfId="6" applyNumberFormat="1" applyFont="1" applyBorder="1" applyAlignment="1">
      <alignment horizontal="center" vertical="center" wrapText="1"/>
    </xf>
    <xf numFmtId="0" fontId="16" fillId="0" borderId="17" xfId="6" applyFont="1" applyBorder="1" applyAlignment="1">
      <alignment horizontal="center" vertical="center" wrapText="1"/>
    </xf>
    <xf numFmtId="0" fontId="16" fillId="0" borderId="16" xfId="6" applyFont="1" applyBorder="1" applyAlignment="1">
      <alignment horizontal="center" vertical="center" wrapText="1"/>
    </xf>
    <xf numFmtId="166" fontId="18" fillId="0" borderId="6" xfId="6" applyNumberFormat="1" applyFont="1" applyBorder="1" applyAlignment="1">
      <alignment horizontal="center" vertical="center" wrapText="1"/>
    </xf>
    <xf numFmtId="166" fontId="18" fillId="0" borderId="1" xfId="6" applyNumberFormat="1" applyFont="1" applyBorder="1" applyAlignment="1">
      <alignment horizontal="center" vertical="center" wrapText="1"/>
    </xf>
    <xf numFmtId="166" fontId="18" fillId="0" borderId="4" xfId="6" applyNumberFormat="1" applyFont="1" applyBorder="1" applyAlignment="1">
      <alignment horizontal="center" vertical="center" wrapText="1"/>
    </xf>
    <xf numFmtId="1" fontId="12" fillId="0" borderId="6" xfId="6" applyNumberFormat="1" applyBorder="1"/>
    <xf numFmtId="1" fontId="12" fillId="0" borderId="1" xfId="6" applyNumberFormat="1" applyBorder="1"/>
    <xf numFmtId="1" fontId="12" fillId="0" borderId="17" xfId="6" applyNumberFormat="1" applyBorder="1"/>
    <xf numFmtId="1" fontId="12" fillId="0" borderId="16" xfId="6" applyNumberFormat="1" applyBorder="1"/>
    <xf numFmtId="1" fontId="18" fillId="0" borderId="6" xfId="6" applyNumberFormat="1" applyFont="1" applyBorder="1"/>
    <xf numFmtId="1" fontId="12" fillId="0" borderId="1" xfId="6" applyNumberFormat="1" applyBorder="1" applyAlignment="1">
      <alignment horizontal="center"/>
    </xf>
    <xf numFmtId="0" fontId="12" fillId="0" borderId="17" xfId="6" applyBorder="1"/>
    <xf numFmtId="0" fontId="11" fillId="0" borderId="16" xfId="4" applyBorder="1" applyAlignment="1">
      <alignment horizontal="center" wrapText="1"/>
    </xf>
    <xf numFmtId="0" fontId="11" fillId="0" borderId="16" xfId="4" applyBorder="1" applyAlignment="1">
      <alignment wrapText="1"/>
    </xf>
    <xf numFmtId="14" fontId="16" fillId="0" borderId="16" xfId="6" applyNumberFormat="1" applyFont="1" applyBorder="1" applyAlignment="1">
      <alignment horizontal="center" vertical="center" wrapText="1"/>
    </xf>
    <xf numFmtId="14" fontId="17" fillId="8" borderId="6" xfId="6" applyNumberFormat="1" applyFont="1" applyFill="1" applyBorder="1" applyAlignment="1">
      <alignment horizontal="center" vertical="center" wrapText="1"/>
    </xf>
    <xf numFmtId="167" fontId="16" fillId="0" borderId="1" xfId="6" applyNumberFormat="1" applyFont="1" applyBorder="1" applyAlignment="1">
      <alignment horizontal="center" vertical="center" wrapText="1"/>
    </xf>
    <xf numFmtId="167" fontId="16" fillId="0" borderId="2" xfId="6" applyNumberFormat="1" applyFont="1" applyBorder="1" applyAlignment="1">
      <alignment horizontal="center" vertical="center" wrapText="1"/>
    </xf>
    <xf numFmtId="167" fontId="16" fillId="0" borderId="17" xfId="6" applyNumberFormat="1" applyFont="1" applyBorder="1" applyAlignment="1">
      <alignment horizontal="center" vertical="center" wrapText="1"/>
    </xf>
    <xf numFmtId="168" fontId="16" fillId="0" borderId="6" xfId="6" applyNumberFormat="1" applyFont="1" applyBorder="1" applyAlignment="1">
      <alignment horizontal="center" vertical="center" wrapText="1"/>
    </xf>
    <xf numFmtId="168" fontId="16" fillId="0" borderId="1" xfId="6" applyNumberFormat="1" applyFont="1" applyBorder="1" applyAlignment="1">
      <alignment horizontal="center" vertical="center" wrapText="1"/>
    </xf>
    <xf numFmtId="168" fontId="16" fillId="0" borderId="17" xfId="6" applyNumberFormat="1" applyFont="1" applyBorder="1" applyAlignment="1">
      <alignment horizontal="center" vertical="center" wrapText="1"/>
    </xf>
    <xf numFmtId="2" fontId="16" fillId="0" borderId="6" xfId="6" applyNumberFormat="1" applyFont="1" applyBorder="1" applyAlignment="1">
      <alignment horizontal="center" vertical="center" wrapText="1"/>
    </xf>
    <xf numFmtId="168" fontId="16" fillId="0" borderId="1" xfId="6" applyNumberFormat="1" applyFont="1" applyBorder="1" applyAlignment="1">
      <alignment vertical="center" wrapText="1"/>
    </xf>
    <xf numFmtId="2" fontId="16" fillId="9" borderId="17" xfId="6" applyNumberFormat="1" applyFont="1" applyFill="1" applyBorder="1" applyAlignment="1">
      <alignment horizontal="center" vertical="center" wrapText="1"/>
    </xf>
    <xf numFmtId="2" fontId="16" fillId="10" borderId="16" xfId="6" applyNumberFormat="1" applyFont="1" applyFill="1" applyBorder="1" applyAlignment="1">
      <alignment horizontal="center" vertical="center" wrapText="1"/>
    </xf>
    <xf numFmtId="2" fontId="12" fillId="0" borderId="6" xfId="6" applyNumberFormat="1" applyBorder="1" applyAlignment="1">
      <alignment horizontal="center" vertical="center"/>
    </xf>
    <xf numFmtId="2" fontId="12" fillId="0" borderId="1" xfId="6" applyNumberFormat="1" applyBorder="1" applyAlignment="1">
      <alignment horizontal="center" vertical="center"/>
    </xf>
    <xf numFmtId="2" fontId="12" fillId="0" borderId="4" xfId="6" applyNumberFormat="1" applyBorder="1" applyAlignment="1">
      <alignment horizontal="center" vertical="center"/>
    </xf>
    <xf numFmtId="169" fontId="18" fillId="0" borderId="6" xfId="6" applyNumberFormat="1" applyFont="1" applyBorder="1" applyAlignment="1">
      <alignment vertical="center"/>
    </xf>
    <xf numFmtId="169" fontId="12" fillId="0" borderId="1" xfId="6" applyNumberFormat="1" applyBorder="1" applyAlignment="1">
      <alignment vertical="center"/>
    </xf>
    <xf numFmtId="169" fontId="18" fillId="0" borderId="17" xfId="6" applyNumberFormat="1" applyFont="1" applyBorder="1" applyAlignment="1">
      <alignment vertical="center"/>
    </xf>
    <xf numFmtId="169" fontId="12" fillId="0" borderId="16" xfId="6" applyNumberFormat="1" applyBorder="1" applyAlignment="1">
      <alignment vertical="center"/>
    </xf>
    <xf numFmtId="10" fontId="15" fillId="0" borderId="6" xfId="8" applyNumberFormat="1" applyFont="1" applyFill="1" applyBorder="1" applyAlignment="1">
      <alignment vertical="center"/>
    </xf>
    <xf numFmtId="10" fontId="12" fillId="0" borderId="1" xfId="6" applyNumberFormat="1" applyBorder="1" applyAlignment="1">
      <alignment vertical="center"/>
    </xf>
    <xf numFmtId="10" fontId="15" fillId="0" borderId="17" xfId="6" applyNumberFormat="1" applyFont="1" applyBorder="1" applyAlignment="1">
      <alignment vertical="center"/>
    </xf>
    <xf numFmtId="0" fontId="11" fillId="0" borderId="0" xfId="4" applyAlignment="1">
      <alignment wrapText="1"/>
    </xf>
    <xf numFmtId="168" fontId="16" fillId="0" borderId="4" xfId="6" applyNumberFormat="1" applyFont="1" applyBorder="1" applyAlignment="1">
      <alignment horizontal="center" vertical="center" wrapText="1"/>
    </xf>
    <xf numFmtId="167" fontId="19" fillId="0" borderId="1" xfId="6" applyNumberFormat="1" applyFont="1" applyBorder="1" applyAlignment="1">
      <alignment horizontal="center" vertical="center" wrapText="1"/>
    </xf>
    <xf numFmtId="43" fontId="0" fillId="0" borderId="1" xfId="0" applyNumberFormat="1" applyBorder="1" applyAlignment="1">
      <alignment wrapText="1"/>
    </xf>
    <xf numFmtId="0" fontId="2" fillId="11" borderId="1" xfId="0" applyFont="1" applyFill="1" applyBorder="1" applyAlignment="1">
      <alignment horizontal="center" vertical="center" wrapText="1"/>
    </xf>
    <xf numFmtId="0" fontId="2" fillId="11" borderId="1" xfId="0" applyFont="1" applyFill="1" applyBorder="1" applyAlignment="1">
      <alignment horizontal="center" vertical="center"/>
    </xf>
    <xf numFmtId="0" fontId="3" fillId="11" borderId="1" xfId="0" applyFont="1" applyFill="1" applyBorder="1" applyAlignment="1">
      <alignment horizontal="center" vertical="center" wrapText="1"/>
    </xf>
    <xf numFmtId="43" fontId="0" fillId="0" borderId="0" xfId="0" applyNumberFormat="1" applyAlignment="1">
      <alignment wrapText="1"/>
    </xf>
    <xf numFmtId="164" fontId="0" fillId="0" borderId="0" xfId="0" applyNumberFormat="1"/>
    <xf numFmtId="43" fontId="0" fillId="0" borderId="0" xfId="0" applyNumberFormat="1"/>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7" fillId="0" borderId="0" xfId="4" applyFont="1" applyAlignment="1">
      <alignment vertical="center" wrapText="1"/>
    </xf>
    <xf numFmtId="14" fontId="15" fillId="0" borderId="1" xfId="4" applyNumberFormat="1" applyFont="1" applyBorder="1" applyAlignment="1">
      <alignment horizontal="center" vertical="center"/>
    </xf>
    <xf numFmtId="0" fontId="10" fillId="0" borderId="1" xfId="4" applyFont="1" applyBorder="1" applyAlignment="1">
      <alignment horizontal="left" vertical="top" wrapText="1"/>
    </xf>
    <xf numFmtId="0" fontId="17" fillId="0" borderId="1" xfId="4" applyFont="1" applyBorder="1" applyAlignment="1">
      <alignment horizontal="center"/>
    </xf>
    <xf numFmtId="0" fontId="17" fillId="0" borderId="10" xfId="4" applyFont="1" applyBorder="1" applyAlignment="1">
      <alignment horizontal="center"/>
    </xf>
    <xf numFmtId="0" fontId="17" fillId="0" borderId="1" xfId="4" applyFont="1" applyBorder="1" applyAlignment="1">
      <alignment horizontal="center" vertical="center"/>
    </xf>
    <xf numFmtId="0" fontId="17" fillId="0" borderId="1" xfId="6" applyFont="1" applyBorder="1" applyAlignment="1">
      <alignment horizontal="center" vertical="center" wrapText="1"/>
    </xf>
    <xf numFmtId="0" fontId="17" fillId="0" borderId="12" xfId="6" applyFont="1" applyBorder="1" applyAlignment="1">
      <alignment horizontal="center" vertical="center" wrapText="1"/>
    </xf>
    <xf numFmtId="0" fontId="17" fillId="0" borderId="0" xfId="4" applyFont="1" applyAlignment="1">
      <alignment vertical="center"/>
    </xf>
    <xf numFmtId="0" fontId="15" fillId="0" borderId="11" xfId="4" applyFont="1" applyBorder="1" applyAlignment="1">
      <alignment horizontal="center" vertical="center"/>
    </xf>
    <xf numFmtId="0" fontId="15" fillId="0" borderId="16" xfId="4" applyFont="1" applyBorder="1" applyAlignment="1">
      <alignment horizontal="center" vertical="center"/>
    </xf>
    <xf numFmtId="0" fontId="15" fillId="0" borderId="11" xfId="4" applyFont="1" applyBorder="1" applyAlignment="1">
      <alignment horizontal="center" vertical="center" wrapText="1"/>
    </xf>
    <xf numFmtId="0" fontId="15" fillId="0" borderId="16" xfId="4" applyFont="1" applyBorder="1" applyAlignment="1">
      <alignment horizontal="center" vertical="center" wrapText="1"/>
    </xf>
    <xf numFmtId="0" fontId="17" fillId="0" borderId="11" xfId="6" applyFont="1" applyBorder="1" applyAlignment="1">
      <alignment horizontal="center" vertical="center" wrapText="1"/>
    </xf>
    <xf numFmtId="0" fontId="17" fillId="0" borderId="16" xfId="6" applyFont="1" applyBorder="1" applyAlignment="1">
      <alignment horizontal="center" vertical="center" wrapText="1"/>
    </xf>
    <xf numFmtId="0" fontId="17" fillId="0" borderId="5" xfId="6" applyFont="1" applyBorder="1" applyAlignment="1">
      <alignment horizontal="center" vertical="center" wrapText="1"/>
    </xf>
    <xf numFmtId="0" fontId="17" fillId="0" borderId="13" xfId="6" applyFont="1" applyBorder="1" applyAlignment="1">
      <alignment horizontal="center" vertical="center" wrapText="1"/>
    </xf>
    <xf numFmtId="0" fontId="17" fillId="0" borderId="14" xfId="6" applyFont="1" applyBorder="1" applyAlignment="1">
      <alignment horizontal="center" vertical="center" wrapText="1"/>
    </xf>
    <xf numFmtId="0" fontId="17" fillId="0" borderId="6" xfId="6" applyFont="1" applyBorder="1" applyAlignment="1">
      <alignment horizontal="center" vertical="center" wrapText="1"/>
    </xf>
    <xf numFmtId="0" fontId="17" fillId="0" borderId="17" xfId="6" applyFont="1" applyBorder="1" applyAlignment="1">
      <alignment horizontal="center" vertical="center" wrapText="1"/>
    </xf>
    <xf numFmtId="0" fontId="18" fillId="0" borderId="15" xfId="6" applyFont="1" applyBorder="1" applyAlignment="1">
      <alignment horizontal="center" vertical="center"/>
    </xf>
    <xf numFmtId="0" fontId="18" fillId="0" borderId="12" xfId="6" applyFont="1" applyBorder="1" applyAlignment="1">
      <alignment horizontal="center" vertical="center"/>
    </xf>
    <xf numFmtId="0" fontId="18" fillId="0" borderId="14" xfId="6" applyFont="1" applyBorder="1" applyAlignment="1">
      <alignment horizontal="center" vertical="center"/>
    </xf>
    <xf numFmtId="0" fontId="18" fillId="0" borderId="18" xfId="6" applyFont="1" applyBorder="1" applyAlignment="1">
      <alignment horizontal="center" vertical="center"/>
    </xf>
    <xf numFmtId="0" fontId="18" fillId="0" borderId="19" xfId="6" applyFont="1" applyBorder="1" applyAlignment="1">
      <alignment horizontal="center" vertical="center"/>
    </xf>
    <xf numFmtId="0" fontId="18" fillId="0" borderId="20" xfId="6" applyFont="1" applyBorder="1" applyAlignment="1">
      <alignment horizontal="center" vertical="center"/>
    </xf>
    <xf numFmtId="2" fontId="17" fillId="0" borderId="5" xfId="6" applyNumberFormat="1" applyFont="1" applyBorder="1" applyAlignment="1">
      <alignment horizontal="center" vertical="center" wrapText="1"/>
    </xf>
    <xf numFmtId="2" fontId="17" fillId="0" borderId="12" xfId="6" applyNumberFormat="1" applyFont="1" applyBorder="1" applyAlignment="1">
      <alignment horizontal="center" vertical="center" wrapText="1"/>
    </xf>
    <xf numFmtId="2" fontId="17" fillId="0" borderId="14" xfId="6" applyNumberFormat="1" applyFont="1" applyBorder="1" applyAlignment="1">
      <alignment horizontal="center" vertical="center" wrapText="1"/>
    </xf>
    <xf numFmtId="2" fontId="17" fillId="0" borderId="6" xfId="6" applyNumberFormat="1" applyFont="1" applyBorder="1" applyAlignment="1">
      <alignment horizontal="center" vertical="center" wrapText="1"/>
    </xf>
    <xf numFmtId="2" fontId="17" fillId="0" borderId="1" xfId="6" applyNumberFormat="1" applyFont="1" applyBorder="1" applyAlignment="1">
      <alignment horizontal="center" vertical="center" wrapText="1"/>
    </xf>
    <xf numFmtId="2" fontId="17" fillId="0" borderId="17" xfId="6" applyNumberFormat="1" applyFont="1" applyBorder="1" applyAlignment="1">
      <alignment horizontal="center" vertical="center" wrapText="1"/>
    </xf>
    <xf numFmtId="0" fontId="2" fillId="0" borderId="0" xfId="0" applyFont="1"/>
    <xf numFmtId="0" fontId="2" fillId="0" borderId="0" xfId="0" applyFont="1" applyAlignment="1">
      <alignment wrapText="1"/>
    </xf>
    <xf numFmtId="164" fontId="2" fillId="0" borderId="0" xfId="1" applyFont="1"/>
    <xf numFmtId="0" fontId="2" fillId="0" borderId="0" xfId="0" applyFont="1" applyAlignment="1">
      <alignment horizontal="right"/>
    </xf>
  </cellXfs>
  <cellStyles count="9">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 name="Percent 2" xfId="8" xr:uid="{1020BCD2-2029-4B7E-ABB4-C8BC283619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20"/>
  <sheetViews>
    <sheetView workbookViewId="0">
      <selection sqref="A1:CY7"/>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3" s="18" customFormat="1" x14ac:dyDescent="0.25">
      <c r="A1" t="s">
        <v>0</v>
      </c>
      <c r="B1" t="s">
        <v>98</v>
      </c>
      <c r="C1" t="s">
        <v>1</v>
      </c>
      <c r="D1" t="s">
        <v>2</v>
      </c>
      <c r="E1" t="s">
        <v>109</v>
      </c>
      <c r="F1" t="s">
        <v>110</v>
      </c>
      <c r="G1" t="s">
        <v>111</v>
      </c>
      <c r="H1" t="s">
        <v>4</v>
      </c>
      <c r="I1" t="s">
        <v>112</v>
      </c>
      <c r="J1" t="s">
        <v>5</v>
      </c>
      <c r="K1" t="s">
        <v>113</v>
      </c>
      <c r="L1" t="s">
        <v>114</v>
      </c>
      <c r="M1" t="s">
        <v>115</v>
      </c>
      <c r="N1" t="s">
        <v>6</v>
      </c>
      <c r="O1" t="s">
        <v>116</v>
      </c>
      <c r="P1" t="s">
        <v>117</v>
      </c>
      <c r="Q1" t="s">
        <v>118</v>
      </c>
      <c r="R1" t="s">
        <v>119</v>
      </c>
      <c r="S1" t="s">
        <v>120</v>
      </c>
      <c r="T1" t="s">
        <v>121</v>
      </c>
      <c r="U1" t="s">
        <v>122</v>
      </c>
      <c r="V1" t="s">
        <v>8</v>
      </c>
      <c r="W1" t="s">
        <v>123</v>
      </c>
      <c r="X1" t="s">
        <v>124</v>
      </c>
      <c r="Y1" t="s">
        <v>125</v>
      </c>
      <c r="Z1" t="s">
        <v>126</v>
      </c>
      <c r="AA1" t="s">
        <v>127</v>
      </c>
      <c r="AB1" t="s">
        <v>128</v>
      </c>
      <c r="AC1" t="s">
        <v>129</v>
      </c>
      <c r="AD1" t="s">
        <v>10</v>
      </c>
      <c r="AE1" t="s">
        <v>130</v>
      </c>
      <c r="AF1" t="s">
        <v>131</v>
      </c>
      <c r="AG1" t="s">
        <v>132</v>
      </c>
      <c r="AH1" t="s">
        <v>11</v>
      </c>
      <c r="AI1" t="s">
        <v>133</v>
      </c>
      <c r="AJ1" t="s">
        <v>134</v>
      </c>
      <c r="AK1" t="s">
        <v>135</v>
      </c>
      <c r="AL1" t="s">
        <v>12</v>
      </c>
      <c r="AM1" t="s">
        <v>136</v>
      </c>
      <c r="AN1" t="s">
        <v>137</v>
      </c>
      <c r="AO1" t="s">
        <v>138</v>
      </c>
      <c r="AP1" t="s">
        <v>139</v>
      </c>
      <c r="AQ1" t="s">
        <v>140</v>
      </c>
      <c r="AR1" t="s">
        <v>141</v>
      </c>
      <c r="AS1" t="s">
        <v>142</v>
      </c>
      <c r="AT1" t="s">
        <v>52</v>
      </c>
      <c r="AU1" t="s">
        <v>143</v>
      </c>
      <c r="AV1" t="s">
        <v>144</v>
      </c>
      <c r="AW1" t="s">
        <v>145</v>
      </c>
      <c r="AX1" t="s">
        <v>146</v>
      </c>
      <c r="AY1" t="s">
        <v>147</v>
      </c>
      <c r="AZ1" t="s">
        <v>148</v>
      </c>
      <c r="BA1" t="s">
        <v>149</v>
      </c>
      <c r="BB1" t="s">
        <v>150</v>
      </c>
      <c r="BC1" t="s">
        <v>151</v>
      </c>
      <c r="BD1" t="s">
        <v>152</v>
      </c>
      <c r="BE1" t="s">
        <v>153</v>
      </c>
      <c r="BF1" t="s">
        <v>154</v>
      </c>
      <c r="BG1" t="s">
        <v>155</v>
      </c>
      <c r="BH1" t="s">
        <v>156</v>
      </c>
      <c r="BI1" t="s">
        <v>157</v>
      </c>
      <c r="BJ1" t="s">
        <v>158</v>
      </c>
      <c r="BK1" t="s">
        <v>159</v>
      </c>
      <c r="BL1" t="s">
        <v>160</v>
      </c>
      <c r="BM1" t="s">
        <v>161</v>
      </c>
      <c r="BN1" t="s">
        <v>162</v>
      </c>
      <c r="BO1" t="s">
        <v>163</v>
      </c>
      <c r="BP1" t="s">
        <v>164</v>
      </c>
      <c r="BQ1" t="s">
        <v>165</v>
      </c>
      <c r="BR1" t="s">
        <v>166</v>
      </c>
      <c r="BS1" t="s">
        <v>167</v>
      </c>
      <c r="BT1" t="s">
        <v>168</v>
      </c>
      <c r="BU1" t="s">
        <v>169</v>
      </c>
      <c r="BV1" t="s">
        <v>21</v>
      </c>
      <c r="BW1" t="s">
        <v>170</v>
      </c>
      <c r="BX1" t="s">
        <v>171</v>
      </c>
      <c r="BY1" t="s">
        <v>172</v>
      </c>
      <c r="BZ1" t="s">
        <v>173</v>
      </c>
      <c r="CA1" t="s">
        <v>174</v>
      </c>
      <c r="CB1" t="s">
        <v>24</v>
      </c>
      <c r="CC1" t="s">
        <v>175</v>
      </c>
      <c r="CD1" t="s">
        <v>25</v>
      </c>
      <c r="CE1" t="s">
        <v>176</v>
      </c>
      <c r="CF1" t="s">
        <v>27</v>
      </c>
      <c r="CG1" t="s">
        <v>177</v>
      </c>
      <c r="CH1" t="s">
        <v>178</v>
      </c>
      <c r="CI1" t="s">
        <v>30</v>
      </c>
      <c r="CJ1" t="s">
        <v>179</v>
      </c>
      <c r="CK1" t="s">
        <v>32</v>
      </c>
      <c r="CL1" t="s">
        <v>180</v>
      </c>
      <c r="CM1" t="s">
        <v>181</v>
      </c>
      <c r="CN1" t="s">
        <v>182</v>
      </c>
      <c r="CO1" t="s">
        <v>183</v>
      </c>
      <c r="CP1" t="s">
        <v>37</v>
      </c>
      <c r="CQ1" t="s">
        <v>184</v>
      </c>
      <c r="CR1" t="s">
        <v>185</v>
      </c>
      <c r="CS1" t="s">
        <v>40</v>
      </c>
      <c r="CT1" t="s">
        <v>41</v>
      </c>
      <c r="CU1" t="s">
        <v>186</v>
      </c>
      <c r="CV1" t="s">
        <v>99</v>
      </c>
      <c r="CW1" t="s">
        <v>100</v>
      </c>
      <c r="CX1" t="s">
        <v>187</v>
      </c>
      <c r="CY1"/>
    </row>
    <row r="2" spans="1:103" x14ac:dyDescent="0.25">
      <c r="A2" t="s">
        <v>188</v>
      </c>
      <c r="B2" s="54">
        <v>45714</v>
      </c>
      <c r="C2" t="s">
        <v>189</v>
      </c>
      <c r="D2" t="s">
        <v>190</v>
      </c>
      <c r="E2" t="s">
        <v>191</v>
      </c>
      <c r="J2" t="s">
        <v>192</v>
      </c>
      <c r="K2">
        <v>281</v>
      </c>
      <c r="N2" t="s">
        <v>192</v>
      </c>
      <c r="O2">
        <v>281</v>
      </c>
      <c r="R2" t="s">
        <v>193</v>
      </c>
      <c r="S2">
        <v>178</v>
      </c>
      <c r="V2" t="s">
        <v>53</v>
      </c>
      <c r="W2">
        <v>151</v>
      </c>
      <c r="AL2" t="s">
        <v>84</v>
      </c>
      <c r="AM2">
        <v>237</v>
      </c>
      <c r="BV2" t="s">
        <v>21</v>
      </c>
      <c r="BW2">
        <v>210</v>
      </c>
      <c r="BZ2">
        <v>3992</v>
      </c>
      <c r="CA2">
        <v>3992</v>
      </c>
      <c r="CH2">
        <v>3992</v>
      </c>
      <c r="CM2">
        <v>3992</v>
      </c>
      <c r="CO2">
        <v>3992</v>
      </c>
      <c r="CP2" s="55">
        <v>0.18</v>
      </c>
      <c r="CQ2">
        <v>718.56</v>
      </c>
      <c r="CR2">
        <v>4710.5600000000004</v>
      </c>
      <c r="CS2">
        <v>1220.9190000000001</v>
      </c>
      <c r="CT2" t="s">
        <v>194</v>
      </c>
      <c r="CU2" s="56">
        <v>5751212</v>
      </c>
      <c r="CV2" t="s">
        <v>195</v>
      </c>
      <c r="CW2" t="s">
        <v>196</v>
      </c>
    </row>
    <row r="3" spans="1:103" x14ac:dyDescent="0.25">
      <c r="A3" t="s">
        <v>188</v>
      </c>
      <c r="B3" s="54">
        <v>45714</v>
      </c>
      <c r="C3" t="s">
        <v>197</v>
      </c>
      <c r="D3" t="s">
        <v>198</v>
      </c>
      <c r="E3" t="s">
        <v>191</v>
      </c>
      <c r="J3" t="s">
        <v>192</v>
      </c>
      <c r="K3">
        <v>281</v>
      </c>
      <c r="R3" t="s">
        <v>193</v>
      </c>
      <c r="S3">
        <v>178</v>
      </c>
      <c r="V3" t="s">
        <v>53</v>
      </c>
      <c r="W3">
        <v>151</v>
      </c>
      <c r="AL3" t="s">
        <v>84</v>
      </c>
      <c r="AM3">
        <v>237</v>
      </c>
      <c r="BV3" t="s">
        <v>21</v>
      </c>
      <c r="BW3">
        <v>210</v>
      </c>
      <c r="BZ3">
        <v>4110</v>
      </c>
      <c r="CA3">
        <v>4110</v>
      </c>
      <c r="CH3">
        <v>4110</v>
      </c>
      <c r="CM3">
        <v>4110</v>
      </c>
      <c r="CO3">
        <v>4110</v>
      </c>
      <c r="CP3" s="55">
        <v>0.18</v>
      </c>
      <c r="CQ3">
        <v>739.8</v>
      </c>
      <c r="CR3">
        <v>4849.8</v>
      </c>
      <c r="CS3">
        <v>65</v>
      </c>
      <c r="CT3" t="s">
        <v>194</v>
      </c>
      <c r="CU3" s="56">
        <v>315237</v>
      </c>
      <c r="CV3" t="s">
        <v>199</v>
      </c>
      <c r="CW3" t="s">
        <v>200</v>
      </c>
    </row>
    <row r="4" spans="1:103" x14ac:dyDescent="0.25">
      <c r="A4" t="s">
        <v>188</v>
      </c>
      <c r="B4" s="54">
        <v>45714</v>
      </c>
      <c r="C4" t="s">
        <v>201</v>
      </c>
      <c r="D4" t="s">
        <v>202</v>
      </c>
      <c r="E4" t="s">
        <v>191</v>
      </c>
      <c r="J4" t="s">
        <v>192</v>
      </c>
      <c r="K4">
        <v>281</v>
      </c>
      <c r="R4" t="s">
        <v>193</v>
      </c>
      <c r="S4">
        <v>178</v>
      </c>
      <c r="V4" t="s">
        <v>53</v>
      </c>
      <c r="W4">
        <v>151</v>
      </c>
      <c r="AL4" t="s">
        <v>84</v>
      </c>
      <c r="AM4">
        <v>237</v>
      </c>
      <c r="BV4" t="s">
        <v>21</v>
      </c>
      <c r="BW4">
        <v>210</v>
      </c>
      <c r="BZ4">
        <v>2429</v>
      </c>
      <c r="CA4">
        <v>2429</v>
      </c>
      <c r="CH4">
        <v>2429</v>
      </c>
      <c r="CM4">
        <v>2429</v>
      </c>
      <c r="CO4">
        <v>2429</v>
      </c>
      <c r="CP4" s="55">
        <v>0.18</v>
      </c>
      <c r="CQ4">
        <v>437.22</v>
      </c>
      <c r="CR4">
        <v>2866.22</v>
      </c>
      <c r="CS4">
        <v>23</v>
      </c>
      <c r="CT4" t="s">
        <v>194</v>
      </c>
      <c r="CU4" s="56">
        <v>65923</v>
      </c>
      <c r="CV4" t="s">
        <v>203</v>
      </c>
      <c r="CW4" t="s">
        <v>204</v>
      </c>
    </row>
    <row r="5" spans="1:103" x14ac:dyDescent="0.25">
      <c r="A5" t="s">
        <v>188</v>
      </c>
      <c r="B5" s="54">
        <v>45714</v>
      </c>
      <c r="C5" t="s">
        <v>205</v>
      </c>
      <c r="D5" t="s">
        <v>206</v>
      </c>
      <c r="E5" t="s">
        <v>191</v>
      </c>
      <c r="J5" t="s">
        <v>192</v>
      </c>
      <c r="K5">
        <v>281</v>
      </c>
      <c r="R5" t="s">
        <v>193</v>
      </c>
      <c r="S5">
        <v>178</v>
      </c>
      <c r="V5" t="s">
        <v>53</v>
      </c>
      <c r="W5">
        <v>151</v>
      </c>
      <c r="AL5" t="s">
        <v>84</v>
      </c>
      <c r="AM5">
        <v>237</v>
      </c>
      <c r="BV5" t="s">
        <v>21</v>
      </c>
      <c r="BW5">
        <v>210</v>
      </c>
      <c r="BZ5">
        <v>7013</v>
      </c>
      <c r="CA5">
        <v>7013</v>
      </c>
      <c r="CH5">
        <v>7013</v>
      </c>
      <c r="CM5">
        <v>7013</v>
      </c>
      <c r="CO5">
        <v>7013</v>
      </c>
      <c r="CP5" s="55">
        <v>0.18</v>
      </c>
      <c r="CQ5">
        <v>1262.3399999999999</v>
      </c>
      <c r="CR5">
        <v>8275.34</v>
      </c>
      <c r="CS5">
        <v>127</v>
      </c>
      <c r="CT5" t="s">
        <v>194</v>
      </c>
      <c r="CU5" s="56">
        <v>1050968</v>
      </c>
      <c r="CV5" t="s">
        <v>207</v>
      </c>
      <c r="CW5" t="s">
        <v>208</v>
      </c>
    </row>
    <row r="6" spans="1:103" x14ac:dyDescent="0.25">
      <c r="A6" t="s">
        <v>188</v>
      </c>
      <c r="B6" s="54">
        <v>45714</v>
      </c>
      <c r="C6" t="s">
        <v>209</v>
      </c>
      <c r="D6" t="s">
        <v>210</v>
      </c>
      <c r="E6" t="s">
        <v>191</v>
      </c>
      <c r="J6" t="s">
        <v>192</v>
      </c>
      <c r="K6">
        <v>281</v>
      </c>
      <c r="R6" t="s">
        <v>193</v>
      </c>
      <c r="S6">
        <v>178</v>
      </c>
      <c r="V6" t="s">
        <v>53</v>
      </c>
      <c r="W6">
        <v>151</v>
      </c>
      <c r="AL6" t="s">
        <v>84</v>
      </c>
      <c r="AM6">
        <v>237</v>
      </c>
      <c r="BV6" t="s">
        <v>21</v>
      </c>
      <c r="BW6">
        <v>210</v>
      </c>
      <c r="BZ6">
        <v>3606</v>
      </c>
      <c r="CA6">
        <v>3606</v>
      </c>
      <c r="CH6">
        <v>3606</v>
      </c>
      <c r="CM6">
        <v>3606</v>
      </c>
      <c r="CO6">
        <v>3606</v>
      </c>
      <c r="CP6" s="55">
        <v>0.18</v>
      </c>
      <c r="CQ6">
        <v>649.08000000000004</v>
      </c>
      <c r="CR6">
        <v>4255.08</v>
      </c>
      <c r="CS6">
        <v>48.085000000000001</v>
      </c>
      <c r="CT6" t="s">
        <v>194</v>
      </c>
      <c r="CU6" s="56">
        <v>204606</v>
      </c>
      <c r="CV6" t="s">
        <v>211</v>
      </c>
      <c r="CW6" t="s">
        <v>212</v>
      </c>
    </row>
    <row r="7" spans="1:103" x14ac:dyDescent="0.25">
      <c r="A7" t="s">
        <v>188</v>
      </c>
      <c r="B7" s="54">
        <v>45714</v>
      </c>
      <c r="C7" t="s">
        <v>213</v>
      </c>
      <c r="D7" t="s">
        <v>214</v>
      </c>
      <c r="E7" t="s">
        <v>191</v>
      </c>
      <c r="J7" t="s">
        <v>192</v>
      </c>
      <c r="K7">
        <v>281</v>
      </c>
      <c r="R7" t="s">
        <v>193</v>
      </c>
      <c r="S7">
        <v>178</v>
      </c>
      <c r="V7" t="s">
        <v>53</v>
      </c>
      <c r="W7">
        <v>151</v>
      </c>
      <c r="AL7" t="s">
        <v>84</v>
      </c>
      <c r="AM7">
        <v>237</v>
      </c>
      <c r="BV7" t="s">
        <v>21</v>
      </c>
      <c r="BW7">
        <v>210</v>
      </c>
      <c r="BZ7">
        <v>4629</v>
      </c>
      <c r="CA7">
        <v>4629</v>
      </c>
      <c r="CH7">
        <v>4629</v>
      </c>
      <c r="CM7">
        <v>4629</v>
      </c>
      <c r="CO7">
        <v>4629</v>
      </c>
      <c r="CP7" s="55">
        <v>0.18</v>
      </c>
      <c r="CQ7">
        <v>833.22</v>
      </c>
      <c r="CR7">
        <v>5462.22</v>
      </c>
      <c r="CS7">
        <v>253.17500000000001</v>
      </c>
      <c r="CT7" t="s">
        <v>194</v>
      </c>
      <c r="CU7" s="56">
        <v>1382898</v>
      </c>
      <c r="CV7" t="s">
        <v>215</v>
      </c>
      <c r="CW7" t="s">
        <v>216</v>
      </c>
    </row>
    <row r="8" spans="1:103"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3"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3"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3"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3"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3"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3"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3"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3"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46"/>
  <sheetViews>
    <sheetView tabSelected="1" topLeftCell="A25" workbookViewId="0">
      <selection activeCell="B29" sqref="B29:B30"/>
    </sheetView>
  </sheetViews>
  <sheetFormatPr defaultRowHeight="15" x14ac:dyDescent="0.25"/>
  <cols>
    <col min="1" max="1" width="15.140625" bestFit="1" customWidth="1"/>
    <col min="2" max="2" width="10.7109375" bestFit="1" customWidth="1"/>
    <col min="3" max="3" width="10.28515625" bestFit="1" customWidth="1"/>
    <col min="4" max="4" width="35.5703125"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5.28515625" bestFit="1" customWidth="1"/>
    <col min="14" max="14" width="7.85546875" style="30" hidden="1" customWidth="1"/>
    <col min="15" max="15" width="7.85546875" style="30" customWidth="1"/>
    <col min="16" max="28" width="7.85546875" style="30" hidden="1" customWidth="1"/>
    <col min="29" max="29" width="7.85546875" style="30" customWidth="1"/>
    <col min="30" max="30" width="7.85546875" style="30" hidden="1" customWidth="1"/>
    <col min="31" max="31" width="7.85546875" style="30" customWidth="1"/>
    <col min="32" max="63" width="7.85546875" style="30" hidden="1" customWidth="1"/>
    <col min="64" max="64" width="9" style="30" bestFit="1" customWidth="1"/>
    <col min="65" max="72" width="7.85546875" style="30" hidden="1" customWidth="1"/>
    <col min="73" max="73" width="10.42578125" style="30" customWidth="1"/>
    <col min="74" max="74" width="7.85546875" style="30" customWidth="1"/>
    <col min="75" max="75" width="12" style="30" customWidth="1"/>
    <col min="76" max="76" width="27.5703125" style="30" customWidth="1"/>
    <col min="77"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7.85546875" style="14" customWidth="1"/>
    <col min="83" max="83" width="12" style="4" bestFit="1" customWidth="1"/>
    <col min="84" max="84" width="8.42578125" style="8" customWidth="1"/>
    <col min="85" max="85" width="12.28515625" style="4" bestFit="1" customWidth="1"/>
    <col min="86" max="86" width="13.85546875" style="4" bestFit="1" customWidth="1"/>
    <col min="87" max="87" width="8" style="8" customWidth="1"/>
    <col min="88" max="88" width="11.5703125" customWidth="1"/>
    <col min="89" max="89" width="7.5703125" style="8" customWidth="1"/>
    <col min="90" max="90" width="9.140625" customWidth="1"/>
  </cols>
  <sheetData>
    <row r="1" spans="1:89" s="44" customFormat="1" ht="15.75" thickBot="1" x14ac:dyDescent="0.3"/>
    <row r="2" spans="1:89" s="44" customFormat="1" ht="23.25" thickBot="1" x14ac:dyDescent="0.5">
      <c r="A2" s="145" t="s">
        <v>103</v>
      </c>
      <c r="B2" s="146"/>
      <c r="C2" s="146"/>
      <c r="D2" s="146"/>
      <c r="E2" s="146"/>
      <c r="F2" s="146"/>
      <c r="G2" s="146"/>
      <c r="H2" s="146"/>
      <c r="I2" s="146"/>
      <c r="J2" s="146"/>
      <c r="K2" s="146"/>
      <c r="L2" s="146"/>
      <c r="M2" s="146"/>
      <c r="N2" s="146"/>
      <c r="O2" s="146"/>
      <c r="P2" s="146"/>
      <c r="Q2" s="146"/>
      <c r="R2" s="147"/>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88</v>
      </c>
      <c r="B4" s="141" t="s">
        <v>102</v>
      </c>
      <c r="C4" s="141"/>
      <c r="D4" s="141"/>
      <c r="E4" s="141"/>
      <c r="F4" s="141"/>
      <c r="G4" s="141"/>
      <c r="H4" s="141"/>
      <c r="I4" s="141"/>
      <c r="J4" s="141"/>
      <c r="K4" s="141"/>
      <c r="L4" s="141"/>
      <c r="M4" s="141"/>
      <c r="N4" s="141"/>
      <c r="O4" s="141"/>
      <c r="P4" s="141"/>
      <c r="Q4" s="141"/>
      <c r="R4" s="141"/>
      <c r="S4"/>
    </row>
    <row r="5" spans="1:89" s="44" customFormat="1" ht="34.5" customHeight="1" x14ac:dyDescent="0.25">
      <c r="A5" s="45" t="s">
        <v>89</v>
      </c>
      <c r="B5" s="141" t="s">
        <v>101</v>
      </c>
      <c r="C5" s="141"/>
      <c r="D5" s="141"/>
      <c r="E5" s="141"/>
      <c r="F5" s="141"/>
      <c r="G5" s="141"/>
      <c r="H5" s="141"/>
      <c r="I5" s="141"/>
      <c r="J5" s="141"/>
      <c r="K5" s="141"/>
      <c r="L5" s="141"/>
      <c r="M5" s="141"/>
      <c r="N5" s="141"/>
      <c r="O5" s="141"/>
      <c r="P5" s="141"/>
      <c r="Q5" s="141"/>
      <c r="R5" s="141"/>
      <c r="S5"/>
    </row>
    <row r="6" spans="1:89" s="44" customFormat="1" ht="48" customHeight="1" x14ac:dyDescent="0.25">
      <c r="A6" s="46" t="s">
        <v>90</v>
      </c>
      <c r="B6" s="140" t="s">
        <v>288</v>
      </c>
      <c r="C6" s="141"/>
      <c r="D6" s="141"/>
      <c r="E6" s="141"/>
      <c r="F6" s="141"/>
      <c r="G6" s="141"/>
      <c r="H6" s="141"/>
      <c r="I6" s="141"/>
      <c r="J6" s="141"/>
      <c r="K6" s="141"/>
      <c r="L6" s="141"/>
      <c r="M6" s="141"/>
      <c r="N6" s="141"/>
      <c r="O6" s="141"/>
      <c r="P6" s="141"/>
      <c r="Q6" s="141"/>
      <c r="R6" s="141"/>
      <c r="S6"/>
    </row>
    <row r="7" spans="1:89" s="44" customFormat="1" ht="30" x14ac:dyDescent="0.25">
      <c r="A7" s="46" t="s">
        <v>87</v>
      </c>
      <c r="B7" s="140" t="s">
        <v>104</v>
      </c>
      <c r="C7" s="141"/>
      <c r="D7" s="141"/>
      <c r="E7" s="141"/>
      <c r="F7" s="141"/>
      <c r="G7" s="141"/>
      <c r="H7" s="141"/>
      <c r="I7" s="141"/>
      <c r="J7" s="141"/>
      <c r="K7" s="141"/>
      <c r="L7" s="141"/>
      <c r="M7" s="141"/>
      <c r="N7" s="141"/>
      <c r="O7" s="141"/>
      <c r="P7" s="141"/>
      <c r="Q7" s="141"/>
      <c r="R7" s="141"/>
      <c r="S7"/>
    </row>
    <row r="8" spans="1:89" s="44" customFormat="1" ht="28.5" customHeight="1" x14ac:dyDescent="0.25">
      <c r="A8" s="46" t="s">
        <v>91</v>
      </c>
      <c r="B8" s="140" t="s">
        <v>287</v>
      </c>
      <c r="C8" s="140"/>
      <c r="D8" s="140"/>
      <c r="E8" s="140"/>
      <c r="F8" s="140"/>
      <c r="G8" s="140"/>
      <c r="H8" s="140"/>
      <c r="I8" s="140"/>
      <c r="J8" s="140"/>
      <c r="K8" s="140"/>
      <c r="L8" s="140"/>
      <c r="M8" s="140"/>
      <c r="N8" s="140"/>
      <c r="O8" s="140"/>
      <c r="P8" s="140"/>
      <c r="Q8" s="140"/>
      <c r="R8" s="140"/>
      <c r="S8"/>
    </row>
    <row r="9" spans="1:89" s="44" customFormat="1" ht="39.75" customHeight="1" x14ac:dyDescent="0.25">
      <c r="A9" s="46" t="s">
        <v>92</v>
      </c>
      <c r="B9" s="142" t="s">
        <v>105</v>
      </c>
      <c r="C9" s="143"/>
      <c r="D9" s="143"/>
      <c r="E9" s="143"/>
      <c r="F9" s="143"/>
      <c r="G9" s="143"/>
      <c r="H9" s="143"/>
      <c r="I9" s="143"/>
      <c r="J9" s="143"/>
      <c r="K9" s="143"/>
      <c r="L9" s="143"/>
      <c r="M9" s="143"/>
      <c r="N9" s="143"/>
      <c r="O9" s="143"/>
      <c r="P9" s="143"/>
      <c r="Q9" s="143"/>
      <c r="R9" s="144"/>
    </row>
    <row r="10" spans="1:89" s="44" customFormat="1" ht="37.5" customHeight="1" x14ac:dyDescent="0.25">
      <c r="A10" s="46" t="s">
        <v>93</v>
      </c>
      <c r="B10" s="140" t="s">
        <v>106</v>
      </c>
      <c r="C10" s="140"/>
      <c r="D10" s="140"/>
      <c r="E10" s="140"/>
      <c r="F10" s="140"/>
      <c r="G10" s="140"/>
      <c r="H10" s="140"/>
      <c r="I10" s="140"/>
      <c r="J10" s="140"/>
      <c r="K10" s="140"/>
      <c r="L10" s="140"/>
      <c r="M10" s="140"/>
      <c r="N10" s="140"/>
      <c r="O10" s="140"/>
      <c r="P10" s="140"/>
      <c r="Q10" s="140"/>
      <c r="R10" s="140"/>
      <c r="S10"/>
    </row>
    <row r="11" spans="1:89" s="44" customFormat="1" ht="31.5" customHeight="1" x14ac:dyDescent="0.25">
      <c r="A11" s="46" t="s">
        <v>94</v>
      </c>
      <c r="B11" s="151"/>
      <c r="C11" s="152"/>
      <c r="D11" s="152"/>
      <c r="E11" s="152"/>
      <c r="F11" s="152"/>
      <c r="G11" s="152"/>
      <c r="H11" s="152"/>
      <c r="I11" s="152"/>
      <c r="J11" s="152"/>
      <c r="K11" s="152"/>
      <c r="L11" s="152"/>
      <c r="M11" s="152"/>
      <c r="N11" s="152"/>
      <c r="O11" s="152"/>
      <c r="P11" s="152"/>
      <c r="Q11" s="152"/>
      <c r="R11" s="153"/>
      <c r="S11"/>
    </row>
    <row r="12" spans="1:89" s="44" customFormat="1" ht="30" x14ac:dyDescent="0.25">
      <c r="A12" s="49" t="s">
        <v>95</v>
      </c>
      <c r="B12" s="154" t="s">
        <v>107</v>
      </c>
      <c r="C12" s="154"/>
      <c r="D12" s="154"/>
      <c r="E12" s="154"/>
      <c r="F12" s="154"/>
      <c r="G12" s="154"/>
      <c r="H12" s="154"/>
      <c r="I12" s="154"/>
      <c r="J12" s="154"/>
      <c r="K12" s="154"/>
      <c r="L12" s="154"/>
      <c r="M12" s="154"/>
      <c r="N12" s="154"/>
      <c r="O12" s="154"/>
      <c r="P12" s="154"/>
      <c r="Q12" s="154"/>
      <c r="R12" s="154"/>
    </row>
    <row r="13" spans="1:89" s="44" customFormat="1" ht="46.5" customHeight="1" x14ac:dyDescent="0.25">
      <c r="A13" s="49" t="s">
        <v>96</v>
      </c>
      <c r="B13" s="154" t="s">
        <v>108</v>
      </c>
      <c r="C13" s="154"/>
      <c r="D13" s="154"/>
      <c r="E13" s="154"/>
      <c r="F13" s="154"/>
      <c r="G13" s="154"/>
      <c r="H13" s="154"/>
      <c r="I13" s="154"/>
      <c r="J13" s="154"/>
      <c r="K13" s="154"/>
      <c r="L13" s="154"/>
      <c r="M13" s="154"/>
      <c r="N13" s="154"/>
      <c r="O13" s="154"/>
      <c r="P13" s="154"/>
      <c r="Q13" s="154"/>
      <c r="R13" s="154"/>
    </row>
    <row r="14" spans="1:89" s="44" customFormat="1" ht="30" x14ac:dyDescent="0.25">
      <c r="A14" s="50" t="s">
        <v>97</v>
      </c>
      <c r="B14" s="154"/>
      <c r="C14" s="154"/>
      <c r="D14" s="154"/>
      <c r="E14" s="154"/>
      <c r="F14" s="154"/>
      <c r="G14" s="154"/>
      <c r="H14" s="154"/>
      <c r="I14" s="154"/>
      <c r="J14" s="154"/>
      <c r="K14" s="154"/>
      <c r="L14" s="154"/>
      <c r="M14" s="154"/>
      <c r="N14" s="154"/>
      <c r="O14" s="154"/>
      <c r="P14" s="154"/>
      <c r="Q14" s="154"/>
      <c r="R14" s="154"/>
    </row>
    <row r="16" spans="1:89" s="37" customFormat="1" ht="28.9" customHeight="1" x14ac:dyDescent="0.25">
      <c r="E16" s="42"/>
      <c r="H16" s="43"/>
      <c r="N16" s="150" t="str">
        <f>Sheet1!J1</f>
        <v>Conductor</v>
      </c>
      <c r="O16" s="150"/>
      <c r="P16" s="150"/>
      <c r="Q16" s="150"/>
      <c r="R16" s="150"/>
      <c r="S16" s="150" t="s">
        <v>6</v>
      </c>
      <c r="T16" s="150"/>
      <c r="U16" s="150" t="s">
        <v>3</v>
      </c>
      <c r="V16" s="150"/>
      <c r="W16" s="150"/>
      <c r="X16" s="150"/>
      <c r="Y16" s="150"/>
      <c r="Z16" s="150"/>
      <c r="AA16" s="150"/>
      <c r="AB16" s="150"/>
      <c r="AC16" s="150" t="s">
        <v>7</v>
      </c>
      <c r="AD16" s="150"/>
      <c r="AE16" s="150" t="s">
        <v>8</v>
      </c>
      <c r="AF16" s="150"/>
      <c r="AG16" s="150"/>
      <c r="AH16" s="150"/>
      <c r="AI16" s="150"/>
      <c r="AJ16" s="150"/>
      <c r="AK16" s="10" t="s">
        <v>9</v>
      </c>
      <c r="AL16" s="148" t="s">
        <v>10</v>
      </c>
      <c r="AM16" s="149"/>
      <c r="AN16" s="149"/>
      <c r="AO16" s="149"/>
      <c r="AP16" s="149"/>
      <c r="AQ16" s="149"/>
      <c r="AR16" s="149"/>
      <c r="AS16" s="150" t="s">
        <v>11</v>
      </c>
      <c r="AT16" s="150"/>
      <c r="AU16" s="150"/>
      <c r="AV16" s="150"/>
      <c r="AW16" s="150"/>
      <c r="AX16" s="150"/>
      <c r="AY16" s="150"/>
      <c r="AZ16" s="150"/>
      <c r="BA16" s="150"/>
      <c r="BB16" s="150"/>
      <c r="BC16" s="150" t="s">
        <v>12</v>
      </c>
      <c r="BD16" s="150"/>
      <c r="BE16" s="150"/>
      <c r="BF16" s="150"/>
      <c r="BG16" s="150"/>
      <c r="BH16" s="150"/>
      <c r="BI16" s="150"/>
      <c r="BJ16" s="150"/>
      <c r="BK16" s="150"/>
      <c r="BL16" s="150"/>
      <c r="BM16" s="38" t="s">
        <v>13</v>
      </c>
      <c r="BN16" s="10" t="s">
        <v>14</v>
      </c>
      <c r="BO16" s="10" t="s">
        <v>15</v>
      </c>
      <c r="BP16" s="10" t="s">
        <v>16</v>
      </c>
      <c r="BQ16" s="10" t="s">
        <v>17</v>
      </c>
      <c r="BR16" s="10" t="s">
        <v>18</v>
      </c>
      <c r="BS16" s="10" t="s">
        <v>19</v>
      </c>
      <c r="BT16" s="10" t="s">
        <v>20</v>
      </c>
      <c r="BU16" s="10" t="s">
        <v>21</v>
      </c>
      <c r="BV16" s="10"/>
      <c r="BW16" s="10"/>
      <c r="BX16" s="10"/>
      <c r="BY16" s="10"/>
      <c r="BZ16" s="39" t="s">
        <v>22</v>
      </c>
      <c r="CA16" s="39" t="s">
        <v>23</v>
      </c>
      <c r="CB16" s="40" t="s">
        <v>43</v>
      </c>
      <c r="CC16" s="39" t="s">
        <v>86</v>
      </c>
      <c r="CD16" s="41"/>
      <c r="CE16" s="42"/>
      <c r="CF16" s="43"/>
      <c r="CG16" s="42"/>
      <c r="CH16" s="42"/>
      <c r="CI16" s="43"/>
      <c r="CK16" s="43"/>
    </row>
    <row r="17" spans="1:90" s="19" customFormat="1" ht="89.25" x14ac:dyDescent="0.25">
      <c r="A17" s="22" t="s">
        <v>0</v>
      </c>
      <c r="B17" s="22" t="str">
        <f>Sheet1!B1</f>
        <v>Base Date</v>
      </c>
      <c r="C17" s="22" t="s">
        <v>1</v>
      </c>
      <c r="D17" s="22" t="s">
        <v>2</v>
      </c>
      <c r="E17" s="5" t="s">
        <v>34</v>
      </c>
      <c r="F17" s="15" t="s">
        <v>35</v>
      </c>
      <c r="G17" s="15" t="s">
        <v>36</v>
      </c>
      <c r="H17" s="6" t="s">
        <v>37</v>
      </c>
      <c r="I17" s="15" t="s">
        <v>38</v>
      </c>
      <c r="J17" s="15" t="s">
        <v>39</v>
      </c>
      <c r="K17" s="15" t="s">
        <v>40</v>
      </c>
      <c r="L17" s="15" t="s">
        <v>41</v>
      </c>
      <c r="M17" s="15" t="s">
        <v>42</v>
      </c>
      <c r="N17" s="23" t="s">
        <v>44</v>
      </c>
      <c r="O17" s="23" t="s">
        <v>217</v>
      </c>
      <c r="P17" s="23" t="s">
        <v>46</v>
      </c>
      <c r="Q17" s="23" t="s">
        <v>47</v>
      </c>
      <c r="R17" s="23" t="s">
        <v>48</v>
      </c>
      <c r="S17" s="23" t="s">
        <v>44</v>
      </c>
      <c r="T17" s="23"/>
      <c r="U17" s="24" t="s">
        <v>55</v>
      </c>
      <c r="V17" s="24" t="s">
        <v>59</v>
      </c>
      <c r="W17" s="24" t="s">
        <v>62</v>
      </c>
      <c r="X17" s="24" t="s">
        <v>67</v>
      </c>
      <c r="Y17" s="24" t="s">
        <v>71</v>
      </c>
      <c r="Z17" s="24" t="s">
        <v>75</v>
      </c>
      <c r="AA17" s="24" t="s">
        <v>78</v>
      </c>
      <c r="AB17" s="24" t="s">
        <v>80</v>
      </c>
      <c r="AC17" s="24" t="s">
        <v>54</v>
      </c>
      <c r="AD17" s="24" t="s">
        <v>58</v>
      </c>
      <c r="AE17" s="24" t="s">
        <v>53</v>
      </c>
      <c r="AF17" s="24" t="s">
        <v>49</v>
      </c>
      <c r="AG17" s="24" t="s">
        <v>61</v>
      </c>
      <c r="AH17" s="24" t="s">
        <v>66</v>
      </c>
      <c r="AI17" s="24" t="s">
        <v>70</v>
      </c>
      <c r="AJ17" s="24" t="s">
        <v>74</v>
      </c>
      <c r="AK17" s="20" t="s">
        <v>9</v>
      </c>
      <c r="AL17" s="24" t="s">
        <v>56</v>
      </c>
      <c r="AM17" s="24" t="s">
        <v>60</v>
      </c>
      <c r="AN17" s="24" t="s">
        <v>63</v>
      </c>
      <c r="AO17" s="24" t="s">
        <v>68</v>
      </c>
      <c r="AP17" s="24" t="s">
        <v>72</v>
      </c>
      <c r="AQ17" s="24" t="s">
        <v>50</v>
      </c>
      <c r="AR17" s="24" t="s">
        <v>79</v>
      </c>
      <c r="AS17" s="24" t="s">
        <v>57</v>
      </c>
      <c r="AT17" s="24" t="s">
        <v>45</v>
      </c>
      <c r="AU17" s="24" t="s">
        <v>64</v>
      </c>
      <c r="AV17" s="24" t="s">
        <v>69</v>
      </c>
      <c r="AW17" s="24" t="s">
        <v>76</v>
      </c>
      <c r="AX17" s="24" t="s">
        <v>51</v>
      </c>
      <c r="AY17" s="24" t="s">
        <v>81</v>
      </c>
      <c r="AZ17" s="24" t="s">
        <v>82</v>
      </c>
      <c r="BA17" s="24" t="s">
        <v>83</v>
      </c>
      <c r="BB17" s="24" t="s">
        <v>85</v>
      </c>
      <c r="BC17" s="24" t="s">
        <v>56</v>
      </c>
      <c r="BD17" s="24" t="s">
        <v>60</v>
      </c>
      <c r="BE17" s="24" t="s">
        <v>65</v>
      </c>
      <c r="BF17" s="24" t="s">
        <v>63</v>
      </c>
      <c r="BG17" s="24" t="s">
        <v>73</v>
      </c>
      <c r="BH17" s="24" t="s">
        <v>77</v>
      </c>
      <c r="BI17" s="24" t="s">
        <v>68</v>
      </c>
      <c r="BJ17" s="24" t="s">
        <v>50</v>
      </c>
      <c r="BK17" s="24" t="s">
        <v>79</v>
      </c>
      <c r="BL17" s="24" t="s">
        <v>84</v>
      </c>
      <c r="BM17" s="20" t="s">
        <v>13</v>
      </c>
      <c r="BN17" s="20" t="s">
        <v>52</v>
      </c>
      <c r="BO17" s="21" t="s">
        <v>15</v>
      </c>
      <c r="BP17" s="25" t="s">
        <v>16</v>
      </c>
      <c r="BQ17" s="21" t="s">
        <v>17</v>
      </c>
      <c r="BR17" s="21" t="s">
        <v>18</v>
      </c>
      <c r="BS17" s="21" t="s">
        <v>19</v>
      </c>
      <c r="BT17" s="25" t="s">
        <v>20</v>
      </c>
      <c r="BU17" s="21" t="s">
        <v>21</v>
      </c>
      <c r="BV17" s="21" t="str">
        <f>Sheet1!E1</f>
        <v>Propose Drum Type</v>
      </c>
      <c r="BW17" s="53" t="str">
        <f>Sheet1!CV1</f>
        <v>DRUM CODE</v>
      </c>
      <c r="BX17" s="53" t="str">
        <f>Sheet1!CW1</f>
        <v>DRUM SIZE (FxbXtx Ft)</v>
      </c>
      <c r="BY17" s="53" t="str">
        <f>Sheet1!CX1</f>
        <v>Party Standard Length(MTR)</v>
      </c>
      <c r="BZ17" s="29"/>
      <c r="CA17" s="29"/>
      <c r="CB17" s="26"/>
      <c r="CC17" s="29"/>
      <c r="CD17" s="13" t="s">
        <v>25</v>
      </c>
      <c r="CE17" s="5" t="s">
        <v>26</v>
      </c>
      <c r="CF17" s="6" t="s">
        <v>27</v>
      </c>
      <c r="CG17" s="5" t="s">
        <v>28</v>
      </c>
      <c r="CH17" s="5" t="s">
        <v>29</v>
      </c>
      <c r="CI17" s="6" t="s">
        <v>30</v>
      </c>
      <c r="CJ17" s="15" t="s">
        <v>31</v>
      </c>
      <c r="CK17" s="6" t="s">
        <v>32</v>
      </c>
      <c r="CL17" s="15" t="s">
        <v>33</v>
      </c>
    </row>
    <row r="18" spans="1:90" s="29" customFormat="1" x14ac:dyDescent="0.25">
      <c r="A18" s="31"/>
      <c r="B18" s="31"/>
      <c r="C18" s="31"/>
      <c r="D18" s="31"/>
      <c r="E18" s="5"/>
      <c r="F18" s="5"/>
      <c r="G18" s="5"/>
      <c r="H18" s="5"/>
      <c r="I18" s="5"/>
      <c r="J18" s="5"/>
      <c r="K18" s="5"/>
      <c r="L18" s="5"/>
      <c r="M18" s="5"/>
      <c r="N18" s="32">
        <f>+IFERROR(VLOOKUP($N$17,Sheet1!J:L,2,0),0)</f>
        <v>0</v>
      </c>
      <c r="O18" s="32">
        <v>284</v>
      </c>
      <c r="P18" s="32"/>
      <c r="Q18" s="32"/>
      <c r="R18" s="32"/>
      <c r="S18" s="32"/>
      <c r="T18" s="32"/>
      <c r="U18" s="33"/>
      <c r="V18" s="33"/>
      <c r="W18" s="33"/>
      <c r="X18" s="33"/>
      <c r="Y18" s="33"/>
      <c r="Z18" s="33"/>
      <c r="AA18" s="33"/>
      <c r="AB18" s="33"/>
      <c r="AC18" s="33">
        <v>175</v>
      </c>
      <c r="AD18" s="33"/>
      <c r="AE18" s="33">
        <v>160</v>
      </c>
      <c r="AF18" s="33"/>
      <c r="AG18" s="33"/>
      <c r="AH18" s="33"/>
      <c r="AI18" s="33"/>
      <c r="AJ18" s="33"/>
      <c r="AK18" s="34"/>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v>235</v>
      </c>
      <c r="BM18" s="34"/>
      <c r="BN18" s="34"/>
      <c r="BO18" s="35"/>
      <c r="BP18" s="36"/>
      <c r="BQ18" s="35"/>
      <c r="BR18" s="35"/>
      <c r="BS18" s="35"/>
      <c r="BT18" s="36"/>
      <c r="BU18" s="35">
        <v>210</v>
      </c>
      <c r="BV18" s="52"/>
      <c r="BW18" s="52"/>
      <c r="BX18" s="52"/>
      <c r="BY18" s="52"/>
      <c r="CD18" s="5"/>
      <c r="CE18" s="5"/>
      <c r="CF18" s="5"/>
      <c r="CG18" s="5"/>
      <c r="CH18" s="5"/>
      <c r="CI18" s="5"/>
      <c r="CJ18" s="5"/>
      <c r="CK18" s="5"/>
      <c r="CL18" s="5"/>
    </row>
    <row r="19" spans="1:90" ht="30" x14ac:dyDescent="0.25">
      <c r="A19" s="1" t="str">
        <f>Sheet1!A4</f>
        <v>ENQ-15214-22-23</v>
      </c>
      <c r="B19" s="51">
        <v>45658</v>
      </c>
      <c r="C19" s="1" t="str">
        <f>Sheet1!C4</f>
        <v>FA2900029</v>
      </c>
      <c r="D19" s="1" t="str">
        <f>Sheet1!D4</f>
        <v>COVERED CONDUCTOR - 1 CORE X 55 SQ. MM. (AAAC) - 11 KV</v>
      </c>
      <c r="E19" s="3">
        <f t="shared" ref="E19:E24" si="0">CH19+CJ19+CL19</f>
        <v>107898.9375</v>
      </c>
      <c r="F19" s="133">
        <f>ROUNDUP(M28,0)</f>
        <v>1522</v>
      </c>
      <c r="G19" s="9">
        <f t="shared" ref="G19:G24" si="1">E19+F19</f>
        <v>109420.9375</v>
      </c>
      <c r="H19" s="7">
        <f>Sheet1!CP4</f>
        <v>0.18</v>
      </c>
      <c r="I19" s="9">
        <f t="shared" ref="I19:I24" si="2">G19*H19</f>
        <v>19695.768749999999</v>
      </c>
      <c r="J19" s="9">
        <f t="shared" ref="J19:J24" si="3">G19+I19</f>
        <v>129116.70625</v>
      </c>
      <c r="K19" s="1">
        <f>Sheet1!CS4</f>
        <v>23</v>
      </c>
      <c r="L19" s="1" t="str">
        <f>Sheet1!CT4</f>
        <v>KMS</v>
      </c>
      <c r="M19" s="3">
        <f t="shared" ref="M19:M24" si="4">J19*K19</f>
        <v>2969684.2437499999</v>
      </c>
      <c r="N19" s="2">
        <f>+IFERROR(VLOOKUP($N$17,Sheet1!J4:L4,3,0),0)</f>
        <v>0</v>
      </c>
      <c r="O19" s="134">
        <v>150</v>
      </c>
      <c r="P19" s="2">
        <f>+IFERROR(VLOOKUP($P$17,Sheet1!J4:M4,3,0),0)</f>
        <v>0</v>
      </c>
      <c r="Q19" s="2">
        <f>+IFERROR(VLOOKUP($Q$17,Sheet1!J4:M4,3,0),0)</f>
        <v>0</v>
      </c>
      <c r="R19" s="2">
        <f>+IFERROR(VLOOKUP($R$17,Sheet1!J4:M4,3,0),0)</f>
        <v>0</v>
      </c>
      <c r="S19" s="2">
        <f>+IFERROR(VLOOKUP($S$17,Sheet1!N4:Q4,3,0),0)</f>
        <v>0</v>
      </c>
      <c r="T19" s="2">
        <f>+IFERROR(VLOOKUP($T$17,Sheet1!N4:Q4,3,0),0)</f>
        <v>0</v>
      </c>
      <c r="U19" s="2">
        <f>+IFERROR(VLOOKUP($U$17,Sheet1!F4:I4,3,0),0)</f>
        <v>0</v>
      </c>
      <c r="V19" s="2">
        <f>+IFERROR(VLOOKUP($V$17,Sheet1!F4:I4,3,0),0)</f>
        <v>0</v>
      </c>
      <c r="W19" s="2">
        <f>+IFERROR(VLOOKUP($W$17,Sheet1!F4:I4,3,0),0)</f>
        <v>0</v>
      </c>
      <c r="X19" s="2">
        <f>+IFERROR(VLOOKUP($X$17,Sheet1!F4:I4,3,0),0)</f>
        <v>0</v>
      </c>
      <c r="Y19" s="2">
        <f>+IFERROR(VLOOKUP($Y$17,Sheet1!F4:I4,3,0),0)</f>
        <v>0</v>
      </c>
      <c r="Z19" s="2">
        <f>+IFERROR(VLOOKUP($Z$17,Sheet1!F4:I4,3,0),0)</f>
        <v>0</v>
      </c>
      <c r="AA19" s="2">
        <f>+IFERROR(VLOOKUP($AA$17,Sheet1!F4:I4,3,0),0)</f>
        <v>0</v>
      </c>
      <c r="AB19" s="2">
        <f>+IFERROR(VLOOKUP($AB$17,Sheet1!F4:I4,3,0),0)</f>
        <v>0</v>
      </c>
      <c r="AC19" s="134">
        <v>40</v>
      </c>
      <c r="AD19" s="15">
        <f>+IFERROR(VLOOKUP($AD$17,Sheet1!R4:U4,2,0),0)</f>
        <v>0</v>
      </c>
      <c r="AE19" s="135">
        <v>48</v>
      </c>
      <c r="AF19" s="15">
        <f>+IFERROR(VLOOKUP($AF$17,Sheet1!V4:Y4,3,0),0)</f>
        <v>0</v>
      </c>
      <c r="AG19" s="15">
        <f>+IFERROR(VLOOKUP($AG$17,Sheet1!V4:Y4,3,0),0)</f>
        <v>0</v>
      </c>
      <c r="AH19" s="15">
        <f>+IFERROR(VLOOKUP($AH$17,Sheet1!V4:Y4,3,0),0)</f>
        <v>0</v>
      </c>
      <c r="AI19" s="15">
        <f>+IFERROR(VLOOKUP($AI$17,Sheet1!V4:Y4,3,0),0)</f>
        <v>0</v>
      </c>
      <c r="AJ19" s="15">
        <f>+IFERROR(VLOOKUP($AJ$17,Sheet1!V4:Y4,3,0),0)</f>
        <v>0</v>
      </c>
      <c r="AK19" s="15">
        <f>+IFERROR(VLOOKUP($AK$17,Sheet1!Z4:AB4,3,0),0)</f>
        <v>0</v>
      </c>
      <c r="AL19" s="15">
        <f>+IFERROR(VLOOKUP($AL$17,Sheet1!AD4:AG4,3,0),0)</f>
        <v>0</v>
      </c>
      <c r="AM19" s="15">
        <f>+IFERROR(VLOOKUP($AM$17,Sheet1!AD4:AG4,3,0),0)</f>
        <v>0</v>
      </c>
      <c r="AN19" s="15">
        <f>+IFERROR(VLOOKUP($AN$17,Sheet1!AD4:AG4,3,0),0)</f>
        <v>0</v>
      </c>
      <c r="AO19" s="15">
        <f>+IFERROR(VLOOKUP($AO$17,Sheet1!AD4:AG4,3,0),0)</f>
        <v>0</v>
      </c>
      <c r="AP19" s="15">
        <f>+IFERROR(VLOOKUP($AP$17,Sheet1!AD4:AG4,3,0),0)</f>
        <v>0</v>
      </c>
      <c r="AQ19" s="15">
        <f>+IFERROR(VLOOKUP($AQ$17,Sheet1!AD4:AG4,3,0),0)</f>
        <v>0</v>
      </c>
      <c r="AR19" s="15">
        <f>+IFERROR(VLOOKUP($AR$17,Sheet1!AD4:AG4,3,0),0)</f>
        <v>0</v>
      </c>
      <c r="AS19" s="15">
        <f>+IFERROR(VLOOKUP($AS$17,Sheet1!AH4:AK4,3,0),0)</f>
        <v>0</v>
      </c>
      <c r="AT19" s="15">
        <f>+IFERROR(VLOOKUP($AT$17,Sheet1!AH4:AK4,3,0),0)</f>
        <v>0</v>
      </c>
      <c r="AU19" s="15">
        <f>+IFERROR(VLOOKUP($AU$17,Sheet1!AH4:AK4,3,0),0)</f>
        <v>0</v>
      </c>
      <c r="AV19" s="15">
        <f>+IFERROR(VLOOKUP($AV$17,Sheet1!AH4:AK4,3,0),0)</f>
        <v>0</v>
      </c>
      <c r="AW19" s="15">
        <f>+IFERROR(VLOOKUP($AW$17,Sheet1!AH4:AK4,3,0),0)</f>
        <v>0</v>
      </c>
      <c r="AX19" s="15">
        <f>+IFERROR(VLOOKUP($AX$17,Sheet1!AH4:AK4,3,0),0)</f>
        <v>0</v>
      </c>
      <c r="AY19" s="15">
        <f>+IFERROR(VLOOKUP($AY$17,Sheet1!AH4:AK4,3,0),0)</f>
        <v>0</v>
      </c>
      <c r="AZ19" s="15">
        <f>+IFERROR(VLOOKUP($AZ$17,Sheet1!AH4:AK4,3,0),0)</f>
        <v>0</v>
      </c>
      <c r="BA19" s="15">
        <f>+IFERROR(VLOOKUP($BA$17,Sheet1!AH4:AK4,3,0),0)</f>
        <v>0</v>
      </c>
      <c r="BB19" s="15">
        <f>+IFERROR(VLOOKUP($BB$17,Sheet1!AH4:AK4,3,0),0)</f>
        <v>0</v>
      </c>
      <c r="BC19" s="15">
        <f>+IFERROR(VLOOKUP($BC$17,Sheet1!AL4:AO4,3,0),0)</f>
        <v>0</v>
      </c>
      <c r="BD19" s="15">
        <f>+IFERROR(VLOOKUP($BD$17,Sheet1!AL4:AO4,3,0),0)</f>
        <v>0</v>
      </c>
      <c r="BE19" s="15">
        <f>+IFERROR(VLOOKUP($BE$17,Sheet1!AL4:AO4,3,0),0)</f>
        <v>0</v>
      </c>
      <c r="BF19" s="15">
        <f>+IFERROR(VLOOKUP($BF$17,Sheet1!AL4:AO4,3,0),0)</f>
        <v>0</v>
      </c>
      <c r="BG19" s="15">
        <f>+IFERROR(VLOOKUP($BG$17,Sheet1!AL4:AO4,3,0),0)</f>
        <v>0</v>
      </c>
      <c r="BH19" s="15">
        <f>+IFERROR(VLOOKUP($BH$17,Sheet1!AL4:AO4,3,0),0)</f>
        <v>0</v>
      </c>
      <c r="BI19" s="15">
        <f>+IFERROR(VLOOKUP($BI$17,Sheet1!AL4:AO4,3,0),0)</f>
        <v>0</v>
      </c>
      <c r="BJ19" s="15">
        <f>+IFERROR(VLOOKUP($BJ$17,Sheet1!AL4:AO4,3,0),0)</f>
        <v>0</v>
      </c>
      <c r="BK19" s="15">
        <f>+IFERROR(VLOOKUP($BK$17,Sheet1!AL4:AO4,3,0),0)</f>
        <v>0</v>
      </c>
      <c r="BL19" s="134">
        <v>65</v>
      </c>
      <c r="BM19" s="15">
        <f>+IFERROR(VLOOKUP($BM$17,Sheet1!AP4:AS4,3,0),0)</f>
        <v>0</v>
      </c>
      <c r="BN19" s="15">
        <f>+IFERROR(VLOOKUP($BN$17,Sheet1!AT4:AW4,3,0),0)</f>
        <v>0</v>
      </c>
      <c r="BO19" s="15">
        <f>+IFERROR(VLOOKUP($BO$17,Sheet1!AX4:BA4,3,0),0)</f>
        <v>0</v>
      </c>
      <c r="BP19" s="15">
        <f>+IFERROR(VLOOKUP($BP$17,Sheet1!BB4:BE4,3,0),0)</f>
        <v>0</v>
      </c>
      <c r="BQ19" s="15">
        <f>+IFERROR(VLOOKUP($BQ$17,Sheet1!BF4:BI4,3,0),0)</f>
        <v>0</v>
      </c>
      <c r="BR19" s="15">
        <f>+IFERROR(VLOOKUP($BR$17,Sheet1!BJ4:BM4,3,0),0)</f>
        <v>0</v>
      </c>
      <c r="BS19" s="15">
        <f>+IFERROR(VLOOKUP($BS$17,Sheet1!BN4:BQ4,3,0),0)</f>
        <v>0</v>
      </c>
      <c r="BT19" s="15">
        <f>+IFERROR(VLOOKUP($BT$17,Sheet1!BR4:BU4,3,0),0)</f>
        <v>0</v>
      </c>
      <c r="BU19" s="134">
        <v>15</v>
      </c>
      <c r="BV19" s="136" t="s">
        <v>295</v>
      </c>
      <c r="BW19" s="15" t="s">
        <v>289</v>
      </c>
      <c r="BX19" s="15" t="s">
        <v>290</v>
      </c>
      <c r="BY19" s="136">
        <v>1000</v>
      </c>
      <c r="BZ19" s="3">
        <v>8100</v>
      </c>
      <c r="CA19" s="3">
        <f t="shared" ref="CA19:CA24" si="5">SUMPRODUCT($N$18:$BU$18,N19:BU19)+BZ19</f>
        <v>83805</v>
      </c>
      <c r="CB19" s="27">
        <f>Sheet1!CB4</f>
        <v>0</v>
      </c>
      <c r="CC19" s="3">
        <f t="shared" ref="CC19:CC24" si="6">CA19*CB19</f>
        <v>0</v>
      </c>
      <c r="CD19" s="48">
        <v>0.25</v>
      </c>
      <c r="CE19" s="3">
        <f t="shared" ref="CE19:CE24" si="7">CA19*CD19</f>
        <v>20951.25</v>
      </c>
      <c r="CF19" s="48">
        <v>0</v>
      </c>
      <c r="CG19" s="3">
        <f t="shared" ref="CG19:CG24" si="8">CA19*CF19</f>
        <v>0</v>
      </c>
      <c r="CH19" s="3">
        <f t="shared" ref="CH19:CH24" si="9">CA19+CC19+CE19+CG19</f>
        <v>104756.25</v>
      </c>
      <c r="CI19" s="48">
        <v>0.02</v>
      </c>
      <c r="CJ19" s="1">
        <f t="shared" ref="CJ19:CJ24" si="10">CH19*CI19</f>
        <v>2095.125</v>
      </c>
      <c r="CK19" s="48">
        <v>0.01</v>
      </c>
      <c r="CL19" s="1">
        <f t="shared" ref="CL19:CL24" si="11">CH19*CK19</f>
        <v>1047.5625</v>
      </c>
    </row>
    <row r="20" spans="1:90" ht="30" x14ac:dyDescent="0.25">
      <c r="A20" s="1" t="str">
        <f>Sheet1!A6</f>
        <v>ENQ-15214-22-23</v>
      </c>
      <c r="B20" s="51">
        <v>45658</v>
      </c>
      <c r="C20" s="1" t="str">
        <f>Sheet1!C6</f>
        <v>FA2900034</v>
      </c>
      <c r="D20" s="1" t="str">
        <f>Sheet1!D6</f>
        <v>COVERED CONDUCTOR - 1 CORE X 80 SQ. MM. (AAAC) - 11 KV</v>
      </c>
      <c r="E20" s="3">
        <f t="shared" si="0"/>
        <v>139366.72500000001</v>
      </c>
      <c r="F20" s="133">
        <f t="shared" ref="F20:F24" si="12">ROUNDUP(M29,0)</f>
        <v>2184</v>
      </c>
      <c r="G20" s="9">
        <f t="shared" si="1"/>
        <v>141550.72500000001</v>
      </c>
      <c r="H20" s="7">
        <f>Sheet1!CP6</f>
        <v>0.18</v>
      </c>
      <c r="I20" s="9">
        <f t="shared" si="2"/>
        <v>25479.130499999999</v>
      </c>
      <c r="J20" s="9">
        <f t="shared" si="3"/>
        <v>167029.85550000001</v>
      </c>
      <c r="K20" s="1">
        <f>Sheet1!CS6</f>
        <v>48.085000000000001</v>
      </c>
      <c r="L20" s="1" t="str">
        <f>Sheet1!CT6</f>
        <v>KMS</v>
      </c>
      <c r="M20" s="3">
        <f t="shared" si="4"/>
        <v>8031630.6017175</v>
      </c>
      <c r="N20" s="2">
        <f>+IFERROR(VLOOKUP($N$17,Sheet1!J6:L6,3,0),0)</f>
        <v>0</v>
      </c>
      <c r="O20" s="134">
        <v>219</v>
      </c>
      <c r="P20" s="2">
        <f>+IFERROR(VLOOKUP($P$17,Sheet1!J6:M6,3,0),0)</f>
        <v>0</v>
      </c>
      <c r="Q20" s="2">
        <f>+IFERROR(VLOOKUP($Q$17,Sheet1!J6:M6,3,0),0)</f>
        <v>0</v>
      </c>
      <c r="R20" s="2">
        <f>+IFERROR(VLOOKUP($R$17,Sheet1!J6:M6,3,0),0)</f>
        <v>0</v>
      </c>
      <c r="S20" s="2">
        <f>+IFERROR(VLOOKUP($S$17,Sheet1!N6:Q6,3,0),0)</f>
        <v>0</v>
      </c>
      <c r="T20" s="2">
        <f>+IFERROR(VLOOKUP($T$17,Sheet1!N6:Q6,3,0),0)</f>
        <v>0</v>
      </c>
      <c r="U20" s="2">
        <f>+IFERROR(VLOOKUP($U$17,Sheet1!F6:I6,3,0),0)</f>
        <v>0</v>
      </c>
      <c r="V20" s="2">
        <f>+IFERROR(VLOOKUP($V$17,Sheet1!F6:I6,3,0),0)</f>
        <v>0</v>
      </c>
      <c r="W20" s="2">
        <f>+IFERROR(VLOOKUP($W$17,Sheet1!F6:I6,3,0),0)</f>
        <v>0</v>
      </c>
      <c r="X20" s="2">
        <f>+IFERROR(VLOOKUP($X$17,Sheet1!F6:I6,3,0),0)</f>
        <v>0</v>
      </c>
      <c r="Y20" s="2">
        <f>+IFERROR(VLOOKUP($Y$17,Sheet1!F6:I6,3,0),0)</f>
        <v>0</v>
      </c>
      <c r="Z20" s="2">
        <f>+IFERROR(VLOOKUP($Z$17,Sheet1!F6:I6,3,0),0)</f>
        <v>0</v>
      </c>
      <c r="AA20" s="2">
        <f>+IFERROR(VLOOKUP($AA$17,Sheet1!F6:I6,3,0),0)</f>
        <v>0</v>
      </c>
      <c r="AB20" s="2">
        <f>+IFERROR(VLOOKUP($AB$17,Sheet1!F6:I6,3,0),0)</f>
        <v>0</v>
      </c>
      <c r="AC20" s="134">
        <v>48</v>
      </c>
      <c r="AD20" s="15">
        <f>+IFERROR(VLOOKUP($AD$17,Sheet1!R6:U6,2,0),0)</f>
        <v>0</v>
      </c>
      <c r="AE20" s="135">
        <v>55</v>
      </c>
      <c r="AF20" s="15">
        <f>+IFERROR(VLOOKUP($AF$17,Sheet1!V6:Y6,3,0),0)</f>
        <v>0</v>
      </c>
      <c r="AG20" s="15">
        <f>+IFERROR(VLOOKUP($AG$17,Sheet1!V6:Y6,3,0),0)</f>
        <v>0</v>
      </c>
      <c r="AH20" s="15">
        <f>+IFERROR(VLOOKUP($AH$17,Sheet1!V6:Y6,3,0),0)</f>
        <v>0</v>
      </c>
      <c r="AI20" s="15">
        <f>+IFERROR(VLOOKUP($AI$17,Sheet1!V6:Y6,3,0),0)</f>
        <v>0</v>
      </c>
      <c r="AJ20" s="15">
        <f>+IFERROR(VLOOKUP($AJ$17,Sheet1!V6:Y6,3,0),0)</f>
        <v>0</v>
      </c>
      <c r="AK20" s="15">
        <f>+IFERROR(VLOOKUP($AK$17,Sheet1!Z6:AB6,3,0),0)</f>
        <v>0</v>
      </c>
      <c r="AL20" s="15">
        <f>+IFERROR(VLOOKUP($AL$17,Sheet1!AD6:AG6,3,0),0)</f>
        <v>0</v>
      </c>
      <c r="AM20" s="15">
        <f>+IFERROR(VLOOKUP($AM$17,Sheet1!AD6:AG6,3,0),0)</f>
        <v>0</v>
      </c>
      <c r="AN20" s="15">
        <f>+IFERROR(VLOOKUP($AN$17,Sheet1!AD6:AG6,3,0),0)</f>
        <v>0</v>
      </c>
      <c r="AO20" s="15">
        <f>+IFERROR(VLOOKUP($AO$17,Sheet1!AD6:AG6,3,0),0)</f>
        <v>0</v>
      </c>
      <c r="AP20" s="15">
        <f>+IFERROR(VLOOKUP($AP$17,Sheet1!AD6:AG6,3,0),0)</f>
        <v>0</v>
      </c>
      <c r="AQ20" s="15">
        <f>+IFERROR(VLOOKUP($AQ$17,Sheet1!AD6:AG6,3,0),0)</f>
        <v>0</v>
      </c>
      <c r="AR20" s="15">
        <f>+IFERROR(VLOOKUP($AR$17,Sheet1!AD6:AG6,3,0),0)</f>
        <v>0</v>
      </c>
      <c r="AS20" s="15">
        <f>+IFERROR(VLOOKUP($AS$17,Sheet1!AH6:AK6,3,0),0)</f>
        <v>0</v>
      </c>
      <c r="AT20" s="15">
        <f>+IFERROR(VLOOKUP($AT$17,Sheet1!AH6:AK6,3,0),0)</f>
        <v>0</v>
      </c>
      <c r="AU20" s="15">
        <f>+IFERROR(VLOOKUP($AU$17,Sheet1!AH6:AK6,3,0),0)</f>
        <v>0</v>
      </c>
      <c r="AV20" s="15">
        <f>+IFERROR(VLOOKUP($AV$17,Sheet1!AH6:AK6,3,0),0)</f>
        <v>0</v>
      </c>
      <c r="AW20" s="15">
        <f>+IFERROR(VLOOKUP($AW$17,Sheet1!AH6:AK6,3,0),0)</f>
        <v>0</v>
      </c>
      <c r="AX20" s="15">
        <f>+IFERROR(VLOOKUP($AX$17,Sheet1!AH6:AK6,3,0),0)</f>
        <v>0</v>
      </c>
      <c r="AY20" s="15">
        <f>+IFERROR(VLOOKUP($AY$17,Sheet1!AH6:AK6,3,0),0)</f>
        <v>0</v>
      </c>
      <c r="AZ20" s="15">
        <f>+IFERROR(VLOOKUP($AZ$17,Sheet1!AH6:AK6,3,0),0)</f>
        <v>0</v>
      </c>
      <c r="BA20" s="15">
        <f>+IFERROR(VLOOKUP($BA$17,Sheet1!AH6:AK6,3,0),0)</f>
        <v>0</v>
      </c>
      <c r="BB20" s="15">
        <f>+IFERROR(VLOOKUP($BB$17,Sheet1!AH6:AK6,3,0),0)</f>
        <v>0</v>
      </c>
      <c r="BC20" s="15">
        <f>+IFERROR(VLOOKUP($BC$17,Sheet1!AL6:AO6,3,0),0)</f>
        <v>0</v>
      </c>
      <c r="BD20" s="15">
        <f>+IFERROR(VLOOKUP($BD$17,Sheet1!AL6:AO6,3,0),0)</f>
        <v>0</v>
      </c>
      <c r="BE20" s="15">
        <f>+IFERROR(VLOOKUP($BE$17,Sheet1!AL6:AO6,3,0),0)</f>
        <v>0</v>
      </c>
      <c r="BF20" s="15">
        <f>+IFERROR(VLOOKUP($BF$17,Sheet1!AL6:AO6,3,0),0)</f>
        <v>0</v>
      </c>
      <c r="BG20" s="15">
        <f>+IFERROR(VLOOKUP($BG$17,Sheet1!AL6:AO6,3,0),0)</f>
        <v>0</v>
      </c>
      <c r="BH20" s="15">
        <f>+IFERROR(VLOOKUP($BH$17,Sheet1!AL6:AO6,3,0),0)</f>
        <v>0</v>
      </c>
      <c r="BI20" s="15">
        <f>+IFERROR(VLOOKUP($BI$17,Sheet1!AL6:AO6,3,0),0)</f>
        <v>0</v>
      </c>
      <c r="BJ20" s="15">
        <f>+IFERROR(VLOOKUP($BJ$17,Sheet1!AL6:AO6,3,0),0)</f>
        <v>0</v>
      </c>
      <c r="BK20" s="15">
        <f>+IFERROR(VLOOKUP($BK$17,Sheet1!AL6:AO6,3,0),0)</f>
        <v>0</v>
      </c>
      <c r="BL20" s="134">
        <v>74</v>
      </c>
      <c r="BM20" s="15">
        <f>+IFERROR(VLOOKUP($BM$17,Sheet1!AP6:AS6,3,0),0)</f>
        <v>0</v>
      </c>
      <c r="BN20" s="15">
        <f>+IFERROR(VLOOKUP($BN$17,Sheet1!AT6:AW6,3,0),0)</f>
        <v>0</v>
      </c>
      <c r="BO20" s="15">
        <f>+IFERROR(VLOOKUP($BO$17,Sheet1!AX6:BA6,3,0),0)</f>
        <v>0</v>
      </c>
      <c r="BP20" s="15">
        <f>+IFERROR(VLOOKUP($BP$17,Sheet1!BB6:BE6,3,0),0)</f>
        <v>0</v>
      </c>
      <c r="BQ20" s="15">
        <f>+IFERROR(VLOOKUP($BQ$17,Sheet1!BF6:BI6,3,0),0)</f>
        <v>0</v>
      </c>
      <c r="BR20" s="15">
        <f>+IFERROR(VLOOKUP($BR$17,Sheet1!BJ6:BM6,3,0),0)</f>
        <v>0</v>
      </c>
      <c r="BS20" s="15">
        <f>+IFERROR(VLOOKUP($BS$17,Sheet1!BN6:BQ6,3,0),0)</f>
        <v>0</v>
      </c>
      <c r="BT20" s="15">
        <f>+IFERROR(VLOOKUP($BT$17,Sheet1!BR6:BU6,3,0),0)</f>
        <v>0</v>
      </c>
      <c r="BU20" s="134">
        <v>16</v>
      </c>
      <c r="BV20" s="136" t="s">
        <v>295</v>
      </c>
      <c r="BW20" s="15" t="s">
        <v>289</v>
      </c>
      <c r="BX20" s="15" t="s">
        <v>290</v>
      </c>
      <c r="BY20" s="136">
        <v>1000</v>
      </c>
      <c r="BZ20" s="3">
        <v>8100</v>
      </c>
      <c r="CA20" s="3">
        <f t="shared" si="5"/>
        <v>108246</v>
      </c>
      <c r="CB20" s="27">
        <f>Sheet1!CB6</f>
        <v>0</v>
      </c>
      <c r="CC20" s="3">
        <f t="shared" si="6"/>
        <v>0</v>
      </c>
      <c r="CD20" s="48">
        <v>0.25</v>
      </c>
      <c r="CE20" s="3">
        <f t="shared" si="7"/>
        <v>27061.5</v>
      </c>
      <c r="CF20" s="48">
        <v>0</v>
      </c>
      <c r="CG20" s="3">
        <f t="shared" si="8"/>
        <v>0</v>
      </c>
      <c r="CH20" s="3">
        <f t="shared" si="9"/>
        <v>135307.5</v>
      </c>
      <c r="CI20" s="48">
        <v>0.02</v>
      </c>
      <c r="CJ20" s="1">
        <f t="shared" si="10"/>
        <v>2706.15</v>
      </c>
      <c r="CK20" s="48">
        <v>0.01</v>
      </c>
      <c r="CL20" s="1">
        <f t="shared" si="11"/>
        <v>1353.075</v>
      </c>
    </row>
    <row r="21" spans="1:90" ht="30" x14ac:dyDescent="0.25">
      <c r="A21" s="1" t="str">
        <f>Sheet1!A2</f>
        <v>ENQ-15214-22-23</v>
      </c>
      <c r="B21" s="51">
        <v>45658</v>
      </c>
      <c r="C21" s="1" t="str">
        <f>Sheet1!C2</f>
        <v>FA2900004</v>
      </c>
      <c r="D21" s="1" t="str">
        <f>Sheet1!D2</f>
        <v>COVERED CONDUCTOR - 1 CORE x 100 SQ. MM. (AAAC) - 11KV</v>
      </c>
      <c r="E21" s="3">
        <f t="shared" si="0"/>
        <v>163309.07499999998</v>
      </c>
      <c r="F21" s="133">
        <f t="shared" si="12"/>
        <v>1463</v>
      </c>
      <c r="G21" s="9">
        <f t="shared" si="1"/>
        <v>164772.07499999998</v>
      </c>
      <c r="H21" s="7">
        <f>Sheet1!CP2</f>
        <v>0.18</v>
      </c>
      <c r="I21" s="9">
        <f t="shared" si="2"/>
        <v>29658.973499999996</v>
      </c>
      <c r="J21" s="9">
        <f t="shared" si="3"/>
        <v>194431.04849999998</v>
      </c>
      <c r="K21" s="1">
        <f>Sheet1!CS2</f>
        <v>1220.9190000000001</v>
      </c>
      <c r="L21" s="1" t="str">
        <f>Sheet1!CT2</f>
        <v>KMS</v>
      </c>
      <c r="M21" s="3">
        <f t="shared" si="4"/>
        <v>237384561.30357149</v>
      </c>
      <c r="N21" s="2">
        <f>+IFERROR(VLOOKUP($N$17,Sheet1!J2:L2,3,0),0)</f>
        <v>0</v>
      </c>
      <c r="O21" s="134">
        <v>273</v>
      </c>
      <c r="P21" s="2">
        <f>+IFERROR(VLOOKUP($P$17,Sheet1!J2:M2,3,0),0)</f>
        <v>0</v>
      </c>
      <c r="Q21" s="2">
        <f>+IFERROR(VLOOKUP($Q$17,Sheet1!J2:M2,3,0),0)</f>
        <v>0</v>
      </c>
      <c r="R21" s="2">
        <f>+IFERROR(VLOOKUP($R$17,Sheet1!J2:M2,3,0),0)</f>
        <v>0</v>
      </c>
      <c r="S21" s="2">
        <f>+IFERROR(VLOOKUP($S$17,Sheet1!N2:Q2,3,0),0)</f>
        <v>0</v>
      </c>
      <c r="T21" s="2">
        <f>+IFERROR(VLOOKUP($T$17,Sheet1!N2:Q2,3,0),0)</f>
        <v>0</v>
      </c>
      <c r="U21" s="2">
        <f>+IFERROR(VLOOKUP($U$17,Sheet1!F2:I2,3,0),0)</f>
        <v>0</v>
      </c>
      <c r="V21" s="2">
        <f>+IFERROR(VLOOKUP($V$17,Sheet1!F2:I2,3,0),0)</f>
        <v>0</v>
      </c>
      <c r="W21" s="2">
        <f>+IFERROR(VLOOKUP($W$17,Sheet1!F2:I2,3,0),0)</f>
        <v>0</v>
      </c>
      <c r="X21" s="2">
        <f>+IFERROR(VLOOKUP($X$17,Sheet1!F2:I2,3,0),0)</f>
        <v>0</v>
      </c>
      <c r="Y21" s="2">
        <f>+IFERROR(VLOOKUP($Y$17,Sheet1!F2:I2,3,0),0)</f>
        <v>0</v>
      </c>
      <c r="Z21" s="2">
        <f>+IFERROR(VLOOKUP($Z$17,Sheet1!F2:I2,3,0),0)</f>
        <v>0</v>
      </c>
      <c r="AA21" s="2">
        <f>+IFERROR(VLOOKUP($AA$17,Sheet1!F2:I2,3,0),0)</f>
        <v>0</v>
      </c>
      <c r="AB21" s="2">
        <f>+IFERROR(VLOOKUP($AB$17,Sheet1!F2:I2,3,0),0)</f>
        <v>0</v>
      </c>
      <c r="AC21" s="134">
        <v>54</v>
      </c>
      <c r="AD21" s="15">
        <f>+IFERROR(VLOOKUP($AD$17,Sheet1!R2:U2,2,0),0)</f>
        <v>0</v>
      </c>
      <c r="AE21" s="135">
        <v>60</v>
      </c>
      <c r="AF21" s="15">
        <f>+IFERROR(VLOOKUP($AF$17,Sheet1!V2:Y2,3,0),0)</f>
        <v>0</v>
      </c>
      <c r="AG21" s="15">
        <f>+IFERROR(VLOOKUP($AG$17,Sheet1!V2:Y2,3,0),0)</f>
        <v>0</v>
      </c>
      <c r="AH21" s="15">
        <f>+IFERROR(VLOOKUP($AH$17,Sheet1!V2:Y2,3,0),0)</f>
        <v>0</v>
      </c>
      <c r="AI21" s="15">
        <f>+IFERROR(VLOOKUP($AI$17,Sheet1!V2:Y2,3,0),0)</f>
        <v>0</v>
      </c>
      <c r="AJ21" s="15">
        <f>+IFERROR(VLOOKUP($AJ$17,Sheet1!V2:Y2,3,0),0)</f>
        <v>0</v>
      </c>
      <c r="AK21" s="15">
        <f>+IFERROR(VLOOKUP($AK$17,Sheet1!Z2:AB2,3,0),0)</f>
        <v>0</v>
      </c>
      <c r="AL21" s="15">
        <f>+IFERROR(VLOOKUP($AL$17,Sheet1!AD2:AG2,3,0),0)</f>
        <v>0</v>
      </c>
      <c r="AM21" s="15">
        <f>+IFERROR(VLOOKUP($AM$17,Sheet1!AD2:AG2,3,0),0)</f>
        <v>0</v>
      </c>
      <c r="AN21" s="15">
        <f>+IFERROR(VLOOKUP($AN$17,Sheet1!AD2:AG2,3,0),0)</f>
        <v>0</v>
      </c>
      <c r="AO21" s="15">
        <f>+IFERROR(VLOOKUP($AO$17,Sheet1!AD2:AG2,3,0),0)</f>
        <v>0</v>
      </c>
      <c r="AP21" s="15">
        <f>+IFERROR(VLOOKUP($AP$17,Sheet1!AD2:AG2,3,0),0)</f>
        <v>0</v>
      </c>
      <c r="AQ21" s="15">
        <f>+IFERROR(VLOOKUP($AQ$17,Sheet1!AD2:AG2,3,0),0)</f>
        <v>0</v>
      </c>
      <c r="AR21" s="15">
        <f>+IFERROR(VLOOKUP($AR$17,Sheet1!AD2:AG2,3,0),0)</f>
        <v>0</v>
      </c>
      <c r="AS21" s="15">
        <f>+IFERROR(VLOOKUP($AS$17,Sheet1!AH2:AK2,3,0),0)</f>
        <v>0</v>
      </c>
      <c r="AT21" s="15">
        <f>+IFERROR(VLOOKUP($AT$17,Sheet1!AH2:AK2,3,0),0)</f>
        <v>0</v>
      </c>
      <c r="AU21" s="15">
        <f>+IFERROR(VLOOKUP($AU$17,Sheet1!AH2:AK2,3,0),0)</f>
        <v>0</v>
      </c>
      <c r="AV21" s="15">
        <f>+IFERROR(VLOOKUP($AV$17,Sheet1!AH2:AK2,3,0),0)</f>
        <v>0</v>
      </c>
      <c r="AW21" s="15">
        <f>+IFERROR(VLOOKUP($AW$17,Sheet1!AH2:AK2,3,0),0)</f>
        <v>0</v>
      </c>
      <c r="AX21" s="15">
        <f>+IFERROR(VLOOKUP($AX$17,Sheet1!AH2:AK2,3,0),0)</f>
        <v>0</v>
      </c>
      <c r="AY21" s="15">
        <f>+IFERROR(VLOOKUP($AY$17,Sheet1!AH2:AK2,3,0),0)</f>
        <v>0</v>
      </c>
      <c r="AZ21" s="15">
        <f>+IFERROR(VLOOKUP($AZ$17,Sheet1!AH2:AK2,3,0),0)</f>
        <v>0</v>
      </c>
      <c r="BA21" s="15">
        <f>+IFERROR(VLOOKUP($BA$17,Sheet1!AH2:AK2,3,0),0)</f>
        <v>0</v>
      </c>
      <c r="BB21" s="15">
        <f>+IFERROR(VLOOKUP($BB$17,Sheet1!AH2:AK2,3,0),0)</f>
        <v>0</v>
      </c>
      <c r="BC21" s="15">
        <f>+IFERROR(VLOOKUP($BC$17,Sheet1!AL2:AO2,3,0),0)</f>
        <v>0</v>
      </c>
      <c r="BD21" s="15">
        <f>+IFERROR(VLOOKUP($BD$17,Sheet1!AL2:AO2,3,0),0)</f>
        <v>0</v>
      </c>
      <c r="BE21" s="15">
        <f>+IFERROR(VLOOKUP($BE$17,Sheet1!AL2:AO2,3,0),0)</f>
        <v>0</v>
      </c>
      <c r="BF21" s="15">
        <f>+IFERROR(VLOOKUP($BF$17,Sheet1!AL2:AO2,3,0),0)</f>
        <v>0</v>
      </c>
      <c r="BG21" s="15">
        <f>+IFERROR(VLOOKUP($BG$17,Sheet1!AL2:AO2,3,0),0)</f>
        <v>0</v>
      </c>
      <c r="BH21" s="15">
        <f>+IFERROR(VLOOKUP($BH$17,Sheet1!AL2:AO2,3,0),0)</f>
        <v>0</v>
      </c>
      <c r="BI21" s="15">
        <f>+IFERROR(VLOOKUP($BI$17,Sheet1!AL2:AO2,3,0),0)</f>
        <v>0</v>
      </c>
      <c r="BJ21" s="15">
        <f>+IFERROR(VLOOKUP($BJ$17,Sheet1!AL2:AO2,3,0),0)</f>
        <v>0</v>
      </c>
      <c r="BK21" s="15">
        <f>+IFERROR(VLOOKUP($BK$17,Sheet1!AL2:AO2,3,0),0)</f>
        <v>0</v>
      </c>
      <c r="BL21" s="134">
        <v>80</v>
      </c>
      <c r="BM21" s="15">
        <f>+IFERROR(VLOOKUP($BM$17,Sheet1!AP2:AS2,3,0),0)</f>
        <v>0</v>
      </c>
      <c r="BN21" s="15">
        <f>+IFERROR(VLOOKUP($BN$17,Sheet1!AT2:AW2,3,0),0)</f>
        <v>0</v>
      </c>
      <c r="BO21" s="15">
        <f>+IFERROR(VLOOKUP($BO$17,Sheet1!AX2:BA2,3,0),0)</f>
        <v>0</v>
      </c>
      <c r="BP21" s="15">
        <f>+IFERROR(VLOOKUP($BP$17,Sheet1!BB2:BE2,3,0),0)</f>
        <v>0</v>
      </c>
      <c r="BQ21" s="15">
        <f>+IFERROR(VLOOKUP($BQ$17,Sheet1!BF2:BI2,3,0),0)</f>
        <v>0</v>
      </c>
      <c r="BR21" s="15">
        <f>+IFERROR(VLOOKUP($BR$17,Sheet1!BJ2:BM2,3,0),0)</f>
        <v>0</v>
      </c>
      <c r="BS21" s="15">
        <f>+IFERROR(VLOOKUP($BS$17,Sheet1!BN2:BQ2,3,0),0)</f>
        <v>0</v>
      </c>
      <c r="BT21" s="15">
        <f>+IFERROR(VLOOKUP($BT$17,Sheet1!BR2:BU2,3,0),0)</f>
        <v>0</v>
      </c>
      <c r="BU21" s="134">
        <v>16</v>
      </c>
      <c r="BV21" s="136" t="s">
        <v>295</v>
      </c>
      <c r="BW21" s="15" t="s">
        <v>289</v>
      </c>
      <c r="BX21" s="15" t="s">
        <v>290</v>
      </c>
      <c r="BY21" s="136">
        <v>1000</v>
      </c>
      <c r="BZ21" s="3">
        <v>8100</v>
      </c>
      <c r="CA21" s="3">
        <f t="shared" si="5"/>
        <v>126842</v>
      </c>
      <c r="CB21" s="27">
        <f>Sheet1!CB2</f>
        <v>0</v>
      </c>
      <c r="CC21" s="3">
        <f t="shared" si="6"/>
        <v>0</v>
      </c>
      <c r="CD21" s="48">
        <v>0.25</v>
      </c>
      <c r="CE21" s="3">
        <f t="shared" si="7"/>
        <v>31710.5</v>
      </c>
      <c r="CF21" s="48">
        <v>0</v>
      </c>
      <c r="CG21" s="3">
        <f t="shared" si="8"/>
        <v>0</v>
      </c>
      <c r="CH21" s="3">
        <f t="shared" si="9"/>
        <v>158552.5</v>
      </c>
      <c r="CI21" s="48">
        <v>0.02</v>
      </c>
      <c r="CJ21" s="1">
        <f t="shared" si="10"/>
        <v>3171.05</v>
      </c>
      <c r="CK21" s="48">
        <v>0.01</v>
      </c>
      <c r="CL21" s="1">
        <f t="shared" si="11"/>
        <v>1585.5250000000001</v>
      </c>
    </row>
    <row r="22" spans="1:90" ht="30" x14ac:dyDescent="0.25">
      <c r="A22" s="1" t="str">
        <f>Sheet1!A3</f>
        <v>ENQ-15214-22-23</v>
      </c>
      <c r="B22" s="51">
        <v>45658</v>
      </c>
      <c r="C22" s="1" t="str">
        <f>Sheet1!C3</f>
        <v>FA2900008</v>
      </c>
      <c r="D22" s="1" t="str">
        <f>Sheet1!D3</f>
        <v>COVERED CONDUCTOR - 1 CORE X 99 SQ. MM. (AAAC) - 33 KV</v>
      </c>
      <c r="E22" s="3">
        <f t="shared" si="0"/>
        <v>186033.44999999998</v>
      </c>
      <c r="F22" s="133">
        <f t="shared" si="12"/>
        <v>2059</v>
      </c>
      <c r="G22" s="9">
        <f t="shared" si="1"/>
        <v>188092.44999999998</v>
      </c>
      <c r="H22" s="7">
        <f>Sheet1!CP3</f>
        <v>0.18</v>
      </c>
      <c r="I22" s="9">
        <f t="shared" si="2"/>
        <v>33856.640999999996</v>
      </c>
      <c r="J22" s="9">
        <f t="shared" si="3"/>
        <v>221949.09099999999</v>
      </c>
      <c r="K22" s="1">
        <v>85</v>
      </c>
      <c r="L22" s="1" t="str">
        <f>Sheet1!CT3</f>
        <v>KMS</v>
      </c>
      <c r="M22" s="3">
        <f t="shared" si="4"/>
        <v>18865672.734999999</v>
      </c>
      <c r="N22" s="2">
        <f>+IFERROR(VLOOKUP($N$17,Sheet1!J3:L3,3,0),0)</f>
        <v>0</v>
      </c>
      <c r="O22" s="134">
        <v>273</v>
      </c>
      <c r="P22" s="2">
        <f>+IFERROR(VLOOKUP($P$17,Sheet1!J3:M3,3,0),0)</f>
        <v>0</v>
      </c>
      <c r="Q22" s="2">
        <f>+IFERROR(VLOOKUP($Q$17,Sheet1!J3:M3,3,0),0)</f>
        <v>0</v>
      </c>
      <c r="R22" s="2">
        <f>+IFERROR(VLOOKUP($R$17,Sheet1!J3:M3,3,0),0)</f>
        <v>0</v>
      </c>
      <c r="S22" s="2">
        <f>+IFERROR(VLOOKUP($S$17,Sheet1!N3:Q3,3,0),0)</f>
        <v>0</v>
      </c>
      <c r="T22" s="2">
        <f>+IFERROR(VLOOKUP($T$17,Sheet1!N3:Q3,3,0),0)</f>
        <v>0</v>
      </c>
      <c r="U22" s="2">
        <f>+IFERROR(VLOOKUP($U$17,Sheet1!F3:I3,3,0),0)</f>
        <v>0</v>
      </c>
      <c r="V22" s="2">
        <f>+IFERROR(VLOOKUP($V$17,Sheet1!F3:I3,3,0),0)</f>
        <v>0</v>
      </c>
      <c r="W22" s="2">
        <f>+IFERROR(VLOOKUP($W$17,Sheet1!F3:I3,3,0),0)</f>
        <v>0</v>
      </c>
      <c r="X22" s="2">
        <f>+IFERROR(VLOOKUP($X$17,Sheet1!F3:I3,3,0),0)</f>
        <v>0</v>
      </c>
      <c r="Y22" s="2">
        <f>+IFERROR(VLOOKUP($Y$17,Sheet1!F3:I3,3,0),0)</f>
        <v>0</v>
      </c>
      <c r="Z22" s="2">
        <f>+IFERROR(VLOOKUP($Z$17,Sheet1!F3:I3,3,0),0)</f>
        <v>0</v>
      </c>
      <c r="AA22" s="2">
        <f>+IFERROR(VLOOKUP($AA$17,Sheet1!F3:I3,3,0),0)</f>
        <v>0</v>
      </c>
      <c r="AB22" s="2">
        <f>+IFERROR(VLOOKUP($AB$17,Sheet1!F3:I3,3,0),0)</f>
        <v>0</v>
      </c>
      <c r="AC22" s="134">
        <v>54</v>
      </c>
      <c r="AD22" s="15">
        <f>+IFERROR(VLOOKUP($AD$17,Sheet1!R3:U3,2,0),0)</f>
        <v>0</v>
      </c>
      <c r="AE22" s="135">
        <v>127</v>
      </c>
      <c r="AF22" s="15">
        <f>+IFERROR(VLOOKUP($AF$17,Sheet1!V3:Y3,3,0),0)</f>
        <v>0</v>
      </c>
      <c r="AG22" s="15">
        <f>+IFERROR(VLOOKUP($AG$17,Sheet1!V3:Y3,3,0),0)</f>
        <v>0</v>
      </c>
      <c r="AH22" s="15">
        <f>+IFERROR(VLOOKUP($AH$17,Sheet1!V3:Y3,3,0),0)</f>
        <v>0</v>
      </c>
      <c r="AI22" s="15">
        <f>+IFERROR(VLOOKUP($AI$17,Sheet1!V3:Y3,3,0),0)</f>
        <v>0</v>
      </c>
      <c r="AJ22" s="15">
        <f>+IFERROR(VLOOKUP($AJ$17,Sheet1!V3:Y3,3,0),0)</f>
        <v>0</v>
      </c>
      <c r="AK22" s="15">
        <f>+IFERROR(VLOOKUP($AK$17,Sheet1!Z3:AB3,3,0),0)</f>
        <v>0</v>
      </c>
      <c r="AL22" s="15">
        <f>+IFERROR(VLOOKUP($AL$17,Sheet1!AD3:AG3,3,0),0)</f>
        <v>0</v>
      </c>
      <c r="AM22" s="15">
        <f>+IFERROR(VLOOKUP($AM$17,Sheet1!AD3:AG3,3,0),0)</f>
        <v>0</v>
      </c>
      <c r="AN22" s="15">
        <f>+IFERROR(VLOOKUP($AN$17,Sheet1!AD3:AG3,3,0),0)</f>
        <v>0</v>
      </c>
      <c r="AO22" s="15">
        <f>+IFERROR(VLOOKUP($AO$17,Sheet1!AD3:AG3,3,0),0)</f>
        <v>0</v>
      </c>
      <c r="AP22" s="15">
        <f>+IFERROR(VLOOKUP($AP$17,Sheet1!AD3:AG3,3,0),0)</f>
        <v>0</v>
      </c>
      <c r="AQ22" s="15">
        <f>+IFERROR(VLOOKUP($AQ$17,Sheet1!AD3:AG3,3,0),0)</f>
        <v>0</v>
      </c>
      <c r="AR22" s="15">
        <f>+IFERROR(VLOOKUP($AR$17,Sheet1!AD3:AG3,3,0),0)</f>
        <v>0</v>
      </c>
      <c r="AS22" s="15">
        <f>+IFERROR(VLOOKUP($AS$17,Sheet1!AH3:AK3,3,0),0)</f>
        <v>0</v>
      </c>
      <c r="AT22" s="15">
        <f>+IFERROR(VLOOKUP($AT$17,Sheet1!AH3:AK3,3,0),0)</f>
        <v>0</v>
      </c>
      <c r="AU22" s="15">
        <f>+IFERROR(VLOOKUP($AU$17,Sheet1!AH3:AK3,3,0),0)</f>
        <v>0</v>
      </c>
      <c r="AV22" s="15">
        <f>+IFERROR(VLOOKUP($AV$17,Sheet1!AH3:AK3,3,0),0)</f>
        <v>0</v>
      </c>
      <c r="AW22" s="15">
        <f>+IFERROR(VLOOKUP($AW$17,Sheet1!AH3:AK3,3,0),0)</f>
        <v>0</v>
      </c>
      <c r="AX22" s="15">
        <f>+IFERROR(VLOOKUP($AX$17,Sheet1!AH3:AK3,3,0),0)</f>
        <v>0</v>
      </c>
      <c r="AY22" s="15">
        <f>+IFERROR(VLOOKUP($AY$17,Sheet1!AH3:AK3,3,0),0)</f>
        <v>0</v>
      </c>
      <c r="AZ22" s="15">
        <f>+IFERROR(VLOOKUP($AZ$17,Sheet1!AH3:AK3,3,0),0)</f>
        <v>0</v>
      </c>
      <c r="BA22" s="15">
        <f>+IFERROR(VLOOKUP($BA$17,Sheet1!AH3:AK3,3,0),0)</f>
        <v>0</v>
      </c>
      <c r="BB22" s="15">
        <f>+IFERROR(VLOOKUP($BB$17,Sheet1!AH3:AK3,3,0),0)</f>
        <v>0</v>
      </c>
      <c r="BC22" s="15">
        <f>+IFERROR(VLOOKUP($BC$17,Sheet1!AL3:AO3,3,0),0)</f>
        <v>0</v>
      </c>
      <c r="BD22" s="15">
        <f>+IFERROR(VLOOKUP($BD$17,Sheet1!AL3:AO3,3,0),0)</f>
        <v>0</v>
      </c>
      <c r="BE22" s="15">
        <f>+IFERROR(VLOOKUP($BE$17,Sheet1!AL3:AO3,3,0),0)</f>
        <v>0</v>
      </c>
      <c r="BF22" s="15">
        <f>+IFERROR(VLOOKUP($BF$17,Sheet1!AL3:AO3,3,0),0)</f>
        <v>0</v>
      </c>
      <c r="BG22" s="15">
        <f>+IFERROR(VLOOKUP($BG$17,Sheet1!AL3:AO3,3,0),0)</f>
        <v>0</v>
      </c>
      <c r="BH22" s="15">
        <f>+IFERROR(VLOOKUP($BH$17,Sheet1!AL3:AO3,3,0),0)</f>
        <v>0</v>
      </c>
      <c r="BI22" s="15">
        <f>+IFERROR(VLOOKUP($BI$17,Sheet1!AL3:AO3,3,0),0)</f>
        <v>0</v>
      </c>
      <c r="BJ22" s="15">
        <f>+IFERROR(VLOOKUP($BJ$17,Sheet1!AL3:AO3,3,0),0)</f>
        <v>0</v>
      </c>
      <c r="BK22" s="15">
        <f>+IFERROR(VLOOKUP($BK$17,Sheet1!AL3:AO3,3,0),0)</f>
        <v>0</v>
      </c>
      <c r="BL22" s="134">
        <v>98</v>
      </c>
      <c r="BM22" s="15">
        <f>+IFERROR(VLOOKUP($BM$17,Sheet1!AP3:AS3,3,0),0)</f>
        <v>0</v>
      </c>
      <c r="BN22" s="15">
        <f>+IFERROR(VLOOKUP($BN$17,Sheet1!AT3:AW3,3,0),0)</f>
        <v>0</v>
      </c>
      <c r="BO22" s="15">
        <f>+IFERROR(VLOOKUP($BO$17,Sheet1!AX3:BA3,3,0),0)</f>
        <v>0</v>
      </c>
      <c r="BP22" s="15">
        <f>+IFERROR(VLOOKUP($BP$17,Sheet1!BB3:BE3,3,0),0)</f>
        <v>0</v>
      </c>
      <c r="BQ22" s="15">
        <f>+IFERROR(VLOOKUP($BQ$17,Sheet1!BF3:BI3,3,0),0)</f>
        <v>0</v>
      </c>
      <c r="BR22" s="15">
        <f>+IFERROR(VLOOKUP($BR$17,Sheet1!BJ3:BM3,3,0),0)</f>
        <v>0</v>
      </c>
      <c r="BS22" s="15">
        <f>+IFERROR(VLOOKUP($BS$17,Sheet1!BN3:BQ3,3,0),0)</f>
        <v>0</v>
      </c>
      <c r="BT22" s="15">
        <f>+IFERROR(VLOOKUP($BT$17,Sheet1!BR3:BU3,3,0),0)</f>
        <v>0</v>
      </c>
      <c r="BU22" s="134">
        <v>16</v>
      </c>
      <c r="BV22" s="136" t="s">
        <v>295</v>
      </c>
      <c r="BW22" s="15" t="s">
        <v>291</v>
      </c>
      <c r="BX22" s="15" t="s">
        <v>292</v>
      </c>
      <c r="BY22" s="136">
        <v>1000</v>
      </c>
      <c r="BZ22" s="3">
        <v>10800</v>
      </c>
      <c r="CA22" s="3">
        <f t="shared" si="5"/>
        <v>144492</v>
      </c>
      <c r="CB22" s="27">
        <f>Sheet1!CB3</f>
        <v>0</v>
      </c>
      <c r="CC22" s="3">
        <f t="shared" si="6"/>
        <v>0</v>
      </c>
      <c r="CD22" s="48">
        <v>0.25</v>
      </c>
      <c r="CE22" s="3">
        <f t="shared" si="7"/>
        <v>36123</v>
      </c>
      <c r="CF22" s="48">
        <v>0</v>
      </c>
      <c r="CG22" s="3">
        <f t="shared" si="8"/>
        <v>0</v>
      </c>
      <c r="CH22" s="3">
        <f t="shared" si="9"/>
        <v>180615</v>
      </c>
      <c r="CI22" s="48">
        <v>0.02</v>
      </c>
      <c r="CJ22" s="1">
        <f t="shared" si="10"/>
        <v>3612.3</v>
      </c>
      <c r="CK22" s="48">
        <v>0.01</v>
      </c>
      <c r="CL22" s="1">
        <f t="shared" si="11"/>
        <v>1806.15</v>
      </c>
    </row>
    <row r="23" spans="1:90" ht="30" x14ac:dyDescent="0.25">
      <c r="A23" s="1" t="str">
        <f>Sheet1!A7</f>
        <v>ENQ-15214-22-23</v>
      </c>
      <c r="B23" s="51">
        <v>45658</v>
      </c>
      <c r="C23" s="1" t="str">
        <f>Sheet1!C7</f>
        <v>FA2900014</v>
      </c>
      <c r="D23" s="1" t="str">
        <f>Sheet1!D7</f>
        <v>COVERED CONDUCTOR - 1 CORE x 150 SQ. MM. (XLPE) (AAAC) - 33 KV</v>
      </c>
      <c r="E23" s="3">
        <f t="shared" si="0"/>
        <v>249650.11250000002</v>
      </c>
      <c r="F23" s="133">
        <f t="shared" si="12"/>
        <v>2261</v>
      </c>
      <c r="G23" s="9">
        <f t="shared" si="1"/>
        <v>251911.11250000002</v>
      </c>
      <c r="H23" s="7">
        <f>Sheet1!CP7</f>
        <v>0.18</v>
      </c>
      <c r="I23" s="9">
        <f t="shared" si="2"/>
        <v>45344.000250000005</v>
      </c>
      <c r="J23" s="9">
        <f t="shared" si="3"/>
        <v>297255.11275000003</v>
      </c>
      <c r="K23" s="1">
        <v>263.17500000000001</v>
      </c>
      <c r="L23" s="1" t="str">
        <f>Sheet1!CT7</f>
        <v>KMS</v>
      </c>
      <c r="M23" s="3">
        <f t="shared" si="4"/>
        <v>78230114.297981262</v>
      </c>
      <c r="N23" s="2">
        <f>+IFERROR(VLOOKUP($N$17,Sheet1!J7:L7,3,0),0)</f>
        <v>0</v>
      </c>
      <c r="O23" s="134">
        <v>407</v>
      </c>
      <c r="P23" s="2">
        <f>+IFERROR(VLOOKUP($P$17,Sheet1!J7:M7,3,0),0)</f>
        <v>0</v>
      </c>
      <c r="Q23" s="2">
        <f>+IFERROR(VLOOKUP($Q$17,Sheet1!J7:M7,3,0),0)</f>
        <v>0</v>
      </c>
      <c r="R23" s="2">
        <f>+IFERROR(VLOOKUP($R$17,Sheet1!J7:M7,3,0),0)</f>
        <v>0</v>
      </c>
      <c r="S23" s="2">
        <f>+IFERROR(VLOOKUP($S$17,Sheet1!N7:Q7,3,0),0)</f>
        <v>0</v>
      </c>
      <c r="T23" s="2">
        <f>+IFERROR(VLOOKUP($T$17,Sheet1!N7:Q7,3,0),0)</f>
        <v>0</v>
      </c>
      <c r="U23" s="2">
        <f>+IFERROR(VLOOKUP($U$17,Sheet1!F7:I7,3,0),0)</f>
        <v>0</v>
      </c>
      <c r="V23" s="2">
        <f>+IFERROR(VLOOKUP($V$17,Sheet1!F7:I7,3,0),0)</f>
        <v>0</v>
      </c>
      <c r="W23" s="2">
        <f>+IFERROR(VLOOKUP($W$17,Sheet1!F7:I7,3,0),0)</f>
        <v>0</v>
      </c>
      <c r="X23" s="2">
        <f>+IFERROR(VLOOKUP($X$17,Sheet1!F7:I7,3,0),0)</f>
        <v>0</v>
      </c>
      <c r="Y23" s="2">
        <f>+IFERROR(VLOOKUP($Y$17,Sheet1!F7:I7,3,0),0)</f>
        <v>0</v>
      </c>
      <c r="Z23" s="2">
        <f>+IFERROR(VLOOKUP($Z$17,Sheet1!F7:I7,3,0),0)</f>
        <v>0</v>
      </c>
      <c r="AA23" s="2">
        <f>+IFERROR(VLOOKUP($AA$17,Sheet1!F7:I7,3,0),0)</f>
        <v>0</v>
      </c>
      <c r="AB23" s="2">
        <f>+IFERROR(VLOOKUP($AB$17,Sheet1!F7:I7,3,0),0)</f>
        <v>0</v>
      </c>
      <c r="AC23" s="134">
        <v>66</v>
      </c>
      <c r="AD23" s="15">
        <f>+IFERROR(VLOOKUP($AD$17,Sheet1!R7:U7,2,0),0)</f>
        <v>0</v>
      </c>
      <c r="AE23" s="134">
        <v>150</v>
      </c>
      <c r="AF23" s="15">
        <f>+IFERROR(VLOOKUP($AF$17,Sheet1!V7:Y7,3,0),0)</f>
        <v>0</v>
      </c>
      <c r="AG23" s="15">
        <f>+IFERROR(VLOOKUP($AG$17,Sheet1!V7:Y7,3,0),0)</f>
        <v>0</v>
      </c>
      <c r="AH23" s="15">
        <f>+IFERROR(VLOOKUP($AH$17,Sheet1!V7:Y7,3,0),0)</f>
        <v>0</v>
      </c>
      <c r="AI23" s="15">
        <f>+IFERROR(VLOOKUP($AI$17,Sheet1!V7:Y7,3,0),0)</f>
        <v>0</v>
      </c>
      <c r="AJ23" s="15">
        <f>+IFERROR(VLOOKUP($AJ$17,Sheet1!V7:Y7,3,0),0)</f>
        <v>0</v>
      </c>
      <c r="AK23" s="15">
        <f>+IFERROR(VLOOKUP($AK$17,Sheet1!Z7:AB7,3,0),0)</f>
        <v>0</v>
      </c>
      <c r="AL23" s="15">
        <f>+IFERROR(VLOOKUP($AL$17,Sheet1!AD7:AG7,3,0),0)</f>
        <v>0</v>
      </c>
      <c r="AM23" s="15">
        <f>+IFERROR(VLOOKUP($AM$17,Sheet1!AD7:AG7,3,0),0)</f>
        <v>0</v>
      </c>
      <c r="AN23" s="15">
        <f>+IFERROR(VLOOKUP($AN$17,Sheet1!AD7:AG7,3,0),0)</f>
        <v>0</v>
      </c>
      <c r="AO23" s="15">
        <f>+IFERROR(VLOOKUP($AO$17,Sheet1!AD7:AG7,3,0),0)</f>
        <v>0</v>
      </c>
      <c r="AP23" s="15">
        <f>+IFERROR(VLOOKUP($AP$17,Sheet1!AD7:AG7,3,0),0)</f>
        <v>0</v>
      </c>
      <c r="AQ23" s="15">
        <f>+IFERROR(VLOOKUP($AQ$17,Sheet1!AD7:AG7,3,0),0)</f>
        <v>0</v>
      </c>
      <c r="AR23" s="15">
        <f>+IFERROR(VLOOKUP($AR$17,Sheet1!AD7:AG7,3,0),0)</f>
        <v>0</v>
      </c>
      <c r="AS23" s="15">
        <f>+IFERROR(VLOOKUP($AS$17,Sheet1!AH7:AK7,3,0),0)</f>
        <v>0</v>
      </c>
      <c r="AT23" s="15">
        <f>+IFERROR(VLOOKUP($AT$17,Sheet1!AH7:AK7,3,0),0)</f>
        <v>0</v>
      </c>
      <c r="AU23" s="15">
        <f>+IFERROR(VLOOKUP($AU$17,Sheet1!AH7:AK7,3,0),0)</f>
        <v>0</v>
      </c>
      <c r="AV23" s="15">
        <f>+IFERROR(VLOOKUP($AV$17,Sheet1!AH7:AK7,3,0),0)</f>
        <v>0</v>
      </c>
      <c r="AW23" s="15">
        <f>+IFERROR(VLOOKUP($AW$17,Sheet1!AH7:AK7,3,0),0)</f>
        <v>0</v>
      </c>
      <c r="AX23" s="15">
        <f>+IFERROR(VLOOKUP($AX$17,Sheet1!AH7:AK7,3,0),0)</f>
        <v>0</v>
      </c>
      <c r="AY23" s="15">
        <f>+IFERROR(VLOOKUP($AY$17,Sheet1!AH7:AK7,3,0),0)</f>
        <v>0</v>
      </c>
      <c r="AZ23" s="15">
        <f>+IFERROR(VLOOKUP($AZ$17,Sheet1!AH7:AK7,3,0),0)</f>
        <v>0</v>
      </c>
      <c r="BA23" s="15">
        <f>+IFERROR(VLOOKUP($BA$17,Sheet1!AH7:AK7,3,0),0)</f>
        <v>0</v>
      </c>
      <c r="BB23" s="15">
        <f>+IFERROR(VLOOKUP($BB$17,Sheet1!AH7:AK7,3,0),0)</f>
        <v>0</v>
      </c>
      <c r="BC23" s="15">
        <f>+IFERROR(VLOOKUP($BC$17,Sheet1!AL7:AO7,3,0),0)</f>
        <v>0</v>
      </c>
      <c r="BD23" s="15">
        <f>+IFERROR(VLOOKUP($BD$17,Sheet1!AL7:AO7,3,0),0)</f>
        <v>0</v>
      </c>
      <c r="BE23" s="15">
        <f>+IFERROR(VLOOKUP($BE$17,Sheet1!AL7:AO7,3,0),0)</f>
        <v>0</v>
      </c>
      <c r="BF23" s="15">
        <f>+IFERROR(VLOOKUP($BF$17,Sheet1!AL7:AO7,3,0),0)</f>
        <v>0</v>
      </c>
      <c r="BG23" s="15">
        <f>+IFERROR(VLOOKUP($BG$17,Sheet1!AL7:AO7,3,0),0)</f>
        <v>0</v>
      </c>
      <c r="BH23" s="15">
        <f>+IFERROR(VLOOKUP($BH$17,Sheet1!AL7:AO7,3,0),0)</f>
        <v>0</v>
      </c>
      <c r="BI23" s="15">
        <f>+IFERROR(VLOOKUP($BI$17,Sheet1!AL7:AO7,3,0),0)</f>
        <v>0</v>
      </c>
      <c r="BJ23" s="15">
        <f>+IFERROR(VLOOKUP($BJ$17,Sheet1!AL7:AO7,3,0),0)</f>
        <v>0</v>
      </c>
      <c r="BK23" s="15">
        <f>+IFERROR(VLOOKUP($BK$17,Sheet1!AL7:AO7,3,0),0)</f>
        <v>0</v>
      </c>
      <c r="BL23" s="134">
        <v>111</v>
      </c>
      <c r="BM23" s="15">
        <f>+IFERROR(VLOOKUP($BM$17,Sheet1!AP7:AS7,3,0),0)</f>
        <v>0</v>
      </c>
      <c r="BN23" s="15">
        <f>+IFERROR(VLOOKUP($BN$17,Sheet1!AT7:AW7,3,0),0)</f>
        <v>0</v>
      </c>
      <c r="BO23" s="15">
        <f>+IFERROR(VLOOKUP($BO$17,Sheet1!AX7:BA7,3,0),0)</f>
        <v>0</v>
      </c>
      <c r="BP23" s="15">
        <f>+IFERROR(VLOOKUP($BP$17,Sheet1!BB7:BE7,3,0),0)</f>
        <v>0</v>
      </c>
      <c r="BQ23" s="15">
        <f>+IFERROR(VLOOKUP($BQ$17,Sheet1!BF7:BI7,3,0),0)</f>
        <v>0</v>
      </c>
      <c r="BR23" s="15">
        <f>+IFERROR(VLOOKUP($BR$17,Sheet1!BJ7:BM7,3,0),0)</f>
        <v>0</v>
      </c>
      <c r="BS23" s="15">
        <f>+IFERROR(VLOOKUP($BS$17,Sheet1!BN7:BQ7,3,0),0)</f>
        <v>0</v>
      </c>
      <c r="BT23" s="15">
        <f>+IFERROR(VLOOKUP($BT$17,Sheet1!BR7:BU7,3,0),0)</f>
        <v>0</v>
      </c>
      <c r="BU23" s="134">
        <v>28</v>
      </c>
      <c r="BV23" s="136" t="s">
        <v>295</v>
      </c>
      <c r="BW23" s="15" t="s">
        <v>291</v>
      </c>
      <c r="BX23" s="15" t="s">
        <v>292</v>
      </c>
      <c r="BY23" s="136">
        <v>1000</v>
      </c>
      <c r="BZ23" s="3">
        <v>10800</v>
      </c>
      <c r="CA23" s="3">
        <f t="shared" si="5"/>
        <v>193903</v>
      </c>
      <c r="CB23" s="27">
        <f>Sheet1!CB7</f>
        <v>0</v>
      </c>
      <c r="CC23" s="3">
        <f t="shared" si="6"/>
        <v>0</v>
      </c>
      <c r="CD23" s="48">
        <v>0.25</v>
      </c>
      <c r="CE23" s="3">
        <f t="shared" si="7"/>
        <v>48475.75</v>
      </c>
      <c r="CF23" s="48">
        <v>0</v>
      </c>
      <c r="CG23" s="3">
        <f t="shared" si="8"/>
        <v>0</v>
      </c>
      <c r="CH23" s="3">
        <f t="shared" si="9"/>
        <v>242378.75</v>
      </c>
      <c r="CI23" s="48">
        <v>0.02</v>
      </c>
      <c r="CJ23" s="1">
        <f t="shared" si="10"/>
        <v>4847.5749999999998</v>
      </c>
      <c r="CK23" s="48">
        <v>0.01</v>
      </c>
      <c r="CL23" s="1">
        <f t="shared" si="11"/>
        <v>2423.7874999999999</v>
      </c>
    </row>
    <row r="24" spans="1:90" ht="30" x14ac:dyDescent="0.25">
      <c r="A24" s="1" t="str">
        <f>Sheet1!A5</f>
        <v>ENQ-15214-22-23</v>
      </c>
      <c r="B24" s="51">
        <v>45658</v>
      </c>
      <c r="C24" s="1" t="str">
        <f>Sheet1!C5</f>
        <v>FA2900032</v>
      </c>
      <c r="D24" s="1" t="str">
        <f>Sheet1!D5</f>
        <v>COVERED CONDUCTOR - 1 CORE X 232 SQ. MM. (AAAC) - 33 KV</v>
      </c>
      <c r="E24" s="3">
        <f t="shared" si="0"/>
        <v>352283.17499999999</v>
      </c>
      <c r="F24" s="133">
        <f t="shared" si="12"/>
        <v>4104</v>
      </c>
      <c r="G24" s="9">
        <f t="shared" si="1"/>
        <v>356387.17499999999</v>
      </c>
      <c r="H24" s="7">
        <f>Sheet1!CP5</f>
        <v>0.18</v>
      </c>
      <c r="I24" s="9">
        <f t="shared" si="2"/>
        <v>64149.691499999994</v>
      </c>
      <c r="J24" s="9">
        <f t="shared" si="3"/>
        <v>420536.8665</v>
      </c>
      <c r="K24" s="1">
        <v>145</v>
      </c>
      <c r="L24" s="1" t="str">
        <f>Sheet1!CT5</f>
        <v>KMS</v>
      </c>
      <c r="M24" s="3">
        <f t="shared" si="4"/>
        <v>60977845.642499998</v>
      </c>
      <c r="N24" s="2">
        <f>+IFERROR(VLOOKUP($N$17,Sheet1!J5:L5,3,0),0)</f>
        <v>0</v>
      </c>
      <c r="O24" s="134">
        <v>637</v>
      </c>
      <c r="P24" s="2">
        <f>+IFERROR(VLOOKUP($P$17,Sheet1!J5:M5,3,0),0)</f>
        <v>0</v>
      </c>
      <c r="Q24" s="2">
        <f>+IFERROR(VLOOKUP($Q$17,Sheet1!J5:M5,3,0),0)</f>
        <v>0</v>
      </c>
      <c r="R24" s="2">
        <f>+IFERROR(VLOOKUP($R$17,Sheet1!J5:M5,3,0),0)</f>
        <v>0</v>
      </c>
      <c r="S24" s="2">
        <f>+IFERROR(VLOOKUP($S$17,Sheet1!N5:Q5,3,0),0)</f>
        <v>0</v>
      </c>
      <c r="T24" s="2">
        <f>+IFERROR(VLOOKUP($T$17,Sheet1!N5:Q5,3,0),0)</f>
        <v>0</v>
      </c>
      <c r="U24" s="2">
        <f>+IFERROR(VLOOKUP($U$17,Sheet1!F5:I5,3,0),0)</f>
        <v>0</v>
      </c>
      <c r="V24" s="2">
        <f>+IFERROR(VLOOKUP($V$17,Sheet1!F5:I5,3,0),0)</f>
        <v>0</v>
      </c>
      <c r="W24" s="2">
        <f>+IFERROR(VLOOKUP($W$17,Sheet1!F5:I5,3,0),0)</f>
        <v>0</v>
      </c>
      <c r="X24" s="2">
        <f>+IFERROR(VLOOKUP($X$17,Sheet1!F5:I5,3,0),0)</f>
        <v>0</v>
      </c>
      <c r="Y24" s="2">
        <f>+IFERROR(VLOOKUP($Y$17,Sheet1!F5:I5,3,0),0)</f>
        <v>0</v>
      </c>
      <c r="Z24" s="2">
        <f>+IFERROR(VLOOKUP($Z$17,Sheet1!F5:I5,3,0),0)</f>
        <v>0</v>
      </c>
      <c r="AA24" s="2">
        <f>+IFERROR(VLOOKUP($AA$17,Sheet1!F5:I5,3,0),0)</f>
        <v>0</v>
      </c>
      <c r="AB24" s="2">
        <f>+IFERROR(VLOOKUP($AB$17,Sheet1!F5:I5,3,0),0)</f>
        <v>0</v>
      </c>
      <c r="AC24" s="134">
        <v>80</v>
      </c>
      <c r="AD24" s="15">
        <f>+IFERROR(VLOOKUP($AD$17,Sheet1!R5:U5,2,0),0)</f>
        <v>0</v>
      </c>
      <c r="AE24" s="134">
        <v>178</v>
      </c>
      <c r="AF24" s="15">
        <f>+IFERROR(VLOOKUP($AF$17,Sheet1!V5:Y5,3,0),0)</f>
        <v>0</v>
      </c>
      <c r="AG24" s="15">
        <f>+IFERROR(VLOOKUP($AG$17,Sheet1!V5:Y5,3,0),0)</f>
        <v>0</v>
      </c>
      <c r="AH24" s="15">
        <f>+IFERROR(VLOOKUP($AH$17,Sheet1!V5:Y5,3,0),0)</f>
        <v>0</v>
      </c>
      <c r="AI24" s="15">
        <f>+IFERROR(VLOOKUP($AI$17,Sheet1!V5:Y5,3,0),0)</f>
        <v>0</v>
      </c>
      <c r="AJ24" s="15">
        <f>+IFERROR(VLOOKUP($AJ$17,Sheet1!V5:Y5,3,0),0)</f>
        <v>0</v>
      </c>
      <c r="AK24" s="15">
        <f>+IFERROR(VLOOKUP($AK$17,Sheet1!Z5:AB5,3,0),0)</f>
        <v>0</v>
      </c>
      <c r="AL24" s="15">
        <f>+IFERROR(VLOOKUP($AL$17,Sheet1!AD5:AG5,3,0),0)</f>
        <v>0</v>
      </c>
      <c r="AM24" s="15">
        <f>+IFERROR(VLOOKUP($AM$17,Sheet1!AD5:AG5,3,0),0)</f>
        <v>0</v>
      </c>
      <c r="AN24" s="15">
        <f>+IFERROR(VLOOKUP($AN$17,Sheet1!AD5:AG5,3,0),0)</f>
        <v>0</v>
      </c>
      <c r="AO24" s="15">
        <f>+IFERROR(VLOOKUP($AO$17,Sheet1!AD5:AG5,3,0),0)</f>
        <v>0</v>
      </c>
      <c r="AP24" s="15">
        <f>+IFERROR(VLOOKUP($AP$17,Sheet1!AD5:AG5,3,0),0)</f>
        <v>0</v>
      </c>
      <c r="AQ24" s="15">
        <f>+IFERROR(VLOOKUP($AQ$17,Sheet1!AD5:AG5,3,0),0)</f>
        <v>0</v>
      </c>
      <c r="AR24" s="15">
        <f>+IFERROR(VLOOKUP($AR$17,Sheet1!AD5:AG5,3,0),0)</f>
        <v>0</v>
      </c>
      <c r="AS24" s="15">
        <f>+IFERROR(VLOOKUP($AS$17,Sheet1!AH5:AK5,3,0),0)</f>
        <v>0</v>
      </c>
      <c r="AT24" s="15">
        <f>+IFERROR(VLOOKUP($AT$17,Sheet1!AH5:AK5,3,0),0)</f>
        <v>0</v>
      </c>
      <c r="AU24" s="15">
        <f>+IFERROR(VLOOKUP($AU$17,Sheet1!AH5:AK5,3,0),0)</f>
        <v>0</v>
      </c>
      <c r="AV24" s="15">
        <f>+IFERROR(VLOOKUP($AV$17,Sheet1!AH5:AK5,3,0),0)</f>
        <v>0</v>
      </c>
      <c r="AW24" s="15">
        <f>+IFERROR(VLOOKUP($AW$17,Sheet1!AH5:AK5,3,0),0)</f>
        <v>0</v>
      </c>
      <c r="AX24" s="15">
        <f>+IFERROR(VLOOKUP($AX$17,Sheet1!AH5:AK5,3,0),0)</f>
        <v>0</v>
      </c>
      <c r="AY24" s="15">
        <f>+IFERROR(VLOOKUP($AY$17,Sheet1!AH5:AK5,3,0),0)</f>
        <v>0</v>
      </c>
      <c r="AZ24" s="15">
        <f>+IFERROR(VLOOKUP($AZ$17,Sheet1!AH5:AK5,3,0),0)</f>
        <v>0</v>
      </c>
      <c r="BA24" s="15">
        <f>+IFERROR(VLOOKUP($BA$17,Sheet1!AH5:AK5,3,0),0)</f>
        <v>0</v>
      </c>
      <c r="BB24" s="15">
        <f>+IFERROR(VLOOKUP($BB$17,Sheet1!AH5:AK5,3,0),0)</f>
        <v>0</v>
      </c>
      <c r="BC24" s="15">
        <f>+IFERROR(VLOOKUP($BC$17,Sheet1!AL5:AO5,3,0),0)</f>
        <v>0</v>
      </c>
      <c r="BD24" s="15">
        <f>+IFERROR(VLOOKUP($BD$17,Sheet1!AL5:AO5,3,0),0)</f>
        <v>0</v>
      </c>
      <c r="BE24" s="15">
        <f>+IFERROR(VLOOKUP($BE$17,Sheet1!AL5:AO5,3,0),0)</f>
        <v>0</v>
      </c>
      <c r="BF24" s="15">
        <f>+IFERROR(VLOOKUP($BF$17,Sheet1!AL5:AO5,3,0),0)</f>
        <v>0</v>
      </c>
      <c r="BG24" s="15">
        <f>+IFERROR(VLOOKUP($BG$17,Sheet1!AL5:AO5,3,0),0)</f>
        <v>0</v>
      </c>
      <c r="BH24" s="15">
        <f>+IFERROR(VLOOKUP($BH$17,Sheet1!AL5:AO5,3,0),0)</f>
        <v>0</v>
      </c>
      <c r="BI24" s="15">
        <f>+IFERROR(VLOOKUP($BI$17,Sheet1!AL5:AO5,3,0),0)</f>
        <v>0</v>
      </c>
      <c r="BJ24" s="15">
        <f>+IFERROR(VLOOKUP($BJ$17,Sheet1!AL5:AO5,3,0),0)</f>
        <v>0</v>
      </c>
      <c r="BK24" s="15">
        <f>+IFERROR(VLOOKUP($BK$17,Sheet1!AL5:AO5,3,0),0)</f>
        <v>0</v>
      </c>
      <c r="BL24" s="134">
        <v>130</v>
      </c>
      <c r="BM24" s="15">
        <f>+IFERROR(VLOOKUP($BM$17,Sheet1!AP5:AS5,3,0),0)</f>
        <v>0</v>
      </c>
      <c r="BN24" s="15">
        <f>+IFERROR(VLOOKUP($BN$17,Sheet1!AT5:AW5,3,0),0)</f>
        <v>0</v>
      </c>
      <c r="BO24" s="15">
        <f>+IFERROR(VLOOKUP($BO$17,Sheet1!AX5:BA5,3,0),0)</f>
        <v>0</v>
      </c>
      <c r="BP24" s="15">
        <f>+IFERROR(VLOOKUP($BP$17,Sheet1!BB5:BE5,3,0),0)</f>
        <v>0</v>
      </c>
      <c r="BQ24" s="15">
        <f>+IFERROR(VLOOKUP($BQ$17,Sheet1!BF5:BI5,3,0),0)</f>
        <v>0</v>
      </c>
      <c r="BR24" s="15">
        <f>+IFERROR(VLOOKUP($BR$17,Sheet1!BJ5:BM5,3,0),0)</f>
        <v>0</v>
      </c>
      <c r="BS24" s="15">
        <f>+IFERROR(VLOOKUP($BS$17,Sheet1!BN5:BQ5,3,0),0)</f>
        <v>0</v>
      </c>
      <c r="BT24" s="15">
        <f>+IFERROR(VLOOKUP($BT$17,Sheet1!BR5:BU5,3,0),0)</f>
        <v>0</v>
      </c>
      <c r="BU24" s="134">
        <v>38</v>
      </c>
      <c r="BV24" s="136" t="s">
        <v>295</v>
      </c>
      <c r="BW24" s="15" t="s">
        <v>293</v>
      </c>
      <c r="BX24" s="15" t="s">
        <v>294</v>
      </c>
      <c r="BY24" s="136">
        <v>1000</v>
      </c>
      <c r="BZ24" s="3">
        <v>11700</v>
      </c>
      <c r="CA24" s="3">
        <f t="shared" si="5"/>
        <v>273618</v>
      </c>
      <c r="CB24" s="27">
        <f>Sheet1!CB5</f>
        <v>0</v>
      </c>
      <c r="CC24" s="3">
        <f t="shared" si="6"/>
        <v>0</v>
      </c>
      <c r="CD24" s="48">
        <v>0.25</v>
      </c>
      <c r="CE24" s="3">
        <f t="shared" si="7"/>
        <v>68404.5</v>
      </c>
      <c r="CF24" s="48">
        <v>0</v>
      </c>
      <c r="CG24" s="3">
        <f t="shared" si="8"/>
        <v>0</v>
      </c>
      <c r="CH24" s="3">
        <f t="shared" si="9"/>
        <v>342022.5</v>
      </c>
      <c r="CI24" s="48">
        <v>0.02</v>
      </c>
      <c r="CJ24" s="1">
        <f t="shared" si="10"/>
        <v>6840.45</v>
      </c>
      <c r="CK24" s="48">
        <v>0.01</v>
      </c>
      <c r="CL24" s="1">
        <f t="shared" si="11"/>
        <v>3420.2249999999999</v>
      </c>
    </row>
    <row r="25" spans="1:90" x14ac:dyDescent="0.25">
      <c r="M25" s="138">
        <f>SUM(M19:M24)</f>
        <v>406459508.82452023</v>
      </c>
    </row>
    <row r="27" spans="1:90" ht="60" x14ac:dyDescent="0.25">
      <c r="B27" s="187"/>
      <c r="C27" s="188" t="s">
        <v>306</v>
      </c>
      <c r="E27" s="2" t="s">
        <v>218</v>
      </c>
      <c r="F27" s="2" t="s">
        <v>219</v>
      </c>
      <c r="G27" s="57" t="s">
        <v>220</v>
      </c>
      <c r="H27" s="2" t="s">
        <v>221</v>
      </c>
      <c r="I27" s="2" t="s">
        <v>222</v>
      </c>
      <c r="J27" s="2" t="s">
        <v>223</v>
      </c>
      <c r="K27" s="2" t="s">
        <v>224</v>
      </c>
      <c r="L27" s="2" t="s">
        <v>225</v>
      </c>
      <c r="M27" s="58" t="s">
        <v>226</v>
      </c>
      <c r="AC27" s="30" t="s">
        <v>297</v>
      </c>
      <c r="AE27" s="30" t="s">
        <v>298</v>
      </c>
      <c r="BL27" s="30" t="s">
        <v>299</v>
      </c>
      <c r="BU27" s="30" t="s">
        <v>300</v>
      </c>
    </row>
    <row r="28" spans="1:90" ht="30" x14ac:dyDescent="0.25">
      <c r="B28" s="190" t="s">
        <v>307</v>
      </c>
      <c r="C28" s="189">
        <v>24000</v>
      </c>
      <c r="D28" s="30" t="str">
        <f t="shared" ref="D28:D33" si="13">D19</f>
        <v>COVERED CONDUCTOR - 1 CORE X 55 SQ. MM. (AAAC) - 11 KV</v>
      </c>
      <c r="E28" s="57">
        <f t="shared" ref="E28:E33" si="14">K19</f>
        <v>23</v>
      </c>
      <c r="F28" s="59">
        <f t="shared" ref="F28:F33" si="15">BY19/1000</f>
        <v>1</v>
      </c>
      <c r="G28" s="57" t="s">
        <v>227</v>
      </c>
      <c r="H28" s="60">
        <v>35000</v>
      </c>
      <c r="I28" s="59">
        <v>24</v>
      </c>
      <c r="J28" s="57">
        <f>F28*I28</f>
        <v>24</v>
      </c>
      <c r="K28" s="57">
        <f>ROUNDUP((E28/J28),0)</f>
        <v>1</v>
      </c>
      <c r="L28" s="57">
        <f>M28*E28</f>
        <v>35000</v>
      </c>
      <c r="M28" s="61">
        <f>(H28*K28)/E28</f>
        <v>1521.7391304347825</v>
      </c>
      <c r="AC28" s="30">
        <f t="shared" ref="AC28:AC33" si="16">SUM(O19:BU19)</f>
        <v>318</v>
      </c>
      <c r="AE28" s="137">
        <f>BZ19/90</f>
        <v>90</v>
      </c>
      <c r="BL28" s="137">
        <f>((AC28*F28)+AE28)</f>
        <v>408</v>
      </c>
      <c r="BU28" s="137">
        <f>BL28*I28</f>
        <v>9792</v>
      </c>
    </row>
    <row r="29" spans="1:90" ht="30" x14ac:dyDescent="0.25">
      <c r="B29" s="190" t="s">
        <v>308</v>
      </c>
      <c r="C29" s="189">
        <v>55000</v>
      </c>
      <c r="D29" s="30" t="str">
        <f t="shared" si="13"/>
        <v>COVERED CONDUCTOR - 1 CORE X 80 SQ. MM. (AAAC) - 11 KV</v>
      </c>
      <c r="E29" s="57">
        <f t="shared" si="14"/>
        <v>48.085000000000001</v>
      </c>
      <c r="F29" s="59">
        <f t="shared" si="15"/>
        <v>1</v>
      </c>
      <c r="G29" s="57" t="s">
        <v>227</v>
      </c>
      <c r="H29" s="60">
        <v>35000</v>
      </c>
      <c r="I29" s="59">
        <v>24</v>
      </c>
      <c r="J29" s="57">
        <f t="shared" ref="J29:J33" si="17">F29*I29</f>
        <v>24</v>
      </c>
      <c r="K29" s="57">
        <f t="shared" ref="K29:K33" si="18">ROUNDUP((E29/J29),0)</f>
        <v>3</v>
      </c>
      <c r="L29" s="57">
        <f t="shared" ref="L29:L33" si="19">M29*E29</f>
        <v>105000.00000000001</v>
      </c>
      <c r="M29" s="61">
        <f t="shared" ref="M29:M33" si="20">(H29*K29)/E29</f>
        <v>2183.6331496308621</v>
      </c>
      <c r="AC29" s="30">
        <f t="shared" si="16"/>
        <v>412</v>
      </c>
      <c r="AE29" s="137">
        <f t="shared" ref="AE29:AE33" si="21">BZ20/90</f>
        <v>90</v>
      </c>
      <c r="BL29" s="137">
        <f t="shared" ref="BL29:BL33" si="22">((AC29*F29)+AE29)</f>
        <v>502</v>
      </c>
      <c r="BU29" s="137">
        <f t="shared" ref="BU29:BU33" si="23">BL29*I29</f>
        <v>12048</v>
      </c>
    </row>
    <row r="30" spans="1:90" ht="30" x14ac:dyDescent="0.25">
      <c r="B30" s="190" t="s">
        <v>309</v>
      </c>
      <c r="C30" s="189">
        <v>28000</v>
      </c>
      <c r="D30" s="30" t="str">
        <f t="shared" si="13"/>
        <v>COVERED CONDUCTOR - 1 CORE x 100 SQ. MM. (AAAC) - 11KV</v>
      </c>
      <c r="E30" s="57">
        <f t="shared" si="14"/>
        <v>1220.9190000000001</v>
      </c>
      <c r="F30" s="59">
        <f t="shared" si="15"/>
        <v>1</v>
      </c>
      <c r="G30" s="57" t="s">
        <v>227</v>
      </c>
      <c r="H30" s="60">
        <v>35000</v>
      </c>
      <c r="I30" s="59">
        <v>24</v>
      </c>
      <c r="J30" s="57">
        <f t="shared" si="17"/>
        <v>24</v>
      </c>
      <c r="K30" s="57">
        <f t="shared" si="18"/>
        <v>51</v>
      </c>
      <c r="L30" s="57">
        <f t="shared" si="19"/>
        <v>1785000</v>
      </c>
      <c r="M30" s="61">
        <f t="shared" si="20"/>
        <v>1462.0134505237447</v>
      </c>
      <c r="AC30" s="30">
        <f t="shared" si="16"/>
        <v>483</v>
      </c>
      <c r="AE30" s="137">
        <f t="shared" si="21"/>
        <v>90</v>
      </c>
      <c r="BL30" s="137">
        <f t="shared" si="22"/>
        <v>573</v>
      </c>
      <c r="BU30" s="137">
        <f t="shared" si="23"/>
        <v>13752</v>
      </c>
    </row>
    <row r="31" spans="1:90" ht="30" x14ac:dyDescent="0.25">
      <c r="B31" s="190" t="s">
        <v>310</v>
      </c>
      <c r="C31" s="189">
        <v>30000</v>
      </c>
      <c r="D31" s="30" t="str">
        <f t="shared" si="13"/>
        <v>COVERED CONDUCTOR - 1 CORE X 99 SQ. MM. (AAAC) - 33 KV</v>
      </c>
      <c r="E31" s="57">
        <f t="shared" si="14"/>
        <v>85</v>
      </c>
      <c r="F31" s="59">
        <f t="shared" si="15"/>
        <v>1</v>
      </c>
      <c r="G31" s="57" t="s">
        <v>227</v>
      </c>
      <c r="H31" s="60">
        <v>35000</v>
      </c>
      <c r="I31" s="59">
        <v>18</v>
      </c>
      <c r="J31" s="57">
        <f t="shared" si="17"/>
        <v>18</v>
      </c>
      <c r="K31" s="57">
        <f t="shared" si="18"/>
        <v>5</v>
      </c>
      <c r="L31" s="57">
        <f t="shared" si="19"/>
        <v>175000</v>
      </c>
      <c r="M31" s="61">
        <f t="shared" si="20"/>
        <v>2058.8235294117649</v>
      </c>
      <c r="AC31" s="30">
        <f t="shared" si="16"/>
        <v>568</v>
      </c>
      <c r="AE31" s="137">
        <f t="shared" si="21"/>
        <v>120</v>
      </c>
      <c r="BL31" s="137">
        <f t="shared" si="22"/>
        <v>688</v>
      </c>
      <c r="BU31" s="137">
        <f t="shared" si="23"/>
        <v>12384</v>
      </c>
    </row>
    <row r="32" spans="1:90" ht="30" x14ac:dyDescent="0.25">
      <c r="B32" s="190" t="s">
        <v>311</v>
      </c>
      <c r="C32" s="189">
        <f>AVERAGE(C28:C31)</f>
        <v>34250</v>
      </c>
      <c r="D32" s="30" t="str">
        <f t="shared" si="13"/>
        <v>COVERED CONDUCTOR - 1 CORE x 150 SQ. MM. (XLPE) (AAAC) - 33 KV</v>
      </c>
      <c r="E32" s="57">
        <f t="shared" si="14"/>
        <v>263.17500000000001</v>
      </c>
      <c r="F32" s="59">
        <f t="shared" si="15"/>
        <v>1</v>
      </c>
      <c r="G32" s="57" t="s">
        <v>227</v>
      </c>
      <c r="H32" s="60">
        <v>35000</v>
      </c>
      <c r="I32" s="59">
        <v>16</v>
      </c>
      <c r="J32" s="57">
        <f t="shared" si="17"/>
        <v>16</v>
      </c>
      <c r="K32" s="57">
        <f t="shared" si="18"/>
        <v>17</v>
      </c>
      <c r="L32" s="57">
        <f t="shared" si="19"/>
        <v>595000</v>
      </c>
      <c r="M32" s="61">
        <f t="shared" si="20"/>
        <v>2260.8530445521042</v>
      </c>
      <c r="AC32" s="30">
        <f t="shared" si="16"/>
        <v>762</v>
      </c>
      <c r="AE32" s="137">
        <f t="shared" si="21"/>
        <v>120</v>
      </c>
      <c r="BL32" s="137">
        <f t="shared" si="22"/>
        <v>882</v>
      </c>
      <c r="BU32" s="137">
        <f t="shared" si="23"/>
        <v>14112</v>
      </c>
    </row>
    <row r="33" spans="1:73" ht="30" x14ac:dyDescent="0.25">
      <c r="D33" s="30" t="str">
        <f t="shared" si="13"/>
        <v>COVERED CONDUCTOR - 1 CORE X 232 SQ. MM. (AAAC) - 33 KV</v>
      </c>
      <c r="E33" s="57">
        <f t="shared" si="14"/>
        <v>145</v>
      </c>
      <c r="F33" s="59">
        <f t="shared" si="15"/>
        <v>1</v>
      </c>
      <c r="G33" s="57" t="s">
        <v>227</v>
      </c>
      <c r="H33" s="60">
        <v>35000</v>
      </c>
      <c r="I33" s="59">
        <v>9</v>
      </c>
      <c r="J33" s="57">
        <f t="shared" si="17"/>
        <v>9</v>
      </c>
      <c r="K33" s="57">
        <f t="shared" si="18"/>
        <v>17</v>
      </c>
      <c r="L33" s="57">
        <f t="shared" si="19"/>
        <v>595000</v>
      </c>
      <c r="M33" s="61">
        <f t="shared" si="20"/>
        <v>4103.4482758620688</v>
      </c>
      <c r="AC33" s="30">
        <f t="shared" si="16"/>
        <v>1063</v>
      </c>
      <c r="AE33" s="137">
        <f t="shared" si="21"/>
        <v>130</v>
      </c>
      <c r="BL33" s="137">
        <f t="shared" si="22"/>
        <v>1193</v>
      </c>
      <c r="BU33" s="137">
        <f t="shared" si="23"/>
        <v>10737</v>
      </c>
    </row>
    <row r="34" spans="1:73" x14ac:dyDescent="0.25">
      <c r="I34" t="s">
        <v>301</v>
      </c>
    </row>
    <row r="37" spans="1:73" ht="51" x14ac:dyDescent="0.25">
      <c r="A37" s="22" t="s">
        <v>0</v>
      </c>
      <c r="B37" s="22" t="s">
        <v>98</v>
      </c>
      <c r="C37" s="22" t="s">
        <v>1</v>
      </c>
      <c r="D37" s="22" t="s">
        <v>2</v>
      </c>
      <c r="E37" s="5" t="s">
        <v>302</v>
      </c>
      <c r="F37" s="15" t="s">
        <v>303</v>
      </c>
      <c r="G37" s="15" t="s">
        <v>304</v>
      </c>
      <c r="H37" s="6" t="s">
        <v>37</v>
      </c>
      <c r="I37" s="15" t="s">
        <v>38</v>
      </c>
      <c r="J37" s="15" t="s">
        <v>39</v>
      </c>
      <c r="K37" s="15" t="s">
        <v>40</v>
      </c>
      <c r="L37" s="15" t="s">
        <v>41</v>
      </c>
      <c r="M37" s="15" t="s">
        <v>42</v>
      </c>
    </row>
    <row r="38" spans="1:73" x14ac:dyDescent="0.25">
      <c r="A38" s="31"/>
      <c r="B38" s="31"/>
      <c r="C38" s="31"/>
      <c r="D38" s="31"/>
      <c r="E38" s="5"/>
      <c r="F38" s="5"/>
      <c r="G38" s="5"/>
      <c r="H38" s="5"/>
      <c r="I38" s="5"/>
      <c r="J38" s="5"/>
      <c r="K38" s="5"/>
      <c r="L38" s="5"/>
      <c r="M38" s="5"/>
    </row>
    <row r="39" spans="1:73" ht="30" x14ac:dyDescent="0.25">
      <c r="A39" s="1" t="str">
        <f>A19</f>
        <v>ENQ-15214-22-23</v>
      </c>
      <c r="B39" s="51">
        <f>B19</f>
        <v>45658</v>
      </c>
      <c r="C39" s="1" t="str">
        <f>C19</f>
        <v>FA2900029</v>
      </c>
      <c r="D39" s="1" t="str">
        <f>D19</f>
        <v>COVERED CONDUCTOR - 1 CORE X 55 SQ. MM. (AAAC) - 11 KV</v>
      </c>
      <c r="E39" s="3">
        <f>ROUNDUP(E19/1000,2)</f>
        <v>107.9</v>
      </c>
      <c r="F39" s="133">
        <f>ROUNDUP(F19/1000,2)</f>
        <v>1.53</v>
      </c>
      <c r="G39" s="9">
        <f t="shared" ref="G39:G44" si="24">E39+F39</f>
        <v>109.43</v>
      </c>
      <c r="H39" s="7">
        <f>H19</f>
        <v>0.18</v>
      </c>
      <c r="I39" s="9">
        <f>ROUND(G39*H39,2)</f>
        <v>19.7</v>
      </c>
      <c r="J39" s="9">
        <f>ROUND(G39+I39,2)</f>
        <v>129.13</v>
      </c>
      <c r="K39" s="1">
        <f>K19*1000</f>
        <v>23000</v>
      </c>
      <c r="L39" s="1" t="s">
        <v>305</v>
      </c>
      <c r="M39" s="3">
        <f t="shared" ref="M39:M44" si="25">J39*K39</f>
        <v>2969990</v>
      </c>
    </row>
    <row r="40" spans="1:73" ht="30" x14ac:dyDescent="0.25">
      <c r="A40" s="1" t="str">
        <f t="shared" ref="A40:D44" si="26">A20</f>
        <v>ENQ-15214-22-23</v>
      </c>
      <c r="B40" s="51">
        <f t="shared" si="26"/>
        <v>45658</v>
      </c>
      <c r="C40" s="1" t="str">
        <f t="shared" si="26"/>
        <v>FA2900034</v>
      </c>
      <c r="D40" s="1" t="str">
        <f t="shared" si="26"/>
        <v>COVERED CONDUCTOR - 1 CORE X 80 SQ. MM. (AAAC) - 11 KV</v>
      </c>
      <c r="E40" s="3">
        <f t="shared" ref="E40:F44" si="27">ROUNDUP(E20/1000,2)</f>
        <v>139.37</v>
      </c>
      <c r="F40" s="133">
        <f t="shared" si="27"/>
        <v>2.19</v>
      </c>
      <c r="G40" s="9">
        <f t="shared" si="24"/>
        <v>141.56</v>
      </c>
      <c r="H40" s="7">
        <f t="shared" ref="H40:H44" si="28">H20</f>
        <v>0.18</v>
      </c>
      <c r="I40" s="9">
        <f t="shared" ref="I40:I44" si="29">ROUND(G40*H40,2)</f>
        <v>25.48</v>
      </c>
      <c r="J40" s="9">
        <f t="shared" ref="J40:J44" si="30">ROUND(G40+I40,2)</f>
        <v>167.04</v>
      </c>
      <c r="K40" s="1">
        <f t="shared" ref="K40:K44" si="31">K20*1000</f>
        <v>48085</v>
      </c>
      <c r="L40" s="1" t="s">
        <v>305</v>
      </c>
      <c r="M40" s="3">
        <f t="shared" si="25"/>
        <v>8032118.3999999994</v>
      </c>
    </row>
    <row r="41" spans="1:73" ht="30" x14ac:dyDescent="0.25">
      <c r="A41" s="1" t="str">
        <f t="shared" si="26"/>
        <v>ENQ-15214-22-23</v>
      </c>
      <c r="B41" s="51">
        <f t="shared" si="26"/>
        <v>45658</v>
      </c>
      <c r="C41" s="1" t="str">
        <f t="shared" si="26"/>
        <v>FA2900004</v>
      </c>
      <c r="D41" s="1" t="str">
        <f t="shared" si="26"/>
        <v>COVERED CONDUCTOR - 1 CORE x 100 SQ. MM. (AAAC) - 11KV</v>
      </c>
      <c r="E41" s="3">
        <f t="shared" si="27"/>
        <v>163.31</v>
      </c>
      <c r="F41" s="133">
        <f t="shared" si="27"/>
        <v>1.47</v>
      </c>
      <c r="G41" s="9">
        <f t="shared" si="24"/>
        <v>164.78</v>
      </c>
      <c r="H41" s="7">
        <f t="shared" si="28"/>
        <v>0.18</v>
      </c>
      <c r="I41" s="9">
        <f t="shared" si="29"/>
        <v>29.66</v>
      </c>
      <c r="J41" s="9">
        <f t="shared" si="30"/>
        <v>194.44</v>
      </c>
      <c r="K41" s="1">
        <f t="shared" si="31"/>
        <v>1220919</v>
      </c>
      <c r="L41" s="1" t="s">
        <v>305</v>
      </c>
      <c r="M41" s="3">
        <f t="shared" si="25"/>
        <v>237395490.35999998</v>
      </c>
    </row>
    <row r="42" spans="1:73" ht="30" x14ac:dyDescent="0.25">
      <c r="A42" s="1" t="str">
        <f t="shared" si="26"/>
        <v>ENQ-15214-22-23</v>
      </c>
      <c r="B42" s="51">
        <f t="shared" si="26"/>
        <v>45658</v>
      </c>
      <c r="C42" s="1" t="str">
        <f t="shared" si="26"/>
        <v>FA2900008</v>
      </c>
      <c r="D42" s="1" t="str">
        <f t="shared" si="26"/>
        <v>COVERED CONDUCTOR - 1 CORE X 99 SQ. MM. (AAAC) - 33 KV</v>
      </c>
      <c r="E42" s="3">
        <f t="shared" si="27"/>
        <v>186.04</v>
      </c>
      <c r="F42" s="133">
        <f t="shared" si="27"/>
        <v>2.0599999999999996</v>
      </c>
      <c r="G42" s="9">
        <f t="shared" si="24"/>
        <v>188.1</v>
      </c>
      <c r="H42" s="7">
        <f t="shared" si="28"/>
        <v>0.18</v>
      </c>
      <c r="I42" s="9">
        <f t="shared" si="29"/>
        <v>33.86</v>
      </c>
      <c r="J42" s="9">
        <f t="shared" si="30"/>
        <v>221.96</v>
      </c>
      <c r="K42" s="1">
        <f t="shared" si="31"/>
        <v>85000</v>
      </c>
      <c r="L42" s="1" t="s">
        <v>305</v>
      </c>
      <c r="M42" s="3">
        <f t="shared" si="25"/>
        <v>18866600</v>
      </c>
    </row>
    <row r="43" spans="1:73" ht="30" x14ac:dyDescent="0.25">
      <c r="A43" s="1" t="str">
        <f t="shared" si="26"/>
        <v>ENQ-15214-22-23</v>
      </c>
      <c r="B43" s="51">
        <f t="shared" si="26"/>
        <v>45658</v>
      </c>
      <c r="C43" s="1" t="str">
        <f t="shared" si="26"/>
        <v>FA2900014</v>
      </c>
      <c r="D43" s="1" t="str">
        <f t="shared" si="26"/>
        <v>COVERED CONDUCTOR - 1 CORE x 150 SQ. MM. (XLPE) (AAAC) - 33 KV</v>
      </c>
      <c r="E43" s="3">
        <f t="shared" si="27"/>
        <v>249.66</v>
      </c>
      <c r="F43" s="133">
        <f t="shared" si="27"/>
        <v>2.2699999999999996</v>
      </c>
      <c r="G43" s="9">
        <f t="shared" si="24"/>
        <v>251.93</v>
      </c>
      <c r="H43" s="7">
        <f t="shared" si="28"/>
        <v>0.18</v>
      </c>
      <c r="I43" s="9">
        <f t="shared" si="29"/>
        <v>45.35</v>
      </c>
      <c r="J43" s="9">
        <f t="shared" si="30"/>
        <v>297.27999999999997</v>
      </c>
      <c r="K43" s="1">
        <f t="shared" si="31"/>
        <v>263175</v>
      </c>
      <c r="L43" s="1" t="s">
        <v>305</v>
      </c>
      <c r="M43" s="3">
        <f t="shared" si="25"/>
        <v>78236664</v>
      </c>
    </row>
    <row r="44" spans="1:73" ht="30" x14ac:dyDescent="0.25">
      <c r="A44" s="1" t="str">
        <f t="shared" si="26"/>
        <v>ENQ-15214-22-23</v>
      </c>
      <c r="B44" s="51">
        <f t="shared" si="26"/>
        <v>45658</v>
      </c>
      <c r="C44" s="1" t="str">
        <f t="shared" si="26"/>
        <v>FA2900032</v>
      </c>
      <c r="D44" s="1" t="str">
        <f t="shared" si="26"/>
        <v>COVERED CONDUCTOR - 1 CORE X 232 SQ. MM. (AAAC) - 33 KV</v>
      </c>
      <c r="E44" s="3">
        <f t="shared" si="27"/>
        <v>352.28999999999996</v>
      </c>
      <c r="F44" s="133">
        <f t="shared" si="27"/>
        <v>4.1099999999999994</v>
      </c>
      <c r="G44" s="9">
        <f t="shared" si="24"/>
        <v>356.4</v>
      </c>
      <c r="H44" s="7">
        <f t="shared" si="28"/>
        <v>0.18</v>
      </c>
      <c r="I44" s="9">
        <f t="shared" si="29"/>
        <v>64.150000000000006</v>
      </c>
      <c r="J44" s="9">
        <f t="shared" si="30"/>
        <v>420.55</v>
      </c>
      <c r="K44" s="1">
        <f t="shared" si="31"/>
        <v>145000</v>
      </c>
      <c r="L44" s="1" t="s">
        <v>305</v>
      </c>
      <c r="M44" s="3">
        <f t="shared" si="25"/>
        <v>60979750</v>
      </c>
    </row>
    <row r="45" spans="1:73" x14ac:dyDescent="0.25">
      <c r="M45" s="138">
        <f>SUM(M39:M44)</f>
        <v>406480612.75999999</v>
      </c>
    </row>
    <row r="46" spans="1:73" x14ac:dyDescent="0.25">
      <c r="M46" s="139">
        <f>M45-M25</f>
        <v>21103.93547976017</v>
      </c>
    </row>
  </sheetData>
  <mergeCells count="20">
    <mergeCell ref="B11:R11"/>
    <mergeCell ref="B12:R12"/>
    <mergeCell ref="B13:R13"/>
    <mergeCell ref="B14:R14"/>
    <mergeCell ref="B4:R4"/>
    <mergeCell ref="B5:R5"/>
    <mergeCell ref="B6:R6"/>
    <mergeCell ref="AL16:AR16"/>
    <mergeCell ref="AS16:BB16"/>
    <mergeCell ref="BC16:BL16"/>
    <mergeCell ref="N16:R16"/>
    <mergeCell ref="S16:T16"/>
    <mergeCell ref="U16:AB16"/>
    <mergeCell ref="AC16:AD16"/>
    <mergeCell ref="AE16:AJ16"/>
    <mergeCell ref="B7:R7"/>
    <mergeCell ref="B8:R8"/>
    <mergeCell ref="B9:R9"/>
    <mergeCell ref="B10:R10"/>
    <mergeCell ref="A2:R2"/>
  </mergeCells>
  <dataValidations count="1">
    <dataValidation type="list" allowBlank="1" showInputMessage="1" showErrorMessage="1" sqref="G28:G33" xr:uid="{A9AA5B65-54F3-446B-87F3-8A2D43E045F3}">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D8843-9403-402C-9052-BB5BA9A79B11}">
  <sheetPr>
    <tabColor rgb="FFFF0000"/>
  </sheetPr>
  <dimension ref="A1:AP40"/>
  <sheetViews>
    <sheetView showZeros="0" topLeftCell="A22" zoomScaleNormal="100" workbookViewId="0">
      <selection activeCell="C46" sqref="C46"/>
    </sheetView>
  </sheetViews>
  <sheetFormatPr defaultRowHeight="12.75" x14ac:dyDescent="0.2"/>
  <cols>
    <col min="1" max="1" width="41" style="66" customWidth="1"/>
    <col min="2" max="2" width="13.7109375" style="66" customWidth="1"/>
    <col min="3" max="3" width="11.85546875" style="66" customWidth="1"/>
    <col min="4" max="4" width="10.42578125" style="66" customWidth="1"/>
    <col min="5" max="8" width="12.42578125" style="66" customWidth="1"/>
    <col min="9" max="9" width="12.28515625" style="66" customWidth="1"/>
    <col min="10" max="12" width="12.5703125" style="66" customWidth="1"/>
    <col min="13" max="13" width="12.85546875" style="66" customWidth="1"/>
    <col min="14" max="18" width="11" style="66" customWidth="1"/>
    <col min="19" max="19" width="9.85546875" style="66" customWidth="1"/>
    <col min="20" max="20" width="9.42578125" style="66" customWidth="1"/>
    <col min="21" max="27" width="12" style="66" customWidth="1"/>
    <col min="28" max="28" width="12.7109375" style="66" customWidth="1"/>
    <col min="29" max="29" width="10.140625" style="66" customWidth="1"/>
    <col min="30" max="33" width="9.7109375" style="66" customWidth="1"/>
    <col min="34" max="34" width="13.5703125" style="66" customWidth="1"/>
    <col min="35" max="35" width="12" style="66" bestFit="1" customWidth="1"/>
    <col min="36" max="36" width="13.5703125" style="66" customWidth="1"/>
    <col min="37" max="37" width="14.28515625" style="66" customWidth="1"/>
    <col min="38" max="38" width="12.7109375" style="66" customWidth="1"/>
    <col min="39" max="39" width="9.5703125" style="66" customWidth="1"/>
    <col min="40" max="40" width="7.28515625" style="66" customWidth="1"/>
    <col min="41" max="41" width="7.5703125" style="66" customWidth="1"/>
    <col min="42" max="42" width="10.5703125" style="66" bestFit="1" customWidth="1"/>
    <col min="43" max="43" width="9" style="66" customWidth="1"/>
    <col min="44" max="44" width="9.140625" style="66" customWidth="1"/>
    <col min="45" max="271" width="9.140625" style="66"/>
    <col min="272" max="272" width="41" style="66" customWidth="1"/>
    <col min="273" max="273" width="18" style="66" bestFit="1" customWidth="1"/>
    <col min="274" max="274" width="10.140625" style="66" customWidth="1"/>
    <col min="275" max="275" width="10.42578125" style="66" bestFit="1" customWidth="1"/>
    <col min="276" max="277" width="12.42578125" style="66" customWidth="1"/>
    <col min="278" max="278" width="12.28515625" style="66" customWidth="1"/>
    <col min="279" max="280" width="12.5703125" style="66" customWidth="1"/>
    <col min="281" max="282" width="9.85546875" style="66" customWidth="1"/>
    <col min="283" max="283" width="9.42578125" style="66" customWidth="1"/>
    <col min="284" max="284" width="12" style="66" bestFit="1" customWidth="1"/>
    <col min="285" max="286" width="12" style="66" customWidth="1"/>
    <col min="287" max="287" width="12.7109375" style="66" customWidth="1"/>
    <col min="288" max="288" width="14.42578125" style="66" bestFit="1" customWidth="1"/>
    <col min="289" max="289" width="14.42578125" style="66" customWidth="1"/>
    <col min="290" max="291" width="9.140625" style="66" customWidth="1"/>
    <col min="292" max="292" width="9.5703125" style="66" customWidth="1"/>
    <col min="293" max="293" width="10.7109375" style="66" bestFit="1" customWidth="1"/>
    <col min="294" max="294" width="12.7109375" style="66" bestFit="1" customWidth="1"/>
    <col min="295" max="295" width="9.5703125" style="66" customWidth="1"/>
    <col min="296" max="296" width="7.28515625" style="66" customWidth="1"/>
    <col min="297" max="297" width="7.5703125" style="66" customWidth="1"/>
    <col min="298" max="298" width="12.7109375" style="66" bestFit="1" customWidth="1"/>
    <col min="299" max="299" width="9" style="66" customWidth="1"/>
    <col min="300" max="300" width="9.140625" style="66" customWidth="1"/>
    <col min="301" max="527" width="9.140625" style="66"/>
    <col min="528" max="528" width="41" style="66" customWidth="1"/>
    <col min="529" max="529" width="18" style="66" bestFit="1" customWidth="1"/>
    <col min="530" max="530" width="10.140625" style="66" customWidth="1"/>
    <col min="531" max="531" width="10.42578125" style="66" bestFit="1" customWidth="1"/>
    <col min="532" max="533" width="12.42578125" style="66" customWidth="1"/>
    <col min="534" max="534" width="12.28515625" style="66" customWidth="1"/>
    <col min="535" max="536" width="12.5703125" style="66" customWidth="1"/>
    <col min="537" max="538" width="9.85546875" style="66" customWidth="1"/>
    <col min="539" max="539" width="9.42578125" style="66" customWidth="1"/>
    <col min="540" max="540" width="12" style="66" bestFit="1" customWidth="1"/>
    <col min="541" max="542" width="12" style="66" customWidth="1"/>
    <col min="543" max="543" width="12.7109375" style="66" customWidth="1"/>
    <col min="544" max="544" width="14.42578125" style="66" bestFit="1" customWidth="1"/>
    <col min="545" max="545" width="14.42578125" style="66" customWidth="1"/>
    <col min="546" max="547" width="9.140625" style="66" customWidth="1"/>
    <col min="548" max="548" width="9.5703125" style="66" customWidth="1"/>
    <col min="549" max="549" width="10.7109375" style="66" bestFit="1" customWidth="1"/>
    <col min="550" max="550" width="12.7109375" style="66" bestFit="1" customWidth="1"/>
    <col min="551" max="551" width="9.5703125" style="66" customWidth="1"/>
    <col min="552" max="552" width="7.28515625" style="66" customWidth="1"/>
    <col min="553" max="553" width="7.5703125" style="66" customWidth="1"/>
    <col min="554" max="554" width="12.7109375" style="66" bestFit="1" customWidth="1"/>
    <col min="555" max="555" width="9" style="66" customWidth="1"/>
    <col min="556" max="556" width="9.140625" style="66" customWidth="1"/>
    <col min="557" max="783" width="9.140625" style="66"/>
    <col min="784" max="784" width="41" style="66" customWidth="1"/>
    <col min="785" max="785" width="18" style="66" bestFit="1" customWidth="1"/>
    <col min="786" max="786" width="10.140625" style="66" customWidth="1"/>
    <col min="787" max="787" width="10.42578125" style="66" bestFit="1" customWidth="1"/>
    <col min="788" max="789" width="12.42578125" style="66" customWidth="1"/>
    <col min="790" max="790" width="12.28515625" style="66" customWidth="1"/>
    <col min="791" max="792" width="12.5703125" style="66" customWidth="1"/>
    <col min="793" max="794" width="9.85546875" style="66" customWidth="1"/>
    <col min="795" max="795" width="9.42578125" style="66" customWidth="1"/>
    <col min="796" max="796" width="12" style="66" bestFit="1" customWidth="1"/>
    <col min="797" max="798" width="12" style="66" customWidth="1"/>
    <col min="799" max="799" width="12.7109375" style="66" customWidth="1"/>
    <col min="800" max="800" width="14.42578125" style="66" bestFit="1" customWidth="1"/>
    <col min="801" max="801" width="14.42578125" style="66" customWidth="1"/>
    <col min="802" max="803" width="9.140625" style="66" customWidth="1"/>
    <col min="804" max="804" width="9.5703125" style="66" customWidth="1"/>
    <col min="805" max="805" width="10.7109375" style="66" bestFit="1" customWidth="1"/>
    <col min="806" max="806" width="12.7109375" style="66" bestFit="1" customWidth="1"/>
    <col min="807" max="807" width="9.5703125" style="66" customWidth="1"/>
    <col min="808" max="808" width="7.28515625" style="66" customWidth="1"/>
    <col min="809" max="809" width="7.5703125" style="66" customWidth="1"/>
    <col min="810" max="810" width="12.7109375" style="66" bestFit="1" customWidth="1"/>
    <col min="811" max="811" width="9" style="66" customWidth="1"/>
    <col min="812" max="812" width="9.140625" style="66" customWidth="1"/>
    <col min="813" max="1039" width="9.140625" style="66"/>
    <col min="1040" max="1040" width="41" style="66" customWidth="1"/>
    <col min="1041" max="1041" width="18" style="66" bestFit="1" customWidth="1"/>
    <col min="1042" max="1042" width="10.140625" style="66" customWidth="1"/>
    <col min="1043" max="1043" width="10.42578125" style="66" bestFit="1" customWidth="1"/>
    <col min="1044" max="1045" width="12.42578125" style="66" customWidth="1"/>
    <col min="1046" max="1046" width="12.28515625" style="66" customWidth="1"/>
    <col min="1047" max="1048" width="12.5703125" style="66" customWidth="1"/>
    <col min="1049" max="1050" width="9.85546875" style="66" customWidth="1"/>
    <col min="1051" max="1051" width="9.42578125" style="66" customWidth="1"/>
    <col min="1052" max="1052" width="12" style="66" bestFit="1" customWidth="1"/>
    <col min="1053" max="1054" width="12" style="66" customWidth="1"/>
    <col min="1055" max="1055" width="12.7109375" style="66" customWidth="1"/>
    <col min="1056" max="1056" width="14.42578125" style="66" bestFit="1" customWidth="1"/>
    <col min="1057" max="1057" width="14.42578125" style="66" customWidth="1"/>
    <col min="1058" max="1059" width="9.140625" style="66" customWidth="1"/>
    <col min="1060" max="1060" width="9.5703125" style="66" customWidth="1"/>
    <col min="1061" max="1061" width="10.7109375" style="66" bestFit="1" customWidth="1"/>
    <col min="1062" max="1062" width="12.7109375" style="66" bestFit="1" customWidth="1"/>
    <col min="1063" max="1063" width="9.5703125" style="66" customWidth="1"/>
    <col min="1064" max="1064" width="7.28515625" style="66" customWidth="1"/>
    <col min="1065" max="1065" width="7.5703125" style="66" customWidth="1"/>
    <col min="1066" max="1066" width="12.7109375" style="66" bestFit="1" customWidth="1"/>
    <col min="1067" max="1067" width="9" style="66" customWidth="1"/>
    <col min="1068" max="1068" width="9.140625" style="66" customWidth="1"/>
    <col min="1069" max="1295" width="9.140625" style="66"/>
    <col min="1296" max="1296" width="41" style="66" customWidth="1"/>
    <col min="1297" max="1297" width="18" style="66" bestFit="1" customWidth="1"/>
    <col min="1298" max="1298" width="10.140625" style="66" customWidth="1"/>
    <col min="1299" max="1299" width="10.42578125" style="66" bestFit="1" customWidth="1"/>
    <col min="1300" max="1301" width="12.42578125" style="66" customWidth="1"/>
    <col min="1302" max="1302" width="12.28515625" style="66" customWidth="1"/>
    <col min="1303" max="1304" width="12.5703125" style="66" customWidth="1"/>
    <col min="1305" max="1306" width="9.85546875" style="66" customWidth="1"/>
    <col min="1307" max="1307" width="9.42578125" style="66" customWidth="1"/>
    <col min="1308" max="1308" width="12" style="66" bestFit="1" customWidth="1"/>
    <col min="1309" max="1310" width="12" style="66" customWidth="1"/>
    <col min="1311" max="1311" width="12.7109375" style="66" customWidth="1"/>
    <col min="1312" max="1312" width="14.42578125" style="66" bestFit="1" customWidth="1"/>
    <col min="1313" max="1313" width="14.42578125" style="66" customWidth="1"/>
    <col min="1314" max="1315" width="9.140625" style="66" customWidth="1"/>
    <col min="1316" max="1316" width="9.5703125" style="66" customWidth="1"/>
    <col min="1317" max="1317" width="10.7109375" style="66" bestFit="1" customWidth="1"/>
    <col min="1318" max="1318" width="12.7109375" style="66" bestFit="1" customWidth="1"/>
    <col min="1319" max="1319" width="9.5703125" style="66" customWidth="1"/>
    <col min="1320" max="1320" width="7.28515625" style="66" customWidth="1"/>
    <col min="1321" max="1321" width="7.5703125" style="66" customWidth="1"/>
    <col min="1322" max="1322" width="12.7109375" style="66" bestFit="1" customWidth="1"/>
    <col min="1323" max="1323" width="9" style="66" customWidth="1"/>
    <col min="1324" max="1324" width="9.140625" style="66" customWidth="1"/>
    <col min="1325" max="1551" width="9.140625" style="66"/>
    <col min="1552" max="1552" width="41" style="66" customWidth="1"/>
    <col min="1553" max="1553" width="18" style="66" bestFit="1" customWidth="1"/>
    <col min="1554" max="1554" width="10.140625" style="66" customWidth="1"/>
    <col min="1555" max="1555" width="10.42578125" style="66" bestFit="1" customWidth="1"/>
    <col min="1556" max="1557" width="12.42578125" style="66" customWidth="1"/>
    <col min="1558" max="1558" width="12.28515625" style="66" customWidth="1"/>
    <col min="1559" max="1560" width="12.5703125" style="66" customWidth="1"/>
    <col min="1561" max="1562" width="9.85546875" style="66" customWidth="1"/>
    <col min="1563" max="1563" width="9.42578125" style="66" customWidth="1"/>
    <col min="1564" max="1564" width="12" style="66" bestFit="1" customWidth="1"/>
    <col min="1565" max="1566" width="12" style="66" customWidth="1"/>
    <col min="1567" max="1567" width="12.7109375" style="66" customWidth="1"/>
    <col min="1568" max="1568" width="14.42578125" style="66" bestFit="1" customWidth="1"/>
    <col min="1569" max="1569" width="14.42578125" style="66" customWidth="1"/>
    <col min="1570" max="1571" width="9.140625" style="66" customWidth="1"/>
    <col min="1572" max="1572" width="9.5703125" style="66" customWidth="1"/>
    <col min="1573" max="1573" width="10.7109375" style="66" bestFit="1" customWidth="1"/>
    <col min="1574" max="1574" width="12.7109375" style="66" bestFit="1" customWidth="1"/>
    <col min="1575" max="1575" width="9.5703125" style="66" customWidth="1"/>
    <col min="1576" max="1576" width="7.28515625" style="66" customWidth="1"/>
    <col min="1577" max="1577" width="7.5703125" style="66" customWidth="1"/>
    <col min="1578" max="1578" width="12.7109375" style="66" bestFit="1" customWidth="1"/>
    <col min="1579" max="1579" width="9" style="66" customWidth="1"/>
    <col min="1580" max="1580" width="9.140625" style="66" customWidth="1"/>
    <col min="1581" max="1807" width="9.140625" style="66"/>
    <col min="1808" max="1808" width="41" style="66" customWidth="1"/>
    <col min="1809" max="1809" width="18" style="66" bestFit="1" customWidth="1"/>
    <col min="1810" max="1810" width="10.140625" style="66" customWidth="1"/>
    <col min="1811" max="1811" width="10.42578125" style="66" bestFit="1" customWidth="1"/>
    <col min="1812" max="1813" width="12.42578125" style="66" customWidth="1"/>
    <col min="1814" max="1814" width="12.28515625" style="66" customWidth="1"/>
    <col min="1815" max="1816" width="12.5703125" style="66" customWidth="1"/>
    <col min="1817" max="1818" width="9.85546875" style="66" customWidth="1"/>
    <col min="1819" max="1819" width="9.42578125" style="66" customWidth="1"/>
    <col min="1820" max="1820" width="12" style="66" bestFit="1" customWidth="1"/>
    <col min="1821" max="1822" width="12" style="66" customWidth="1"/>
    <col min="1823" max="1823" width="12.7109375" style="66" customWidth="1"/>
    <col min="1824" max="1824" width="14.42578125" style="66" bestFit="1" customWidth="1"/>
    <col min="1825" max="1825" width="14.42578125" style="66" customWidth="1"/>
    <col min="1826" max="1827" width="9.140625" style="66" customWidth="1"/>
    <col min="1828" max="1828" width="9.5703125" style="66" customWidth="1"/>
    <col min="1829" max="1829" width="10.7109375" style="66" bestFit="1" customWidth="1"/>
    <col min="1830" max="1830" width="12.7109375" style="66" bestFit="1" customWidth="1"/>
    <col min="1831" max="1831" width="9.5703125" style="66" customWidth="1"/>
    <col min="1832" max="1832" width="7.28515625" style="66" customWidth="1"/>
    <col min="1833" max="1833" width="7.5703125" style="66" customWidth="1"/>
    <col min="1834" max="1834" width="12.7109375" style="66" bestFit="1" customWidth="1"/>
    <col min="1835" max="1835" width="9" style="66" customWidth="1"/>
    <col min="1836" max="1836" width="9.140625" style="66" customWidth="1"/>
    <col min="1837" max="2063" width="9.140625" style="66"/>
    <col min="2064" max="2064" width="41" style="66" customWidth="1"/>
    <col min="2065" max="2065" width="18" style="66" bestFit="1" customWidth="1"/>
    <col min="2066" max="2066" width="10.140625" style="66" customWidth="1"/>
    <col min="2067" max="2067" width="10.42578125" style="66" bestFit="1" customWidth="1"/>
    <col min="2068" max="2069" width="12.42578125" style="66" customWidth="1"/>
    <col min="2070" max="2070" width="12.28515625" style="66" customWidth="1"/>
    <col min="2071" max="2072" width="12.5703125" style="66" customWidth="1"/>
    <col min="2073" max="2074" width="9.85546875" style="66" customWidth="1"/>
    <col min="2075" max="2075" width="9.42578125" style="66" customWidth="1"/>
    <col min="2076" max="2076" width="12" style="66" bestFit="1" customWidth="1"/>
    <col min="2077" max="2078" width="12" style="66" customWidth="1"/>
    <col min="2079" max="2079" width="12.7109375" style="66" customWidth="1"/>
    <col min="2080" max="2080" width="14.42578125" style="66" bestFit="1" customWidth="1"/>
    <col min="2081" max="2081" width="14.42578125" style="66" customWidth="1"/>
    <col min="2082" max="2083" width="9.140625" style="66" customWidth="1"/>
    <col min="2084" max="2084" width="9.5703125" style="66" customWidth="1"/>
    <col min="2085" max="2085" width="10.7109375" style="66" bestFit="1" customWidth="1"/>
    <col min="2086" max="2086" width="12.7109375" style="66" bestFit="1" customWidth="1"/>
    <col min="2087" max="2087" width="9.5703125" style="66" customWidth="1"/>
    <col min="2088" max="2088" width="7.28515625" style="66" customWidth="1"/>
    <col min="2089" max="2089" width="7.5703125" style="66" customWidth="1"/>
    <col min="2090" max="2090" width="12.7109375" style="66" bestFit="1" customWidth="1"/>
    <col min="2091" max="2091" width="9" style="66" customWidth="1"/>
    <col min="2092" max="2092" width="9.140625" style="66" customWidth="1"/>
    <col min="2093" max="2319" width="9.140625" style="66"/>
    <col min="2320" max="2320" width="41" style="66" customWidth="1"/>
    <col min="2321" max="2321" width="18" style="66" bestFit="1" customWidth="1"/>
    <col min="2322" max="2322" width="10.140625" style="66" customWidth="1"/>
    <col min="2323" max="2323" width="10.42578125" style="66" bestFit="1" customWidth="1"/>
    <col min="2324" max="2325" width="12.42578125" style="66" customWidth="1"/>
    <col min="2326" max="2326" width="12.28515625" style="66" customWidth="1"/>
    <col min="2327" max="2328" width="12.5703125" style="66" customWidth="1"/>
    <col min="2329" max="2330" width="9.85546875" style="66" customWidth="1"/>
    <col min="2331" max="2331" width="9.42578125" style="66" customWidth="1"/>
    <col min="2332" max="2332" width="12" style="66" bestFit="1" customWidth="1"/>
    <col min="2333" max="2334" width="12" style="66" customWidth="1"/>
    <col min="2335" max="2335" width="12.7109375" style="66" customWidth="1"/>
    <col min="2336" max="2336" width="14.42578125" style="66" bestFit="1" customWidth="1"/>
    <col min="2337" max="2337" width="14.42578125" style="66" customWidth="1"/>
    <col min="2338" max="2339" width="9.140625" style="66" customWidth="1"/>
    <col min="2340" max="2340" width="9.5703125" style="66" customWidth="1"/>
    <col min="2341" max="2341" width="10.7109375" style="66" bestFit="1" customWidth="1"/>
    <col min="2342" max="2342" width="12.7109375" style="66" bestFit="1" customWidth="1"/>
    <col min="2343" max="2343" width="9.5703125" style="66" customWidth="1"/>
    <col min="2344" max="2344" width="7.28515625" style="66" customWidth="1"/>
    <col min="2345" max="2345" width="7.5703125" style="66" customWidth="1"/>
    <col min="2346" max="2346" width="12.7109375" style="66" bestFit="1" customWidth="1"/>
    <col min="2347" max="2347" width="9" style="66" customWidth="1"/>
    <col min="2348" max="2348" width="9.140625" style="66" customWidth="1"/>
    <col min="2349" max="2575" width="9.140625" style="66"/>
    <col min="2576" max="2576" width="41" style="66" customWidth="1"/>
    <col min="2577" max="2577" width="18" style="66" bestFit="1" customWidth="1"/>
    <col min="2578" max="2578" width="10.140625" style="66" customWidth="1"/>
    <col min="2579" max="2579" width="10.42578125" style="66" bestFit="1" customWidth="1"/>
    <col min="2580" max="2581" width="12.42578125" style="66" customWidth="1"/>
    <col min="2582" max="2582" width="12.28515625" style="66" customWidth="1"/>
    <col min="2583" max="2584" width="12.5703125" style="66" customWidth="1"/>
    <col min="2585" max="2586" width="9.85546875" style="66" customWidth="1"/>
    <col min="2587" max="2587" width="9.42578125" style="66" customWidth="1"/>
    <col min="2588" max="2588" width="12" style="66" bestFit="1" customWidth="1"/>
    <col min="2589" max="2590" width="12" style="66" customWidth="1"/>
    <col min="2591" max="2591" width="12.7109375" style="66" customWidth="1"/>
    <col min="2592" max="2592" width="14.42578125" style="66" bestFit="1" customWidth="1"/>
    <col min="2593" max="2593" width="14.42578125" style="66" customWidth="1"/>
    <col min="2594" max="2595" width="9.140625" style="66" customWidth="1"/>
    <col min="2596" max="2596" width="9.5703125" style="66" customWidth="1"/>
    <col min="2597" max="2597" width="10.7109375" style="66" bestFit="1" customWidth="1"/>
    <col min="2598" max="2598" width="12.7109375" style="66" bestFit="1" customWidth="1"/>
    <col min="2599" max="2599" width="9.5703125" style="66" customWidth="1"/>
    <col min="2600" max="2600" width="7.28515625" style="66" customWidth="1"/>
    <col min="2601" max="2601" width="7.5703125" style="66" customWidth="1"/>
    <col min="2602" max="2602" width="12.7109375" style="66" bestFit="1" customWidth="1"/>
    <col min="2603" max="2603" width="9" style="66" customWidth="1"/>
    <col min="2604" max="2604" width="9.140625" style="66" customWidth="1"/>
    <col min="2605" max="2831" width="9.140625" style="66"/>
    <col min="2832" max="2832" width="41" style="66" customWidth="1"/>
    <col min="2833" max="2833" width="18" style="66" bestFit="1" customWidth="1"/>
    <col min="2834" max="2834" width="10.140625" style="66" customWidth="1"/>
    <col min="2835" max="2835" width="10.42578125" style="66" bestFit="1" customWidth="1"/>
    <col min="2836" max="2837" width="12.42578125" style="66" customWidth="1"/>
    <col min="2838" max="2838" width="12.28515625" style="66" customWidth="1"/>
    <col min="2839" max="2840" width="12.5703125" style="66" customWidth="1"/>
    <col min="2841" max="2842" width="9.85546875" style="66" customWidth="1"/>
    <col min="2843" max="2843" width="9.42578125" style="66" customWidth="1"/>
    <col min="2844" max="2844" width="12" style="66" bestFit="1" customWidth="1"/>
    <col min="2845" max="2846" width="12" style="66" customWidth="1"/>
    <col min="2847" max="2847" width="12.7109375" style="66" customWidth="1"/>
    <col min="2848" max="2848" width="14.42578125" style="66" bestFit="1" customWidth="1"/>
    <col min="2849" max="2849" width="14.42578125" style="66" customWidth="1"/>
    <col min="2850" max="2851" width="9.140625" style="66" customWidth="1"/>
    <col min="2852" max="2852" width="9.5703125" style="66" customWidth="1"/>
    <col min="2853" max="2853" width="10.7109375" style="66" bestFit="1" customWidth="1"/>
    <col min="2854" max="2854" width="12.7109375" style="66" bestFit="1" customWidth="1"/>
    <col min="2855" max="2855" width="9.5703125" style="66" customWidth="1"/>
    <col min="2856" max="2856" width="7.28515625" style="66" customWidth="1"/>
    <col min="2857" max="2857" width="7.5703125" style="66" customWidth="1"/>
    <col min="2858" max="2858" width="12.7109375" style="66" bestFit="1" customWidth="1"/>
    <col min="2859" max="2859" width="9" style="66" customWidth="1"/>
    <col min="2860" max="2860" width="9.140625" style="66" customWidth="1"/>
    <col min="2861" max="3087" width="9.140625" style="66"/>
    <col min="3088" max="3088" width="41" style="66" customWidth="1"/>
    <col min="3089" max="3089" width="18" style="66" bestFit="1" customWidth="1"/>
    <col min="3090" max="3090" width="10.140625" style="66" customWidth="1"/>
    <col min="3091" max="3091" width="10.42578125" style="66" bestFit="1" customWidth="1"/>
    <col min="3092" max="3093" width="12.42578125" style="66" customWidth="1"/>
    <col min="3094" max="3094" width="12.28515625" style="66" customWidth="1"/>
    <col min="3095" max="3096" width="12.5703125" style="66" customWidth="1"/>
    <col min="3097" max="3098" width="9.85546875" style="66" customWidth="1"/>
    <col min="3099" max="3099" width="9.42578125" style="66" customWidth="1"/>
    <col min="3100" max="3100" width="12" style="66" bestFit="1" customWidth="1"/>
    <col min="3101" max="3102" width="12" style="66" customWidth="1"/>
    <col min="3103" max="3103" width="12.7109375" style="66" customWidth="1"/>
    <col min="3104" max="3104" width="14.42578125" style="66" bestFit="1" customWidth="1"/>
    <col min="3105" max="3105" width="14.42578125" style="66" customWidth="1"/>
    <col min="3106" max="3107" width="9.140625" style="66" customWidth="1"/>
    <col min="3108" max="3108" width="9.5703125" style="66" customWidth="1"/>
    <col min="3109" max="3109" width="10.7109375" style="66" bestFit="1" customWidth="1"/>
    <col min="3110" max="3110" width="12.7109375" style="66" bestFit="1" customWidth="1"/>
    <col min="3111" max="3111" width="9.5703125" style="66" customWidth="1"/>
    <col min="3112" max="3112" width="7.28515625" style="66" customWidth="1"/>
    <col min="3113" max="3113" width="7.5703125" style="66" customWidth="1"/>
    <col min="3114" max="3114" width="12.7109375" style="66" bestFit="1" customWidth="1"/>
    <col min="3115" max="3115" width="9" style="66" customWidth="1"/>
    <col min="3116" max="3116" width="9.140625" style="66" customWidth="1"/>
    <col min="3117" max="3343" width="9.140625" style="66"/>
    <col min="3344" max="3344" width="41" style="66" customWidth="1"/>
    <col min="3345" max="3345" width="18" style="66" bestFit="1" customWidth="1"/>
    <col min="3346" max="3346" width="10.140625" style="66" customWidth="1"/>
    <col min="3347" max="3347" width="10.42578125" style="66" bestFit="1" customWidth="1"/>
    <col min="3348" max="3349" width="12.42578125" style="66" customWidth="1"/>
    <col min="3350" max="3350" width="12.28515625" style="66" customWidth="1"/>
    <col min="3351" max="3352" width="12.5703125" style="66" customWidth="1"/>
    <col min="3353" max="3354" width="9.85546875" style="66" customWidth="1"/>
    <col min="3355" max="3355" width="9.42578125" style="66" customWidth="1"/>
    <col min="3356" max="3356" width="12" style="66" bestFit="1" customWidth="1"/>
    <col min="3357" max="3358" width="12" style="66" customWidth="1"/>
    <col min="3359" max="3359" width="12.7109375" style="66" customWidth="1"/>
    <col min="3360" max="3360" width="14.42578125" style="66" bestFit="1" customWidth="1"/>
    <col min="3361" max="3361" width="14.42578125" style="66" customWidth="1"/>
    <col min="3362" max="3363" width="9.140625" style="66" customWidth="1"/>
    <col min="3364" max="3364" width="9.5703125" style="66" customWidth="1"/>
    <col min="3365" max="3365" width="10.7109375" style="66" bestFit="1" customWidth="1"/>
    <col min="3366" max="3366" width="12.7109375" style="66" bestFit="1" customWidth="1"/>
    <col min="3367" max="3367" width="9.5703125" style="66" customWidth="1"/>
    <col min="3368" max="3368" width="7.28515625" style="66" customWidth="1"/>
    <col min="3369" max="3369" width="7.5703125" style="66" customWidth="1"/>
    <col min="3370" max="3370" width="12.7109375" style="66" bestFit="1" customWidth="1"/>
    <col min="3371" max="3371" width="9" style="66" customWidth="1"/>
    <col min="3372" max="3372" width="9.140625" style="66" customWidth="1"/>
    <col min="3373" max="3599" width="9.140625" style="66"/>
    <col min="3600" max="3600" width="41" style="66" customWidth="1"/>
    <col min="3601" max="3601" width="18" style="66" bestFit="1" customWidth="1"/>
    <col min="3602" max="3602" width="10.140625" style="66" customWidth="1"/>
    <col min="3603" max="3603" width="10.42578125" style="66" bestFit="1" customWidth="1"/>
    <col min="3604" max="3605" width="12.42578125" style="66" customWidth="1"/>
    <col min="3606" max="3606" width="12.28515625" style="66" customWidth="1"/>
    <col min="3607" max="3608" width="12.5703125" style="66" customWidth="1"/>
    <col min="3609" max="3610" width="9.85546875" style="66" customWidth="1"/>
    <col min="3611" max="3611" width="9.42578125" style="66" customWidth="1"/>
    <col min="3612" max="3612" width="12" style="66" bestFit="1" customWidth="1"/>
    <col min="3613" max="3614" width="12" style="66" customWidth="1"/>
    <col min="3615" max="3615" width="12.7109375" style="66" customWidth="1"/>
    <col min="3616" max="3616" width="14.42578125" style="66" bestFit="1" customWidth="1"/>
    <col min="3617" max="3617" width="14.42578125" style="66" customWidth="1"/>
    <col min="3618" max="3619" width="9.140625" style="66" customWidth="1"/>
    <col min="3620" max="3620" width="9.5703125" style="66" customWidth="1"/>
    <col min="3621" max="3621" width="10.7109375" style="66" bestFit="1" customWidth="1"/>
    <col min="3622" max="3622" width="12.7109375" style="66" bestFit="1" customWidth="1"/>
    <col min="3623" max="3623" width="9.5703125" style="66" customWidth="1"/>
    <col min="3624" max="3624" width="7.28515625" style="66" customWidth="1"/>
    <col min="3625" max="3625" width="7.5703125" style="66" customWidth="1"/>
    <col min="3626" max="3626" width="12.7109375" style="66" bestFit="1" customWidth="1"/>
    <col min="3627" max="3627" width="9" style="66" customWidth="1"/>
    <col min="3628" max="3628" width="9.140625" style="66" customWidth="1"/>
    <col min="3629" max="3855" width="9.140625" style="66"/>
    <col min="3856" max="3856" width="41" style="66" customWidth="1"/>
    <col min="3857" max="3857" width="18" style="66" bestFit="1" customWidth="1"/>
    <col min="3858" max="3858" width="10.140625" style="66" customWidth="1"/>
    <col min="3859" max="3859" width="10.42578125" style="66" bestFit="1" customWidth="1"/>
    <col min="3860" max="3861" width="12.42578125" style="66" customWidth="1"/>
    <col min="3862" max="3862" width="12.28515625" style="66" customWidth="1"/>
    <col min="3863" max="3864" width="12.5703125" style="66" customWidth="1"/>
    <col min="3865" max="3866" width="9.85546875" style="66" customWidth="1"/>
    <col min="3867" max="3867" width="9.42578125" style="66" customWidth="1"/>
    <col min="3868" max="3868" width="12" style="66" bestFit="1" customWidth="1"/>
    <col min="3869" max="3870" width="12" style="66" customWidth="1"/>
    <col min="3871" max="3871" width="12.7109375" style="66" customWidth="1"/>
    <col min="3872" max="3872" width="14.42578125" style="66" bestFit="1" customWidth="1"/>
    <col min="3873" max="3873" width="14.42578125" style="66" customWidth="1"/>
    <col min="3874" max="3875" width="9.140625" style="66" customWidth="1"/>
    <col min="3876" max="3876" width="9.5703125" style="66" customWidth="1"/>
    <col min="3877" max="3877" width="10.7109375" style="66" bestFit="1" customWidth="1"/>
    <col min="3878" max="3878" width="12.7109375" style="66" bestFit="1" customWidth="1"/>
    <col min="3879" max="3879" width="9.5703125" style="66" customWidth="1"/>
    <col min="3880" max="3880" width="7.28515625" style="66" customWidth="1"/>
    <col min="3881" max="3881" width="7.5703125" style="66" customWidth="1"/>
    <col min="3882" max="3882" width="12.7109375" style="66" bestFit="1" customWidth="1"/>
    <col min="3883" max="3883" width="9" style="66" customWidth="1"/>
    <col min="3884" max="3884" width="9.140625" style="66" customWidth="1"/>
    <col min="3885" max="4111" width="9.140625" style="66"/>
    <col min="4112" max="4112" width="41" style="66" customWidth="1"/>
    <col min="4113" max="4113" width="18" style="66" bestFit="1" customWidth="1"/>
    <col min="4114" max="4114" width="10.140625" style="66" customWidth="1"/>
    <col min="4115" max="4115" width="10.42578125" style="66" bestFit="1" customWidth="1"/>
    <col min="4116" max="4117" width="12.42578125" style="66" customWidth="1"/>
    <col min="4118" max="4118" width="12.28515625" style="66" customWidth="1"/>
    <col min="4119" max="4120" width="12.5703125" style="66" customWidth="1"/>
    <col min="4121" max="4122" width="9.85546875" style="66" customWidth="1"/>
    <col min="4123" max="4123" width="9.42578125" style="66" customWidth="1"/>
    <col min="4124" max="4124" width="12" style="66" bestFit="1" customWidth="1"/>
    <col min="4125" max="4126" width="12" style="66" customWidth="1"/>
    <col min="4127" max="4127" width="12.7109375" style="66" customWidth="1"/>
    <col min="4128" max="4128" width="14.42578125" style="66" bestFit="1" customWidth="1"/>
    <col min="4129" max="4129" width="14.42578125" style="66" customWidth="1"/>
    <col min="4130" max="4131" width="9.140625" style="66" customWidth="1"/>
    <col min="4132" max="4132" width="9.5703125" style="66" customWidth="1"/>
    <col min="4133" max="4133" width="10.7109375" style="66" bestFit="1" customWidth="1"/>
    <col min="4134" max="4134" width="12.7109375" style="66" bestFit="1" customWidth="1"/>
    <col min="4135" max="4135" width="9.5703125" style="66" customWidth="1"/>
    <col min="4136" max="4136" width="7.28515625" style="66" customWidth="1"/>
    <col min="4137" max="4137" width="7.5703125" style="66" customWidth="1"/>
    <col min="4138" max="4138" width="12.7109375" style="66" bestFit="1" customWidth="1"/>
    <col min="4139" max="4139" width="9" style="66" customWidth="1"/>
    <col min="4140" max="4140" width="9.140625" style="66" customWidth="1"/>
    <col min="4141" max="4367" width="9.140625" style="66"/>
    <col min="4368" max="4368" width="41" style="66" customWidth="1"/>
    <col min="4369" max="4369" width="18" style="66" bestFit="1" customWidth="1"/>
    <col min="4370" max="4370" width="10.140625" style="66" customWidth="1"/>
    <col min="4371" max="4371" width="10.42578125" style="66" bestFit="1" customWidth="1"/>
    <col min="4372" max="4373" width="12.42578125" style="66" customWidth="1"/>
    <col min="4374" max="4374" width="12.28515625" style="66" customWidth="1"/>
    <col min="4375" max="4376" width="12.5703125" style="66" customWidth="1"/>
    <col min="4377" max="4378" width="9.85546875" style="66" customWidth="1"/>
    <col min="4379" max="4379" width="9.42578125" style="66" customWidth="1"/>
    <col min="4380" max="4380" width="12" style="66" bestFit="1" customWidth="1"/>
    <col min="4381" max="4382" width="12" style="66" customWidth="1"/>
    <col min="4383" max="4383" width="12.7109375" style="66" customWidth="1"/>
    <col min="4384" max="4384" width="14.42578125" style="66" bestFit="1" customWidth="1"/>
    <col min="4385" max="4385" width="14.42578125" style="66" customWidth="1"/>
    <col min="4386" max="4387" width="9.140625" style="66" customWidth="1"/>
    <col min="4388" max="4388" width="9.5703125" style="66" customWidth="1"/>
    <col min="4389" max="4389" width="10.7109375" style="66" bestFit="1" customWidth="1"/>
    <col min="4390" max="4390" width="12.7109375" style="66" bestFit="1" customWidth="1"/>
    <col min="4391" max="4391" width="9.5703125" style="66" customWidth="1"/>
    <col min="4392" max="4392" width="7.28515625" style="66" customWidth="1"/>
    <col min="4393" max="4393" width="7.5703125" style="66" customWidth="1"/>
    <col min="4394" max="4394" width="12.7109375" style="66" bestFit="1" customWidth="1"/>
    <col min="4395" max="4395" width="9" style="66" customWidth="1"/>
    <col min="4396" max="4396" width="9.140625" style="66" customWidth="1"/>
    <col min="4397" max="4623" width="9.140625" style="66"/>
    <col min="4624" max="4624" width="41" style="66" customWidth="1"/>
    <col min="4625" max="4625" width="18" style="66" bestFit="1" customWidth="1"/>
    <col min="4626" max="4626" width="10.140625" style="66" customWidth="1"/>
    <col min="4627" max="4627" width="10.42578125" style="66" bestFit="1" customWidth="1"/>
    <col min="4628" max="4629" width="12.42578125" style="66" customWidth="1"/>
    <col min="4630" max="4630" width="12.28515625" style="66" customWidth="1"/>
    <col min="4631" max="4632" width="12.5703125" style="66" customWidth="1"/>
    <col min="4633" max="4634" width="9.85546875" style="66" customWidth="1"/>
    <col min="4635" max="4635" width="9.42578125" style="66" customWidth="1"/>
    <col min="4636" max="4636" width="12" style="66" bestFit="1" customWidth="1"/>
    <col min="4637" max="4638" width="12" style="66" customWidth="1"/>
    <col min="4639" max="4639" width="12.7109375" style="66" customWidth="1"/>
    <col min="4640" max="4640" width="14.42578125" style="66" bestFit="1" customWidth="1"/>
    <col min="4641" max="4641" width="14.42578125" style="66" customWidth="1"/>
    <col min="4642" max="4643" width="9.140625" style="66" customWidth="1"/>
    <col min="4644" max="4644" width="9.5703125" style="66" customWidth="1"/>
    <col min="4645" max="4645" width="10.7109375" style="66" bestFit="1" customWidth="1"/>
    <col min="4646" max="4646" width="12.7109375" style="66" bestFit="1" customWidth="1"/>
    <col min="4647" max="4647" width="9.5703125" style="66" customWidth="1"/>
    <col min="4648" max="4648" width="7.28515625" style="66" customWidth="1"/>
    <col min="4649" max="4649" width="7.5703125" style="66" customWidth="1"/>
    <col min="4650" max="4650" width="12.7109375" style="66" bestFit="1" customWidth="1"/>
    <col min="4651" max="4651" width="9" style="66" customWidth="1"/>
    <col min="4652" max="4652" width="9.140625" style="66" customWidth="1"/>
    <col min="4653" max="4879" width="9.140625" style="66"/>
    <col min="4880" max="4880" width="41" style="66" customWidth="1"/>
    <col min="4881" max="4881" width="18" style="66" bestFit="1" customWidth="1"/>
    <col min="4882" max="4882" width="10.140625" style="66" customWidth="1"/>
    <col min="4883" max="4883" width="10.42578125" style="66" bestFit="1" customWidth="1"/>
    <col min="4884" max="4885" width="12.42578125" style="66" customWidth="1"/>
    <col min="4886" max="4886" width="12.28515625" style="66" customWidth="1"/>
    <col min="4887" max="4888" width="12.5703125" style="66" customWidth="1"/>
    <col min="4889" max="4890" width="9.85546875" style="66" customWidth="1"/>
    <col min="4891" max="4891" width="9.42578125" style="66" customWidth="1"/>
    <col min="4892" max="4892" width="12" style="66" bestFit="1" customWidth="1"/>
    <col min="4893" max="4894" width="12" style="66" customWidth="1"/>
    <col min="4895" max="4895" width="12.7109375" style="66" customWidth="1"/>
    <col min="4896" max="4896" width="14.42578125" style="66" bestFit="1" customWidth="1"/>
    <col min="4897" max="4897" width="14.42578125" style="66" customWidth="1"/>
    <col min="4898" max="4899" width="9.140625" style="66" customWidth="1"/>
    <col min="4900" max="4900" width="9.5703125" style="66" customWidth="1"/>
    <col min="4901" max="4901" width="10.7109375" style="66" bestFit="1" customWidth="1"/>
    <col min="4902" max="4902" width="12.7109375" style="66" bestFit="1" customWidth="1"/>
    <col min="4903" max="4903" width="9.5703125" style="66" customWidth="1"/>
    <col min="4904" max="4904" width="7.28515625" style="66" customWidth="1"/>
    <col min="4905" max="4905" width="7.5703125" style="66" customWidth="1"/>
    <col min="4906" max="4906" width="12.7109375" style="66" bestFit="1" customWidth="1"/>
    <col min="4907" max="4907" width="9" style="66" customWidth="1"/>
    <col min="4908" max="4908" width="9.140625" style="66" customWidth="1"/>
    <col min="4909" max="5135" width="9.140625" style="66"/>
    <col min="5136" max="5136" width="41" style="66" customWidth="1"/>
    <col min="5137" max="5137" width="18" style="66" bestFit="1" customWidth="1"/>
    <col min="5138" max="5138" width="10.140625" style="66" customWidth="1"/>
    <col min="5139" max="5139" width="10.42578125" style="66" bestFit="1" customWidth="1"/>
    <col min="5140" max="5141" width="12.42578125" style="66" customWidth="1"/>
    <col min="5142" max="5142" width="12.28515625" style="66" customWidth="1"/>
    <col min="5143" max="5144" width="12.5703125" style="66" customWidth="1"/>
    <col min="5145" max="5146" width="9.85546875" style="66" customWidth="1"/>
    <col min="5147" max="5147" width="9.42578125" style="66" customWidth="1"/>
    <col min="5148" max="5148" width="12" style="66" bestFit="1" customWidth="1"/>
    <col min="5149" max="5150" width="12" style="66" customWidth="1"/>
    <col min="5151" max="5151" width="12.7109375" style="66" customWidth="1"/>
    <col min="5152" max="5152" width="14.42578125" style="66" bestFit="1" customWidth="1"/>
    <col min="5153" max="5153" width="14.42578125" style="66" customWidth="1"/>
    <col min="5154" max="5155" width="9.140625" style="66" customWidth="1"/>
    <col min="5156" max="5156" width="9.5703125" style="66" customWidth="1"/>
    <col min="5157" max="5157" width="10.7109375" style="66" bestFit="1" customWidth="1"/>
    <col min="5158" max="5158" width="12.7109375" style="66" bestFit="1" customWidth="1"/>
    <col min="5159" max="5159" width="9.5703125" style="66" customWidth="1"/>
    <col min="5160" max="5160" width="7.28515625" style="66" customWidth="1"/>
    <col min="5161" max="5161" width="7.5703125" style="66" customWidth="1"/>
    <col min="5162" max="5162" width="12.7109375" style="66" bestFit="1" customWidth="1"/>
    <col min="5163" max="5163" width="9" style="66" customWidth="1"/>
    <col min="5164" max="5164" width="9.140625" style="66" customWidth="1"/>
    <col min="5165" max="5391" width="9.140625" style="66"/>
    <col min="5392" max="5392" width="41" style="66" customWidth="1"/>
    <col min="5393" max="5393" width="18" style="66" bestFit="1" customWidth="1"/>
    <col min="5394" max="5394" width="10.140625" style="66" customWidth="1"/>
    <col min="5395" max="5395" width="10.42578125" style="66" bestFit="1" customWidth="1"/>
    <col min="5396" max="5397" width="12.42578125" style="66" customWidth="1"/>
    <col min="5398" max="5398" width="12.28515625" style="66" customWidth="1"/>
    <col min="5399" max="5400" width="12.5703125" style="66" customWidth="1"/>
    <col min="5401" max="5402" width="9.85546875" style="66" customWidth="1"/>
    <col min="5403" max="5403" width="9.42578125" style="66" customWidth="1"/>
    <col min="5404" max="5404" width="12" style="66" bestFit="1" customWidth="1"/>
    <col min="5405" max="5406" width="12" style="66" customWidth="1"/>
    <col min="5407" max="5407" width="12.7109375" style="66" customWidth="1"/>
    <col min="5408" max="5408" width="14.42578125" style="66" bestFit="1" customWidth="1"/>
    <col min="5409" max="5409" width="14.42578125" style="66" customWidth="1"/>
    <col min="5410" max="5411" width="9.140625" style="66" customWidth="1"/>
    <col min="5412" max="5412" width="9.5703125" style="66" customWidth="1"/>
    <col min="5413" max="5413" width="10.7109375" style="66" bestFit="1" customWidth="1"/>
    <col min="5414" max="5414" width="12.7109375" style="66" bestFit="1" customWidth="1"/>
    <col min="5415" max="5415" width="9.5703125" style="66" customWidth="1"/>
    <col min="5416" max="5416" width="7.28515625" style="66" customWidth="1"/>
    <col min="5417" max="5417" width="7.5703125" style="66" customWidth="1"/>
    <col min="5418" max="5418" width="12.7109375" style="66" bestFit="1" customWidth="1"/>
    <col min="5419" max="5419" width="9" style="66" customWidth="1"/>
    <col min="5420" max="5420" width="9.140625" style="66" customWidth="1"/>
    <col min="5421" max="5647" width="9.140625" style="66"/>
    <col min="5648" max="5648" width="41" style="66" customWidth="1"/>
    <col min="5649" max="5649" width="18" style="66" bestFit="1" customWidth="1"/>
    <col min="5650" max="5650" width="10.140625" style="66" customWidth="1"/>
    <col min="5651" max="5651" width="10.42578125" style="66" bestFit="1" customWidth="1"/>
    <col min="5652" max="5653" width="12.42578125" style="66" customWidth="1"/>
    <col min="5654" max="5654" width="12.28515625" style="66" customWidth="1"/>
    <col min="5655" max="5656" width="12.5703125" style="66" customWidth="1"/>
    <col min="5657" max="5658" width="9.85546875" style="66" customWidth="1"/>
    <col min="5659" max="5659" width="9.42578125" style="66" customWidth="1"/>
    <col min="5660" max="5660" width="12" style="66" bestFit="1" customWidth="1"/>
    <col min="5661" max="5662" width="12" style="66" customWidth="1"/>
    <col min="5663" max="5663" width="12.7109375" style="66" customWidth="1"/>
    <col min="5664" max="5664" width="14.42578125" style="66" bestFit="1" customWidth="1"/>
    <col min="5665" max="5665" width="14.42578125" style="66" customWidth="1"/>
    <col min="5666" max="5667" width="9.140625" style="66" customWidth="1"/>
    <col min="5668" max="5668" width="9.5703125" style="66" customWidth="1"/>
    <col min="5669" max="5669" width="10.7109375" style="66" bestFit="1" customWidth="1"/>
    <col min="5670" max="5670" width="12.7109375" style="66" bestFit="1" customWidth="1"/>
    <col min="5671" max="5671" width="9.5703125" style="66" customWidth="1"/>
    <col min="5672" max="5672" width="7.28515625" style="66" customWidth="1"/>
    <col min="5673" max="5673" width="7.5703125" style="66" customWidth="1"/>
    <col min="5674" max="5674" width="12.7109375" style="66" bestFit="1" customWidth="1"/>
    <col min="5675" max="5675" width="9" style="66" customWidth="1"/>
    <col min="5676" max="5676" width="9.140625" style="66" customWidth="1"/>
    <col min="5677" max="5903" width="9.140625" style="66"/>
    <col min="5904" max="5904" width="41" style="66" customWidth="1"/>
    <col min="5905" max="5905" width="18" style="66" bestFit="1" customWidth="1"/>
    <col min="5906" max="5906" width="10.140625" style="66" customWidth="1"/>
    <col min="5907" max="5907" width="10.42578125" style="66" bestFit="1" customWidth="1"/>
    <col min="5908" max="5909" width="12.42578125" style="66" customWidth="1"/>
    <col min="5910" max="5910" width="12.28515625" style="66" customWidth="1"/>
    <col min="5911" max="5912" width="12.5703125" style="66" customWidth="1"/>
    <col min="5913" max="5914" width="9.85546875" style="66" customWidth="1"/>
    <col min="5915" max="5915" width="9.42578125" style="66" customWidth="1"/>
    <col min="5916" max="5916" width="12" style="66" bestFit="1" customWidth="1"/>
    <col min="5917" max="5918" width="12" style="66" customWidth="1"/>
    <col min="5919" max="5919" width="12.7109375" style="66" customWidth="1"/>
    <col min="5920" max="5920" width="14.42578125" style="66" bestFit="1" customWidth="1"/>
    <col min="5921" max="5921" width="14.42578125" style="66" customWidth="1"/>
    <col min="5922" max="5923" width="9.140625" style="66" customWidth="1"/>
    <col min="5924" max="5924" width="9.5703125" style="66" customWidth="1"/>
    <col min="5925" max="5925" width="10.7109375" style="66" bestFit="1" customWidth="1"/>
    <col min="5926" max="5926" width="12.7109375" style="66" bestFit="1" customWidth="1"/>
    <col min="5927" max="5927" width="9.5703125" style="66" customWidth="1"/>
    <col min="5928" max="5928" width="7.28515625" style="66" customWidth="1"/>
    <col min="5929" max="5929" width="7.5703125" style="66" customWidth="1"/>
    <col min="5930" max="5930" width="12.7109375" style="66" bestFit="1" customWidth="1"/>
    <col min="5931" max="5931" width="9" style="66" customWidth="1"/>
    <col min="5932" max="5932" width="9.140625" style="66" customWidth="1"/>
    <col min="5933" max="6159" width="9.140625" style="66"/>
    <col min="6160" max="6160" width="41" style="66" customWidth="1"/>
    <col min="6161" max="6161" width="18" style="66" bestFit="1" customWidth="1"/>
    <col min="6162" max="6162" width="10.140625" style="66" customWidth="1"/>
    <col min="6163" max="6163" width="10.42578125" style="66" bestFit="1" customWidth="1"/>
    <col min="6164" max="6165" width="12.42578125" style="66" customWidth="1"/>
    <col min="6166" max="6166" width="12.28515625" style="66" customWidth="1"/>
    <col min="6167" max="6168" width="12.5703125" style="66" customWidth="1"/>
    <col min="6169" max="6170" width="9.85546875" style="66" customWidth="1"/>
    <col min="6171" max="6171" width="9.42578125" style="66" customWidth="1"/>
    <col min="6172" max="6172" width="12" style="66" bestFit="1" customWidth="1"/>
    <col min="6173" max="6174" width="12" style="66" customWidth="1"/>
    <col min="6175" max="6175" width="12.7109375" style="66" customWidth="1"/>
    <col min="6176" max="6176" width="14.42578125" style="66" bestFit="1" customWidth="1"/>
    <col min="6177" max="6177" width="14.42578125" style="66" customWidth="1"/>
    <col min="6178" max="6179" width="9.140625" style="66" customWidth="1"/>
    <col min="6180" max="6180" width="9.5703125" style="66" customWidth="1"/>
    <col min="6181" max="6181" width="10.7109375" style="66" bestFit="1" customWidth="1"/>
    <col min="6182" max="6182" width="12.7109375" style="66" bestFit="1" customWidth="1"/>
    <col min="6183" max="6183" width="9.5703125" style="66" customWidth="1"/>
    <col min="6184" max="6184" width="7.28515625" style="66" customWidth="1"/>
    <col min="6185" max="6185" width="7.5703125" style="66" customWidth="1"/>
    <col min="6186" max="6186" width="12.7109375" style="66" bestFit="1" customWidth="1"/>
    <col min="6187" max="6187" width="9" style="66" customWidth="1"/>
    <col min="6188" max="6188" width="9.140625" style="66" customWidth="1"/>
    <col min="6189" max="6415" width="9.140625" style="66"/>
    <col min="6416" max="6416" width="41" style="66" customWidth="1"/>
    <col min="6417" max="6417" width="18" style="66" bestFit="1" customWidth="1"/>
    <col min="6418" max="6418" width="10.140625" style="66" customWidth="1"/>
    <col min="6419" max="6419" width="10.42578125" style="66" bestFit="1" customWidth="1"/>
    <col min="6420" max="6421" width="12.42578125" style="66" customWidth="1"/>
    <col min="6422" max="6422" width="12.28515625" style="66" customWidth="1"/>
    <col min="6423" max="6424" width="12.5703125" style="66" customWidth="1"/>
    <col min="6425" max="6426" width="9.85546875" style="66" customWidth="1"/>
    <col min="6427" max="6427" width="9.42578125" style="66" customWidth="1"/>
    <col min="6428" max="6428" width="12" style="66" bestFit="1" customWidth="1"/>
    <col min="6429" max="6430" width="12" style="66" customWidth="1"/>
    <col min="6431" max="6431" width="12.7109375" style="66" customWidth="1"/>
    <col min="6432" max="6432" width="14.42578125" style="66" bestFit="1" customWidth="1"/>
    <col min="6433" max="6433" width="14.42578125" style="66" customWidth="1"/>
    <col min="6434" max="6435" width="9.140625" style="66" customWidth="1"/>
    <col min="6436" max="6436" width="9.5703125" style="66" customWidth="1"/>
    <col min="6437" max="6437" width="10.7109375" style="66" bestFit="1" customWidth="1"/>
    <col min="6438" max="6438" width="12.7109375" style="66" bestFit="1" customWidth="1"/>
    <col min="6439" max="6439" width="9.5703125" style="66" customWidth="1"/>
    <col min="6440" max="6440" width="7.28515625" style="66" customWidth="1"/>
    <col min="6441" max="6441" width="7.5703125" style="66" customWidth="1"/>
    <col min="6442" max="6442" width="12.7109375" style="66" bestFit="1" customWidth="1"/>
    <col min="6443" max="6443" width="9" style="66" customWidth="1"/>
    <col min="6444" max="6444" width="9.140625" style="66" customWidth="1"/>
    <col min="6445" max="6671" width="9.140625" style="66"/>
    <col min="6672" max="6672" width="41" style="66" customWidth="1"/>
    <col min="6673" max="6673" width="18" style="66" bestFit="1" customWidth="1"/>
    <col min="6674" max="6674" width="10.140625" style="66" customWidth="1"/>
    <col min="6675" max="6675" width="10.42578125" style="66" bestFit="1" customWidth="1"/>
    <col min="6676" max="6677" width="12.42578125" style="66" customWidth="1"/>
    <col min="6678" max="6678" width="12.28515625" style="66" customWidth="1"/>
    <col min="6679" max="6680" width="12.5703125" style="66" customWidth="1"/>
    <col min="6681" max="6682" width="9.85546875" style="66" customWidth="1"/>
    <col min="6683" max="6683" width="9.42578125" style="66" customWidth="1"/>
    <col min="6684" max="6684" width="12" style="66" bestFit="1" customWidth="1"/>
    <col min="6685" max="6686" width="12" style="66" customWidth="1"/>
    <col min="6687" max="6687" width="12.7109375" style="66" customWidth="1"/>
    <col min="6688" max="6688" width="14.42578125" style="66" bestFit="1" customWidth="1"/>
    <col min="6689" max="6689" width="14.42578125" style="66" customWidth="1"/>
    <col min="6690" max="6691" width="9.140625" style="66" customWidth="1"/>
    <col min="6692" max="6692" width="9.5703125" style="66" customWidth="1"/>
    <col min="6693" max="6693" width="10.7109375" style="66" bestFit="1" customWidth="1"/>
    <col min="6694" max="6694" width="12.7109375" style="66" bestFit="1" customWidth="1"/>
    <col min="6695" max="6695" width="9.5703125" style="66" customWidth="1"/>
    <col min="6696" max="6696" width="7.28515625" style="66" customWidth="1"/>
    <col min="6697" max="6697" width="7.5703125" style="66" customWidth="1"/>
    <col min="6698" max="6698" width="12.7109375" style="66" bestFit="1" customWidth="1"/>
    <col min="6699" max="6699" width="9" style="66" customWidth="1"/>
    <col min="6700" max="6700" width="9.140625" style="66" customWidth="1"/>
    <col min="6701" max="6927" width="9.140625" style="66"/>
    <col min="6928" max="6928" width="41" style="66" customWidth="1"/>
    <col min="6929" max="6929" width="18" style="66" bestFit="1" customWidth="1"/>
    <col min="6930" max="6930" width="10.140625" style="66" customWidth="1"/>
    <col min="6931" max="6931" width="10.42578125" style="66" bestFit="1" customWidth="1"/>
    <col min="6932" max="6933" width="12.42578125" style="66" customWidth="1"/>
    <col min="6934" max="6934" width="12.28515625" style="66" customWidth="1"/>
    <col min="6935" max="6936" width="12.5703125" style="66" customWidth="1"/>
    <col min="6937" max="6938" width="9.85546875" style="66" customWidth="1"/>
    <col min="6939" max="6939" width="9.42578125" style="66" customWidth="1"/>
    <col min="6940" max="6940" width="12" style="66" bestFit="1" customWidth="1"/>
    <col min="6941" max="6942" width="12" style="66" customWidth="1"/>
    <col min="6943" max="6943" width="12.7109375" style="66" customWidth="1"/>
    <col min="6944" max="6944" width="14.42578125" style="66" bestFit="1" customWidth="1"/>
    <col min="6945" max="6945" width="14.42578125" style="66" customWidth="1"/>
    <col min="6946" max="6947" width="9.140625" style="66" customWidth="1"/>
    <col min="6948" max="6948" width="9.5703125" style="66" customWidth="1"/>
    <col min="6949" max="6949" width="10.7109375" style="66" bestFit="1" customWidth="1"/>
    <col min="6950" max="6950" width="12.7109375" style="66" bestFit="1" customWidth="1"/>
    <col min="6951" max="6951" width="9.5703125" style="66" customWidth="1"/>
    <col min="6952" max="6952" width="7.28515625" style="66" customWidth="1"/>
    <col min="6953" max="6953" width="7.5703125" style="66" customWidth="1"/>
    <col min="6954" max="6954" width="12.7109375" style="66" bestFit="1" customWidth="1"/>
    <col min="6955" max="6955" width="9" style="66" customWidth="1"/>
    <col min="6956" max="6956" width="9.140625" style="66" customWidth="1"/>
    <col min="6957" max="7183" width="9.140625" style="66"/>
    <col min="7184" max="7184" width="41" style="66" customWidth="1"/>
    <col min="7185" max="7185" width="18" style="66" bestFit="1" customWidth="1"/>
    <col min="7186" max="7186" width="10.140625" style="66" customWidth="1"/>
    <col min="7187" max="7187" width="10.42578125" style="66" bestFit="1" customWidth="1"/>
    <col min="7188" max="7189" width="12.42578125" style="66" customWidth="1"/>
    <col min="7190" max="7190" width="12.28515625" style="66" customWidth="1"/>
    <col min="7191" max="7192" width="12.5703125" style="66" customWidth="1"/>
    <col min="7193" max="7194" width="9.85546875" style="66" customWidth="1"/>
    <col min="7195" max="7195" width="9.42578125" style="66" customWidth="1"/>
    <col min="7196" max="7196" width="12" style="66" bestFit="1" customWidth="1"/>
    <col min="7197" max="7198" width="12" style="66" customWidth="1"/>
    <col min="7199" max="7199" width="12.7109375" style="66" customWidth="1"/>
    <col min="7200" max="7200" width="14.42578125" style="66" bestFit="1" customWidth="1"/>
    <col min="7201" max="7201" width="14.42578125" style="66" customWidth="1"/>
    <col min="7202" max="7203" width="9.140625" style="66" customWidth="1"/>
    <col min="7204" max="7204" width="9.5703125" style="66" customWidth="1"/>
    <col min="7205" max="7205" width="10.7109375" style="66" bestFit="1" customWidth="1"/>
    <col min="7206" max="7206" width="12.7109375" style="66" bestFit="1" customWidth="1"/>
    <col min="7207" max="7207" width="9.5703125" style="66" customWidth="1"/>
    <col min="7208" max="7208" width="7.28515625" style="66" customWidth="1"/>
    <col min="7209" max="7209" width="7.5703125" style="66" customWidth="1"/>
    <col min="7210" max="7210" width="12.7109375" style="66" bestFit="1" customWidth="1"/>
    <col min="7211" max="7211" width="9" style="66" customWidth="1"/>
    <col min="7212" max="7212" width="9.140625" style="66" customWidth="1"/>
    <col min="7213" max="7439" width="9.140625" style="66"/>
    <col min="7440" max="7440" width="41" style="66" customWidth="1"/>
    <col min="7441" max="7441" width="18" style="66" bestFit="1" customWidth="1"/>
    <col min="7442" max="7442" width="10.140625" style="66" customWidth="1"/>
    <col min="7443" max="7443" width="10.42578125" style="66" bestFit="1" customWidth="1"/>
    <col min="7444" max="7445" width="12.42578125" style="66" customWidth="1"/>
    <col min="7446" max="7446" width="12.28515625" style="66" customWidth="1"/>
    <col min="7447" max="7448" width="12.5703125" style="66" customWidth="1"/>
    <col min="7449" max="7450" width="9.85546875" style="66" customWidth="1"/>
    <col min="7451" max="7451" width="9.42578125" style="66" customWidth="1"/>
    <col min="7452" max="7452" width="12" style="66" bestFit="1" customWidth="1"/>
    <col min="7453" max="7454" width="12" style="66" customWidth="1"/>
    <col min="7455" max="7455" width="12.7109375" style="66" customWidth="1"/>
    <col min="7456" max="7456" width="14.42578125" style="66" bestFit="1" customWidth="1"/>
    <col min="7457" max="7457" width="14.42578125" style="66" customWidth="1"/>
    <col min="7458" max="7459" width="9.140625" style="66" customWidth="1"/>
    <col min="7460" max="7460" width="9.5703125" style="66" customWidth="1"/>
    <col min="7461" max="7461" width="10.7109375" style="66" bestFit="1" customWidth="1"/>
    <col min="7462" max="7462" width="12.7109375" style="66" bestFit="1" customWidth="1"/>
    <col min="7463" max="7463" width="9.5703125" style="66" customWidth="1"/>
    <col min="7464" max="7464" width="7.28515625" style="66" customWidth="1"/>
    <col min="7465" max="7465" width="7.5703125" style="66" customWidth="1"/>
    <col min="7466" max="7466" width="12.7109375" style="66" bestFit="1" customWidth="1"/>
    <col min="7467" max="7467" width="9" style="66" customWidth="1"/>
    <col min="7468" max="7468" width="9.140625" style="66" customWidth="1"/>
    <col min="7469" max="7695" width="9.140625" style="66"/>
    <col min="7696" max="7696" width="41" style="66" customWidth="1"/>
    <col min="7697" max="7697" width="18" style="66" bestFit="1" customWidth="1"/>
    <col min="7698" max="7698" width="10.140625" style="66" customWidth="1"/>
    <col min="7699" max="7699" width="10.42578125" style="66" bestFit="1" customWidth="1"/>
    <col min="7700" max="7701" width="12.42578125" style="66" customWidth="1"/>
    <col min="7702" max="7702" width="12.28515625" style="66" customWidth="1"/>
    <col min="7703" max="7704" width="12.5703125" style="66" customWidth="1"/>
    <col min="7705" max="7706" width="9.85546875" style="66" customWidth="1"/>
    <col min="7707" max="7707" width="9.42578125" style="66" customWidth="1"/>
    <col min="7708" max="7708" width="12" style="66" bestFit="1" customWidth="1"/>
    <col min="7709" max="7710" width="12" style="66" customWidth="1"/>
    <col min="7711" max="7711" width="12.7109375" style="66" customWidth="1"/>
    <col min="7712" max="7712" width="14.42578125" style="66" bestFit="1" customWidth="1"/>
    <col min="7713" max="7713" width="14.42578125" style="66" customWidth="1"/>
    <col min="7714" max="7715" width="9.140625" style="66" customWidth="1"/>
    <col min="7716" max="7716" width="9.5703125" style="66" customWidth="1"/>
    <col min="7717" max="7717" width="10.7109375" style="66" bestFit="1" customWidth="1"/>
    <col min="7718" max="7718" width="12.7109375" style="66" bestFit="1" customWidth="1"/>
    <col min="7719" max="7719" width="9.5703125" style="66" customWidth="1"/>
    <col min="7720" max="7720" width="7.28515625" style="66" customWidth="1"/>
    <col min="7721" max="7721" width="7.5703125" style="66" customWidth="1"/>
    <col min="7722" max="7722" width="12.7109375" style="66" bestFit="1" customWidth="1"/>
    <col min="7723" max="7723" width="9" style="66" customWidth="1"/>
    <col min="7724" max="7724" width="9.140625" style="66" customWidth="1"/>
    <col min="7725" max="7951" width="9.140625" style="66"/>
    <col min="7952" max="7952" width="41" style="66" customWidth="1"/>
    <col min="7953" max="7953" width="18" style="66" bestFit="1" customWidth="1"/>
    <col min="7954" max="7954" width="10.140625" style="66" customWidth="1"/>
    <col min="7955" max="7955" width="10.42578125" style="66" bestFit="1" customWidth="1"/>
    <col min="7956" max="7957" width="12.42578125" style="66" customWidth="1"/>
    <col min="7958" max="7958" width="12.28515625" style="66" customWidth="1"/>
    <col min="7959" max="7960" width="12.5703125" style="66" customWidth="1"/>
    <col min="7961" max="7962" width="9.85546875" style="66" customWidth="1"/>
    <col min="7963" max="7963" width="9.42578125" style="66" customWidth="1"/>
    <col min="7964" max="7964" width="12" style="66" bestFit="1" customWidth="1"/>
    <col min="7965" max="7966" width="12" style="66" customWidth="1"/>
    <col min="7967" max="7967" width="12.7109375" style="66" customWidth="1"/>
    <col min="7968" max="7968" width="14.42578125" style="66" bestFit="1" customWidth="1"/>
    <col min="7969" max="7969" width="14.42578125" style="66" customWidth="1"/>
    <col min="7970" max="7971" width="9.140625" style="66" customWidth="1"/>
    <col min="7972" max="7972" width="9.5703125" style="66" customWidth="1"/>
    <col min="7973" max="7973" width="10.7109375" style="66" bestFit="1" customWidth="1"/>
    <col min="7974" max="7974" width="12.7109375" style="66" bestFit="1" customWidth="1"/>
    <col min="7975" max="7975" width="9.5703125" style="66" customWidth="1"/>
    <col min="7976" max="7976" width="7.28515625" style="66" customWidth="1"/>
    <col min="7977" max="7977" width="7.5703125" style="66" customWidth="1"/>
    <col min="7978" max="7978" width="12.7109375" style="66" bestFit="1" customWidth="1"/>
    <col min="7979" max="7979" width="9" style="66" customWidth="1"/>
    <col min="7980" max="7980" width="9.140625" style="66" customWidth="1"/>
    <col min="7981" max="8207" width="9.140625" style="66"/>
    <col min="8208" max="8208" width="41" style="66" customWidth="1"/>
    <col min="8209" max="8209" width="18" style="66" bestFit="1" customWidth="1"/>
    <col min="8210" max="8210" width="10.140625" style="66" customWidth="1"/>
    <col min="8211" max="8211" width="10.42578125" style="66" bestFit="1" customWidth="1"/>
    <col min="8212" max="8213" width="12.42578125" style="66" customWidth="1"/>
    <col min="8214" max="8214" width="12.28515625" style="66" customWidth="1"/>
    <col min="8215" max="8216" width="12.5703125" style="66" customWidth="1"/>
    <col min="8217" max="8218" width="9.85546875" style="66" customWidth="1"/>
    <col min="8219" max="8219" width="9.42578125" style="66" customWidth="1"/>
    <col min="8220" max="8220" width="12" style="66" bestFit="1" customWidth="1"/>
    <col min="8221" max="8222" width="12" style="66" customWidth="1"/>
    <col min="8223" max="8223" width="12.7109375" style="66" customWidth="1"/>
    <col min="8224" max="8224" width="14.42578125" style="66" bestFit="1" customWidth="1"/>
    <col min="8225" max="8225" width="14.42578125" style="66" customWidth="1"/>
    <col min="8226" max="8227" width="9.140625" style="66" customWidth="1"/>
    <col min="8228" max="8228" width="9.5703125" style="66" customWidth="1"/>
    <col min="8229" max="8229" width="10.7109375" style="66" bestFit="1" customWidth="1"/>
    <col min="8230" max="8230" width="12.7109375" style="66" bestFit="1" customWidth="1"/>
    <col min="8231" max="8231" width="9.5703125" style="66" customWidth="1"/>
    <col min="8232" max="8232" width="7.28515625" style="66" customWidth="1"/>
    <col min="8233" max="8233" width="7.5703125" style="66" customWidth="1"/>
    <col min="8234" max="8234" width="12.7109375" style="66" bestFit="1" customWidth="1"/>
    <col min="8235" max="8235" width="9" style="66" customWidth="1"/>
    <col min="8236" max="8236" width="9.140625" style="66" customWidth="1"/>
    <col min="8237" max="8463" width="9.140625" style="66"/>
    <col min="8464" max="8464" width="41" style="66" customWidth="1"/>
    <col min="8465" max="8465" width="18" style="66" bestFit="1" customWidth="1"/>
    <col min="8466" max="8466" width="10.140625" style="66" customWidth="1"/>
    <col min="8467" max="8467" width="10.42578125" style="66" bestFit="1" customWidth="1"/>
    <col min="8468" max="8469" width="12.42578125" style="66" customWidth="1"/>
    <col min="8470" max="8470" width="12.28515625" style="66" customWidth="1"/>
    <col min="8471" max="8472" width="12.5703125" style="66" customWidth="1"/>
    <col min="8473" max="8474" width="9.85546875" style="66" customWidth="1"/>
    <col min="8475" max="8475" width="9.42578125" style="66" customWidth="1"/>
    <col min="8476" max="8476" width="12" style="66" bestFit="1" customWidth="1"/>
    <col min="8477" max="8478" width="12" style="66" customWidth="1"/>
    <col min="8479" max="8479" width="12.7109375" style="66" customWidth="1"/>
    <col min="8480" max="8480" width="14.42578125" style="66" bestFit="1" customWidth="1"/>
    <col min="8481" max="8481" width="14.42578125" style="66" customWidth="1"/>
    <col min="8482" max="8483" width="9.140625" style="66" customWidth="1"/>
    <col min="8484" max="8484" width="9.5703125" style="66" customWidth="1"/>
    <col min="8485" max="8485" width="10.7109375" style="66" bestFit="1" customWidth="1"/>
    <col min="8486" max="8486" width="12.7109375" style="66" bestFit="1" customWidth="1"/>
    <col min="8487" max="8487" width="9.5703125" style="66" customWidth="1"/>
    <col min="8488" max="8488" width="7.28515625" style="66" customWidth="1"/>
    <col min="8489" max="8489" width="7.5703125" style="66" customWidth="1"/>
    <col min="8490" max="8490" width="12.7109375" style="66" bestFit="1" customWidth="1"/>
    <col min="8491" max="8491" width="9" style="66" customWidth="1"/>
    <col min="8492" max="8492" width="9.140625" style="66" customWidth="1"/>
    <col min="8493" max="8719" width="9.140625" style="66"/>
    <col min="8720" max="8720" width="41" style="66" customWidth="1"/>
    <col min="8721" max="8721" width="18" style="66" bestFit="1" customWidth="1"/>
    <col min="8722" max="8722" width="10.140625" style="66" customWidth="1"/>
    <col min="8723" max="8723" width="10.42578125" style="66" bestFit="1" customWidth="1"/>
    <col min="8724" max="8725" width="12.42578125" style="66" customWidth="1"/>
    <col min="8726" max="8726" width="12.28515625" style="66" customWidth="1"/>
    <col min="8727" max="8728" width="12.5703125" style="66" customWidth="1"/>
    <col min="8729" max="8730" width="9.85546875" style="66" customWidth="1"/>
    <col min="8731" max="8731" width="9.42578125" style="66" customWidth="1"/>
    <col min="8732" max="8732" width="12" style="66" bestFit="1" customWidth="1"/>
    <col min="8733" max="8734" width="12" style="66" customWidth="1"/>
    <col min="8735" max="8735" width="12.7109375" style="66" customWidth="1"/>
    <col min="8736" max="8736" width="14.42578125" style="66" bestFit="1" customWidth="1"/>
    <col min="8737" max="8737" width="14.42578125" style="66" customWidth="1"/>
    <col min="8738" max="8739" width="9.140625" style="66" customWidth="1"/>
    <col min="8740" max="8740" width="9.5703125" style="66" customWidth="1"/>
    <col min="8741" max="8741" width="10.7109375" style="66" bestFit="1" customWidth="1"/>
    <col min="8742" max="8742" width="12.7109375" style="66" bestFit="1" customWidth="1"/>
    <col min="8743" max="8743" width="9.5703125" style="66" customWidth="1"/>
    <col min="8744" max="8744" width="7.28515625" style="66" customWidth="1"/>
    <col min="8745" max="8745" width="7.5703125" style="66" customWidth="1"/>
    <col min="8746" max="8746" width="12.7109375" style="66" bestFit="1" customWidth="1"/>
    <col min="8747" max="8747" width="9" style="66" customWidth="1"/>
    <col min="8748" max="8748" width="9.140625" style="66" customWidth="1"/>
    <col min="8749" max="8975" width="9.140625" style="66"/>
    <col min="8976" max="8976" width="41" style="66" customWidth="1"/>
    <col min="8977" max="8977" width="18" style="66" bestFit="1" customWidth="1"/>
    <col min="8978" max="8978" width="10.140625" style="66" customWidth="1"/>
    <col min="8979" max="8979" width="10.42578125" style="66" bestFit="1" customWidth="1"/>
    <col min="8980" max="8981" width="12.42578125" style="66" customWidth="1"/>
    <col min="8982" max="8982" width="12.28515625" style="66" customWidth="1"/>
    <col min="8983" max="8984" width="12.5703125" style="66" customWidth="1"/>
    <col min="8985" max="8986" width="9.85546875" style="66" customWidth="1"/>
    <col min="8987" max="8987" width="9.42578125" style="66" customWidth="1"/>
    <col min="8988" max="8988" width="12" style="66" bestFit="1" customWidth="1"/>
    <col min="8989" max="8990" width="12" style="66" customWidth="1"/>
    <col min="8991" max="8991" width="12.7109375" style="66" customWidth="1"/>
    <col min="8992" max="8992" width="14.42578125" style="66" bestFit="1" customWidth="1"/>
    <col min="8993" max="8993" width="14.42578125" style="66" customWidth="1"/>
    <col min="8994" max="8995" width="9.140625" style="66" customWidth="1"/>
    <col min="8996" max="8996" width="9.5703125" style="66" customWidth="1"/>
    <col min="8997" max="8997" width="10.7109375" style="66" bestFit="1" customWidth="1"/>
    <col min="8998" max="8998" width="12.7109375" style="66" bestFit="1" customWidth="1"/>
    <col min="8999" max="8999" width="9.5703125" style="66" customWidth="1"/>
    <col min="9000" max="9000" width="7.28515625" style="66" customWidth="1"/>
    <col min="9001" max="9001" width="7.5703125" style="66" customWidth="1"/>
    <col min="9002" max="9002" width="12.7109375" style="66" bestFit="1" customWidth="1"/>
    <col min="9003" max="9003" width="9" style="66" customWidth="1"/>
    <col min="9004" max="9004" width="9.140625" style="66" customWidth="1"/>
    <col min="9005" max="9231" width="9.140625" style="66"/>
    <col min="9232" max="9232" width="41" style="66" customWidth="1"/>
    <col min="9233" max="9233" width="18" style="66" bestFit="1" customWidth="1"/>
    <col min="9234" max="9234" width="10.140625" style="66" customWidth="1"/>
    <col min="9235" max="9235" width="10.42578125" style="66" bestFit="1" customWidth="1"/>
    <col min="9236" max="9237" width="12.42578125" style="66" customWidth="1"/>
    <col min="9238" max="9238" width="12.28515625" style="66" customWidth="1"/>
    <col min="9239" max="9240" width="12.5703125" style="66" customWidth="1"/>
    <col min="9241" max="9242" width="9.85546875" style="66" customWidth="1"/>
    <col min="9243" max="9243" width="9.42578125" style="66" customWidth="1"/>
    <col min="9244" max="9244" width="12" style="66" bestFit="1" customWidth="1"/>
    <col min="9245" max="9246" width="12" style="66" customWidth="1"/>
    <col min="9247" max="9247" width="12.7109375" style="66" customWidth="1"/>
    <col min="9248" max="9248" width="14.42578125" style="66" bestFit="1" customWidth="1"/>
    <col min="9249" max="9249" width="14.42578125" style="66" customWidth="1"/>
    <col min="9250" max="9251" width="9.140625" style="66" customWidth="1"/>
    <col min="9252" max="9252" width="9.5703125" style="66" customWidth="1"/>
    <col min="9253" max="9253" width="10.7109375" style="66" bestFit="1" customWidth="1"/>
    <col min="9254" max="9254" width="12.7109375" style="66" bestFit="1" customWidth="1"/>
    <col min="9255" max="9255" width="9.5703125" style="66" customWidth="1"/>
    <col min="9256" max="9256" width="7.28515625" style="66" customWidth="1"/>
    <col min="9257" max="9257" width="7.5703125" style="66" customWidth="1"/>
    <col min="9258" max="9258" width="12.7109375" style="66" bestFit="1" customWidth="1"/>
    <col min="9259" max="9259" width="9" style="66" customWidth="1"/>
    <col min="9260" max="9260" width="9.140625" style="66" customWidth="1"/>
    <col min="9261" max="9487" width="9.140625" style="66"/>
    <col min="9488" max="9488" width="41" style="66" customWidth="1"/>
    <col min="9489" max="9489" width="18" style="66" bestFit="1" customWidth="1"/>
    <col min="9490" max="9490" width="10.140625" style="66" customWidth="1"/>
    <col min="9491" max="9491" width="10.42578125" style="66" bestFit="1" customWidth="1"/>
    <col min="9492" max="9493" width="12.42578125" style="66" customWidth="1"/>
    <col min="9494" max="9494" width="12.28515625" style="66" customWidth="1"/>
    <col min="9495" max="9496" width="12.5703125" style="66" customWidth="1"/>
    <col min="9497" max="9498" width="9.85546875" style="66" customWidth="1"/>
    <col min="9499" max="9499" width="9.42578125" style="66" customWidth="1"/>
    <col min="9500" max="9500" width="12" style="66" bestFit="1" customWidth="1"/>
    <col min="9501" max="9502" width="12" style="66" customWidth="1"/>
    <col min="9503" max="9503" width="12.7109375" style="66" customWidth="1"/>
    <col min="9504" max="9504" width="14.42578125" style="66" bestFit="1" customWidth="1"/>
    <col min="9505" max="9505" width="14.42578125" style="66" customWidth="1"/>
    <col min="9506" max="9507" width="9.140625" style="66" customWidth="1"/>
    <col min="9508" max="9508" width="9.5703125" style="66" customWidth="1"/>
    <col min="9509" max="9509" width="10.7109375" style="66" bestFit="1" customWidth="1"/>
    <col min="9510" max="9510" width="12.7109375" style="66" bestFit="1" customWidth="1"/>
    <col min="9511" max="9511" width="9.5703125" style="66" customWidth="1"/>
    <col min="9512" max="9512" width="7.28515625" style="66" customWidth="1"/>
    <col min="9513" max="9513" width="7.5703125" style="66" customWidth="1"/>
    <col min="9514" max="9514" width="12.7109375" style="66" bestFit="1" customWidth="1"/>
    <col min="9515" max="9515" width="9" style="66" customWidth="1"/>
    <col min="9516" max="9516" width="9.140625" style="66" customWidth="1"/>
    <col min="9517" max="9743" width="9.140625" style="66"/>
    <col min="9744" max="9744" width="41" style="66" customWidth="1"/>
    <col min="9745" max="9745" width="18" style="66" bestFit="1" customWidth="1"/>
    <col min="9746" max="9746" width="10.140625" style="66" customWidth="1"/>
    <col min="9747" max="9747" width="10.42578125" style="66" bestFit="1" customWidth="1"/>
    <col min="9748" max="9749" width="12.42578125" style="66" customWidth="1"/>
    <col min="9750" max="9750" width="12.28515625" style="66" customWidth="1"/>
    <col min="9751" max="9752" width="12.5703125" style="66" customWidth="1"/>
    <col min="9753" max="9754" width="9.85546875" style="66" customWidth="1"/>
    <col min="9755" max="9755" width="9.42578125" style="66" customWidth="1"/>
    <col min="9756" max="9756" width="12" style="66" bestFit="1" customWidth="1"/>
    <col min="9757" max="9758" width="12" style="66" customWidth="1"/>
    <col min="9759" max="9759" width="12.7109375" style="66" customWidth="1"/>
    <col min="9760" max="9760" width="14.42578125" style="66" bestFit="1" customWidth="1"/>
    <col min="9761" max="9761" width="14.42578125" style="66" customWidth="1"/>
    <col min="9762" max="9763" width="9.140625" style="66" customWidth="1"/>
    <col min="9764" max="9764" width="9.5703125" style="66" customWidth="1"/>
    <col min="9765" max="9765" width="10.7109375" style="66" bestFit="1" customWidth="1"/>
    <col min="9766" max="9766" width="12.7109375" style="66" bestFit="1" customWidth="1"/>
    <col min="9767" max="9767" width="9.5703125" style="66" customWidth="1"/>
    <col min="9768" max="9768" width="7.28515625" style="66" customWidth="1"/>
    <col min="9769" max="9769" width="7.5703125" style="66" customWidth="1"/>
    <col min="9770" max="9770" width="12.7109375" style="66" bestFit="1" customWidth="1"/>
    <col min="9771" max="9771" width="9" style="66" customWidth="1"/>
    <col min="9772" max="9772" width="9.140625" style="66" customWidth="1"/>
    <col min="9773" max="9999" width="9.140625" style="66"/>
    <col min="10000" max="10000" width="41" style="66" customWidth="1"/>
    <col min="10001" max="10001" width="18" style="66" bestFit="1" customWidth="1"/>
    <col min="10002" max="10002" width="10.140625" style="66" customWidth="1"/>
    <col min="10003" max="10003" width="10.42578125" style="66" bestFit="1" customWidth="1"/>
    <col min="10004" max="10005" width="12.42578125" style="66" customWidth="1"/>
    <col min="10006" max="10006" width="12.28515625" style="66" customWidth="1"/>
    <col min="10007" max="10008" width="12.5703125" style="66" customWidth="1"/>
    <col min="10009" max="10010" width="9.85546875" style="66" customWidth="1"/>
    <col min="10011" max="10011" width="9.42578125" style="66" customWidth="1"/>
    <col min="10012" max="10012" width="12" style="66" bestFit="1" customWidth="1"/>
    <col min="10013" max="10014" width="12" style="66" customWidth="1"/>
    <col min="10015" max="10015" width="12.7109375" style="66" customWidth="1"/>
    <col min="10016" max="10016" width="14.42578125" style="66" bestFit="1" customWidth="1"/>
    <col min="10017" max="10017" width="14.42578125" style="66" customWidth="1"/>
    <col min="10018" max="10019" width="9.140625" style="66" customWidth="1"/>
    <col min="10020" max="10020" width="9.5703125" style="66" customWidth="1"/>
    <col min="10021" max="10021" width="10.7109375" style="66" bestFit="1" customWidth="1"/>
    <col min="10022" max="10022" width="12.7109375" style="66" bestFit="1" customWidth="1"/>
    <col min="10023" max="10023" width="9.5703125" style="66" customWidth="1"/>
    <col min="10024" max="10024" width="7.28515625" style="66" customWidth="1"/>
    <col min="10025" max="10025" width="7.5703125" style="66" customWidth="1"/>
    <col min="10026" max="10026" width="12.7109375" style="66" bestFit="1" customWidth="1"/>
    <col min="10027" max="10027" width="9" style="66" customWidth="1"/>
    <col min="10028" max="10028" width="9.140625" style="66" customWidth="1"/>
    <col min="10029" max="10255" width="9.140625" style="66"/>
    <col min="10256" max="10256" width="41" style="66" customWidth="1"/>
    <col min="10257" max="10257" width="18" style="66" bestFit="1" customWidth="1"/>
    <col min="10258" max="10258" width="10.140625" style="66" customWidth="1"/>
    <col min="10259" max="10259" width="10.42578125" style="66" bestFit="1" customWidth="1"/>
    <col min="10260" max="10261" width="12.42578125" style="66" customWidth="1"/>
    <col min="10262" max="10262" width="12.28515625" style="66" customWidth="1"/>
    <col min="10263" max="10264" width="12.5703125" style="66" customWidth="1"/>
    <col min="10265" max="10266" width="9.85546875" style="66" customWidth="1"/>
    <col min="10267" max="10267" width="9.42578125" style="66" customWidth="1"/>
    <col min="10268" max="10268" width="12" style="66" bestFit="1" customWidth="1"/>
    <col min="10269" max="10270" width="12" style="66" customWidth="1"/>
    <col min="10271" max="10271" width="12.7109375" style="66" customWidth="1"/>
    <col min="10272" max="10272" width="14.42578125" style="66" bestFit="1" customWidth="1"/>
    <col min="10273" max="10273" width="14.42578125" style="66" customWidth="1"/>
    <col min="10274" max="10275" width="9.140625" style="66" customWidth="1"/>
    <col min="10276" max="10276" width="9.5703125" style="66" customWidth="1"/>
    <col min="10277" max="10277" width="10.7109375" style="66" bestFit="1" customWidth="1"/>
    <col min="10278" max="10278" width="12.7109375" style="66" bestFit="1" customWidth="1"/>
    <col min="10279" max="10279" width="9.5703125" style="66" customWidth="1"/>
    <col min="10280" max="10280" width="7.28515625" style="66" customWidth="1"/>
    <col min="10281" max="10281" width="7.5703125" style="66" customWidth="1"/>
    <col min="10282" max="10282" width="12.7109375" style="66" bestFit="1" customWidth="1"/>
    <col min="10283" max="10283" width="9" style="66" customWidth="1"/>
    <col min="10284" max="10284" width="9.140625" style="66" customWidth="1"/>
    <col min="10285" max="10511" width="9.140625" style="66"/>
    <col min="10512" max="10512" width="41" style="66" customWidth="1"/>
    <col min="10513" max="10513" width="18" style="66" bestFit="1" customWidth="1"/>
    <col min="10514" max="10514" width="10.140625" style="66" customWidth="1"/>
    <col min="10515" max="10515" width="10.42578125" style="66" bestFit="1" customWidth="1"/>
    <col min="10516" max="10517" width="12.42578125" style="66" customWidth="1"/>
    <col min="10518" max="10518" width="12.28515625" style="66" customWidth="1"/>
    <col min="10519" max="10520" width="12.5703125" style="66" customWidth="1"/>
    <col min="10521" max="10522" width="9.85546875" style="66" customWidth="1"/>
    <col min="10523" max="10523" width="9.42578125" style="66" customWidth="1"/>
    <col min="10524" max="10524" width="12" style="66" bestFit="1" customWidth="1"/>
    <col min="10525" max="10526" width="12" style="66" customWidth="1"/>
    <col min="10527" max="10527" width="12.7109375" style="66" customWidth="1"/>
    <col min="10528" max="10528" width="14.42578125" style="66" bestFit="1" customWidth="1"/>
    <col min="10529" max="10529" width="14.42578125" style="66" customWidth="1"/>
    <col min="10530" max="10531" width="9.140625" style="66" customWidth="1"/>
    <col min="10532" max="10532" width="9.5703125" style="66" customWidth="1"/>
    <col min="10533" max="10533" width="10.7109375" style="66" bestFit="1" customWidth="1"/>
    <col min="10534" max="10534" width="12.7109375" style="66" bestFit="1" customWidth="1"/>
    <col min="10535" max="10535" width="9.5703125" style="66" customWidth="1"/>
    <col min="10536" max="10536" width="7.28515625" style="66" customWidth="1"/>
    <col min="10537" max="10537" width="7.5703125" style="66" customWidth="1"/>
    <col min="10538" max="10538" width="12.7109375" style="66" bestFit="1" customWidth="1"/>
    <col min="10539" max="10539" width="9" style="66" customWidth="1"/>
    <col min="10540" max="10540" width="9.140625" style="66" customWidth="1"/>
    <col min="10541" max="10767" width="9.140625" style="66"/>
    <col min="10768" max="10768" width="41" style="66" customWidth="1"/>
    <col min="10769" max="10769" width="18" style="66" bestFit="1" customWidth="1"/>
    <col min="10770" max="10770" width="10.140625" style="66" customWidth="1"/>
    <col min="10771" max="10771" width="10.42578125" style="66" bestFit="1" customWidth="1"/>
    <col min="10772" max="10773" width="12.42578125" style="66" customWidth="1"/>
    <col min="10774" max="10774" width="12.28515625" style="66" customWidth="1"/>
    <col min="10775" max="10776" width="12.5703125" style="66" customWidth="1"/>
    <col min="10777" max="10778" width="9.85546875" style="66" customWidth="1"/>
    <col min="10779" max="10779" width="9.42578125" style="66" customWidth="1"/>
    <col min="10780" max="10780" width="12" style="66" bestFit="1" customWidth="1"/>
    <col min="10781" max="10782" width="12" style="66" customWidth="1"/>
    <col min="10783" max="10783" width="12.7109375" style="66" customWidth="1"/>
    <col min="10784" max="10784" width="14.42578125" style="66" bestFit="1" customWidth="1"/>
    <col min="10785" max="10785" width="14.42578125" style="66" customWidth="1"/>
    <col min="10786" max="10787" width="9.140625" style="66" customWidth="1"/>
    <col min="10788" max="10788" width="9.5703125" style="66" customWidth="1"/>
    <col min="10789" max="10789" width="10.7109375" style="66" bestFit="1" customWidth="1"/>
    <col min="10790" max="10790" width="12.7109375" style="66" bestFit="1" customWidth="1"/>
    <col min="10791" max="10791" width="9.5703125" style="66" customWidth="1"/>
    <col min="10792" max="10792" width="7.28515625" style="66" customWidth="1"/>
    <col min="10793" max="10793" width="7.5703125" style="66" customWidth="1"/>
    <col min="10794" max="10794" width="12.7109375" style="66" bestFit="1" customWidth="1"/>
    <col min="10795" max="10795" width="9" style="66" customWidth="1"/>
    <col min="10796" max="10796" width="9.140625" style="66" customWidth="1"/>
    <col min="10797" max="11023" width="9.140625" style="66"/>
    <col min="11024" max="11024" width="41" style="66" customWidth="1"/>
    <col min="11025" max="11025" width="18" style="66" bestFit="1" customWidth="1"/>
    <col min="11026" max="11026" width="10.140625" style="66" customWidth="1"/>
    <col min="11027" max="11027" width="10.42578125" style="66" bestFit="1" customWidth="1"/>
    <col min="11028" max="11029" width="12.42578125" style="66" customWidth="1"/>
    <col min="11030" max="11030" width="12.28515625" style="66" customWidth="1"/>
    <col min="11031" max="11032" width="12.5703125" style="66" customWidth="1"/>
    <col min="11033" max="11034" width="9.85546875" style="66" customWidth="1"/>
    <col min="11035" max="11035" width="9.42578125" style="66" customWidth="1"/>
    <col min="11036" max="11036" width="12" style="66" bestFit="1" customWidth="1"/>
    <col min="11037" max="11038" width="12" style="66" customWidth="1"/>
    <col min="11039" max="11039" width="12.7109375" style="66" customWidth="1"/>
    <col min="11040" max="11040" width="14.42578125" style="66" bestFit="1" customWidth="1"/>
    <col min="11041" max="11041" width="14.42578125" style="66" customWidth="1"/>
    <col min="11042" max="11043" width="9.140625" style="66" customWidth="1"/>
    <col min="11044" max="11044" width="9.5703125" style="66" customWidth="1"/>
    <col min="11045" max="11045" width="10.7109375" style="66" bestFit="1" customWidth="1"/>
    <col min="11046" max="11046" width="12.7109375" style="66" bestFit="1" customWidth="1"/>
    <col min="11047" max="11047" width="9.5703125" style="66" customWidth="1"/>
    <col min="11048" max="11048" width="7.28515625" style="66" customWidth="1"/>
    <col min="11049" max="11049" width="7.5703125" style="66" customWidth="1"/>
    <col min="11050" max="11050" width="12.7109375" style="66" bestFit="1" customWidth="1"/>
    <col min="11051" max="11051" width="9" style="66" customWidth="1"/>
    <col min="11052" max="11052" width="9.140625" style="66" customWidth="1"/>
    <col min="11053" max="11279" width="9.140625" style="66"/>
    <col min="11280" max="11280" width="41" style="66" customWidth="1"/>
    <col min="11281" max="11281" width="18" style="66" bestFit="1" customWidth="1"/>
    <col min="11282" max="11282" width="10.140625" style="66" customWidth="1"/>
    <col min="11283" max="11283" width="10.42578125" style="66" bestFit="1" customWidth="1"/>
    <col min="11284" max="11285" width="12.42578125" style="66" customWidth="1"/>
    <col min="11286" max="11286" width="12.28515625" style="66" customWidth="1"/>
    <col min="11287" max="11288" width="12.5703125" style="66" customWidth="1"/>
    <col min="11289" max="11290" width="9.85546875" style="66" customWidth="1"/>
    <col min="11291" max="11291" width="9.42578125" style="66" customWidth="1"/>
    <col min="11292" max="11292" width="12" style="66" bestFit="1" customWidth="1"/>
    <col min="11293" max="11294" width="12" style="66" customWidth="1"/>
    <col min="11295" max="11295" width="12.7109375" style="66" customWidth="1"/>
    <col min="11296" max="11296" width="14.42578125" style="66" bestFit="1" customWidth="1"/>
    <col min="11297" max="11297" width="14.42578125" style="66" customWidth="1"/>
    <col min="11298" max="11299" width="9.140625" style="66" customWidth="1"/>
    <col min="11300" max="11300" width="9.5703125" style="66" customWidth="1"/>
    <col min="11301" max="11301" width="10.7109375" style="66" bestFit="1" customWidth="1"/>
    <col min="11302" max="11302" width="12.7109375" style="66" bestFit="1" customWidth="1"/>
    <col min="11303" max="11303" width="9.5703125" style="66" customWidth="1"/>
    <col min="11304" max="11304" width="7.28515625" style="66" customWidth="1"/>
    <col min="11305" max="11305" width="7.5703125" style="66" customWidth="1"/>
    <col min="11306" max="11306" width="12.7109375" style="66" bestFit="1" customWidth="1"/>
    <col min="11307" max="11307" width="9" style="66" customWidth="1"/>
    <col min="11308" max="11308" width="9.140625" style="66" customWidth="1"/>
    <col min="11309" max="11535" width="9.140625" style="66"/>
    <col min="11536" max="11536" width="41" style="66" customWidth="1"/>
    <col min="11537" max="11537" width="18" style="66" bestFit="1" customWidth="1"/>
    <col min="11538" max="11538" width="10.140625" style="66" customWidth="1"/>
    <col min="11539" max="11539" width="10.42578125" style="66" bestFit="1" customWidth="1"/>
    <col min="11540" max="11541" width="12.42578125" style="66" customWidth="1"/>
    <col min="11542" max="11542" width="12.28515625" style="66" customWidth="1"/>
    <col min="11543" max="11544" width="12.5703125" style="66" customWidth="1"/>
    <col min="11545" max="11546" width="9.85546875" style="66" customWidth="1"/>
    <col min="11547" max="11547" width="9.42578125" style="66" customWidth="1"/>
    <col min="11548" max="11548" width="12" style="66" bestFit="1" customWidth="1"/>
    <col min="11549" max="11550" width="12" style="66" customWidth="1"/>
    <col min="11551" max="11551" width="12.7109375" style="66" customWidth="1"/>
    <col min="11552" max="11552" width="14.42578125" style="66" bestFit="1" customWidth="1"/>
    <col min="11553" max="11553" width="14.42578125" style="66" customWidth="1"/>
    <col min="11554" max="11555" width="9.140625" style="66" customWidth="1"/>
    <col min="11556" max="11556" width="9.5703125" style="66" customWidth="1"/>
    <col min="11557" max="11557" width="10.7109375" style="66" bestFit="1" customWidth="1"/>
    <col min="11558" max="11558" width="12.7109375" style="66" bestFit="1" customWidth="1"/>
    <col min="11559" max="11559" width="9.5703125" style="66" customWidth="1"/>
    <col min="11560" max="11560" width="7.28515625" style="66" customWidth="1"/>
    <col min="11561" max="11561" width="7.5703125" style="66" customWidth="1"/>
    <col min="11562" max="11562" width="12.7109375" style="66" bestFit="1" customWidth="1"/>
    <col min="11563" max="11563" width="9" style="66" customWidth="1"/>
    <col min="11564" max="11564" width="9.140625" style="66" customWidth="1"/>
    <col min="11565" max="11791" width="9.140625" style="66"/>
    <col min="11792" max="11792" width="41" style="66" customWidth="1"/>
    <col min="11793" max="11793" width="18" style="66" bestFit="1" customWidth="1"/>
    <col min="11794" max="11794" width="10.140625" style="66" customWidth="1"/>
    <col min="11795" max="11795" width="10.42578125" style="66" bestFit="1" customWidth="1"/>
    <col min="11796" max="11797" width="12.42578125" style="66" customWidth="1"/>
    <col min="11798" max="11798" width="12.28515625" style="66" customWidth="1"/>
    <col min="11799" max="11800" width="12.5703125" style="66" customWidth="1"/>
    <col min="11801" max="11802" width="9.85546875" style="66" customWidth="1"/>
    <col min="11803" max="11803" width="9.42578125" style="66" customWidth="1"/>
    <col min="11804" max="11804" width="12" style="66" bestFit="1" customWidth="1"/>
    <col min="11805" max="11806" width="12" style="66" customWidth="1"/>
    <col min="11807" max="11807" width="12.7109375" style="66" customWidth="1"/>
    <col min="11808" max="11808" width="14.42578125" style="66" bestFit="1" customWidth="1"/>
    <col min="11809" max="11809" width="14.42578125" style="66" customWidth="1"/>
    <col min="11810" max="11811" width="9.140625" style="66" customWidth="1"/>
    <col min="11812" max="11812" width="9.5703125" style="66" customWidth="1"/>
    <col min="11813" max="11813" width="10.7109375" style="66" bestFit="1" customWidth="1"/>
    <col min="11814" max="11814" width="12.7109375" style="66" bestFit="1" customWidth="1"/>
    <col min="11815" max="11815" width="9.5703125" style="66" customWidth="1"/>
    <col min="11816" max="11816" width="7.28515625" style="66" customWidth="1"/>
    <col min="11817" max="11817" width="7.5703125" style="66" customWidth="1"/>
    <col min="11818" max="11818" width="12.7109375" style="66" bestFit="1" customWidth="1"/>
    <col min="11819" max="11819" width="9" style="66" customWidth="1"/>
    <col min="11820" max="11820" width="9.140625" style="66" customWidth="1"/>
    <col min="11821" max="12047" width="9.140625" style="66"/>
    <col min="12048" max="12048" width="41" style="66" customWidth="1"/>
    <col min="12049" max="12049" width="18" style="66" bestFit="1" customWidth="1"/>
    <col min="12050" max="12050" width="10.140625" style="66" customWidth="1"/>
    <col min="12051" max="12051" width="10.42578125" style="66" bestFit="1" customWidth="1"/>
    <col min="12052" max="12053" width="12.42578125" style="66" customWidth="1"/>
    <col min="12054" max="12054" width="12.28515625" style="66" customWidth="1"/>
    <col min="12055" max="12056" width="12.5703125" style="66" customWidth="1"/>
    <col min="12057" max="12058" width="9.85546875" style="66" customWidth="1"/>
    <col min="12059" max="12059" width="9.42578125" style="66" customWidth="1"/>
    <col min="12060" max="12060" width="12" style="66" bestFit="1" customWidth="1"/>
    <col min="12061" max="12062" width="12" style="66" customWidth="1"/>
    <col min="12063" max="12063" width="12.7109375" style="66" customWidth="1"/>
    <col min="12064" max="12064" width="14.42578125" style="66" bestFit="1" customWidth="1"/>
    <col min="12065" max="12065" width="14.42578125" style="66" customWidth="1"/>
    <col min="12066" max="12067" width="9.140625" style="66" customWidth="1"/>
    <col min="12068" max="12068" width="9.5703125" style="66" customWidth="1"/>
    <col min="12069" max="12069" width="10.7109375" style="66" bestFit="1" customWidth="1"/>
    <col min="12070" max="12070" width="12.7109375" style="66" bestFit="1" customWidth="1"/>
    <col min="12071" max="12071" width="9.5703125" style="66" customWidth="1"/>
    <col min="12072" max="12072" width="7.28515625" style="66" customWidth="1"/>
    <col min="12073" max="12073" width="7.5703125" style="66" customWidth="1"/>
    <col min="12074" max="12074" width="12.7109375" style="66" bestFit="1" customWidth="1"/>
    <col min="12075" max="12075" width="9" style="66" customWidth="1"/>
    <col min="12076" max="12076" width="9.140625" style="66" customWidth="1"/>
    <col min="12077" max="12303" width="9.140625" style="66"/>
    <col min="12304" max="12304" width="41" style="66" customWidth="1"/>
    <col min="12305" max="12305" width="18" style="66" bestFit="1" customWidth="1"/>
    <col min="12306" max="12306" width="10.140625" style="66" customWidth="1"/>
    <col min="12307" max="12307" width="10.42578125" style="66" bestFit="1" customWidth="1"/>
    <col min="12308" max="12309" width="12.42578125" style="66" customWidth="1"/>
    <col min="12310" max="12310" width="12.28515625" style="66" customWidth="1"/>
    <col min="12311" max="12312" width="12.5703125" style="66" customWidth="1"/>
    <col min="12313" max="12314" width="9.85546875" style="66" customWidth="1"/>
    <col min="12315" max="12315" width="9.42578125" style="66" customWidth="1"/>
    <col min="12316" max="12316" width="12" style="66" bestFit="1" customWidth="1"/>
    <col min="12317" max="12318" width="12" style="66" customWidth="1"/>
    <col min="12319" max="12319" width="12.7109375" style="66" customWidth="1"/>
    <col min="12320" max="12320" width="14.42578125" style="66" bestFit="1" customWidth="1"/>
    <col min="12321" max="12321" width="14.42578125" style="66" customWidth="1"/>
    <col min="12322" max="12323" width="9.140625" style="66" customWidth="1"/>
    <col min="12324" max="12324" width="9.5703125" style="66" customWidth="1"/>
    <col min="12325" max="12325" width="10.7109375" style="66" bestFit="1" customWidth="1"/>
    <col min="12326" max="12326" width="12.7109375" style="66" bestFit="1" customWidth="1"/>
    <col min="12327" max="12327" width="9.5703125" style="66" customWidth="1"/>
    <col min="12328" max="12328" width="7.28515625" style="66" customWidth="1"/>
    <col min="12329" max="12329" width="7.5703125" style="66" customWidth="1"/>
    <col min="12330" max="12330" width="12.7109375" style="66" bestFit="1" customWidth="1"/>
    <col min="12331" max="12331" width="9" style="66" customWidth="1"/>
    <col min="12332" max="12332" width="9.140625" style="66" customWidth="1"/>
    <col min="12333" max="12559" width="9.140625" style="66"/>
    <col min="12560" max="12560" width="41" style="66" customWidth="1"/>
    <col min="12561" max="12561" width="18" style="66" bestFit="1" customWidth="1"/>
    <col min="12562" max="12562" width="10.140625" style="66" customWidth="1"/>
    <col min="12563" max="12563" width="10.42578125" style="66" bestFit="1" customWidth="1"/>
    <col min="12564" max="12565" width="12.42578125" style="66" customWidth="1"/>
    <col min="12566" max="12566" width="12.28515625" style="66" customWidth="1"/>
    <col min="12567" max="12568" width="12.5703125" style="66" customWidth="1"/>
    <col min="12569" max="12570" width="9.85546875" style="66" customWidth="1"/>
    <col min="12571" max="12571" width="9.42578125" style="66" customWidth="1"/>
    <col min="12572" max="12572" width="12" style="66" bestFit="1" customWidth="1"/>
    <col min="12573" max="12574" width="12" style="66" customWidth="1"/>
    <col min="12575" max="12575" width="12.7109375" style="66" customWidth="1"/>
    <col min="12576" max="12576" width="14.42578125" style="66" bestFit="1" customWidth="1"/>
    <col min="12577" max="12577" width="14.42578125" style="66" customWidth="1"/>
    <col min="12578" max="12579" width="9.140625" style="66" customWidth="1"/>
    <col min="12580" max="12580" width="9.5703125" style="66" customWidth="1"/>
    <col min="12581" max="12581" width="10.7109375" style="66" bestFit="1" customWidth="1"/>
    <col min="12582" max="12582" width="12.7109375" style="66" bestFit="1" customWidth="1"/>
    <col min="12583" max="12583" width="9.5703125" style="66" customWidth="1"/>
    <col min="12584" max="12584" width="7.28515625" style="66" customWidth="1"/>
    <col min="12585" max="12585" width="7.5703125" style="66" customWidth="1"/>
    <col min="12586" max="12586" width="12.7109375" style="66" bestFit="1" customWidth="1"/>
    <col min="12587" max="12587" width="9" style="66" customWidth="1"/>
    <col min="12588" max="12588" width="9.140625" style="66" customWidth="1"/>
    <col min="12589" max="12815" width="9.140625" style="66"/>
    <col min="12816" max="12816" width="41" style="66" customWidth="1"/>
    <col min="12817" max="12817" width="18" style="66" bestFit="1" customWidth="1"/>
    <col min="12818" max="12818" width="10.140625" style="66" customWidth="1"/>
    <col min="12819" max="12819" width="10.42578125" style="66" bestFit="1" customWidth="1"/>
    <col min="12820" max="12821" width="12.42578125" style="66" customWidth="1"/>
    <col min="12822" max="12822" width="12.28515625" style="66" customWidth="1"/>
    <col min="12823" max="12824" width="12.5703125" style="66" customWidth="1"/>
    <col min="12825" max="12826" width="9.85546875" style="66" customWidth="1"/>
    <col min="12827" max="12827" width="9.42578125" style="66" customWidth="1"/>
    <col min="12828" max="12828" width="12" style="66" bestFit="1" customWidth="1"/>
    <col min="12829" max="12830" width="12" style="66" customWidth="1"/>
    <col min="12831" max="12831" width="12.7109375" style="66" customWidth="1"/>
    <col min="12832" max="12832" width="14.42578125" style="66" bestFit="1" customWidth="1"/>
    <col min="12833" max="12833" width="14.42578125" style="66" customWidth="1"/>
    <col min="12834" max="12835" width="9.140625" style="66" customWidth="1"/>
    <col min="12836" max="12836" width="9.5703125" style="66" customWidth="1"/>
    <col min="12837" max="12837" width="10.7109375" style="66" bestFit="1" customWidth="1"/>
    <col min="12838" max="12838" width="12.7109375" style="66" bestFit="1" customWidth="1"/>
    <col min="12839" max="12839" width="9.5703125" style="66" customWidth="1"/>
    <col min="12840" max="12840" width="7.28515625" style="66" customWidth="1"/>
    <col min="12841" max="12841" width="7.5703125" style="66" customWidth="1"/>
    <col min="12842" max="12842" width="12.7109375" style="66" bestFit="1" customWidth="1"/>
    <col min="12843" max="12843" width="9" style="66" customWidth="1"/>
    <col min="12844" max="12844" width="9.140625" style="66" customWidth="1"/>
    <col min="12845" max="13071" width="9.140625" style="66"/>
    <col min="13072" max="13072" width="41" style="66" customWidth="1"/>
    <col min="13073" max="13073" width="18" style="66" bestFit="1" customWidth="1"/>
    <col min="13074" max="13074" width="10.140625" style="66" customWidth="1"/>
    <col min="13075" max="13075" width="10.42578125" style="66" bestFit="1" customWidth="1"/>
    <col min="13076" max="13077" width="12.42578125" style="66" customWidth="1"/>
    <col min="13078" max="13078" width="12.28515625" style="66" customWidth="1"/>
    <col min="13079" max="13080" width="12.5703125" style="66" customWidth="1"/>
    <col min="13081" max="13082" width="9.85546875" style="66" customWidth="1"/>
    <col min="13083" max="13083" width="9.42578125" style="66" customWidth="1"/>
    <col min="13084" max="13084" width="12" style="66" bestFit="1" customWidth="1"/>
    <col min="13085" max="13086" width="12" style="66" customWidth="1"/>
    <col min="13087" max="13087" width="12.7109375" style="66" customWidth="1"/>
    <col min="13088" max="13088" width="14.42578125" style="66" bestFit="1" customWidth="1"/>
    <col min="13089" max="13089" width="14.42578125" style="66" customWidth="1"/>
    <col min="13090" max="13091" width="9.140625" style="66" customWidth="1"/>
    <col min="13092" max="13092" width="9.5703125" style="66" customWidth="1"/>
    <col min="13093" max="13093" width="10.7109375" style="66" bestFit="1" customWidth="1"/>
    <col min="13094" max="13094" width="12.7109375" style="66" bestFit="1" customWidth="1"/>
    <col min="13095" max="13095" width="9.5703125" style="66" customWidth="1"/>
    <col min="13096" max="13096" width="7.28515625" style="66" customWidth="1"/>
    <col min="13097" max="13097" width="7.5703125" style="66" customWidth="1"/>
    <col min="13098" max="13098" width="12.7109375" style="66" bestFit="1" customWidth="1"/>
    <col min="13099" max="13099" width="9" style="66" customWidth="1"/>
    <col min="13100" max="13100" width="9.140625" style="66" customWidth="1"/>
    <col min="13101" max="13327" width="9.140625" style="66"/>
    <col min="13328" max="13328" width="41" style="66" customWidth="1"/>
    <col min="13329" max="13329" width="18" style="66" bestFit="1" customWidth="1"/>
    <col min="13330" max="13330" width="10.140625" style="66" customWidth="1"/>
    <col min="13331" max="13331" width="10.42578125" style="66" bestFit="1" customWidth="1"/>
    <col min="13332" max="13333" width="12.42578125" style="66" customWidth="1"/>
    <col min="13334" max="13334" width="12.28515625" style="66" customWidth="1"/>
    <col min="13335" max="13336" width="12.5703125" style="66" customWidth="1"/>
    <col min="13337" max="13338" width="9.85546875" style="66" customWidth="1"/>
    <col min="13339" max="13339" width="9.42578125" style="66" customWidth="1"/>
    <col min="13340" max="13340" width="12" style="66" bestFit="1" customWidth="1"/>
    <col min="13341" max="13342" width="12" style="66" customWidth="1"/>
    <col min="13343" max="13343" width="12.7109375" style="66" customWidth="1"/>
    <col min="13344" max="13344" width="14.42578125" style="66" bestFit="1" customWidth="1"/>
    <col min="13345" max="13345" width="14.42578125" style="66" customWidth="1"/>
    <col min="13346" max="13347" width="9.140625" style="66" customWidth="1"/>
    <col min="13348" max="13348" width="9.5703125" style="66" customWidth="1"/>
    <col min="13349" max="13349" width="10.7109375" style="66" bestFit="1" customWidth="1"/>
    <col min="13350" max="13350" width="12.7109375" style="66" bestFit="1" customWidth="1"/>
    <col min="13351" max="13351" width="9.5703125" style="66" customWidth="1"/>
    <col min="13352" max="13352" width="7.28515625" style="66" customWidth="1"/>
    <col min="13353" max="13353" width="7.5703125" style="66" customWidth="1"/>
    <col min="13354" max="13354" width="12.7109375" style="66" bestFit="1" customWidth="1"/>
    <col min="13355" max="13355" width="9" style="66" customWidth="1"/>
    <col min="13356" max="13356" width="9.140625" style="66" customWidth="1"/>
    <col min="13357" max="13583" width="9.140625" style="66"/>
    <col min="13584" max="13584" width="41" style="66" customWidth="1"/>
    <col min="13585" max="13585" width="18" style="66" bestFit="1" customWidth="1"/>
    <col min="13586" max="13586" width="10.140625" style="66" customWidth="1"/>
    <col min="13587" max="13587" width="10.42578125" style="66" bestFit="1" customWidth="1"/>
    <col min="13588" max="13589" width="12.42578125" style="66" customWidth="1"/>
    <col min="13590" max="13590" width="12.28515625" style="66" customWidth="1"/>
    <col min="13591" max="13592" width="12.5703125" style="66" customWidth="1"/>
    <col min="13593" max="13594" width="9.85546875" style="66" customWidth="1"/>
    <col min="13595" max="13595" width="9.42578125" style="66" customWidth="1"/>
    <col min="13596" max="13596" width="12" style="66" bestFit="1" customWidth="1"/>
    <col min="13597" max="13598" width="12" style="66" customWidth="1"/>
    <col min="13599" max="13599" width="12.7109375" style="66" customWidth="1"/>
    <col min="13600" max="13600" width="14.42578125" style="66" bestFit="1" customWidth="1"/>
    <col min="13601" max="13601" width="14.42578125" style="66" customWidth="1"/>
    <col min="13602" max="13603" width="9.140625" style="66" customWidth="1"/>
    <col min="13604" max="13604" width="9.5703125" style="66" customWidth="1"/>
    <col min="13605" max="13605" width="10.7109375" style="66" bestFit="1" customWidth="1"/>
    <col min="13606" max="13606" width="12.7109375" style="66" bestFit="1" customWidth="1"/>
    <col min="13607" max="13607" width="9.5703125" style="66" customWidth="1"/>
    <col min="13608" max="13608" width="7.28515625" style="66" customWidth="1"/>
    <col min="13609" max="13609" width="7.5703125" style="66" customWidth="1"/>
    <col min="13610" max="13610" width="12.7109375" style="66" bestFit="1" customWidth="1"/>
    <col min="13611" max="13611" width="9" style="66" customWidth="1"/>
    <col min="13612" max="13612" width="9.140625" style="66" customWidth="1"/>
    <col min="13613" max="13839" width="9.140625" style="66"/>
    <col min="13840" max="13840" width="41" style="66" customWidth="1"/>
    <col min="13841" max="13841" width="18" style="66" bestFit="1" customWidth="1"/>
    <col min="13842" max="13842" width="10.140625" style="66" customWidth="1"/>
    <col min="13843" max="13843" width="10.42578125" style="66" bestFit="1" customWidth="1"/>
    <col min="13844" max="13845" width="12.42578125" style="66" customWidth="1"/>
    <col min="13846" max="13846" width="12.28515625" style="66" customWidth="1"/>
    <col min="13847" max="13848" width="12.5703125" style="66" customWidth="1"/>
    <col min="13849" max="13850" width="9.85546875" style="66" customWidth="1"/>
    <col min="13851" max="13851" width="9.42578125" style="66" customWidth="1"/>
    <col min="13852" max="13852" width="12" style="66" bestFit="1" customWidth="1"/>
    <col min="13853" max="13854" width="12" style="66" customWidth="1"/>
    <col min="13855" max="13855" width="12.7109375" style="66" customWidth="1"/>
    <col min="13856" max="13856" width="14.42578125" style="66" bestFit="1" customWidth="1"/>
    <col min="13857" max="13857" width="14.42578125" style="66" customWidth="1"/>
    <col min="13858" max="13859" width="9.140625" style="66" customWidth="1"/>
    <col min="13860" max="13860" width="9.5703125" style="66" customWidth="1"/>
    <col min="13861" max="13861" width="10.7109375" style="66" bestFit="1" customWidth="1"/>
    <col min="13862" max="13862" width="12.7109375" style="66" bestFit="1" customWidth="1"/>
    <col min="13863" max="13863" width="9.5703125" style="66" customWidth="1"/>
    <col min="13864" max="13864" width="7.28515625" style="66" customWidth="1"/>
    <col min="13865" max="13865" width="7.5703125" style="66" customWidth="1"/>
    <col min="13866" max="13866" width="12.7109375" style="66" bestFit="1" customWidth="1"/>
    <col min="13867" max="13867" width="9" style="66" customWidth="1"/>
    <col min="13868" max="13868" width="9.140625" style="66" customWidth="1"/>
    <col min="13869" max="14095" width="9.140625" style="66"/>
    <col min="14096" max="14096" width="41" style="66" customWidth="1"/>
    <col min="14097" max="14097" width="18" style="66" bestFit="1" customWidth="1"/>
    <col min="14098" max="14098" width="10.140625" style="66" customWidth="1"/>
    <col min="14099" max="14099" width="10.42578125" style="66" bestFit="1" customWidth="1"/>
    <col min="14100" max="14101" width="12.42578125" style="66" customWidth="1"/>
    <col min="14102" max="14102" width="12.28515625" style="66" customWidth="1"/>
    <col min="14103" max="14104" width="12.5703125" style="66" customWidth="1"/>
    <col min="14105" max="14106" width="9.85546875" style="66" customWidth="1"/>
    <col min="14107" max="14107" width="9.42578125" style="66" customWidth="1"/>
    <col min="14108" max="14108" width="12" style="66" bestFit="1" customWidth="1"/>
    <col min="14109" max="14110" width="12" style="66" customWidth="1"/>
    <col min="14111" max="14111" width="12.7109375" style="66" customWidth="1"/>
    <col min="14112" max="14112" width="14.42578125" style="66" bestFit="1" customWidth="1"/>
    <col min="14113" max="14113" width="14.42578125" style="66" customWidth="1"/>
    <col min="14114" max="14115" width="9.140625" style="66" customWidth="1"/>
    <col min="14116" max="14116" width="9.5703125" style="66" customWidth="1"/>
    <col min="14117" max="14117" width="10.7109375" style="66" bestFit="1" customWidth="1"/>
    <col min="14118" max="14118" width="12.7109375" style="66" bestFit="1" customWidth="1"/>
    <col min="14119" max="14119" width="9.5703125" style="66" customWidth="1"/>
    <col min="14120" max="14120" width="7.28515625" style="66" customWidth="1"/>
    <col min="14121" max="14121" width="7.5703125" style="66" customWidth="1"/>
    <col min="14122" max="14122" width="12.7109375" style="66" bestFit="1" customWidth="1"/>
    <col min="14123" max="14123" width="9" style="66" customWidth="1"/>
    <col min="14124" max="14124" width="9.140625" style="66" customWidth="1"/>
    <col min="14125" max="14351" width="9.140625" style="66"/>
    <col min="14352" max="14352" width="41" style="66" customWidth="1"/>
    <col min="14353" max="14353" width="18" style="66" bestFit="1" customWidth="1"/>
    <col min="14354" max="14354" width="10.140625" style="66" customWidth="1"/>
    <col min="14355" max="14355" width="10.42578125" style="66" bestFit="1" customWidth="1"/>
    <col min="14356" max="14357" width="12.42578125" style="66" customWidth="1"/>
    <col min="14358" max="14358" width="12.28515625" style="66" customWidth="1"/>
    <col min="14359" max="14360" width="12.5703125" style="66" customWidth="1"/>
    <col min="14361" max="14362" width="9.85546875" style="66" customWidth="1"/>
    <col min="14363" max="14363" width="9.42578125" style="66" customWidth="1"/>
    <col min="14364" max="14364" width="12" style="66" bestFit="1" customWidth="1"/>
    <col min="14365" max="14366" width="12" style="66" customWidth="1"/>
    <col min="14367" max="14367" width="12.7109375" style="66" customWidth="1"/>
    <col min="14368" max="14368" width="14.42578125" style="66" bestFit="1" customWidth="1"/>
    <col min="14369" max="14369" width="14.42578125" style="66" customWidth="1"/>
    <col min="14370" max="14371" width="9.140625" style="66" customWidth="1"/>
    <col min="14372" max="14372" width="9.5703125" style="66" customWidth="1"/>
    <col min="14373" max="14373" width="10.7109375" style="66" bestFit="1" customWidth="1"/>
    <col min="14374" max="14374" width="12.7109375" style="66" bestFit="1" customWidth="1"/>
    <col min="14375" max="14375" width="9.5703125" style="66" customWidth="1"/>
    <col min="14376" max="14376" width="7.28515625" style="66" customWidth="1"/>
    <col min="14377" max="14377" width="7.5703125" style="66" customWidth="1"/>
    <col min="14378" max="14378" width="12.7109375" style="66" bestFit="1" customWidth="1"/>
    <col min="14379" max="14379" width="9" style="66" customWidth="1"/>
    <col min="14380" max="14380" width="9.140625" style="66" customWidth="1"/>
    <col min="14381" max="14607" width="9.140625" style="66"/>
    <col min="14608" max="14608" width="41" style="66" customWidth="1"/>
    <col min="14609" max="14609" width="18" style="66" bestFit="1" customWidth="1"/>
    <col min="14610" max="14610" width="10.140625" style="66" customWidth="1"/>
    <col min="14611" max="14611" width="10.42578125" style="66" bestFit="1" customWidth="1"/>
    <col min="14612" max="14613" width="12.42578125" style="66" customWidth="1"/>
    <col min="14614" max="14614" width="12.28515625" style="66" customWidth="1"/>
    <col min="14615" max="14616" width="12.5703125" style="66" customWidth="1"/>
    <col min="14617" max="14618" width="9.85546875" style="66" customWidth="1"/>
    <col min="14619" max="14619" width="9.42578125" style="66" customWidth="1"/>
    <col min="14620" max="14620" width="12" style="66" bestFit="1" customWidth="1"/>
    <col min="14621" max="14622" width="12" style="66" customWidth="1"/>
    <col min="14623" max="14623" width="12.7109375" style="66" customWidth="1"/>
    <col min="14624" max="14624" width="14.42578125" style="66" bestFit="1" customWidth="1"/>
    <col min="14625" max="14625" width="14.42578125" style="66" customWidth="1"/>
    <col min="14626" max="14627" width="9.140625" style="66" customWidth="1"/>
    <col min="14628" max="14628" width="9.5703125" style="66" customWidth="1"/>
    <col min="14629" max="14629" width="10.7109375" style="66" bestFit="1" customWidth="1"/>
    <col min="14630" max="14630" width="12.7109375" style="66" bestFit="1" customWidth="1"/>
    <col min="14631" max="14631" width="9.5703125" style="66" customWidth="1"/>
    <col min="14632" max="14632" width="7.28515625" style="66" customWidth="1"/>
    <col min="14633" max="14633" width="7.5703125" style="66" customWidth="1"/>
    <col min="14634" max="14634" width="12.7109375" style="66" bestFit="1" customWidth="1"/>
    <col min="14635" max="14635" width="9" style="66" customWidth="1"/>
    <col min="14636" max="14636" width="9.140625" style="66" customWidth="1"/>
    <col min="14637" max="14863" width="9.140625" style="66"/>
    <col min="14864" max="14864" width="41" style="66" customWidth="1"/>
    <col min="14865" max="14865" width="18" style="66" bestFit="1" customWidth="1"/>
    <col min="14866" max="14866" width="10.140625" style="66" customWidth="1"/>
    <col min="14867" max="14867" width="10.42578125" style="66" bestFit="1" customWidth="1"/>
    <col min="14868" max="14869" width="12.42578125" style="66" customWidth="1"/>
    <col min="14870" max="14870" width="12.28515625" style="66" customWidth="1"/>
    <col min="14871" max="14872" width="12.5703125" style="66" customWidth="1"/>
    <col min="14873" max="14874" width="9.85546875" style="66" customWidth="1"/>
    <col min="14875" max="14875" width="9.42578125" style="66" customWidth="1"/>
    <col min="14876" max="14876" width="12" style="66" bestFit="1" customWidth="1"/>
    <col min="14877" max="14878" width="12" style="66" customWidth="1"/>
    <col min="14879" max="14879" width="12.7109375" style="66" customWidth="1"/>
    <col min="14880" max="14880" width="14.42578125" style="66" bestFit="1" customWidth="1"/>
    <col min="14881" max="14881" width="14.42578125" style="66" customWidth="1"/>
    <col min="14882" max="14883" width="9.140625" style="66" customWidth="1"/>
    <col min="14884" max="14884" width="9.5703125" style="66" customWidth="1"/>
    <col min="14885" max="14885" width="10.7109375" style="66" bestFit="1" customWidth="1"/>
    <col min="14886" max="14886" width="12.7109375" style="66" bestFit="1" customWidth="1"/>
    <col min="14887" max="14887" width="9.5703125" style="66" customWidth="1"/>
    <col min="14888" max="14888" width="7.28515625" style="66" customWidth="1"/>
    <col min="14889" max="14889" width="7.5703125" style="66" customWidth="1"/>
    <col min="14890" max="14890" width="12.7109375" style="66" bestFit="1" customWidth="1"/>
    <col min="14891" max="14891" width="9" style="66" customWidth="1"/>
    <col min="14892" max="14892" width="9.140625" style="66" customWidth="1"/>
    <col min="14893" max="15119" width="9.140625" style="66"/>
    <col min="15120" max="15120" width="41" style="66" customWidth="1"/>
    <col min="15121" max="15121" width="18" style="66" bestFit="1" customWidth="1"/>
    <col min="15122" max="15122" width="10.140625" style="66" customWidth="1"/>
    <col min="15123" max="15123" width="10.42578125" style="66" bestFit="1" customWidth="1"/>
    <col min="15124" max="15125" width="12.42578125" style="66" customWidth="1"/>
    <col min="15126" max="15126" width="12.28515625" style="66" customWidth="1"/>
    <col min="15127" max="15128" width="12.5703125" style="66" customWidth="1"/>
    <col min="15129" max="15130" width="9.85546875" style="66" customWidth="1"/>
    <col min="15131" max="15131" width="9.42578125" style="66" customWidth="1"/>
    <col min="15132" max="15132" width="12" style="66" bestFit="1" customWidth="1"/>
    <col min="15133" max="15134" width="12" style="66" customWidth="1"/>
    <col min="15135" max="15135" width="12.7109375" style="66" customWidth="1"/>
    <col min="15136" max="15136" width="14.42578125" style="66" bestFit="1" customWidth="1"/>
    <col min="15137" max="15137" width="14.42578125" style="66" customWidth="1"/>
    <col min="15138" max="15139" width="9.140625" style="66" customWidth="1"/>
    <col min="15140" max="15140" width="9.5703125" style="66" customWidth="1"/>
    <col min="15141" max="15141" width="10.7109375" style="66" bestFit="1" customWidth="1"/>
    <col min="15142" max="15142" width="12.7109375" style="66" bestFit="1" customWidth="1"/>
    <col min="15143" max="15143" width="9.5703125" style="66" customWidth="1"/>
    <col min="15144" max="15144" width="7.28515625" style="66" customWidth="1"/>
    <col min="15145" max="15145" width="7.5703125" style="66" customWidth="1"/>
    <col min="15146" max="15146" width="12.7109375" style="66" bestFit="1" customWidth="1"/>
    <col min="15147" max="15147" width="9" style="66" customWidth="1"/>
    <col min="15148" max="15148" width="9.140625" style="66" customWidth="1"/>
    <col min="15149" max="15375" width="9.140625" style="66"/>
    <col min="15376" max="15376" width="41" style="66" customWidth="1"/>
    <col min="15377" max="15377" width="18" style="66" bestFit="1" customWidth="1"/>
    <col min="15378" max="15378" width="10.140625" style="66" customWidth="1"/>
    <col min="15379" max="15379" width="10.42578125" style="66" bestFit="1" customWidth="1"/>
    <col min="15380" max="15381" width="12.42578125" style="66" customWidth="1"/>
    <col min="15382" max="15382" width="12.28515625" style="66" customWidth="1"/>
    <col min="15383" max="15384" width="12.5703125" style="66" customWidth="1"/>
    <col min="15385" max="15386" width="9.85546875" style="66" customWidth="1"/>
    <col min="15387" max="15387" width="9.42578125" style="66" customWidth="1"/>
    <col min="15388" max="15388" width="12" style="66" bestFit="1" customWidth="1"/>
    <col min="15389" max="15390" width="12" style="66" customWidth="1"/>
    <col min="15391" max="15391" width="12.7109375" style="66" customWidth="1"/>
    <col min="15392" max="15392" width="14.42578125" style="66" bestFit="1" customWidth="1"/>
    <col min="15393" max="15393" width="14.42578125" style="66" customWidth="1"/>
    <col min="15394" max="15395" width="9.140625" style="66" customWidth="1"/>
    <col min="15396" max="15396" width="9.5703125" style="66" customWidth="1"/>
    <col min="15397" max="15397" width="10.7109375" style="66" bestFit="1" customWidth="1"/>
    <col min="15398" max="15398" width="12.7109375" style="66" bestFit="1" customWidth="1"/>
    <col min="15399" max="15399" width="9.5703125" style="66" customWidth="1"/>
    <col min="15400" max="15400" width="7.28515625" style="66" customWidth="1"/>
    <col min="15401" max="15401" width="7.5703125" style="66" customWidth="1"/>
    <col min="15402" max="15402" width="12.7109375" style="66" bestFit="1" customWidth="1"/>
    <col min="15403" max="15403" width="9" style="66" customWidth="1"/>
    <col min="15404" max="15404" width="9.140625" style="66" customWidth="1"/>
    <col min="15405" max="15631" width="9.140625" style="66"/>
    <col min="15632" max="15632" width="41" style="66" customWidth="1"/>
    <col min="15633" max="15633" width="18" style="66" bestFit="1" customWidth="1"/>
    <col min="15634" max="15634" width="10.140625" style="66" customWidth="1"/>
    <col min="15635" max="15635" width="10.42578125" style="66" bestFit="1" customWidth="1"/>
    <col min="15636" max="15637" width="12.42578125" style="66" customWidth="1"/>
    <col min="15638" max="15638" width="12.28515625" style="66" customWidth="1"/>
    <col min="15639" max="15640" width="12.5703125" style="66" customWidth="1"/>
    <col min="15641" max="15642" width="9.85546875" style="66" customWidth="1"/>
    <col min="15643" max="15643" width="9.42578125" style="66" customWidth="1"/>
    <col min="15644" max="15644" width="12" style="66" bestFit="1" customWidth="1"/>
    <col min="15645" max="15646" width="12" style="66" customWidth="1"/>
    <col min="15647" max="15647" width="12.7109375" style="66" customWidth="1"/>
    <col min="15648" max="15648" width="14.42578125" style="66" bestFit="1" customWidth="1"/>
    <col min="15649" max="15649" width="14.42578125" style="66" customWidth="1"/>
    <col min="15650" max="15651" width="9.140625" style="66" customWidth="1"/>
    <col min="15652" max="15652" width="9.5703125" style="66" customWidth="1"/>
    <col min="15653" max="15653" width="10.7109375" style="66" bestFit="1" customWidth="1"/>
    <col min="15654" max="15654" width="12.7109375" style="66" bestFit="1" customWidth="1"/>
    <col min="15655" max="15655" width="9.5703125" style="66" customWidth="1"/>
    <col min="15656" max="15656" width="7.28515625" style="66" customWidth="1"/>
    <col min="15657" max="15657" width="7.5703125" style="66" customWidth="1"/>
    <col min="15658" max="15658" width="12.7109375" style="66" bestFit="1" customWidth="1"/>
    <col min="15659" max="15659" width="9" style="66" customWidth="1"/>
    <col min="15660" max="15660" width="9.140625" style="66" customWidth="1"/>
    <col min="15661" max="15887" width="9.140625" style="66"/>
    <col min="15888" max="15888" width="41" style="66" customWidth="1"/>
    <col min="15889" max="15889" width="18" style="66" bestFit="1" customWidth="1"/>
    <col min="15890" max="15890" width="10.140625" style="66" customWidth="1"/>
    <col min="15891" max="15891" width="10.42578125" style="66" bestFit="1" customWidth="1"/>
    <col min="15892" max="15893" width="12.42578125" style="66" customWidth="1"/>
    <col min="15894" max="15894" width="12.28515625" style="66" customWidth="1"/>
    <col min="15895" max="15896" width="12.5703125" style="66" customWidth="1"/>
    <col min="15897" max="15898" width="9.85546875" style="66" customWidth="1"/>
    <col min="15899" max="15899" width="9.42578125" style="66" customWidth="1"/>
    <col min="15900" max="15900" width="12" style="66" bestFit="1" customWidth="1"/>
    <col min="15901" max="15902" width="12" style="66" customWidth="1"/>
    <col min="15903" max="15903" width="12.7109375" style="66" customWidth="1"/>
    <col min="15904" max="15904" width="14.42578125" style="66" bestFit="1" customWidth="1"/>
    <col min="15905" max="15905" width="14.42578125" style="66" customWidth="1"/>
    <col min="15906" max="15907" width="9.140625" style="66" customWidth="1"/>
    <col min="15908" max="15908" width="9.5703125" style="66" customWidth="1"/>
    <col min="15909" max="15909" width="10.7109375" style="66" bestFit="1" customWidth="1"/>
    <col min="15910" max="15910" width="12.7109375" style="66" bestFit="1" customWidth="1"/>
    <col min="15911" max="15911" width="9.5703125" style="66" customWidth="1"/>
    <col min="15912" max="15912" width="7.28515625" style="66" customWidth="1"/>
    <col min="15913" max="15913" width="7.5703125" style="66" customWidth="1"/>
    <col min="15914" max="15914" width="12.7109375" style="66" bestFit="1" customWidth="1"/>
    <col min="15915" max="15915" width="9" style="66" customWidth="1"/>
    <col min="15916" max="15916" width="9.140625" style="66" customWidth="1"/>
    <col min="15917" max="16143" width="9.140625" style="66"/>
    <col min="16144" max="16144" width="41" style="66" customWidth="1"/>
    <col min="16145" max="16145" width="18" style="66" bestFit="1" customWidth="1"/>
    <col min="16146" max="16146" width="10.140625" style="66" customWidth="1"/>
    <col min="16147" max="16147" width="10.42578125" style="66" bestFit="1" customWidth="1"/>
    <col min="16148" max="16149" width="12.42578125" style="66" customWidth="1"/>
    <col min="16150" max="16150" width="12.28515625" style="66" customWidth="1"/>
    <col min="16151" max="16152" width="12.5703125" style="66" customWidth="1"/>
    <col min="16153" max="16154" width="9.85546875" style="66" customWidth="1"/>
    <col min="16155" max="16155" width="9.42578125" style="66" customWidth="1"/>
    <col min="16156" max="16156" width="12" style="66" bestFit="1" customWidth="1"/>
    <col min="16157" max="16158" width="12" style="66" customWidth="1"/>
    <col min="16159" max="16159" width="12.7109375" style="66" customWidth="1"/>
    <col min="16160" max="16160" width="14.42578125" style="66" bestFit="1" customWidth="1"/>
    <col min="16161" max="16161" width="14.42578125" style="66" customWidth="1"/>
    <col min="16162" max="16163" width="9.140625" style="66" customWidth="1"/>
    <col min="16164" max="16164" width="9.5703125" style="66" customWidth="1"/>
    <col min="16165" max="16165" width="10.7109375" style="66" bestFit="1" customWidth="1"/>
    <col min="16166" max="16166" width="12.7109375" style="66" bestFit="1" customWidth="1"/>
    <col min="16167" max="16167" width="9.5703125" style="66" customWidth="1"/>
    <col min="16168" max="16168" width="7.28515625" style="66" customWidth="1"/>
    <col min="16169" max="16169" width="7.5703125" style="66" customWidth="1"/>
    <col min="16170" max="16170" width="12.7109375" style="66" bestFit="1" customWidth="1"/>
    <col min="16171" max="16171" width="9" style="66" customWidth="1"/>
    <col min="16172" max="16172" width="9.140625" style="66" customWidth="1"/>
    <col min="16173" max="16384" width="9.140625" style="66"/>
  </cols>
  <sheetData>
    <row r="1" spans="1:33" ht="34.5" customHeight="1" x14ac:dyDescent="0.2">
      <c r="A1" s="62" t="s">
        <v>98</v>
      </c>
      <c r="B1" s="156">
        <v>45658</v>
      </c>
      <c r="C1" s="156"/>
      <c r="D1" s="156"/>
      <c r="E1" s="156"/>
      <c r="F1" s="156"/>
      <c r="G1" s="156"/>
      <c r="H1" s="156"/>
      <c r="I1" s="156"/>
      <c r="J1" s="156"/>
      <c r="K1" s="156"/>
      <c r="L1" s="156"/>
      <c r="M1" s="156"/>
      <c r="N1" s="156"/>
      <c r="O1" s="63"/>
      <c r="P1" s="63"/>
      <c r="Q1" s="63"/>
      <c r="R1" s="63"/>
      <c r="S1" s="64"/>
      <c r="T1" s="64"/>
      <c r="U1" s="64"/>
      <c r="V1" s="64"/>
      <c r="W1" s="64"/>
      <c r="X1" s="64"/>
      <c r="Y1" s="64"/>
      <c r="Z1" s="64"/>
      <c r="AA1" s="64"/>
      <c r="AB1" s="65"/>
      <c r="AC1" s="65"/>
      <c r="AD1" s="65"/>
      <c r="AE1" s="65"/>
      <c r="AF1" s="65"/>
      <c r="AG1" s="65"/>
    </row>
    <row r="2" spans="1:33" ht="30" customHeight="1" x14ac:dyDescent="0.2">
      <c r="A2" s="67" t="s">
        <v>228</v>
      </c>
      <c r="B2" s="157"/>
      <c r="C2" s="157"/>
      <c r="D2" s="157"/>
      <c r="E2" s="157"/>
      <c r="F2" s="157"/>
      <c r="G2" s="157"/>
      <c r="H2" s="157"/>
      <c r="I2" s="157"/>
      <c r="J2" s="157"/>
      <c r="K2" s="157"/>
      <c r="L2" s="157"/>
      <c r="M2" s="157"/>
      <c r="N2" s="157"/>
      <c r="O2" s="68"/>
      <c r="P2" s="68"/>
      <c r="Q2" s="68"/>
      <c r="R2" s="68"/>
      <c r="S2" s="69"/>
      <c r="T2" s="69"/>
      <c r="U2" s="69"/>
      <c r="V2" s="69"/>
      <c r="W2" s="69"/>
      <c r="X2" s="69"/>
      <c r="Y2" s="69"/>
      <c r="Z2" s="69"/>
      <c r="AA2" s="69"/>
      <c r="AB2" s="69"/>
      <c r="AC2" s="69"/>
      <c r="AD2" s="69"/>
      <c r="AE2" s="69"/>
      <c r="AF2" s="69"/>
      <c r="AG2" s="69"/>
    </row>
    <row r="3" spans="1:33" ht="27" customHeight="1" x14ac:dyDescent="0.2">
      <c r="A3" s="158" t="s">
        <v>229</v>
      </c>
      <c r="B3" s="159"/>
      <c r="C3" s="159"/>
      <c r="D3" s="159"/>
      <c r="E3" s="159"/>
      <c r="F3" s="159"/>
      <c r="G3" s="159"/>
      <c r="H3" s="159"/>
      <c r="I3" s="159"/>
      <c r="J3" s="159"/>
      <c r="K3" s="70"/>
      <c r="L3" s="70"/>
      <c r="M3" s="70"/>
      <c r="N3" s="71"/>
      <c r="O3" s="71"/>
      <c r="P3" s="71"/>
      <c r="Q3" s="71"/>
      <c r="R3" s="71"/>
      <c r="S3" s="71"/>
      <c r="T3" s="71"/>
      <c r="U3" s="71"/>
      <c r="V3" s="71"/>
      <c r="W3" s="71"/>
      <c r="X3" s="71"/>
      <c r="Y3" s="71"/>
      <c r="Z3" s="71"/>
      <c r="AA3" s="71"/>
      <c r="AB3" s="71"/>
      <c r="AC3" s="71"/>
      <c r="AD3" s="71"/>
      <c r="AE3" s="71"/>
      <c r="AF3" s="71"/>
      <c r="AG3" s="71"/>
    </row>
    <row r="4" spans="1:33" x14ac:dyDescent="0.2">
      <c r="A4" s="160" t="s">
        <v>230</v>
      </c>
      <c r="B4" s="160"/>
      <c r="C4" s="160"/>
      <c r="D4" s="160"/>
      <c r="E4" s="160"/>
      <c r="F4" s="160"/>
      <c r="G4" s="160"/>
      <c r="H4" s="160"/>
      <c r="I4" s="160"/>
      <c r="J4" s="160"/>
      <c r="K4" s="72"/>
      <c r="L4" s="72"/>
      <c r="M4" s="72"/>
      <c r="N4" s="71"/>
      <c r="O4" s="71"/>
      <c r="P4" s="71"/>
      <c r="Q4" s="71"/>
      <c r="R4" s="71"/>
      <c r="S4" s="71"/>
      <c r="T4" s="71"/>
      <c r="U4" s="71"/>
      <c r="V4" s="71"/>
      <c r="W4" s="71"/>
      <c r="X4" s="71"/>
      <c r="Y4" s="71"/>
      <c r="Z4" s="71"/>
      <c r="AA4" s="71"/>
      <c r="AB4" s="71"/>
      <c r="AC4" s="71"/>
      <c r="AD4" s="71"/>
      <c r="AE4" s="71"/>
      <c r="AF4" s="71"/>
      <c r="AG4" s="71"/>
    </row>
    <row r="5" spans="1:33" x14ac:dyDescent="0.2">
      <c r="A5" s="160"/>
      <c r="B5" s="160"/>
      <c r="C5" s="160"/>
      <c r="D5" s="160"/>
      <c r="E5" s="160"/>
      <c r="F5" s="160"/>
      <c r="G5" s="160"/>
      <c r="H5" s="160"/>
      <c r="I5" s="160"/>
      <c r="J5" s="160"/>
      <c r="K5" s="72"/>
      <c r="L5" s="72"/>
      <c r="M5" s="72"/>
      <c r="N5" s="71"/>
      <c r="O5" s="71"/>
      <c r="P5" s="71"/>
      <c r="Q5" s="71"/>
      <c r="R5" s="71"/>
      <c r="S5" s="71"/>
      <c r="T5" s="71"/>
      <c r="U5" s="71"/>
      <c r="V5" s="71"/>
      <c r="W5" s="71"/>
      <c r="X5" s="71"/>
      <c r="Y5" s="71"/>
      <c r="Z5" s="71"/>
      <c r="AA5" s="71"/>
      <c r="AB5" s="71"/>
      <c r="AC5" s="71"/>
      <c r="AD5" s="71"/>
      <c r="AE5" s="71"/>
      <c r="AF5" s="71"/>
      <c r="AG5" s="71"/>
    </row>
    <row r="6" spans="1:33" x14ac:dyDescent="0.2">
      <c r="A6" s="72"/>
      <c r="B6" s="72"/>
      <c r="C6" s="72"/>
      <c r="D6" s="72"/>
      <c r="E6" s="72"/>
      <c r="F6" s="72"/>
      <c r="G6" s="72"/>
      <c r="H6" s="72"/>
      <c r="I6" s="72"/>
      <c r="J6" s="72"/>
      <c r="K6" s="72"/>
      <c r="L6" s="72"/>
      <c r="M6" s="72"/>
      <c r="N6" s="71"/>
      <c r="O6" s="71"/>
      <c r="P6" s="71"/>
      <c r="Q6" s="71"/>
      <c r="R6" s="71"/>
      <c r="S6" s="71"/>
      <c r="T6" s="71"/>
      <c r="U6" s="71"/>
      <c r="V6" s="71"/>
      <c r="W6" s="71"/>
      <c r="X6" s="71"/>
      <c r="Y6" s="71"/>
      <c r="Z6" s="71"/>
      <c r="AA6" s="71"/>
      <c r="AB6" s="71"/>
      <c r="AC6" s="71"/>
      <c r="AD6" s="71"/>
      <c r="AE6" s="71"/>
      <c r="AF6" s="71"/>
      <c r="AG6" s="71"/>
    </row>
    <row r="7" spans="1:33" x14ac:dyDescent="0.2">
      <c r="A7" s="155" t="s">
        <v>231</v>
      </c>
      <c r="B7" s="155"/>
      <c r="C7" s="155"/>
      <c r="D7" s="155"/>
      <c r="E7" s="155"/>
      <c r="F7" s="155"/>
      <c r="G7" s="155"/>
      <c r="H7" s="155"/>
      <c r="I7" s="155"/>
      <c r="J7" s="155"/>
      <c r="K7" s="73"/>
      <c r="L7" s="73"/>
      <c r="M7" s="72"/>
      <c r="N7" s="71"/>
      <c r="O7" s="71"/>
      <c r="P7" s="71"/>
      <c r="Q7" s="71"/>
      <c r="R7" s="71"/>
      <c r="S7" s="71"/>
      <c r="T7" s="71"/>
      <c r="U7" s="71"/>
      <c r="V7" s="71"/>
      <c r="W7" s="71"/>
      <c r="X7" s="71"/>
      <c r="Y7" s="71"/>
      <c r="Z7" s="71"/>
      <c r="AA7" s="71"/>
      <c r="AB7" s="71"/>
      <c r="AC7" s="71"/>
      <c r="AD7" s="71"/>
      <c r="AE7" s="71"/>
      <c r="AF7" s="71"/>
      <c r="AG7" s="71"/>
    </row>
    <row r="8" spans="1:33" x14ac:dyDescent="0.2">
      <c r="A8" s="155" t="s">
        <v>232</v>
      </c>
      <c r="B8" s="155"/>
      <c r="C8" s="155"/>
      <c r="D8" s="155"/>
      <c r="E8" s="155"/>
      <c r="F8" s="155"/>
      <c r="G8" s="155"/>
      <c r="H8" s="155"/>
      <c r="I8" s="155"/>
      <c r="J8" s="155"/>
      <c r="K8" s="73"/>
      <c r="L8" s="73"/>
      <c r="M8" s="72"/>
      <c r="N8" s="71"/>
      <c r="O8" s="71"/>
      <c r="P8" s="71"/>
      <c r="Q8" s="71"/>
      <c r="R8" s="71"/>
      <c r="S8" s="71"/>
      <c r="T8" s="71"/>
      <c r="U8" s="71"/>
      <c r="V8" s="71"/>
      <c r="W8" s="71"/>
      <c r="X8" s="71"/>
      <c r="Y8" s="71"/>
      <c r="Z8" s="71"/>
      <c r="AA8" s="71"/>
      <c r="AB8" s="71"/>
      <c r="AC8" s="71"/>
      <c r="AD8" s="71"/>
      <c r="AE8" s="71"/>
      <c r="AF8" s="71"/>
      <c r="AG8" s="71"/>
    </row>
    <row r="9" spans="1:33" x14ac:dyDescent="0.2">
      <c r="A9" s="155"/>
      <c r="B9" s="155"/>
      <c r="C9" s="155"/>
      <c r="D9" s="155"/>
      <c r="E9" s="155"/>
      <c r="F9" s="155"/>
      <c r="G9" s="155"/>
      <c r="H9" s="155"/>
      <c r="I9" s="155"/>
      <c r="J9" s="155"/>
      <c r="K9" s="73"/>
      <c r="L9" s="73"/>
      <c r="M9" s="72"/>
      <c r="N9" s="71"/>
      <c r="O9" s="71"/>
      <c r="P9" s="71"/>
      <c r="Q9" s="71"/>
      <c r="R9" s="71"/>
      <c r="S9" s="71"/>
      <c r="T9" s="71"/>
      <c r="U9" s="71"/>
      <c r="V9" s="71"/>
      <c r="W9" s="71"/>
      <c r="X9" s="71"/>
      <c r="Y9" s="71"/>
      <c r="Z9" s="71"/>
      <c r="AA9" s="71"/>
      <c r="AB9" s="71"/>
      <c r="AC9" s="71"/>
      <c r="AD9" s="71"/>
      <c r="AE9" s="71"/>
      <c r="AF9" s="71"/>
      <c r="AG9" s="71"/>
    </row>
    <row r="10" spans="1:33" x14ac:dyDescent="0.2">
      <c r="A10" s="155" t="s">
        <v>233</v>
      </c>
      <c r="B10" s="155"/>
      <c r="C10" s="155"/>
      <c r="D10" s="155"/>
      <c r="E10" s="155"/>
      <c r="F10" s="155"/>
      <c r="G10" s="155"/>
      <c r="H10" s="155"/>
      <c r="I10" s="155"/>
      <c r="J10" s="155"/>
      <c r="K10" s="73"/>
      <c r="L10" s="73"/>
      <c r="M10" s="72"/>
      <c r="N10" s="71"/>
      <c r="O10" s="71"/>
      <c r="P10" s="71"/>
      <c r="Q10" s="71"/>
      <c r="R10" s="71"/>
      <c r="S10" s="71"/>
      <c r="T10" s="71"/>
      <c r="U10" s="71"/>
      <c r="V10" s="71"/>
      <c r="W10" s="71"/>
      <c r="X10" s="71"/>
      <c r="Y10" s="71"/>
      <c r="Z10" s="71"/>
      <c r="AA10" s="71"/>
      <c r="AB10" s="71"/>
      <c r="AC10" s="71"/>
      <c r="AD10" s="71"/>
      <c r="AE10" s="71"/>
      <c r="AF10" s="71"/>
      <c r="AG10" s="71"/>
    </row>
    <row r="11" spans="1:33" x14ac:dyDescent="0.2">
      <c r="A11" s="155" t="s">
        <v>234</v>
      </c>
      <c r="B11" s="155"/>
      <c r="C11" s="155"/>
      <c r="D11" s="155"/>
      <c r="E11" s="155"/>
      <c r="F11" s="155"/>
      <c r="G11" s="155"/>
      <c r="H11" s="155"/>
      <c r="I11" s="155"/>
      <c r="J11" s="155"/>
      <c r="K11" s="73"/>
      <c r="L11" s="73"/>
      <c r="M11" s="72"/>
      <c r="N11" s="71"/>
      <c r="O11" s="71"/>
      <c r="P11" s="71"/>
      <c r="Q11" s="71"/>
      <c r="R11" s="71"/>
      <c r="S11" s="71"/>
      <c r="T11" s="71"/>
      <c r="U11" s="71"/>
      <c r="V11" s="71"/>
      <c r="W11" s="71"/>
      <c r="X11" s="71"/>
      <c r="Y11" s="71"/>
      <c r="Z11" s="71"/>
      <c r="AA11" s="71"/>
      <c r="AB11" s="71"/>
      <c r="AC11" s="71"/>
      <c r="AD11" s="71"/>
      <c r="AE11" s="71"/>
      <c r="AF11" s="71"/>
      <c r="AG11" s="71"/>
    </row>
    <row r="12" spans="1:33" x14ac:dyDescent="0.2">
      <c r="A12" s="155" t="s">
        <v>235</v>
      </c>
      <c r="B12" s="155"/>
      <c r="C12" s="155"/>
      <c r="D12" s="155"/>
      <c r="E12" s="155"/>
      <c r="F12" s="155"/>
      <c r="G12" s="155"/>
      <c r="H12" s="155"/>
      <c r="I12" s="155"/>
      <c r="J12" s="155"/>
      <c r="K12" s="73"/>
      <c r="L12" s="73"/>
      <c r="M12" s="72"/>
      <c r="N12" s="71"/>
      <c r="O12" s="71"/>
      <c r="P12" s="71"/>
      <c r="Q12" s="71"/>
      <c r="R12" s="71"/>
      <c r="S12" s="71"/>
      <c r="T12" s="71"/>
      <c r="U12" s="71"/>
      <c r="V12" s="71"/>
      <c r="W12" s="71"/>
      <c r="X12" s="71"/>
      <c r="Y12" s="71"/>
      <c r="Z12" s="71"/>
      <c r="AA12" s="71"/>
      <c r="AB12" s="71"/>
      <c r="AC12" s="71"/>
      <c r="AD12" s="71"/>
      <c r="AE12" s="71"/>
      <c r="AF12" s="71"/>
      <c r="AG12" s="71"/>
    </row>
    <row r="13" spans="1:33" x14ac:dyDescent="0.2">
      <c r="A13" s="155" t="s">
        <v>236</v>
      </c>
      <c r="B13" s="155"/>
      <c r="C13" s="155"/>
      <c r="D13" s="155"/>
      <c r="E13" s="155"/>
      <c r="F13" s="155"/>
      <c r="G13" s="155"/>
      <c r="H13" s="155"/>
      <c r="I13" s="155"/>
      <c r="J13" s="155"/>
      <c r="K13" s="73"/>
      <c r="L13" s="73"/>
      <c r="M13" s="72"/>
      <c r="N13" s="71"/>
      <c r="O13" s="71"/>
      <c r="P13" s="71"/>
      <c r="Q13" s="71"/>
      <c r="R13" s="71"/>
      <c r="S13" s="71"/>
      <c r="T13" s="71"/>
      <c r="U13" s="71"/>
      <c r="V13" s="71"/>
      <c r="W13" s="71"/>
      <c r="X13" s="71"/>
      <c r="Y13" s="71"/>
      <c r="Z13" s="71"/>
      <c r="AA13" s="71"/>
      <c r="AB13" s="71"/>
      <c r="AC13" s="71"/>
      <c r="AD13" s="71"/>
      <c r="AE13" s="71"/>
      <c r="AF13" s="71"/>
      <c r="AG13" s="71"/>
    </row>
    <row r="14" spans="1:33" x14ac:dyDescent="0.2">
      <c r="A14" s="155"/>
      <c r="B14" s="155"/>
      <c r="C14" s="155"/>
      <c r="D14" s="155"/>
      <c r="E14" s="155"/>
      <c r="F14" s="155"/>
      <c r="G14" s="155"/>
      <c r="H14" s="155"/>
      <c r="I14" s="155"/>
      <c r="J14" s="155"/>
      <c r="K14" s="73"/>
      <c r="L14" s="73"/>
      <c r="M14" s="72"/>
      <c r="N14" s="71"/>
      <c r="O14" s="71"/>
      <c r="P14" s="71"/>
      <c r="Q14" s="71"/>
      <c r="R14" s="71"/>
      <c r="S14" s="71"/>
      <c r="T14" s="71"/>
      <c r="U14" s="71"/>
      <c r="V14" s="71"/>
      <c r="W14" s="71"/>
      <c r="X14" s="71"/>
      <c r="Y14" s="71"/>
      <c r="Z14" s="71"/>
      <c r="AA14" s="71"/>
      <c r="AB14" s="71"/>
      <c r="AC14" s="71"/>
      <c r="AD14" s="71"/>
      <c r="AE14" s="71"/>
      <c r="AF14" s="71"/>
      <c r="AG14" s="71"/>
    </row>
    <row r="15" spans="1:33" x14ac:dyDescent="0.2">
      <c r="A15" s="155" t="s">
        <v>237</v>
      </c>
      <c r="B15" s="155"/>
      <c r="C15" s="155"/>
      <c r="D15" s="155"/>
      <c r="E15" s="155"/>
      <c r="F15" s="155"/>
      <c r="G15" s="155"/>
      <c r="H15" s="155"/>
      <c r="I15" s="155"/>
      <c r="J15" s="155"/>
      <c r="K15" s="73"/>
      <c r="L15" s="73"/>
      <c r="M15" s="72"/>
      <c r="N15" s="71"/>
      <c r="O15" s="71"/>
      <c r="P15" s="71"/>
      <c r="Q15" s="71"/>
      <c r="R15" s="71"/>
      <c r="S15" s="71"/>
      <c r="T15" s="71"/>
      <c r="U15" s="71"/>
      <c r="V15" s="71"/>
      <c r="W15" s="71"/>
      <c r="X15" s="71"/>
      <c r="Y15" s="71"/>
      <c r="Z15" s="71"/>
      <c r="AA15" s="71"/>
      <c r="AB15" s="71"/>
      <c r="AC15" s="71"/>
      <c r="AD15" s="71"/>
      <c r="AE15" s="71"/>
      <c r="AF15" s="71"/>
      <c r="AG15" s="71"/>
    </row>
    <row r="16" spans="1:33" ht="23.25" customHeight="1" x14ac:dyDescent="0.2">
      <c r="A16" s="155" t="s">
        <v>238</v>
      </c>
      <c r="B16" s="155"/>
      <c r="C16" s="155"/>
      <c r="D16" s="155"/>
      <c r="E16" s="155"/>
      <c r="F16" s="155"/>
      <c r="G16" s="155"/>
      <c r="H16" s="155"/>
      <c r="I16" s="155"/>
      <c r="J16" s="155"/>
      <c r="K16" s="73"/>
      <c r="L16" s="73"/>
      <c r="M16" s="72"/>
      <c r="N16" s="71"/>
      <c r="O16" s="71"/>
      <c r="P16" s="71"/>
      <c r="Q16" s="71"/>
      <c r="R16" s="71"/>
      <c r="S16" s="71"/>
      <c r="T16" s="71"/>
      <c r="U16" s="71"/>
      <c r="V16" s="71"/>
      <c r="W16" s="71"/>
      <c r="X16" s="71"/>
      <c r="Y16" s="71"/>
      <c r="Z16" s="71"/>
      <c r="AA16" s="71"/>
      <c r="AB16" s="71"/>
      <c r="AC16" s="71"/>
      <c r="AD16" s="71"/>
      <c r="AE16" s="71"/>
      <c r="AF16" s="71"/>
      <c r="AG16" s="71"/>
    </row>
    <row r="17" spans="1:42" x14ac:dyDescent="0.2">
      <c r="A17" s="155" t="s">
        <v>239</v>
      </c>
      <c r="B17" s="155"/>
      <c r="C17" s="155"/>
      <c r="D17" s="155"/>
      <c r="E17" s="155"/>
      <c r="F17" s="155"/>
      <c r="G17" s="155"/>
      <c r="H17" s="155"/>
      <c r="I17" s="155"/>
      <c r="J17" s="155"/>
      <c r="K17" s="73"/>
      <c r="L17" s="73"/>
      <c r="M17" s="72"/>
      <c r="N17" s="71"/>
      <c r="O17" s="71"/>
      <c r="P17" s="71"/>
      <c r="Q17" s="71"/>
      <c r="R17" s="71"/>
      <c r="S17" s="71"/>
      <c r="T17" s="71"/>
      <c r="U17" s="71"/>
      <c r="V17" s="71"/>
      <c r="W17" s="71"/>
      <c r="X17" s="71"/>
      <c r="Y17" s="71"/>
      <c r="Z17" s="71"/>
      <c r="AA17" s="71"/>
      <c r="AB17" s="71"/>
      <c r="AC17" s="71"/>
      <c r="AD17" s="71"/>
      <c r="AE17" s="71"/>
      <c r="AF17" s="71"/>
      <c r="AG17" s="71"/>
    </row>
    <row r="18" spans="1:42" x14ac:dyDescent="0.2">
      <c r="A18" s="155"/>
      <c r="B18" s="155"/>
      <c r="C18" s="155"/>
      <c r="D18" s="155"/>
      <c r="E18" s="155"/>
      <c r="F18" s="155"/>
      <c r="G18" s="155"/>
      <c r="H18" s="155"/>
      <c r="I18" s="155"/>
      <c r="J18" s="155"/>
      <c r="K18" s="73"/>
      <c r="L18" s="73"/>
      <c r="M18" s="72"/>
      <c r="N18" s="71"/>
      <c r="O18" s="71"/>
      <c r="P18" s="71"/>
      <c r="Q18" s="71"/>
      <c r="R18" s="71"/>
      <c r="S18" s="71"/>
      <c r="T18" s="71"/>
      <c r="U18" s="71"/>
      <c r="V18" s="71"/>
      <c r="W18" s="71"/>
      <c r="X18" s="71"/>
      <c r="Y18" s="71"/>
      <c r="Z18" s="71"/>
      <c r="AA18" s="71"/>
      <c r="AB18" s="71"/>
      <c r="AC18" s="71"/>
      <c r="AD18" s="71"/>
      <c r="AE18" s="71"/>
      <c r="AF18" s="71"/>
      <c r="AG18" s="71"/>
    </row>
    <row r="19" spans="1:42" x14ac:dyDescent="0.2">
      <c r="A19" s="155" t="s">
        <v>240</v>
      </c>
      <c r="B19" s="155"/>
      <c r="C19" s="155"/>
      <c r="D19" s="155"/>
      <c r="E19" s="155"/>
      <c r="F19" s="155"/>
      <c r="G19" s="155"/>
      <c r="H19" s="155"/>
      <c r="I19" s="155"/>
      <c r="J19" s="155"/>
      <c r="K19" s="73"/>
      <c r="L19" s="73"/>
      <c r="M19" s="72"/>
      <c r="N19" s="71"/>
      <c r="O19" s="71"/>
      <c r="P19" s="71"/>
      <c r="Q19" s="71"/>
      <c r="R19" s="71"/>
      <c r="S19" s="71"/>
      <c r="T19" s="71"/>
      <c r="U19" s="71"/>
      <c r="V19" s="71"/>
      <c r="W19" s="71"/>
      <c r="X19" s="71"/>
      <c r="Y19" s="71"/>
      <c r="Z19" s="71"/>
      <c r="AA19" s="71"/>
      <c r="AB19" s="71"/>
      <c r="AC19" s="71"/>
      <c r="AD19" s="71"/>
      <c r="AE19" s="71"/>
      <c r="AF19" s="71"/>
      <c r="AG19" s="71"/>
    </row>
    <row r="20" spans="1:42" x14ac:dyDescent="0.2">
      <c r="A20" s="155" t="s">
        <v>241</v>
      </c>
      <c r="B20" s="155"/>
      <c r="C20" s="155"/>
      <c r="D20" s="155"/>
      <c r="E20" s="155"/>
      <c r="F20" s="155"/>
      <c r="G20" s="155"/>
      <c r="H20" s="155"/>
      <c r="I20" s="155"/>
      <c r="J20" s="155"/>
      <c r="K20" s="73"/>
      <c r="L20" s="73"/>
      <c r="M20" s="72"/>
      <c r="N20" s="71"/>
      <c r="O20" s="71"/>
      <c r="P20" s="71"/>
      <c r="Q20" s="71"/>
      <c r="R20" s="71"/>
      <c r="S20" s="71"/>
      <c r="T20" s="71"/>
      <c r="U20" s="71"/>
      <c r="V20" s="71"/>
      <c r="W20" s="71"/>
      <c r="X20" s="71"/>
      <c r="Y20" s="71"/>
      <c r="Z20" s="71"/>
      <c r="AA20" s="71"/>
      <c r="AB20" s="71"/>
      <c r="AC20" s="71"/>
      <c r="AD20" s="71"/>
      <c r="AE20" s="71"/>
      <c r="AF20" s="71"/>
      <c r="AG20" s="71"/>
    </row>
    <row r="21" spans="1:42" x14ac:dyDescent="0.2">
      <c r="A21" s="155" t="s">
        <v>242</v>
      </c>
      <c r="B21" s="155"/>
      <c r="C21" s="155"/>
      <c r="D21" s="155"/>
      <c r="E21" s="155"/>
      <c r="F21" s="155"/>
      <c r="G21" s="155"/>
      <c r="H21" s="155"/>
      <c r="I21" s="155"/>
      <c r="J21" s="155"/>
      <c r="K21" s="73"/>
      <c r="L21" s="73"/>
      <c r="M21" s="72"/>
      <c r="N21" s="71"/>
      <c r="O21" s="71"/>
      <c r="P21" s="71"/>
      <c r="Q21" s="71"/>
      <c r="R21" s="71"/>
      <c r="S21" s="71"/>
      <c r="T21" s="71"/>
      <c r="U21" s="71"/>
      <c r="V21" s="71"/>
      <c r="W21" s="71"/>
      <c r="X21" s="71"/>
      <c r="Y21" s="71"/>
      <c r="Z21" s="71"/>
      <c r="AA21" s="71"/>
      <c r="AB21" s="71"/>
      <c r="AC21" s="71"/>
      <c r="AD21" s="71"/>
      <c r="AE21" s="71"/>
      <c r="AF21" s="71"/>
      <c r="AG21" s="71"/>
    </row>
    <row r="22" spans="1:42" x14ac:dyDescent="0.2">
      <c r="A22" s="155"/>
      <c r="B22" s="155"/>
      <c r="C22" s="155"/>
      <c r="D22" s="155"/>
      <c r="E22" s="155"/>
      <c r="F22" s="155"/>
      <c r="G22" s="155"/>
      <c r="H22" s="155"/>
      <c r="I22" s="155"/>
      <c r="J22" s="155"/>
      <c r="K22" s="73"/>
      <c r="L22" s="73"/>
      <c r="M22" s="72"/>
      <c r="N22" s="71"/>
      <c r="O22" s="71"/>
      <c r="P22" s="71"/>
      <c r="Q22" s="71"/>
      <c r="R22" s="71"/>
      <c r="S22" s="71"/>
      <c r="T22" s="71"/>
      <c r="U22" s="71"/>
      <c r="V22" s="71"/>
      <c r="W22" s="71"/>
      <c r="X22" s="71"/>
      <c r="Y22" s="71"/>
      <c r="Z22" s="71"/>
      <c r="AA22" s="71"/>
      <c r="AB22" s="71"/>
      <c r="AC22" s="71"/>
      <c r="AD22" s="71"/>
      <c r="AE22" s="71"/>
      <c r="AF22" s="71"/>
      <c r="AG22" s="71"/>
    </row>
    <row r="23" spans="1:42" x14ac:dyDescent="0.2">
      <c r="A23" s="155" t="s">
        <v>243</v>
      </c>
      <c r="B23" s="155"/>
      <c r="C23" s="155"/>
      <c r="D23" s="155"/>
      <c r="E23" s="155"/>
      <c r="F23" s="155"/>
      <c r="G23" s="155"/>
      <c r="H23" s="155"/>
      <c r="I23" s="155"/>
      <c r="J23" s="155"/>
      <c r="K23" s="73"/>
      <c r="L23" s="73"/>
      <c r="M23" s="72"/>
      <c r="N23" s="71"/>
      <c r="O23" s="71"/>
      <c r="P23" s="71"/>
      <c r="Q23" s="71"/>
      <c r="R23" s="71"/>
      <c r="S23" s="71"/>
      <c r="T23" s="71"/>
      <c r="U23" s="71"/>
      <c r="V23" s="71"/>
      <c r="W23" s="71"/>
      <c r="X23" s="71"/>
      <c r="Y23" s="71"/>
      <c r="Z23" s="71"/>
      <c r="AA23" s="71"/>
      <c r="AB23" s="71"/>
      <c r="AC23" s="71"/>
      <c r="AD23" s="71"/>
      <c r="AE23" s="71"/>
      <c r="AF23" s="71"/>
      <c r="AG23" s="71"/>
    </row>
    <row r="24" spans="1:42" x14ac:dyDescent="0.2">
      <c r="A24" s="155" t="s">
        <v>244</v>
      </c>
      <c r="B24" s="155"/>
      <c r="C24" s="155"/>
      <c r="D24" s="155"/>
      <c r="E24" s="155"/>
      <c r="F24" s="155"/>
      <c r="G24" s="155"/>
      <c r="H24" s="155"/>
      <c r="I24" s="155"/>
      <c r="J24" s="155"/>
      <c r="K24" s="73"/>
      <c r="L24" s="73"/>
      <c r="M24" s="72"/>
      <c r="N24" s="71"/>
      <c r="O24" s="71"/>
      <c r="P24" s="71"/>
      <c r="Q24" s="71"/>
      <c r="R24" s="71"/>
      <c r="S24" s="71"/>
      <c r="T24" s="71"/>
      <c r="U24" s="71"/>
      <c r="V24" s="71"/>
      <c r="W24" s="71"/>
      <c r="X24" s="71"/>
      <c r="Y24" s="71"/>
      <c r="Z24" s="71"/>
      <c r="AA24" s="71"/>
      <c r="AB24" s="71"/>
      <c r="AC24" s="71"/>
      <c r="AD24" s="71"/>
      <c r="AE24" s="71"/>
      <c r="AF24" s="71"/>
      <c r="AG24" s="71"/>
    </row>
    <row r="25" spans="1:42" x14ac:dyDescent="0.2">
      <c r="A25" s="155"/>
      <c r="B25" s="155"/>
      <c r="C25" s="155"/>
      <c r="D25" s="155"/>
      <c r="E25" s="155"/>
      <c r="F25" s="155"/>
      <c r="G25" s="155"/>
      <c r="H25" s="155"/>
      <c r="I25" s="155"/>
      <c r="J25" s="155"/>
      <c r="K25" s="73"/>
      <c r="L25" s="73"/>
      <c r="M25" s="72"/>
      <c r="N25" s="71"/>
      <c r="O25" s="71"/>
      <c r="P25" s="71"/>
      <c r="Q25" s="71"/>
      <c r="R25" s="71"/>
      <c r="S25" s="71"/>
      <c r="T25" s="71"/>
      <c r="U25" s="71"/>
      <c r="V25" s="71"/>
      <c r="W25" s="71"/>
      <c r="X25" s="71"/>
      <c r="Y25" s="71"/>
      <c r="Z25" s="71"/>
      <c r="AA25" s="71"/>
      <c r="AB25" s="71"/>
      <c r="AC25" s="71"/>
      <c r="AD25" s="71"/>
      <c r="AE25" s="71"/>
      <c r="AF25" s="71"/>
      <c r="AG25" s="71"/>
    </row>
    <row r="26" spans="1:42" ht="24" customHeight="1" x14ac:dyDescent="0.2">
      <c r="A26" s="155" t="s">
        <v>245</v>
      </c>
      <c r="B26" s="155"/>
      <c r="C26" s="155"/>
      <c r="D26" s="155"/>
      <c r="E26" s="155"/>
      <c r="F26" s="155"/>
      <c r="G26" s="155"/>
      <c r="H26" s="155"/>
      <c r="I26" s="155"/>
      <c r="J26" s="155"/>
      <c r="K26" s="73"/>
      <c r="L26" s="73"/>
      <c r="M26" s="72"/>
      <c r="N26" s="71"/>
      <c r="O26" s="71"/>
      <c r="P26" s="71"/>
      <c r="Q26" s="71"/>
      <c r="R26" s="71"/>
      <c r="S26" s="71"/>
      <c r="T26" s="71"/>
      <c r="U26" s="71"/>
      <c r="V26" s="71"/>
      <c r="W26" s="71"/>
      <c r="X26" s="71"/>
      <c r="Y26" s="71"/>
      <c r="Z26" s="71"/>
      <c r="AA26" s="71"/>
      <c r="AB26" s="71"/>
      <c r="AC26" s="71"/>
      <c r="AD26" s="71"/>
      <c r="AE26" s="71"/>
      <c r="AF26" s="71"/>
      <c r="AG26" s="71"/>
    </row>
    <row r="27" spans="1:42" ht="24" customHeight="1" x14ac:dyDescent="0.2">
      <c r="A27" s="155" t="s">
        <v>246</v>
      </c>
      <c r="B27" s="155"/>
      <c r="C27" s="155"/>
      <c r="D27" s="155"/>
      <c r="E27" s="155"/>
      <c r="F27" s="155"/>
      <c r="G27" s="155"/>
      <c r="H27" s="155"/>
      <c r="I27" s="155"/>
      <c r="J27" s="155"/>
      <c r="K27" s="73"/>
      <c r="L27" s="73"/>
      <c r="M27" s="72"/>
      <c r="N27" s="71"/>
      <c r="O27" s="71"/>
      <c r="P27" s="71"/>
      <c r="Q27" s="71"/>
      <c r="R27" s="71"/>
      <c r="S27" s="71"/>
      <c r="T27" s="71"/>
      <c r="U27" s="71"/>
      <c r="V27" s="71"/>
      <c r="W27" s="71"/>
      <c r="X27" s="71"/>
      <c r="Y27" s="71"/>
      <c r="Z27" s="71"/>
      <c r="AA27" s="71"/>
      <c r="AB27" s="71"/>
      <c r="AC27" s="71"/>
      <c r="AD27" s="71"/>
      <c r="AE27" s="71"/>
      <c r="AF27" s="71"/>
      <c r="AG27" s="71"/>
    </row>
    <row r="28" spans="1:42" x14ac:dyDescent="0.2">
      <c r="A28" s="163"/>
      <c r="B28" s="163"/>
      <c r="C28" s="163"/>
      <c r="D28" s="163"/>
      <c r="E28" s="163"/>
      <c r="F28" s="163"/>
      <c r="G28" s="163"/>
      <c r="H28" s="163"/>
      <c r="I28" s="163"/>
      <c r="J28" s="163"/>
      <c r="K28" s="74"/>
      <c r="L28" s="74"/>
      <c r="M28" s="72"/>
      <c r="N28" s="71"/>
      <c r="O28" s="71"/>
      <c r="P28" s="71"/>
      <c r="Q28" s="71"/>
      <c r="R28" s="71"/>
      <c r="S28" s="71"/>
      <c r="T28" s="71"/>
      <c r="U28" s="71"/>
      <c r="V28" s="71"/>
      <c r="W28" s="71"/>
      <c r="X28" s="71"/>
      <c r="Y28" s="71"/>
      <c r="Z28" s="71"/>
      <c r="AA28" s="71"/>
      <c r="AB28" s="71"/>
      <c r="AC28" s="71"/>
      <c r="AD28" s="71"/>
      <c r="AE28" s="71"/>
      <c r="AF28" s="71"/>
      <c r="AG28" s="71"/>
    </row>
    <row r="29" spans="1:42" x14ac:dyDescent="0.2">
      <c r="A29" s="72"/>
      <c r="B29" s="72"/>
      <c r="C29" s="72"/>
      <c r="D29" s="72"/>
      <c r="E29" s="72"/>
      <c r="F29" s="72"/>
      <c r="G29" s="72"/>
      <c r="H29" s="72"/>
      <c r="I29" s="72"/>
      <c r="J29" s="72"/>
      <c r="K29" s="72"/>
      <c r="L29" s="72"/>
      <c r="M29" s="72"/>
      <c r="N29" s="71"/>
      <c r="O29" s="71"/>
      <c r="P29" s="71"/>
      <c r="Q29" s="71"/>
      <c r="R29" s="71"/>
      <c r="S29" s="71"/>
      <c r="T29" s="71"/>
      <c r="U29" s="71"/>
      <c r="V29" s="71"/>
      <c r="W29" s="71"/>
      <c r="X29" s="71"/>
      <c r="Y29" s="71"/>
      <c r="Z29" s="71"/>
      <c r="AA29" s="71"/>
      <c r="AB29" s="71"/>
      <c r="AC29" s="71"/>
      <c r="AD29" s="71"/>
      <c r="AE29" s="71"/>
      <c r="AF29" s="71"/>
      <c r="AG29" s="71"/>
    </row>
    <row r="30" spans="1:42" ht="13.5" thickBot="1" x14ac:dyDescent="0.25">
      <c r="C30" s="64"/>
      <c r="D30" s="75"/>
      <c r="E30" s="74"/>
      <c r="F30" s="74"/>
      <c r="G30" s="74"/>
      <c r="H30" s="74"/>
      <c r="I30" s="74"/>
      <c r="J30" s="74"/>
      <c r="K30" s="74"/>
      <c r="L30" s="74"/>
      <c r="M30" s="74"/>
      <c r="N30" s="74"/>
      <c r="O30" s="74"/>
      <c r="P30" s="74"/>
      <c r="Q30" s="74"/>
      <c r="R30" s="74"/>
      <c r="S30" s="74"/>
      <c r="T30" s="74"/>
      <c r="U30" s="74"/>
      <c r="V30" s="74"/>
      <c r="W30" s="74"/>
      <c r="X30" s="74"/>
      <c r="Y30" s="74"/>
      <c r="Z30" s="74"/>
      <c r="AA30" s="74"/>
      <c r="AB30" s="65"/>
      <c r="AC30" s="65"/>
      <c r="AD30" s="65"/>
      <c r="AE30" s="65"/>
      <c r="AF30" s="65"/>
      <c r="AG30" s="65"/>
    </row>
    <row r="31" spans="1:42" ht="12.75" customHeight="1" x14ac:dyDescent="0.2">
      <c r="A31" s="164" t="s">
        <v>247</v>
      </c>
      <c r="B31" s="166" t="s">
        <v>248</v>
      </c>
      <c r="C31" s="168" t="s">
        <v>249</v>
      </c>
      <c r="D31" s="170" t="s">
        <v>250</v>
      </c>
      <c r="E31" s="162"/>
      <c r="F31" s="171"/>
      <c r="G31" s="171"/>
      <c r="H31" s="172"/>
      <c r="I31" s="170" t="s">
        <v>251</v>
      </c>
      <c r="J31" s="162"/>
      <c r="K31" s="171"/>
      <c r="L31" s="171"/>
      <c r="M31" s="172"/>
      <c r="N31" s="181" t="s">
        <v>252</v>
      </c>
      <c r="O31" s="182"/>
      <c r="P31" s="182"/>
      <c r="Q31" s="182"/>
      <c r="R31" s="182"/>
      <c r="S31" s="183"/>
      <c r="T31" s="170" t="s">
        <v>253</v>
      </c>
      <c r="U31" s="162" t="s">
        <v>254</v>
      </c>
      <c r="V31" s="162" t="s">
        <v>255</v>
      </c>
      <c r="W31" s="162" t="s">
        <v>256</v>
      </c>
      <c r="X31" s="162" t="s">
        <v>257</v>
      </c>
      <c r="Y31" s="162" t="s">
        <v>258</v>
      </c>
      <c r="Z31" s="162" t="s">
        <v>259</v>
      </c>
      <c r="AA31" s="172" t="s">
        <v>260</v>
      </c>
      <c r="AB31" s="168" t="s">
        <v>261</v>
      </c>
      <c r="AC31" s="175" t="s">
        <v>262</v>
      </c>
      <c r="AD31" s="175"/>
      <c r="AE31" s="175"/>
      <c r="AF31" s="175"/>
      <c r="AG31" s="175"/>
      <c r="AH31" s="175"/>
      <c r="AI31" s="176"/>
      <c r="AJ31" s="176"/>
      <c r="AK31" s="176"/>
      <c r="AL31" s="176"/>
      <c r="AM31" s="176"/>
      <c r="AN31" s="176"/>
      <c r="AO31" s="176"/>
      <c r="AP31" s="177"/>
    </row>
    <row r="32" spans="1:42" ht="13.5" thickBot="1" x14ac:dyDescent="0.25">
      <c r="A32" s="165"/>
      <c r="B32" s="167"/>
      <c r="C32" s="169"/>
      <c r="D32" s="173" t="s">
        <v>263</v>
      </c>
      <c r="E32" s="161" t="s">
        <v>264</v>
      </c>
      <c r="F32" s="161" t="s">
        <v>265</v>
      </c>
      <c r="G32" s="161" t="s">
        <v>266</v>
      </c>
      <c r="H32" s="174" t="s">
        <v>267</v>
      </c>
      <c r="I32" s="173" t="s">
        <v>263</v>
      </c>
      <c r="J32" s="161" t="s">
        <v>268</v>
      </c>
      <c r="K32" s="161" t="s">
        <v>269</v>
      </c>
      <c r="L32" s="161" t="s">
        <v>270</v>
      </c>
      <c r="M32" s="161" t="s">
        <v>271</v>
      </c>
      <c r="N32" s="184"/>
      <c r="O32" s="185"/>
      <c r="P32" s="185"/>
      <c r="Q32" s="185"/>
      <c r="R32" s="185"/>
      <c r="S32" s="186"/>
      <c r="T32" s="173"/>
      <c r="U32" s="161"/>
      <c r="V32" s="161"/>
      <c r="W32" s="161"/>
      <c r="X32" s="161"/>
      <c r="Y32" s="161"/>
      <c r="Z32" s="161"/>
      <c r="AA32" s="174"/>
      <c r="AB32" s="169"/>
      <c r="AC32" s="178"/>
      <c r="AD32" s="178"/>
      <c r="AE32" s="178"/>
      <c r="AF32" s="178"/>
      <c r="AG32" s="178"/>
      <c r="AH32" s="178"/>
      <c r="AI32" s="179"/>
      <c r="AJ32" s="179"/>
      <c r="AK32" s="179"/>
      <c r="AL32" s="179"/>
      <c r="AM32" s="179"/>
      <c r="AN32" s="179"/>
      <c r="AO32" s="179"/>
      <c r="AP32" s="180"/>
    </row>
    <row r="33" spans="1:42" ht="55.5" customHeight="1" x14ac:dyDescent="0.2">
      <c r="A33" s="165"/>
      <c r="B33" s="167"/>
      <c r="C33" s="169"/>
      <c r="D33" s="173"/>
      <c r="E33" s="161"/>
      <c r="F33" s="161"/>
      <c r="G33" s="161"/>
      <c r="H33" s="174"/>
      <c r="I33" s="173"/>
      <c r="J33" s="161"/>
      <c r="K33" s="161"/>
      <c r="L33" s="161"/>
      <c r="M33" s="161"/>
      <c r="N33" s="77" t="s">
        <v>272</v>
      </c>
      <c r="O33" s="78" t="s">
        <v>273</v>
      </c>
      <c r="P33" s="78" t="s">
        <v>274</v>
      </c>
      <c r="Q33" s="78" t="s">
        <v>275</v>
      </c>
      <c r="R33" s="78" t="s">
        <v>276</v>
      </c>
      <c r="S33" s="79" t="s">
        <v>277</v>
      </c>
      <c r="T33" s="173"/>
      <c r="U33" s="161"/>
      <c r="V33" s="161"/>
      <c r="W33" s="161"/>
      <c r="X33" s="161"/>
      <c r="Y33" s="161"/>
      <c r="Z33" s="161"/>
      <c r="AA33" s="174"/>
      <c r="AB33" s="169"/>
      <c r="AC33" s="80" t="str">
        <f>'AUTO CALCULATION SHEET (2)'!O17</f>
        <v>AL 59</v>
      </c>
      <c r="AD33" s="81" t="str">
        <f>'AUTO CALCULATION SHEET (2)'!AC17</f>
        <v>Extruded semiconductive</v>
      </c>
      <c r="AE33" s="82" t="str">
        <f>'AUTO CALCULATION SHEET (2)'!AE17</f>
        <v>HT-XLPE</v>
      </c>
      <c r="AF33" s="82" t="str">
        <f>'AUTO CALCULATION SHEET (2)'!BL17</f>
        <v>UV &amp; Track Resistant XLPE</v>
      </c>
      <c r="AG33" s="82" t="str">
        <f>'AUTO CALCULATION SHEET (2)'!BU17</f>
        <v>Water Tight Compound</v>
      </c>
      <c r="AH33" s="83" t="s">
        <v>278</v>
      </c>
      <c r="AI33" s="84" t="s">
        <v>279</v>
      </c>
      <c r="AJ33" s="85" t="s">
        <v>296</v>
      </c>
      <c r="AK33" s="86" t="s">
        <v>280</v>
      </c>
      <c r="AL33" s="83" t="s">
        <v>281</v>
      </c>
      <c r="AM33" s="84" t="s">
        <v>282</v>
      </c>
      <c r="AN33" s="84" t="s">
        <v>283</v>
      </c>
      <c r="AO33" s="84" t="s">
        <v>284</v>
      </c>
      <c r="AP33" s="85" t="s">
        <v>285</v>
      </c>
    </row>
    <row r="34" spans="1:42" ht="17.25" customHeight="1" x14ac:dyDescent="0.2">
      <c r="A34" s="87"/>
      <c r="B34" s="87"/>
      <c r="C34" s="88"/>
      <c r="D34" s="89"/>
      <c r="E34" s="90"/>
      <c r="F34" s="91"/>
      <c r="G34" s="91"/>
      <c r="H34" s="92"/>
      <c r="I34" s="93"/>
      <c r="J34" s="90"/>
      <c r="K34" s="91"/>
      <c r="L34" s="91"/>
      <c r="M34" s="92"/>
      <c r="N34" s="77"/>
      <c r="O34" s="78"/>
      <c r="P34" s="78"/>
      <c r="Q34" s="78"/>
      <c r="R34" s="78"/>
      <c r="S34" s="79"/>
      <c r="T34" s="77"/>
      <c r="U34" s="76"/>
      <c r="V34" s="76"/>
      <c r="W34" s="76"/>
      <c r="X34" s="76"/>
      <c r="Y34" s="76"/>
      <c r="Z34" s="76"/>
      <c r="AA34" s="94"/>
      <c r="AB34" s="95"/>
      <c r="AC34" s="96">
        <v>296</v>
      </c>
      <c r="AD34" s="97">
        <v>178</v>
      </c>
      <c r="AE34" s="98">
        <v>151</v>
      </c>
      <c r="AF34" s="98">
        <v>237</v>
      </c>
      <c r="AG34" s="98">
        <v>210</v>
      </c>
      <c r="AH34" s="99"/>
      <c r="AI34" s="100"/>
      <c r="AJ34" s="101"/>
      <c r="AK34" s="102"/>
      <c r="AL34" s="103"/>
      <c r="AM34" s="100"/>
      <c r="AN34" s="104"/>
      <c r="AO34" s="100"/>
      <c r="AP34" s="105"/>
    </row>
    <row r="35" spans="1:42" s="130" customFormat="1" ht="33.75" customHeight="1" x14ac:dyDescent="0.2">
      <c r="A35" s="106" t="str">
        <f>'AUTO CALCULATION SHEET (2)'!D19</f>
        <v>COVERED CONDUCTOR - 1 CORE X 55 SQ. MM. (AAAC) - 11 KV</v>
      </c>
      <c r="B35" s="107"/>
      <c r="C35" s="108" t="s">
        <v>286</v>
      </c>
      <c r="D35" s="109">
        <v>45685</v>
      </c>
      <c r="E35" s="132">
        <v>267933.34000000003</v>
      </c>
      <c r="F35" s="111"/>
      <c r="G35" s="111">
        <v>293182</v>
      </c>
      <c r="H35" s="112">
        <v>176136</v>
      </c>
      <c r="I35" s="109">
        <f>$B$1</f>
        <v>45658</v>
      </c>
      <c r="J35" s="110">
        <v>264189</v>
      </c>
      <c r="K35" s="111"/>
      <c r="L35" s="111">
        <v>293182</v>
      </c>
      <c r="M35" s="112">
        <v>176136</v>
      </c>
      <c r="N35" s="113"/>
      <c r="O35" s="131">
        <v>0.15279999999999999</v>
      </c>
      <c r="P35" s="114"/>
      <c r="Q35" s="114">
        <v>4.4900000000000002E-2</v>
      </c>
      <c r="R35" s="114">
        <v>4.8599999999999997E-2</v>
      </c>
      <c r="S35" s="115">
        <v>5.5500000000000001E-2</v>
      </c>
      <c r="T35" s="116">
        <f>'AUTO CALCULATION SHEET (2)'!E39*1000</f>
        <v>107900</v>
      </c>
      <c r="U35" s="117">
        <f t="shared" ref="U35:U40" si="0">(E35-J35)*N35</f>
        <v>0</v>
      </c>
      <c r="V35" s="117">
        <f t="shared" ref="V35:Y40" si="1">(E35-J35)*O35</f>
        <v>572.13515200000393</v>
      </c>
      <c r="W35" s="117">
        <f t="shared" si="1"/>
        <v>0</v>
      </c>
      <c r="X35" s="117">
        <f t="shared" si="1"/>
        <v>0</v>
      </c>
      <c r="Y35" s="117">
        <f t="shared" si="1"/>
        <v>0</v>
      </c>
      <c r="Z35" s="117">
        <f t="shared" ref="Z35:Z40" si="2">(H35-M35)*S35</f>
        <v>0</v>
      </c>
      <c r="AA35" s="118">
        <f t="shared" ref="AA35:AA40" si="3">U35+V35+W35+X35+Y35+Z35</f>
        <v>572.13515200000393</v>
      </c>
      <c r="AB35" s="119">
        <f t="shared" ref="AB35:AB40" si="4">T35+AA35</f>
        <v>108472.135152</v>
      </c>
      <c r="AC35" s="120">
        <f>'AUTO CALCULATION SHEET (2)'!O19</f>
        <v>150</v>
      </c>
      <c r="AD35" s="121">
        <f>'AUTO CALCULATION SHEET (2)'!AC19</f>
        <v>40</v>
      </c>
      <c r="AE35" s="122">
        <f>'AUTO CALCULATION SHEET (2)'!AE19</f>
        <v>48</v>
      </c>
      <c r="AF35" s="122">
        <f>'AUTO CALCULATION SHEET (2)'!BL19</f>
        <v>65</v>
      </c>
      <c r="AG35" s="122">
        <f>'AUTO CALCULATION SHEET (2)'!BU19</f>
        <v>15</v>
      </c>
      <c r="AH35" s="123">
        <f t="shared" ref="AH35:AH40" si="5">SUMPRODUCT($AC$34:$AG$34,AC35:AG35)</f>
        <v>77323</v>
      </c>
      <c r="AI35" s="124">
        <f>'AUTO CALCULATION SHEET (2)'!BZ19</f>
        <v>8100</v>
      </c>
      <c r="AJ35" s="125">
        <f t="shared" ref="AJ35:AJ40" si="6">AH35+AI35</f>
        <v>85423</v>
      </c>
      <c r="AK35" s="126">
        <f t="shared" ref="AK35:AK40" si="7">+AB35-AJ35</f>
        <v>23049.135152000003</v>
      </c>
      <c r="AL35" s="127">
        <f>AK35/AB35*100%</f>
        <v>0.21248899654922138</v>
      </c>
      <c r="AM35" s="128"/>
      <c r="AN35" s="128">
        <v>0.02</v>
      </c>
      <c r="AO35" s="128">
        <v>0.01</v>
      </c>
      <c r="AP35" s="129">
        <f t="shared" ref="AP35" si="8">AL35-SUM(AM35:AO35)</f>
        <v>0.18248899654922138</v>
      </c>
    </row>
    <row r="36" spans="1:42" s="130" customFormat="1" ht="33.75" customHeight="1" x14ac:dyDescent="0.2">
      <c r="A36" s="106" t="str">
        <f>'AUTO CALCULATION SHEET (2)'!D20</f>
        <v>COVERED CONDUCTOR - 1 CORE X 80 SQ. MM. (AAAC) - 11 KV</v>
      </c>
      <c r="B36" s="107"/>
      <c r="C36" s="108" t="s">
        <v>286</v>
      </c>
      <c r="D36" s="109">
        <v>45685</v>
      </c>
      <c r="E36" s="132">
        <v>267933.34000000003</v>
      </c>
      <c r="F36" s="111"/>
      <c r="G36" s="111">
        <v>293182</v>
      </c>
      <c r="H36" s="112">
        <v>176136</v>
      </c>
      <c r="I36" s="109">
        <f t="shared" ref="I36:I40" si="9">$B$1</f>
        <v>45658</v>
      </c>
      <c r="J36" s="110">
        <v>264189</v>
      </c>
      <c r="K36" s="111"/>
      <c r="L36" s="111">
        <v>293182</v>
      </c>
      <c r="M36" s="112">
        <v>176136</v>
      </c>
      <c r="N36" s="113"/>
      <c r="O36" s="131">
        <v>0.2225</v>
      </c>
      <c r="P36" s="114"/>
      <c r="Q36" s="114">
        <v>5.6800000000000003E-2</v>
      </c>
      <c r="R36" s="114">
        <v>5.7599999999999998E-2</v>
      </c>
      <c r="S36" s="115">
        <v>6.6600000000000006E-2</v>
      </c>
      <c r="T36" s="116">
        <f>'AUTO CALCULATION SHEET (2)'!E40*1000</f>
        <v>139370</v>
      </c>
      <c r="U36" s="117">
        <f t="shared" si="0"/>
        <v>0</v>
      </c>
      <c r="V36" s="117">
        <f t="shared" si="1"/>
        <v>833.11565000000576</v>
      </c>
      <c r="W36" s="117">
        <f t="shared" si="1"/>
        <v>0</v>
      </c>
      <c r="X36" s="117">
        <f t="shared" si="1"/>
        <v>0</v>
      </c>
      <c r="Y36" s="117">
        <f t="shared" si="1"/>
        <v>0</v>
      </c>
      <c r="Z36" s="117">
        <f t="shared" si="2"/>
        <v>0</v>
      </c>
      <c r="AA36" s="118">
        <f t="shared" si="3"/>
        <v>833.11565000000576</v>
      </c>
      <c r="AB36" s="119">
        <f t="shared" si="4"/>
        <v>140203.11564999999</v>
      </c>
      <c r="AC36" s="120">
        <f>'AUTO CALCULATION SHEET (2)'!O20</f>
        <v>219</v>
      </c>
      <c r="AD36" s="121">
        <f>'AUTO CALCULATION SHEET (2)'!AC20</f>
        <v>48</v>
      </c>
      <c r="AE36" s="122">
        <f>'AUTO CALCULATION SHEET (2)'!AE20</f>
        <v>55</v>
      </c>
      <c r="AF36" s="122">
        <f>'AUTO CALCULATION SHEET (2)'!BL20</f>
        <v>74</v>
      </c>
      <c r="AG36" s="122">
        <f>'AUTO CALCULATION SHEET (2)'!BU20</f>
        <v>16</v>
      </c>
      <c r="AH36" s="123">
        <f t="shared" si="5"/>
        <v>102571</v>
      </c>
      <c r="AI36" s="124">
        <f>'AUTO CALCULATION SHEET (2)'!BZ20</f>
        <v>8100</v>
      </c>
      <c r="AJ36" s="125">
        <f t="shared" si="6"/>
        <v>110671</v>
      </c>
      <c r="AK36" s="126">
        <f t="shared" si="7"/>
        <v>29532.115649999992</v>
      </c>
      <c r="AL36" s="127">
        <f t="shared" ref="AL36:AL40" si="10">AK36/AB36*100%</f>
        <v>0.21063808399039663</v>
      </c>
      <c r="AM36" s="128"/>
      <c r="AN36" s="128">
        <v>0.02</v>
      </c>
      <c r="AO36" s="128">
        <v>0.01</v>
      </c>
      <c r="AP36" s="129">
        <f t="shared" ref="AP36:AP40" si="11">AL36-SUM(AM36:AO36)</f>
        <v>0.18063808399039663</v>
      </c>
    </row>
    <row r="37" spans="1:42" s="130" customFormat="1" ht="33.75" customHeight="1" x14ac:dyDescent="0.2">
      <c r="A37" s="106" t="str">
        <f>'AUTO CALCULATION SHEET (2)'!D21</f>
        <v>COVERED CONDUCTOR - 1 CORE x 100 SQ. MM. (AAAC) - 11KV</v>
      </c>
      <c r="B37" s="107"/>
      <c r="C37" s="108" t="s">
        <v>286</v>
      </c>
      <c r="D37" s="109">
        <v>45685</v>
      </c>
      <c r="E37" s="132">
        <v>267933.34000000003</v>
      </c>
      <c r="F37" s="111"/>
      <c r="G37" s="111">
        <v>293182</v>
      </c>
      <c r="H37" s="112">
        <v>176136</v>
      </c>
      <c r="I37" s="109">
        <f t="shared" si="9"/>
        <v>45658</v>
      </c>
      <c r="J37" s="110">
        <v>264189</v>
      </c>
      <c r="K37" s="111"/>
      <c r="L37" s="111">
        <v>293182</v>
      </c>
      <c r="M37" s="112">
        <v>176136</v>
      </c>
      <c r="N37" s="113"/>
      <c r="O37" s="131">
        <v>0.27960000000000002</v>
      </c>
      <c r="P37" s="114"/>
      <c r="Q37" s="114">
        <v>6.3399999999999998E-2</v>
      </c>
      <c r="R37" s="114">
        <v>6.2199999999999998E-2</v>
      </c>
      <c r="S37" s="115">
        <v>6.88E-2</v>
      </c>
      <c r="T37" s="116">
        <f>'AUTO CALCULATION SHEET (2)'!E41*1000</f>
        <v>163310</v>
      </c>
      <c r="U37" s="117">
        <f t="shared" si="0"/>
        <v>0</v>
      </c>
      <c r="V37" s="117">
        <f t="shared" si="1"/>
        <v>1046.9174640000072</v>
      </c>
      <c r="W37" s="117">
        <f t="shared" si="1"/>
        <v>0</v>
      </c>
      <c r="X37" s="117">
        <f t="shared" si="1"/>
        <v>0</v>
      </c>
      <c r="Y37" s="117">
        <f t="shared" si="1"/>
        <v>0</v>
      </c>
      <c r="Z37" s="117">
        <f t="shared" si="2"/>
        <v>0</v>
      </c>
      <c r="AA37" s="118">
        <f t="shared" si="3"/>
        <v>1046.9174640000072</v>
      </c>
      <c r="AB37" s="119">
        <f t="shared" si="4"/>
        <v>164356.917464</v>
      </c>
      <c r="AC37" s="120">
        <f>'AUTO CALCULATION SHEET (2)'!O21</f>
        <v>273</v>
      </c>
      <c r="AD37" s="121">
        <f>'AUTO CALCULATION SHEET (2)'!AC21</f>
        <v>54</v>
      </c>
      <c r="AE37" s="122">
        <f>'AUTO CALCULATION SHEET (2)'!AE21</f>
        <v>60</v>
      </c>
      <c r="AF37" s="122">
        <f>'AUTO CALCULATION SHEET (2)'!BL21</f>
        <v>80</v>
      </c>
      <c r="AG37" s="122">
        <f>'AUTO CALCULATION SHEET (2)'!BU21</f>
        <v>16</v>
      </c>
      <c r="AH37" s="123">
        <f t="shared" si="5"/>
        <v>121800</v>
      </c>
      <c r="AI37" s="124">
        <f>'AUTO CALCULATION SHEET (2)'!BZ21</f>
        <v>8100</v>
      </c>
      <c r="AJ37" s="125">
        <f t="shared" si="6"/>
        <v>129900</v>
      </c>
      <c r="AK37" s="126">
        <f t="shared" si="7"/>
        <v>34456.917463999998</v>
      </c>
      <c r="AL37" s="127">
        <f t="shared" si="10"/>
        <v>0.2096468952792771</v>
      </c>
      <c r="AM37" s="128"/>
      <c r="AN37" s="128">
        <v>0.02</v>
      </c>
      <c r="AO37" s="128">
        <v>0.01</v>
      </c>
      <c r="AP37" s="129">
        <f t="shared" si="11"/>
        <v>0.1796468952792771</v>
      </c>
    </row>
    <row r="38" spans="1:42" s="130" customFormat="1" ht="33.75" customHeight="1" x14ac:dyDescent="0.2">
      <c r="A38" s="106" t="str">
        <f>'AUTO CALCULATION SHEET (2)'!D22</f>
        <v>COVERED CONDUCTOR - 1 CORE X 99 SQ. MM. (AAAC) - 33 KV</v>
      </c>
      <c r="B38" s="107"/>
      <c r="C38" s="108" t="s">
        <v>286</v>
      </c>
      <c r="D38" s="109">
        <v>45685</v>
      </c>
      <c r="E38" s="132">
        <v>267933.34000000003</v>
      </c>
      <c r="F38" s="111"/>
      <c r="G38" s="111">
        <v>293182</v>
      </c>
      <c r="H38" s="112">
        <v>176136</v>
      </c>
      <c r="I38" s="109">
        <f t="shared" si="9"/>
        <v>45658</v>
      </c>
      <c r="J38" s="110">
        <v>264189</v>
      </c>
      <c r="K38" s="111"/>
      <c r="L38" s="111">
        <v>293182</v>
      </c>
      <c r="M38" s="112">
        <v>176136</v>
      </c>
      <c r="N38" s="113"/>
      <c r="O38" s="131">
        <v>0.27960000000000002</v>
      </c>
      <c r="P38" s="114"/>
      <c r="Q38" s="114">
        <v>7.1900000000000006E-2</v>
      </c>
      <c r="R38" s="114">
        <v>0.13370000000000001</v>
      </c>
      <c r="S38" s="115">
        <v>8.9800000000000005E-2</v>
      </c>
      <c r="T38" s="116">
        <f>'AUTO CALCULATION SHEET (2)'!E42*1000</f>
        <v>186040</v>
      </c>
      <c r="U38" s="117">
        <f t="shared" si="0"/>
        <v>0</v>
      </c>
      <c r="V38" s="117">
        <f t="shared" si="1"/>
        <v>1046.9174640000072</v>
      </c>
      <c r="W38" s="117">
        <f t="shared" si="1"/>
        <v>0</v>
      </c>
      <c r="X38" s="117">
        <f t="shared" si="1"/>
        <v>0</v>
      </c>
      <c r="Y38" s="117">
        <f t="shared" si="1"/>
        <v>0</v>
      </c>
      <c r="Z38" s="117">
        <f t="shared" si="2"/>
        <v>0</v>
      </c>
      <c r="AA38" s="118">
        <f t="shared" si="3"/>
        <v>1046.9174640000072</v>
      </c>
      <c r="AB38" s="119">
        <f t="shared" si="4"/>
        <v>187086.917464</v>
      </c>
      <c r="AC38" s="120">
        <f>'AUTO CALCULATION SHEET (2)'!O22</f>
        <v>273</v>
      </c>
      <c r="AD38" s="121">
        <f>'AUTO CALCULATION SHEET (2)'!AC22</f>
        <v>54</v>
      </c>
      <c r="AE38" s="122">
        <f>'AUTO CALCULATION SHEET (2)'!AE22</f>
        <v>127</v>
      </c>
      <c r="AF38" s="122">
        <f>'AUTO CALCULATION SHEET (2)'!BL22</f>
        <v>98</v>
      </c>
      <c r="AG38" s="122">
        <f>'AUTO CALCULATION SHEET (2)'!BU22</f>
        <v>16</v>
      </c>
      <c r="AH38" s="123">
        <f t="shared" si="5"/>
        <v>136183</v>
      </c>
      <c r="AI38" s="124">
        <f>'AUTO CALCULATION SHEET (2)'!BZ22</f>
        <v>10800</v>
      </c>
      <c r="AJ38" s="125">
        <f t="shared" si="6"/>
        <v>146983</v>
      </c>
      <c r="AK38" s="126">
        <f t="shared" si="7"/>
        <v>40103.917463999998</v>
      </c>
      <c r="AL38" s="127">
        <f t="shared" si="10"/>
        <v>0.21435981739191867</v>
      </c>
      <c r="AM38" s="128"/>
      <c r="AN38" s="128">
        <v>0.02</v>
      </c>
      <c r="AO38" s="128">
        <v>0.01</v>
      </c>
      <c r="AP38" s="129">
        <f t="shared" si="11"/>
        <v>0.18435981739191867</v>
      </c>
    </row>
    <row r="39" spans="1:42" s="130" customFormat="1" ht="33.75" customHeight="1" x14ac:dyDescent="0.2">
      <c r="A39" s="106" t="str">
        <f>'AUTO CALCULATION SHEET (2)'!D23</f>
        <v>COVERED CONDUCTOR - 1 CORE x 150 SQ. MM. (XLPE) (AAAC) - 33 KV</v>
      </c>
      <c r="B39" s="107"/>
      <c r="C39" s="108" t="s">
        <v>286</v>
      </c>
      <c r="D39" s="109">
        <v>45685</v>
      </c>
      <c r="E39" s="132">
        <v>267933.34000000003</v>
      </c>
      <c r="F39" s="111"/>
      <c r="G39" s="111">
        <v>293182</v>
      </c>
      <c r="H39" s="112">
        <v>176136</v>
      </c>
      <c r="I39" s="109">
        <f t="shared" si="9"/>
        <v>45658</v>
      </c>
      <c r="J39" s="110">
        <v>264189</v>
      </c>
      <c r="K39" s="111"/>
      <c r="L39" s="111">
        <v>293182</v>
      </c>
      <c r="M39" s="112">
        <v>176136</v>
      </c>
      <c r="N39" s="113"/>
      <c r="O39" s="131">
        <v>0.41420000000000001</v>
      </c>
      <c r="P39" s="114"/>
      <c r="Q39" s="114">
        <v>9.6799999999999997E-2</v>
      </c>
      <c r="R39" s="114">
        <v>0.15759999999999999</v>
      </c>
      <c r="S39" s="115">
        <v>0.1028</v>
      </c>
      <c r="T39" s="116">
        <f>'AUTO CALCULATION SHEET (2)'!E43*1000</f>
        <v>249660</v>
      </c>
      <c r="U39" s="117">
        <f t="shared" si="0"/>
        <v>0</v>
      </c>
      <c r="V39" s="117">
        <f t="shared" si="1"/>
        <v>1550.9056280000107</v>
      </c>
      <c r="W39" s="117">
        <f t="shared" si="1"/>
        <v>0</v>
      </c>
      <c r="X39" s="117">
        <f t="shared" si="1"/>
        <v>0</v>
      </c>
      <c r="Y39" s="117">
        <f t="shared" si="1"/>
        <v>0</v>
      </c>
      <c r="Z39" s="117">
        <f t="shared" si="2"/>
        <v>0</v>
      </c>
      <c r="AA39" s="118">
        <f t="shared" si="3"/>
        <v>1550.9056280000107</v>
      </c>
      <c r="AB39" s="119">
        <f t="shared" si="4"/>
        <v>251210.90562800001</v>
      </c>
      <c r="AC39" s="120">
        <f>'AUTO CALCULATION SHEET (2)'!O23</f>
        <v>407</v>
      </c>
      <c r="AD39" s="121">
        <f>'AUTO CALCULATION SHEET (2)'!AC23</f>
        <v>66</v>
      </c>
      <c r="AE39" s="122">
        <f>'AUTO CALCULATION SHEET (2)'!AE23</f>
        <v>150</v>
      </c>
      <c r="AF39" s="122">
        <f>'AUTO CALCULATION SHEET (2)'!BL23</f>
        <v>111</v>
      </c>
      <c r="AG39" s="122">
        <f>'AUTO CALCULATION SHEET (2)'!BU23</f>
        <v>28</v>
      </c>
      <c r="AH39" s="123">
        <f t="shared" si="5"/>
        <v>187057</v>
      </c>
      <c r="AI39" s="124">
        <f>'AUTO CALCULATION SHEET (2)'!BZ23</f>
        <v>10800</v>
      </c>
      <c r="AJ39" s="125">
        <f t="shared" si="6"/>
        <v>197857</v>
      </c>
      <c r="AK39" s="126">
        <f t="shared" si="7"/>
        <v>53353.905628000008</v>
      </c>
      <c r="AL39" s="127">
        <f t="shared" si="10"/>
        <v>0.21238690053929399</v>
      </c>
      <c r="AM39" s="128"/>
      <c r="AN39" s="128">
        <v>0.02</v>
      </c>
      <c r="AO39" s="128">
        <v>0.01</v>
      </c>
      <c r="AP39" s="129">
        <f t="shared" si="11"/>
        <v>0.18238690053929399</v>
      </c>
    </row>
    <row r="40" spans="1:42" s="130" customFormat="1" ht="33.75" customHeight="1" x14ac:dyDescent="0.2">
      <c r="A40" s="106" t="str">
        <f>'AUTO CALCULATION SHEET (2)'!D24</f>
        <v>COVERED CONDUCTOR - 1 CORE X 232 SQ. MM. (AAAC) - 33 KV</v>
      </c>
      <c r="B40" s="107"/>
      <c r="C40" s="108" t="s">
        <v>286</v>
      </c>
      <c r="D40" s="109">
        <v>45685</v>
      </c>
      <c r="E40" s="132">
        <v>267933.34000000003</v>
      </c>
      <c r="F40" s="111"/>
      <c r="G40" s="111">
        <v>293182</v>
      </c>
      <c r="H40" s="112">
        <v>176136</v>
      </c>
      <c r="I40" s="109">
        <f t="shared" si="9"/>
        <v>45658</v>
      </c>
      <c r="J40" s="110">
        <v>264189</v>
      </c>
      <c r="K40" s="111"/>
      <c r="L40" s="111">
        <v>293182</v>
      </c>
      <c r="M40" s="112">
        <v>176136</v>
      </c>
      <c r="N40" s="113"/>
      <c r="O40" s="131">
        <v>0.64800000000000002</v>
      </c>
      <c r="P40" s="114"/>
      <c r="Q40" s="114">
        <v>0.1265</v>
      </c>
      <c r="R40" s="114">
        <v>0.18940000000000001</v>
      </c>
      <c r="S40" s="115">
        <v>0.1202</v>
      </c>
      <c r="T40" s="116">
        <f>'AUTO CALCULATION SHEET (2)'!E44*1000</f>
        <v>352289.99999999994</v>
      </c>
      <c r="U40" s="117">
        <f t="shared" si="0"/>
        <v>0</v>
      </c>
      <c r="V40" s="117">
        <f t="shared" si="1"/>
        <v>2426.3323200000168</v>
      </c>
      <c r="W40" s="117">
        <f t="shared" si="1"/>
        <v>0</v>
      </c>
      <c r="X40" s="117">
        <f t="shared" si="1"/>
        <v>0</v>
      </c>
      <c r="Y40" s="117">
        <f t="shared" si="1"/>
        <v>0</v>
      </c>
      <c r="Z40" s="117">
        <f t="shared" si="2"/>
        <v>0</v>
      </c>
      <c r="AA40" s="118">
        <f t="shared" si="3"/>
        <v>2426.3323200000168</v>
      </c>
      <c r="AB40" s="119">
        <f t="shared" si="4"/>
        <v>354716.33231999999</v>
      </c>
      <c r="AC40" s="120">
        <f>'AUTO CALCULATION SHEET (2)'!O24</f>
        <v>637</v>
      </c>
      <c r="AD40" s="121">
        <f>'AUTO CALCULATION SHEET (2)'!AC24</f>
        <v>80</v>
      </c>
      <c r="AE40" s="122">
        <f>'AUTO CALCULATION SHEET (2)'!AE24</f>
        <v>178</v>
      </c>
      <c r="AF40" s="122">
        <f>'AUTO CALCULATION SHEET (2)'!BL24</f>
        <v>130</v>
      </c>
      <c r="AG40" s="122">
        <f>'AUTO CALCULATION SHEET (2)'!BU24</f>
        <v>38</v>
      </c>
      <c r="AH40" s="123">
        <f t="shared" si="5"/>
        <v>268460</v>
      </c>
      <c r="AI40" s="124">
        <f>'AUTO CALCULATION SHEET (2)'!BZ24</f>
        <v>11700</v>
      </c>
      <c r="AJ40" s="125">
        <f t="shared" si="6"/>
        <v>280160</v>
      </c>
      <c r="AK40" s="126">
        <f t="shared" si="7"/>
        <v>74556.332319999987</v>
      </c>
      <c r="AL40" s="127">
        <f t="shared" si="10"/>
        <v>0.210185789395061</v>
      </c>
      <c r="AM40" s="128"/>
      <c r="AN40" s="128">
        <v>0.02</v>
      </c>
      <c r="AO40" s="128">
        <v>0.01</v>
      </c>
      <c r="AP40" s="129">
        <f t="shared" si="11"/>
        <v>0.180185789395061</v>
      </c>
    </row>
  </sheetData>
  <mergeCells count="52">
    <mergeCell ref="Z31:Z33"/>
    <mergeCell ref="AA31:AA33"/>
    <mergeCell ref="AB31:AB33"/>
    <mergeCell ref="AC31:AP32"/>
    <mergeCell ref="D32:D33"/>
    <mergeCell ref="E32:E33"/>
    <mergeCell ref="F32:F33"/>
    <mergeCell ref="G32:G33"/>
    <mergeCell ref="H32:H33"/>
    <mergeCell ref="N31:S32"/>
    <mergeCell ref="T31:T33"/>
    <mergeCell ref="U31:U33"/>
    <mergeCell ref="V31:V33"/>
    <mergeCell ref="W31:W33"/>
    <mergeCell ref="X31:X33"/>
    <mergeCell ref="L32:L33"/>
    <mergeCell ref="M32:M33"/>
    <mergeCell ref="Y31:Y33"/>
    <mergeCell ref="A27:J27"/>
    <mergeCell ref="A28:J28"/>
    <mergeCell ref="A31:A33"/>
    <mergeCell ref="B31:B33"/>
    <mergeCell ref="C31:C33"/>
    <mergeCell ref="D31:H31"/>
    <mergeCell ref="I31:M31"/>
    <mergeCell ref="I32:I33"/>
    <mergeCell ref="J32:J33"/>
    <mergeCell ref="K32:K33"/>
    <mergeCell ref="A26:J26"/>
    <mergeCell ref="A15:J15"/>
    <mergeCell ref="A16:J16"/>
    <mergeCell ref="A17:J17"/>
    <mergeCell ref="A18:J18"/>
    <mergeCell ref="A19:J19"/>
    <mergeCell ref="A20:J20"/>
    <mergeCell ref="A21:J21"/>
    <mergeCell ref="A22:J22"/>
    <mergeCell ref="A23:J23"/>
    <mergeCell ref="A24:J24"/>
    <mergeCell ref="A25:J25"/>
    <mergeCell ref="A14:J14"/>
    <mergeCell ref="B1:N1"/>
    <mergeCell ref="B2:N2"/>
    <mergeCell ref="A3:J3"/>
    <mergeCell ref="A4:J5"/>
    <mergeCell ref="A7:J7"/>
    <mergeCell ref="A8:J8"/>
    <mergeCell ref="A9:J9"/>
    <mergeCell ref="A10:J10"/>
    <mergeCell ref="A11:J11"/>
    <mergeCell ref="A12:J12"/>
    <mergeCell ref="A13:J1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PV ON IS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2025-02-26T10:33:30Z</dcterms:modified>
</cp:coreProperties>
</file>