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E:\working\2025-26\02_FEBRUARY 2026\TPCODL-8015-HTCABLE-18390\"/>
    </mc:Choice>
  </mc:AlternateContent>
  <xr:revisionPtr revIDLastSave="0" documentId="13_ncr:1_{4C781F2F-4DC0-4A28-AAC3-A28897E4DD4F}"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CALCULATION SHEET" sheetId="7" r:id="rId3"/>
    <sheet name="terms" sheetId="5" state="hidden" r:id="rId4"/>
  </sheets>
  <definedNames>
    <definedName name="_xlnm._FilterDatabase" localSheetId="1" hidden="1">'AUTO CALCULATION SHEET (2)'!$D$48:$AQ$71</definedName>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17" i="7" l="1"/>
  <c r="AI17" i="7"/>
  <c r="AQ20" i="7"/>
  <c r="AQ21" i="7"/>
  <c r="AQ22" i="7"/>
  <c r="AQ23" i="7"/>
  <c r="AQ24" i="7"/>
  <c r="AQ25" i="7"/>
  <c r="AQ26" i="7"/>
  <c r="AQ27" i="7"/>
  <c r="AQ28" i="7"/>
  <c r="AQ29" i="7"/>
  <c r="AQ30" i="7"/>
  <c r="AQ31" i="7"/>
  <c r="AQ32" i="7"/>
  <c r="AQ33" i="7"/>
  <c r="AQ34" i="7"/>
  <c r="AQ35" i="7"/>
  <c r="AQ36" i="7"/>
  <c r="AQ37" i="7"/>
  <c r="AQ38" i="7"/>
  <c r="AQ39" i="7"/>
  <c r="AQ40" i="7"/>
  <c r="AQ41" i="7"/>
  <c r="AQ19" i="7"/>
  <c r="AO20" i="7"/>
  <c r="AO21" i="7"/>
  <c r="AO22" i="7"/>
  <c r="AO23" i="7"/>
  <c r="AO24" i="7"/>
  <c r="AO25" i="7"/>
  <c r="AO26" i="7"/>
  <c r="AO27" i="7"/>
  <c r="AO28" i="7"/>
  <c r="AO29" i="7"/>
  <c r="AO30" i="7"/>
  <c r="AO31" i="7"/>
  <c r="AO32" i="7"/>
  <c r="AO33" i="7"/>
  <c r="AO34" i="7"/>
  <c r="AO35" i="7"/>
  <c r="AO36" i="7"/>
  <c r="AO37" i="7"/>
  <c r="AO38" i="7"/>
  <c r="AO39" i="7"/>
  <c r="AO40" i="7"/>
  <c r="AO41" i="7"/>
  <c r="AO19" i="7"/>
  <c r="AN20" i="7"/>
  <c r="AN21" i="7"/>
  <c r="AN22" i="7"/>
  <c r="AN23" i="7"/>
  <c r="AN24" i="7"/>
  <c r="AN25" i="7"/>
  <c r="AN26" i="7"/>
  <c r="AN27" i="7"/>
  <c r="AN28" i="7"/>
  <c r="AN29" i="7"/>
  <c r="AN30" i="7"/>
  <c r="AN31" i="7"/>
  <c r="AN32" i="7"/>
  <c r="AN33" i="7"/>
  <c r="AN34" i="7"/>
  <c r="AN35" i="7"/>
  <c r="AN36" i="7"/>
  <c r="AN37" i="7"/>
  <c r="AN38" i="7"/>
  <c r="AN39" i="7"/>
  <c r="AN40" i="7"/>
  <c r="AN41" i="7"/>
  <c r="AN19" i="7"/>
  <c r="AM20" i="7"/>
  <c r="AM21" i="7"/>
  <c r="AM22" i="7"/>
  <c r="AM23" i="7"/>
  <c r="AM24" i="7"/>
  <c r="AM25" i="7"/>
  <c r="AM26" i="7"/>
  <c r="AM27" i="7"/>
  <c r="AM28" i="7"/>
  <c r="AM29" i="7"/>
  <c r="AM30" i="7"/>
  <c r="AM31" i="7"/>
  <c r="AM32" i="7"/>
  <c r="AM33" i="7"/>
  <c r="AM34" i="7"/>
  <c r="AM35" i="7"/>
  <c r="AM36" i="7"/>
  <c r="AM37" i="7"/>
  <c r="AM38" i="7"/>
  <c r="AM39" i="7"/>
  <c r="AM40" i="7"/>
  <c r="AM41" i="7"/>
  <c r="AM19" i="7"/>
  <c r="AL20" i="7"/>
  <c r="AL21" i="7"/>
  <c r="AL22" i="7"/>
  <c r="AL23" i="7"/>
  <c r="AL24" i="7"/>
  <c r="AL25" i="7"/>
  <c r="AL26" i="7"/>
  <c r="AL27" i="7"/>
  <c r="AL28" i="7"/>
  <c r="AL29" i="7"/>
  <c r="AL30" i="7"/>
  <c r="AL31" i="7"/>
  <c r="AL32" i="7"/>
  <c r="AL33" i="7"/>
  <c r="AL34" i="7"/>
  <c r="AL35" i="7"/>
  <c r="AL36" i="7"/>
  <c r="AL37" i="7"/>
  <c r="AL38" i="7"/>
  <c r="AL39" i="7"/>
  <c r="AL40" i="7"/>
  <c r="AL41" i="7"/>
  <c r="AL19" i="7"/>
  <c r="AK20" i="7"/>
  <c r="AK21" i="7"/>
  <c r="AK22" i="7"/>
  <c r="AK23" i="7"/>
  <c r="AK24" i="7"/>
  <c r="AK25" i="7"/>
  <c r="AK26" i="7"/>
  <c r="AK27" i="7"/>
  <c r="AK28" i="7"/>
  <c r="AK29" i="7"/>
  <c r="AK30" i="7"/>
  <c r="AK31" i="7"/>
  <c r="AK32" i="7"/>
  <c r="AK33" i="7"/>
  <c r="AK34" i="7"/>
  <c r="AK35" i="7"/>
  <c r="AK36" i="7"/>
  <c r="AK37" i="7"/>
  <c r="AK38" i="7"/>
  <c r="AK39" i="7"/>
  <c r="AK40" i="7"/>
  <c r="AK41" i="7"/>
  <c r="AK19" i="7"/>
  <c r="AJ20" i="7"/>
  <c r="AJ21" i="7"/>
  <c r="AJ22" i="7"/>
  <c r="AJ23" i="7"/>
  <c r="AJ24" i="7"/>
  <c r="AJ25" i="7"/>
  <c r="AJ26" i="7"/>
  <c r="AJ27" i="7"/>
  <c r="AJ28" i="7"/>
  <c r="AJ29" i="7"/>
  <c r="AJ30" i="7"/>
  <c r="AJ31" i="7"/>
  <c r="AJ32" i="7"/>
  <c r="AJ33" i="7"/>
  <c r="AJ34" i="7"/>
  <c r="AJ35" i="7"/>
  <c r="AJ36" i="7"/>
  <c r="AJ37" i="7"/>
  <c r="AJ38" i="7"/>
  <c r="AJ39" i="7"/>
  <c r="AJ40" i="7"/>
  <c r="AJ41" i="7"/>
  <c r="AJ19" i="7"/>
  <c r="AI20" i="7"/>
  <c r="AI21" i="7"/>
  <c r="AI22" i="7"/>
  <c r="AI23" i="7"/>
  <c r="AI24" i="7"/>
  <c r="AI25" i="7"/>
  <c r="AI26" i="7"/>
  <c r="AI27" i="7"/>
  <c r="AI28" i="7"/>
  <c r="AI29" i="7"/>
  <c r="AI30" i="7"/>
  <c r="AI31" i="7"/>
  <c r="AI32" i="7"/>
  <c r="AI33" i="7"/>
  <c r="AI34" i="7"/>
  <c r="AI35" i="7"/>
  <c r="AI36" i="7"/>
  <c r="AI37" i="7"/>
  <c r="AI38" i="7"/>
  <c r="AI39" i="7"/>
  <c r="AI40" i="7"/>
  <c r="AI41" i="7"/>
  <c r="AI19" i="7"/>
  <c r="AH20" i="7"/>
  <c r="AH21" i="7"/>
  <c r="AH22" i="7"/>
  <c r="AH23" i="7"/>
  <c r="AH24" i="7"/>
  <c r="AH25" i="7"/>
  <c r="AH26" i="7"/>
  <c r="AH27" i="7"/>
  <c r="AH28" i="7"/>
  <c r="AH29" i="7"/>
  <c r="AH30" i="7"/>
  <c r="AH31" i="7"/>
  <c r="AH32" i="7"/>
  <c r="AH33" i="7"/>
  <c r="AH34" i="7"/>
  <c r="AH35" i="7"/>
  <c r="AH36" i="7"/>
  <c r="AH37" i="7"/>
  <c r="AH38" i="7"/>
  <c r="AH39" i="7"/>
  <c r="AH40" i="7"/>
  <c r="AH41" i="7"/>
  <c r="AH19" i="7"/>
  <c r="AG20" i="7"/>
  <c r="AG21" i="7"/>
  <c r="AG22" i="7"/>
  <c r="AG23" i="7"/>
  <c r="AG24" i="7"/>
  <c r="AG25" i="7"/>
  <c r="AG26" i="7"/>
  <c r="AG27" i="7"/>
  <c r="AG28" i="7"/>
  <c r="AG29" i="7"/>
  <c r="AG30" i="7"/>
  <c r="AG31" i="7"/>
  <c r="AG32" i="7"/>
  <c r="AG33" i="7"/>
  <c r="AG34" i="7"/>
  <c r="AG35" i="7"/>
  <c r="AG36" i="7"/>
  <c r="AG37" i="7"/>
  <c r="AG38" i="7"/>
  <c r="AG39" i="7"/>
  <c r="AG40" i="7"/>
  <c r="AG41" i="7"/>
  <c r="AG19" i="7"/>
  <c r="AF20" i="7"/>
  <c r="AF21" i="7"/>
  <c r="AF22" i="7"/>
  <c r="AF23" i="7"/>
  <c r="AF24" i="7"/>
  <c r="AF25" i="7"/>
  <c r="AF26" i="7"/>
  <c r="AF27" i="7"/>
  <c r="AF28" i="7"/>
  <c r="AF29" i="7"/>
  <c r="AF30" i="7"/>
  <c r="AF31" i="7"/>
  <c r="AF32" i="7"/>
  <c r="AF33" i="7"/>
  <c r="AF34" i="7"/>
  <c r="AF35" i="7"/>
  <c r="AF36" i="7"/>
  <c r="AF37" i="7"/>
  <c r="AF38" i="7"/>
  <c r="AF39" i="7"/>
  <c r="AF40" i="7"/>
  <c r="AF41" i="7"/>
  <c r="AF19" i="7"/>
  <c r="AE20" i="7"/>
  <c r="AE21" i="7"/>
  <c r="AE22" i="7"/>
  <c r="AE23" i="7"/>
  <c r="AE24" i="7"/>
  <c r="AE25" i="7"/>
  <c r="AE26" i="7"/>
  <c r="AE27" i="7"/>
  <c r="AE28" i="7"/>
  <c r="AE29" i="7"/>
  <c r="AE30" i="7"/>
  <c r="AE31" i="7"/>
  <c r="AE32" i="7"/>
  <c r="AE33" i="7"/>
  <c r="AE34" i="7"/>
  <c r="AE35" i="7"/>
  <c r="AE36" i="7"/>
  <c r="AE37" i="7"/>
  <c r="AE38" i="7"/>
  <c r="AE39" i="7"/>
  <c r="AE40" i="7"/>
  <c r="AE41" i="7"/>
  <c r="AE19" i="7"/>
  <c r="AD20" i="7"/>
  <c r="AD21" i="7"/>
  <c r="AD22" i="7"/>
  <c r="AD23" i="7"/>
  <c r="AD24" i="7"/>
  <c r="AD25" i="7"/>
  <c r="AD26" i="7"/>
  <c r="AD27" i="7"/>
  <c r="AD28" i="7"/>
  <c r="AD29" i="7"/>
  <c r="AD30" i="7"/>
  <c r="AD31" i="7"/>
  <c r="AD32" i="7"/>
  <c r="AD33" i="7"/>
  <c r="AD34" i="7"/>
  <c r="AD35" i="7"/>
  <c r="AD36" i="7"/>
  <c r="AD37" i="7"/>
  <c r="AD38" i="7"/>
  <c r="AD39" i="7"/>
  <c r="AD40" i="7"/>
  <c r="AD41" i="7"/>
  <c r="AD19" i="7"/>
  <c r="AC20" i="7"/>
  <c r="AC21" i="7"/>
  <c r="AC22" i="7"/>
  <c r="AC23" i="7"/>
  <c r="AC24" i="7"/>
  <c r="AC25" i="7"/>
  <c r="AC26" i="7"/>
  <c r="AC27" i="7"/>
  <c r="AC28" i="7"/>
  <c r="AC29" i="7"/>
  <c r="AC30" i="7"/>
  <c r="AC31" i="7"/>
  <c r="AC32" i="7"/>
  <c r="AC33" i="7"/>
  <c r="AC34" i="7"/>
  <c r="AC35" i="7"/>
  <c r="AC36" i="7"/>
  <c r="AC37" i="7"/>
  <c r="AC38" i="7"/>
  <c r="AC39" i="7"/>
  <c r="AC40" i="7"/>
  <c r="AC41" i="7"/>
  <c r="AC19" i="7"/>
  <c r="AO16" i="7"/>
  <c r="AN16" i="7"/>
  <c r="AM16" i="7"/>
  <c r="AL16" i="7"/>
  <c r="AK16" i="7"/>
  <c r="AJ16" i="7"/>
  <c r="AI16" i="7"/>
  <c r="AH16" i="7"/>
  <c r="AG16" i="7"/>
  <c r="AF16" i="7"/>
  <c r="AE16" i="7"/>
  <c r="AD16" i="7"/>
  <c r="AC16" i="7"/>
  <c r="AA41" i="7"/>
  <c r="AA40" i="7"/>
  <c r="AA39" i="7"/>
  <c r="AA38" i="7"/>
  <c r="AA37" i="7"/>
  <c r="AA36" i="7"/>
  <c r="AA35" i="7"/>
  <c r="AA34" i="7"/>
  <c r="AA33" i="7"/>
  <c r="AA32" i="7"/>
  <c r="AA31" i="7"/>
  <c r="AA30" i="7"/>
  <c r="AA29" i="7"/>
  <c r="AA28" i="7"/>
  <c r="AA27" i="7"/>
  <c r="AA26" i="7"/>
  <c r="AA25" i="7"/>
  <c r="AA24" i="7"/>
  <c r="AA23" i="7"/>
  <c r="AA22" i="7"/>
  <c r="AA21" i="7"/>
  <c r="AA20" i="7"/>
  <c r="AA19" i="7"/>
  <c r="Z41" i="7"/>
  <c r="Z40" i="7"/>
  <c r="Z39" i="7"/>
  <c r="Z38" i="7"/>
  <c r="Z37" i="7"/>
  <c r="Z36" i="7"/>
  <c r="Z35" i="7"/>
  <c r="Z34" i="7"/>
  <c r="Z33" i="7"/>
  <c r="Z32" i="7"/>
  <c r="Z31" i="7"/>
  <c r="Z30" i="7"/>
  <c r="Z29" i="7"/>
  <c r="Z28" i="7"/>
  <c r="Z27" i="7"/>
  <c r="Z26" i="7"/>
  <c r="Z25" i="7"/>
  <c r="Z24" i="7"/>
  <c r="Z23" i="7"/>
  <c r="Z22" i="7"/>
  <c r="Z21" i="7"/>
  <c r="Z20" i="7"/>
  <c r="Z19" i="7"/>
  <c r="Y41" i="7"/>
  <c r="Y40" i="7"/>
  <c r="Y39" i="7"/>
  <c r="Y38" i="7"/>
  <c r="Y37" i="7"/>
  <c r="Y36" i="7"/>
  <c r="Y35" i="7"/>
  <c r="Y34" i="7"/>
  <c r="Y33" i="7"/>
  <c r="Y32" i="7"/>
  <c r="Y31" i="7"/>
  <c r="Y30" i="7"/>
  <c r="Y29" i="7"/>
  <c r="Y28" i="7"/>
  <c r="Y27" i="7"/>
  <c r="Y26" i="7"/>
  <c r="Y25" i="7"/>
  <c r="Y24" i="7"/>
  <c r="Y23" i="7"/>
  <c r="Y22" i="7"/>
  <c r="Y21" i="7"/>
  <c r="Y20" i="7"/>
  <c r="Y19" i="7"/>
  <c r="X41" i="7"/>
  <c r="X40" i="7"/>
  <c r="X39" i="7"/>
  <c r="X38" i="7"/>
  <c r="X37" i="7"/>
  <c r="X36" i="7"/>
  <c r="X35" i="7"/>
  <c r="X34" i="7"/>
  <c r="X33" i="7"/>
  <c r="X32" i="7"/>
  <c r="X31" i="7"/>
  <c r="X30" i="7"/>
  <c r="X29" i="7"/>
  <c r="X28" i="7"/>
  <c r="X27" i="7"/>
  <c r="X26" i="7"/>
  <c r="X25" i="7"/>
  <c r="X24" i="7"/>
  <c r="X23" i="7"/>
  <c r="X22" i="7"/>
  <c r="X21" i="7"/>
  <c r="X20" i="7"/>
  <c r="X19" i="7"/>
  <c r="W41" i="7"/>
  <c r="W40" i="7"/>
  <c r="W39" i="7"/>
  <c r="W38" i="7"/>
  <c r="W37" i="7"/>
  <c r="W36" i="7"/>
  <c r="W35" i="7"/>
  <c r="W34" i="7"/>
  <c r="W33" i="7"/>
  <c r="W32" i="7"/>
  <c r="W31" i="7"/>
  <c r="W30" i="7"/>
  <c r="W29" i="7"/>
  <c r="W28" i="7"/>
  <c r="W27" i="7"/>
  <c r="W26" i="7"/>
  <c r="W25" i="7"/>
  <c r="W24" i="7"/>
  <c r="W23" i="7"/>
  <c r="W22" i="7"/>
  <c r="W21" i="7"/>
  <c r="W20" i="7"/>
  <c r="W19" i="7"/>
  <c r="V41" i="7"/>
  <c r="V40" i="7"/>
  <c r="V39" i="7"/>
  <c r="V38" i="7"/>
  <c r="V37" i="7"/>
  <c r="V36" i="7"/>
  <c r="V35" i="7"/>
  <c r="V34" i="7"/>
  <c r="V33" i="7"/>
  <c r="V32" i="7"/>
  <c r="V31" i="7"/>
  <c r="V30" i="7"/>
  <c r="V29" i="7"/>
  <c r="V28" i="7"/>
  <c r="V27" i="7"/>
  <c r="V26" i="7"/>
  <c r="V25" i="7"/>
  <c r="V24" i="7"/>
  <c r="V23" i="7"/>
  <c r="V22" i="7"/>
  <c r="V21" i="7"/>
  <c r="V20" i="7"/>
  <c r="V19" i="7"/>
  <c r="AP40" i="7"/>
  <c r="AR40" i="7" s="1"/>
  <c r="AP41" i="7" l="1"/>
  <c r="AR41" i="7" s="1"/>
  <c r="J40" i="7"/>
  <c r="J41" i="7"/>
  <c r="A40" i="7"/>
  <c r="A41" i="7"/>
  <c r="A20" i="7"/>
  <c r="A21" i="7"/>
  <c r="A22" i="7"/>
  <c r="A23" i="7"/>
  <c r="A24" i="7"/>
  <c r="A25" i="7"/>
  <c r="A26" i="7"/>
  <c r="A27" i="7"/>
  <c r="A28" i="7"/>
  <c r="A29" i="7"/>
  <c r="A30" i="7"/>
  <c r="A31" i="7"/>
  <c r="A32" i="7"/>
  <c r="A33" i="7"/>
  <c r="A34" i="7"/>
  <c r="A35" i="7"/>
  <c r="A36" i="7"/>
  <c r="A37" i="7"/>
  <c r="A38" i="7"/>
  <c r="A39" i="7"/>
  <c r="A19" i="7"/>
  <c r="K79" i="4"/>
  <c r="K80" i="4"/>
  <c r="K81" i="4"/>
  <c r="K82" i="4"/>
  <c r="K83" i="4"/>
  <c r="K84" i="4"/>
  <c r="K85" i="4"/>
  <c r="K86" i="4"/>
  <c r="K87" i="4"/>
  <c r="K88" i="4"/>
  <c r="K89" i="4"/>
  <c r="K90" i="4"/>
  <c r="K91" i="4"/>
  <c r="K92" i="4"/>
  <c r="K93" i="4"/>
  <c r="K94" i="4"/>
  <c r="K95" i="4"/>
  <c r="K96" i="4"/>
  <c r="K97" i="4"/>
  <c r="K98" i="4"/>
  <c r="K99" i="4"/>
  <c r="K100" i="4"/>
  <c r="K78" i="4"/>
  <c r="H79" i="4"/>
  <c r="H80" i="4"/>
  <c r="H81" i="4"/>
  <c r="H82" i="4"/>
  <c r="H83" i="4"/>
  <c r="H84" i="4"/>
  <c r="H85" i="4"/>
  <c r="H86" i="4"/>
  <c r="H87" i="4"/>
  <c r="H88" i="4"/>
  <c r="H89" i="4"/>
  <c r="H90" i="4"/>
  <c r="H91" i="4"/>
  <c r="H92" i="4"/>
  <c r="H93" i="4"/>
  <c r="H94" i="4"/>
  <c r="H95" i="4"/>
  <c r="H96" i="4"/>
  <c r="H97" i="4"/>
  <c r="H98" i="4"/>
  <c r="H99" i="4"/>
  <c r="H100" i="4"/>
  <c r="H78" i="4"/>
  <c r="E79" i="4"/>
  <c r="E80" i="4"/>
  <c r="E81" i="4"/>
  <c r="E82" i="4"/>
  <c r="E83" i="4"/>
  <c r="E84" i="4"/>
  <c r="E85" i="4"/>
  <c r="E86" i="4"/>
  <c r="E87" i="4"/>
  <c r="E88" i="4"/>
  <c r="E89" i="4"/>
  <c r="E90" i="4"/>
  <c r="E91" i="4"/>
  <c r="E92" i="4"/>
  <c r="E93" i="4"/>
  <c r="E94" i="4"/>
  <c r="E95" i="4"/>
  <c r="E96" i="4"/>
  <c r="E97" i="4"/>
  <c r="E98" i="4"/>
  <c r="E99" i="4"/>
  <c r="E100" i="4"/>
  <c r="E78" i="4"/>
  <c r="D100" i="4"/>
  <c r="D79" i="4"/>
  <c r="D80" i="4"/>
  <c r="D81" i="4"/>
  <c r="D82" i="4"/>
  <c r="D83" i="4"/>
  <c r="D84" i="4"/>
  <c r="D85" i="4"/>
  <c r="D86" i="4"/>
  <c r="D87" i="4"/>
  <c r="D88" i="4"/>
  <c r="D89" i="4"/>
  <c r="D90" i="4"/>
  <c r="D91" i="4"/>
  <c r="D92" i="4"/>
  <c r="D93" i="4"/>
  <c r="D94" i="4"/>
  <c r="D95" i="4"/>
  <c r="D96" i="4"/>
  <c r="D97" i="4"/>
  <c r="D98" i="4"/>
  <c r="D99" i="4"/>
  <c r="D78" i="4"/>
  <c r="C79" i="4"/>
  <c r="C80" i="4"/>
  <c r="C81" i="4"/>
  <c r="C82" i="4"/>
  <c r="C83" i="4"/>
  <c r="C84" i="4"/>
  <c r="C85" i="4"/>
  <c r="C86" i="4"/>
  <c r="C87" i="4"/>
  <c r="C88" i="4"/>
  <c r="C89" i="4"/>
  <c r="C90" i="4"/>
  <c r="C91" i="4"/>
  <c r="C92" i="4"/>
  <c r="C93" i="4"/>
  <c r="C94" i="4"/>
  <c r="C95" i="4"/>
  <c r="C96" i="4"/>
  <c r="C97" i="4"/>
  <c r="C98" i="4"/>
  <c r="C99" i="4"/>
  <c r="C100" i="4"/>
  <c r="C78" i="4"/>
  <c r="B79" i="4"/>
  <c r="B80" i="4"/>
  <c r="B81" i="4"/>
  <c r="B82" i="4"/>
  <c r="B83" i="4"/>
  <c r="B84" i="4"/>
  <c r="B85" i="4"/>
  <c r="B86" i="4"/>
  <c r="B87" i="4"/>
  <c r="B88" i="4"/>
  <c r="B89" i="4"/>
  <c r="B90" i="4"/>
  <c r="B91" i="4"/>
  <c r="B92" i="4"/>
  <c r="B93" i="4"/>
  <c r="B94" i="4"/>
  <c r="B95" i="4"/>
  <c r="B96" i="4"/>
  <c r="B97" i="4"/>
  <c r="B98" i="4"/>
  <c r="B99" i="4"/>
  <c r="B100" i="4"/>
  <c r="B78" i="4"/>
  <c r="A79" i="4"/>
  <c r="A80" i="4"/>
  <c r="A81" i="4"/>
  <c r="A82" i="4"/>
  <c r="A83" i="4"/>
  <c r="A84" i="4"/>
  <c r="A85" i="4"/>
  <c r="A86" i="4"/>
  <c r="A87" i="4"/>
  <c r="A88" i="4"/>
  <c r="A89" i="4"/>
  <c r="A90" i="4"/>
  <c r="A91" i="4"/>
  <c r="A92" i="4"/>
  <c r="A93" i="4"/>
  <c r="A94" i="4"/>
  <c r="A95" i="4"/>
  <c r="A96" i="4"/>
  <c r="A97" i="4"/>
  <c r="A98" i="4"/>
  <c r="A99" i="4"/>
  <c r="A100" i="4"/>
  <c r="A78" i="4"/>
  <c r="J39" i="7" l="1"/>
  <c r="J38" i="7"/>
  <c r="J37" i="7"/>
  <c r="J36" i="7"/>
  <c r="J35" i="7"/>
  <c r="J34" i="7"/>
  <c r="J33" i="7"/>
  <c r="J32" i="7"/>
  <c r="J31" i="7"/>
  <c r="J30" i="7"/>
  <c r="J29" i="7"/>
  <c r="J28" i="7"/>
  <c r="J27" i="7"/>
  <c r="J26" i="7"/>
  <c r="J25" i="7"/>
  <c r="J24" i="7"/>
  <c r="J23" i="7"/>
  <c r="J22" i="7"/>
  <c r="J21" i="7"/>
  <c r="J20" i="7"/>
  <c r="J19" i="7"/>
  <c r="B55" i="4"/>
  <c r="AP19" i="7" l="1"/>
  <c r="AR19" i="7" s="1"/>
  <c r="AP21" i="7"/>
  <c r="AR21" i="7" s="1"/>
  <c r="AP26" i="7"/>
  <c r="AR26" i="7" s="1"/>
  <c r="AP27" i="7"/>
  <c r="AR27" i="7" s="1"/>
  <c r="AP29" i="7"/>
  <c r="AR29" i="7" s="1"/>
  <c r="AP34" i="7"/>
  <c r="AR34" i="7" s="1"/>
  <c r="AP35" i="7"/>
  <c r="AR35" i="7" s="1"/>
  <c r="AP22" i="7"/>
  <c r="AR22" i="7" s="1"/>
  <c r="AP23" i="7"/>
  <c r="AR23" i="7" s="1"/>
  <c r="AP25" i="7"/>
  <c r="AR25" i="7" s="1"/>
  <c r="AP30" i="7"/>
  <c r="AR30" i="7" s="1"/>
  <c r="AP31" i="7"/>
  <c r="AR31" i="7" s="1"/>
  <c r="AP33" i="7"/>
  <c r="AR33" i="7" s="1"/>
  <c r="AP38" i="7"/>
  <c r="AR38" i="7" s="1"/>
  <c r="AP20" i="7"/>
  <c r="AR20" i="7" s="1"/>
  <c r="AP24" i="7"/>
  <c r="AR24" i="7" s="1"/>
  <c r="AP28" i="7"/>
  <c r="AR28" i="7" s="1"/>
  <c r="AP32" i="7"/>
  <c r="AR32" i="7" s="1"/>
  <c r="AP36" i="7"/>
  <c r="AR36" i="7" s="1"/>
  <c r="AP37" i="7"/>
  <c r="AR37" i="7" s="1"/>
  <c r="AP39" i="7"/>
  <c r="AR39" i="7" s="1"/>
  <c r="BO20" i="4" l="1"/>
  <c r="BD20" i="4"/>
  <c r="CK43" i="4" l="1"/>
  <c r="CK42" i="4"/>
  <c r="CK41" i="4"/>
  <c r="CK40" i="4"/>
  <c r="CK39" i="4"/>
  <c r="CK38" i="4"/>
  <c r="CK37" i="4"/>
  <c r="CK36" i="4"/>
  <c r="CK35" i="4"/>
  <c r="CK34" i="4"/>
  <c r="CK33" i="4"/>
  <c r="CK32" i="4"/>
  <c r="CK31" i="4"/>
  <c r="CK30" i="4"/>
  <c r="CK29" i="4"/>
  <c r="CK28" i="4"/>
  <c r="CK27" i="4"/>
  <c r="CK26" i="4"/>
  <c r="CK25" i="4"/>
  <c r="CK24" i="4"/>
  <c r="CK23" i="4"/>
  <c r="CK22" i="4"/>
  <c r="CK21" i="4"/>
  <c r="N50" i="4" l="1"/>
  <c r="N51" i="4"/>
  <c r="N52" i="4"/>
  <c r="N53" i="4"/>
  <c r="N54" i="4"/>
  <c r="N55" i="4"/>
  <c r="N56" i="4"/>
  <c r="N57" i="4"/>
  <c r="N58" i="4"/>
  <c r="N59" i="4"/>
  <c r="N60" i="4"/>
  <c r="N61" i="4"/>
  <c r="N62" i="4"/>
  <c r="N63" i="4"/>
  <c r="N64" i="4"/>
  <c r="N65" i="4"/>
  <c r="N66" i="4"/>
  <c r="N67" i="4"/>
  <c r="N68" i="4"/>
  <c r="N69" i="4"/>
  <c r="N70" i="4"/>
  <c r="N71" i="4"/>
  <c r="N49" i="4"/>
  <c r="A23" i="4" l="1"/>
  <c r="C23" i="4"/>
  <c r="D23" i="4"/>
  <c r="D51" i="4" s="1"/>
  <c r="H23" i="4"/>
  <c r="K23" i="4"/>
  <c r="E51" i="4" s="1"/>
  <c r="L23" i="4"/>
  <c r="N23" i="4"/>
  <c r="O23" i="4"/>
  <c r="P23" i="4"/>
  <c r="Q23" i="4"/>
  <c r="R23" i="4"/>
  <c r="S23" i="4"/>
  <c r="T23" i="4"/>
  <c r="U23" i="4"/>
  <c r="V23" i="4"/>
  <c r="W23" i="4"/>
  <c r="X23" i="4"/>
  <c r="Y23" i="4"/>
  <c r="Z23" i="4"/>
  <c r="AA23" i="4"/>
  <c r="AC23" i="4"/>
  <c r="AD23" i="4"/>
  <c r="AE23" i="4"/>
  <c r="AG23" i="4"/>
  <c r="AI23" i="4"/>
  <c r="AJ23" i="4"/>
  <c r="AK23" i="4"/>
  <c r="AL23" i="4"/>
  <c r="AM23" i="4"/>
  <c r="AN23" i="4"/>
  <c r="AO23" i="4"/>
  <c r="AP23" i="4"/>
  <c r="AQ23" i="4"/>
  <c r="AR23" i="4"/>
  <c r="AS23" i="4"/>
  <c r="AT23" i="4"/>
  <c r="AU23" i="4"/>
  <c r="AV23" i="4"/>
  <c r="AW23" i="4"/>
  <c r="AY23" i="4"/>
  <c r="BA23" i="4"/>
  <c r="BB23" i="4"/>
  <c r="BC23" i="4"/>
  <c r="BD23" i="4"/>
  <c r="BE23" i="4"/>
  <c r="BF23" i="4"/>
  <c r="BG23" i="4"/>
  <c r="BH23" i="4"/>
  <c r="BI23" i="4"/>
  <c r="BK23" i="4"/>
  <c r="BL23" i="4"/>
  <c r="BM23" i="4"/>
  <c r="BN23" i="4"/>
  <c r="BP23" i="4"/>
  <c r="BQ23" i="4"/>
  <c r="BR23" i="4"/>
  <c r="BS23" i="4"/>
  <c r="BT23" i="4"/>
  <c r="BU23" i="4"/>
  <c r="BV23" i="4"/>
  <c r="BW23" i="4"/>
  <c r="BZ23" i="4"/>
  <c r="CB23" i="4"/>
  <c r="CC23" i="4"/>
  <c r="CD23" i="4"/>
  <c r="CF23" i="4"/>
  <c r="CG23" i="4"/>
  <c r="CJ23" i="4"/>
  <c r="F51" i="4" s="1"/>
  <c r="J51" i="4" s="1"/>
  <c r="K51" i="4" s="1"/>
  <c r="L51" i="4" s="1"/>
  <c r="M51" i="4" s="1"/>
  <c r="F23" i="4" s="1"/>
  <c r="F80" i="4" s="1"/>
  <c r="G80" i="4" s="1"/>
  <c r="CQ23" i="4"/>
  <c r="CX23" i="4"/>
  <c r="A22" i="4"/>
  <c r="C22" i="4"/>
  <c r="D22" i="4"/>
  <c r="D50" i="4" s="1"/>
  <c r="H22" i="4"/>
  <c r="K22" i="4"/>
  <c r="E50" i="4" s="1"/>
  <c r="L22" i="4"/>
  <c r="N22" i="4"/>
  <c r="O22" i="4"/>
  <c r="P22" i="4"/>
  <c r="Q22" i="4"/>
  <c r="R22" i="4"/>
  <c r="S22" i="4"/>
  <c r="T22" i="4"/>
  <c r="U22" i="4"/>
  <c r="V22" i="4"/>
  <c r="W22" i="4"/>
  <c r="X22" i="4"/>
  <c r="Y22" i="4"/>
  <c r="Z22" i="4"/>
  <c r="AA22" i="4"/>
  <c r="AC22" i="4"/>
  <c r="AD22" i="4"/>
  <c r="AE22" i="4"/>
  <c r="AG22" i="4"/>
  <c r="AI22" i="4"/>
  <c r="AJ22" i="4"/>
  <c r="AK22" i="4"/>
  <c r="AL22" i="4"/>
  <c r="AM22" i="4"/>
  <c r="AN22" i="4"/>
  <c r="AO22" i="4"/>
  <c r="AP22" i="4"/>
  <c r="AQ22" i="4"/>
  <c r="AR22" i="4"/>
  <c r="AS22" i="4"/>
  <c r="AT22" i="4"/>
  <c r="AU22" i="4"/>
  <c r="AV22" i="4"/>
  <c r="AW22" i="4"/>
  <c r="AY22" i="4"/>
  <c r="BA22" i="4"/>
  <c r="BB22" i="4"/>
  <c r="BC22" i="4"/>
  <c r="BD22" i="4"/>
  <c r="BE22" i="4"/>
  <c r="BF22" i="4"/>
  <c r="BG22" i="4"/>
  <c r="BH22" i="4"/>
  <c r="BI22" i="4"/>
  <c r="BK22" i="4"/>
  <c r="BL22" i="4"/>
  <c r="BM22" i="4"/>
  <c r="BN22" i="4"/>
  <c r="BP22" i="4"/>
  <c r="BQ22" i="4"/>
  <c r="BR22" i="4"/>
  <c r="BS22" i="4"/>
  <c r="BT22" i="4"/>
  <c r="BU22" i="4"/>
  <c r="BV22" i="4"/>
  <c r="BW22" i="4"/>
  <c r="BZ22" i="4"/>
  <c r="CB22" i="4"/>
  <c r="CC22" i="4"/>
  <c r="CD22" i="4"/>
  <c r="CF22" i="4"/>
  <c r="CG22" i="4"/>
  <c r="CJ22" i="4"/>
  <c r="F50" i="4" s="1"/>
  <c r="J50" i="4" s="1"/>
  <c r="CQ22" i="4"/>
  <c r="CX22" i="4"/>
  <c r="A27" i="4"/>
  <c r="C27" i="4"/>
  <c r="D27" i="4"/>
  <c r="D55" i="4" s="1"/>
  <c r="H27" i="4"/>
  <c r="K27" i="4"/>
  <c r="E55" i="4" s="1"/>
  <c r="L27" i="4"/>
  <c r="N27" i="4"/>
  <c r="O27" i="4"/>
  <c r="P27" i="4"/>
  <c r="Q27" i="4"/>
  <c r="R27" i="4"/>
  <c r="S27" i="4"/>
  <c r="T27" i="4"/>
  <c r="U27" i="4"/>
  <c r="V27" i="4"/>
  <c r="W27" i="4"/>
  <c r="X27" i="4"/>
  <c r="Y27" i="4"/>
  <c r="Z27" i="4"/>
  <c r="AA27" i="4"/>
  <c r="AC27" i="4"/>
  <c r="AD27" i="4"/>
  <c r="AE27" i="4"/>
  <c r="AG27" i="4"/>
  <c r="AI27" i="4"/>
  <c r="AJ27" i="4"/>
  <c r="AK27" i="4"/>
  <c r="AL27" i="4"/>
  <c r="AM27" i="4"/>
  <c r="AN27" i="4"/>
  <c r="AO27" i="4"/>
  <c r="AP27" i="4"/>
  <c r="AQ27" i="4"/>
  <c r="AR27" i="4"/>
  <c r="AS27" i="4"/>
  <c r="AT27" i="4"/>
  <c r="AU27" i="4"/>
  <c r="AV27" i="4"/>
  <c r="AW27" i="4"/>
  <c r="AY27" i="4"/>
  <c r="BA27" i="4"/>
  <c r="BB27" i="4"/>
  <c r="BC27" i="4"/>
  <c r="BD27" i="4"/>
  <c r="BE27" i="4"/>
  <c r="BF27" i="4"/>
  <c r="BG27" i="4"/>
  <c r="BH27" i="4"/>
  <c r="BI27" i="4"/>
  <c r="BK27" i="4"/>
  <c r="BL27" i="4"/>
  <c r="BM27" i="4"/>
  <c r="BN27" i="4"/>
  <c r="BP27" i="4"/>
  <c r="BQ27" i="4"/>
  <c r="BR27" i="4"/>
  <c r="BS27" i="4"/>
  <c r="BT27" i="4"/>
  <c r="BU27" i="4"/>
  <c r="BV27" i="4"/>
  <c r="BW27" i="4"/>
  <c r="BZ27" i="4"/>
  <c r="CB27" i="4"/>
  <c r="CC27" i="4"/>
  <c r="CD27" i="4"/>
  <c r="CF27" i="4"/>
  <c r="CG27" i="4"/>
  <c r="CJ27" i="4"/>
  <c r="F55" i="4" s="1"/>
  <c r="J55" i="4" s="1"/>
  <c r="K55" i="4" s="1"/>
  <c r="L55" i="4" s="1"/>
  <c r="M55" i="4" s="1"/>
  <c r="F27" i="4" s="1"/>
  <c r="F84" i="4" s="1"/>
  <c r="G84" i="4" s="1"/>
  <c r="CQ27" i="4"/>
  <c r="CX27" i="4"/>
  <c r="A26" i="4"/>
  <c r="C26" i="4"/>
  <c r="D26" i="4"/>
  <c r="D54" i="4" s="1"/>
  <c r="H26" i="4"/>
  <c r="K26" i="4"/>
  <c r="E54" i="4" s="1"/>
  <c r="L26" i="4"/>
  <c r="N26" i="4"/>
  <c r="O26" i="4"/>
  <c r="P26" i="4"/>
  <c r="Q26" i="4"/>
  <c r="R26" i="4"/>
  <c r="S26" i="4"/>
  <c r="T26" i="4"/>
  <c r="U26" i="4"/>
  <c r="V26" i="4"/>
  <c r="W26" i="4"/>
  <c r="X26" i="4"/>
  <c r="Y26" i="4"/>
  <c r="Z26" i="4"/>
  <c r="AA26" i="4"/>
  <c r="AC26" i="4"/>
  <c r="AD26" i="4"/>
  <c r="AE26" i="4"/>
  <c r="AG26" i="4"/>
  <c r="AI26" i="4"/>
  <c r="AJ26" i="4"/>
  <c r="AK26" i="4"/>
  <c r="AL26" i="4"/>
  <c r="AM26" i="4"/>
  <c r="AN26" i="4"/>
  <c r="AO26" i="4"/>
  <c r="AP26" i="4"/>
  <c r="AQ26" i="4"/>
  <c r="AR26" i="4"/>
  <c r="AS26" i="4"/>
  <c r="AT26" i="4"/>
  <c r="AU26" i="4"/>
  <c r="AV26" i="4"/>
  <c r="AW26" i="4"/>
  <c r="AY26" i="4"/>
  <c r="BA26" i="4"/>
  <c r="BB26" i="4"/>
  <c r="BC26" i="4"/>
  <c r="BD26" i="4"/>
  <c r="BE26" i="4"/>
  <c r="BF26" i="4"/>
  <c r="BG26" i="4"/>
  <c r="BH26" i="4"/>
  <c r="BI26" i="4"/>
  <c r="BK26" i="4"/>
  <c r="BL26" i="4"/>
  <c r="BM26" i="4"/>
  <c r="BN26" i="4"/>
  <c r="BP26" i="4"/>
  <c r="BQ26" i="4"/>
  <c r="BR26" i="4"/>
  <c r="BS26" i="4"/>
  <c r="BT26" i="4"/>
  <c r="BU26" i="4"/>
  <c r="BV26" i="4"/>
  <c r="BW26" i="4"/>
  <c r="BZ26" i="4"/>
  <c r="CB26" i="4"/>
  <c r="CC26" i="4"/>
  <c r="CD26" i="4"/>
  <c r="CF26" i="4"/>
  <c r="CG26" i="4"/>
  <c r="CJ26" i="4"/>
  <c r="F54" i="4" s="1"/>
  <c r="J54" i="4" s="1"/>
  <c r="CQ26" i="4"/>
  <c r="CX26" i="4"/>
  <c r="A29" i="4"/>
  <c r="C29" i="4"/>
  <c r="D29" i="4"/>
  <c r="D57" i="4" s="1"/>
  <c r="H29" i="4"/>
  <c r="K29" i="4"/>
  <c r="E57" i="4" s="1"/>
  <c r="L29" i="4"/>
  <c r="O29" i="4"/>
  <c r="P29" i="4"/>
  <c r="Q29" i="4"/>
  <c r="R29" i="4"/>
  <c r="S29" i="4"/>
  <c r="T29" i="4"/>
  <c r="U29" i="4"/>
  <c r="V29" i="4"/>
  <c r="W29" i="4"/>
  <c r="X29" i="4"/>
  <c r="Y29" i="4"/>
  <c r="Z29" i="4"/>
  <c r="AA29" i="4"/>
  <c r="AC29" i="4"/>
  <c r="AD29" i="4"/>
  <c r="AE29" i="4"/>
  <c r="AG29" i="4"/>
  <c r="AI29" i="4"/>
  <c r="AJ29" i="4"/>
  <c r="AK29" i="4"/>
  <c r="AL29" i="4"/>
  <c r="AM29" i="4"/>
  <c r="AN29" i="4"/>
  <c r="AO29" i="4"/>
  <c r="AP29" i="4"/>
  <c r="AQ29" i="4"/>
  <c r="AR29" i="4"/>
  <c r="AS29" i="4"/>
  <c r="AT29" i="4"/>
  <c r="AU29" i="4"/>
  <c r="AV29" i="4"/>
  <c r="AW29" i="4"/>
  <c r="AY29" i="4"/>
  <c r="AZ29" i="4"/>
  <c r="BA29" i="4"/>
  <c r="BB29" i="4"/>
  <c r="BC29" i="4"/>
  <c r="BD29" i="4"/>
  <c r="BE29" i="4"/>
  <c r="BF29" i="4"/>
  <c r="BG29" i="4"/>
  <c r="BH29" i="4"/>
  <c r="BI29" i="4"/>
  <c r="BK29" i="4"/>
  <c r="BL29" i="4"/>
  <c r="BM29" i="4"/>
  <c r="BN29" i="4"/>
  <c r="BP29" i="4"/>
  <c r="BQ29" i="4"/>
  <c r="BR29" i="4"/>
  <c r="BS29" i="4"/>
  <c r="BT29" i="4"/>
  <c r="BU29" i="4"/>
  <c r="BV29" i="4"/>
  <c r="BW29" i="4"/>
  <c r="BZ29" i="4"/>
  <c r="CB29" i="4"/>
  <c r="CC29" i="4"/>
  <c r="CD29" i="4"/>
  <c r="CF29" i="4"/>
  <c r="CJ29" i="4"/>
  <c r="F57" i="4" s="1"/>
  <c r="J57" i="4" s="1"/>
  <c r="K57" i="4" s="1"/>
  <c r="L57" i="4" s="1"/>
  <c r="M57" i="4" s="1"/>
  <c r="F29" i="4" s="1"/>
  <c r="F86" i="4" s="1"/>
  <c r="G86" i="4" s="1"/>
  <c r="CQ29" i="4"/>
  <c r="CX29" i="4"/>
  <c r="A38" i="4"/>
  <c r="C38" i="4"/>
  <c r="D38" i="4"/>
  <c r="D66" i="4" s="1"/>
  <c r="H38" i="4"/>
  <c r="K38" i="4"/>
  <c r="E66" i="4" s="1"/>
  <c r="L38" i="4"/>
  <c r="N38" i="4"/>
  <c r="O38" i="4"/>
  <c r="P38" i="4"/>
  <c r="Q38" i="4"/>
  <c r="R38" i="4"/>
  <c r="S38" i="4"/>
  <c r="T38" i="4"/>
  <c r="U38" i="4"/>
  <c r="V38" i="4"/>
  <c r="W38" i="4"/>
  <c r="X38" i="4"/>
  <c r="Y38" i="4"/>
  <c r="Z38" i="4"/>
  <c r="AA38" i="4"/>
  <c r="AC38" i="4"/>
  <c r="AD38" i="4"/>
  <c r="AE38" i="4"/>
  <c r="AG38" i="4"/>
  <c r="AI38" i="4"/>
  <c r="AJ38" i="4"/>
  <c r="AK38" i="4"/>
  <c r="AL38" i="4"/>
  <c r="AM38" i="4"/>
  <c r="AN38" i="4"/>
  <c r="AO38" i="4"/>
  <c r="AP38" i="4"/>
  <c r="AQ38" i="4"/>
  <c r="AR38" i="4"/>
  <c r="AS38" i="4"/>
  <c r="AT38" i="4"/>
  <c r="AU38" i="4"/>
  <c r="AV38" i="4"/>
  <c r="AW38" i="4"/>
  <c r="AY38" i="4"/>
  <c r="BA38" i="4"/>
  <c r="BB38" i="4"/>
  <c r="BC38" i="4"/>
  <c r="BD38" i="4"/>
  <c r="BE38" i="4"/>
  <c r="BF38" i="4"/>
  <c r="BG38" i="4"/>
  <c r="BH38" i="4"/>
  <c r="BI38" i="4"/>
  <c r="BK38" i="4"/>
  <c r="BL38" i="4"/>
  <c r="BM38" i="4"/>
  <c r="BN38" i="4"/>
  <c r="BP38" i="4"/>
  <c r="BQ38" i="4"/>
  <c r="BR38" i="4"/>
  <c r="BS38" i="4"/>
  <c r="BT38" i="4"/>
  <c r="BU38" i="4"/>
  <c r="BV38" i="4"/>
  <c r="BW38" i="4"/>
  <c r="BZ38" i="4"/>
  <c r="CB38" i="4"/>
  <c r="CC38" i="4"/>
  <c r="CD38" i="4"/>
  <c r="CF38" i="4"/>
  <c r="CG38" i="4"/>
  <c r="CJ38" i="4"/>
  <c r="F66" i="4" s="1"/>
  <c r="J66" i="4" s="1"/>
  <c r="CQ38" i="4"/>
  <c r="CX38" i="4"/>
  <c r="A24" i="4"/>
  <c r="C24" i="4"/>
  <c r="D24" i="4"/>
  <c r="D52" i="4" s="1"/>
  <c r="H24" i="4"/>
  <c r="K24" i="4"/>
  <c r="E52" i="4" s="1"/>
  <c r="L24" i="4"/>
  <c r="N24" i="4"/>
  <c r="O24" i="4"/>
  <c r="P24" i="4"/>
  <c r="Q24" i="4"/>
  <c r="R24" i="4"/>
  <c r="S24" i="4"/>
  <c r="T24" i="4"/>
  <c r="U24" i="4"/>
  <c r="V24" i="4"/>
  <c r="W24" i="4"/>
  <c r="X24" i="4"/>
  <c r="Y24" i="4"/>
  <c r="Z24" i="4"/>
  <c r="AA24" i="4"/>
  <c r="AC24" i="4"/>
  <c r="AD24" i="4"/>
  <c r="AE24" i="4"/>
  <c r="AG24" i="4"/>
  <c r="AI24" i="4"/>
  <c r="AJ24" i="4"/>
  <c r="AK24" i="4"/>
  <c r="AL24" i="4"/>
  <c r="AM24" i="4"/>
  <c r="AN24" i="4"/>
  <c r="AO24" i="4"/>
  <c r="AP24" i="4"/>
  <c r="AQ24" i="4"/>
  <c r="AR24" i="4"/>
  <c r="AS24" i="4"/>
  <c r="AT24" i="4"/>
  <c r="AU24" i="4"/>
  <c r="AV24" i="4"/>
  <c r="AW24" i="4"/>
  <c r="AY24" i="4"/>
  <c r="BA24" i="4"/>
  <c r="BB24" i="4"/>
  <c r="BC24" i="4"/>
  <c r="BD24" i="4"/>
  <c r="BE24" i="4"/>
  <c r="BF24" i="4"/>
  <c r="BG24" i="4"/>
  <c r="BH24" i="4"/>
  <c r="BI24" i="4"/>
  <c r="BK24" i="4"/>
  <c r="BL24" i="4"/>
  <c r="BM24" i="4"/>
  <c r="BN24" i="4"/>
  <c r="BP24" i="4"/>
  <c r="BQ24" i="4"/>
  <c r="BR24" i="4"/>
  <c r="BS24" i="4"/>
  <c r="BT24" i="4"/>
  <c r="BU24" i="4"/>
  <c r="BV24" i="4"/>
  <c r="BW24" i="4"/>
  <c r="BZ24" i="4"/>
  <c r="CB24" i="4"/>
  <c r="CC24" i="4"/>
  <c r="CD24" i="4"/>
  <c r="CF24" i="4"/>
  <c r="CG24" i="4"/>
  <c r="CJ24" i="4"/>
  <c r="F52" i="4" s="1"/>
  <c r="J52" i="4" s="1"/>
  <c r="CQ24" i="4"/>
  <c r="CX24" i="4"/>
  <c r="A25" i="4"/>
  <c r="C25" i="4"/>
  <c r="D25" i="4"/>
  <c r="D53" i="4" s="1"/>
  <c r="H25" i="4"/>
  <c r="K25" i="4"/>
  <c r="E53" i="4" s="1"/>
  <c r="L25" i="4"/>
  <c r="N25" i="4"/>
  <c r="O25" i="4"/>
  <c r="P25" i="4"/>
  <c r="Q25" i="4"/>
  <c r="R25" i="4"/>
  <c r="S25" i="4"/>
  <c r="T25" i="4"/>
  <c r="U25" i="4"/>
  <c r="V25" i="4"/>
  <c r="W25" i="4"/>
  <c r="X25" i="4"/>
  <c r="Y25" i="4"/>
  <c r="Z25" i="4"/>
  <c r="AA25" i="4"/>
  <c r="AC25" i="4"/>
  <c r="AD25" i="4"/>
  <c r="AE25" i="4"/>
  <c r="AG25" i="4"/>
  <c r="AI25" i="4"/>
  <c r="AJ25" i="4"/>
  <c r="AK25" i="4"/>
  <c r="AL25" i="4"/>
  <c r="AM25" i="4"/>
  <c r="AN25" i="4"/>
  <c r="AO25" i="4"/>
  <c r="AP25" i="4"/>
  <c r="AQ25" i="4"/>
  <c r="AR25" i="4"/>
  <c r="AS25" i="4"/>
  <c r="AT25" i="4"/>
  <c r="AU25" i="4"/>
  <c r="AV25" i="4"/>
  <c r="AW25" i="4"/>
  <c r="AY25" i="4"/>
  <c r="BA25" i="4"/>
  <c r="BB25" i="4"/>
  <c r="BC25" i="4"/>
  <c r="BD25" i="4"/>
  <c r="BE25" i="4"/>
  <c r="BF25" i="4"/>
  <c r="BG25" i="4"/>
  <c r="BH25" i="4"/>
  <c r="BI25" i="4"/>
  <c r="BK25" i="4"/>
  <c r="BL25" i="4"/>
  <c r="BM25" i="4"/>
  <c r="BN25" i="4"/>
  <c r="BP25" i="4"/>
  <c r="BQ25" i="4"/>
  <c r="BR25" i="4"/>
  <c r="BS25" i="4"/>
  <c r="BT25" i="4"/>
  <c r="BU25" i="4"/>
  <c r="BV25" i="4"/>
  <c r="BW25" i="4"/>
  <c r="BZ25" i="4"/>
  <c r="CB25" i="4"/>
  <c r="CC25" i="4"/>
  <c r="CD25" i="4"/>
  <c r="CF25" i="4"/>
  <c r="CG25" i="4"/>
  <c r="CJ25" i="4"/>
  <c r="F53" i="4" s="1"/>
  <c r="J53" i="4" s="1"/>
  <c r="CQ25" i="4"/>
  <c r="CX25" i="4"/>
  <c r="A37" i="4"/>
  <c r="C37" i="4"/>
  <c r="D37" i="4"/>
  <c r="D65" i="4" s="1"/>
  <c r="H37" i="4"/>
  <c r="K37" i="4"/>
  <c r="E65" i="4" s="1"/>
  <c r="L37" i="4"/>
  <c r="N37" i="4"/>
  <c r="O37" i="4"/>
  <c r="P37" i="4"/>
  <c r="Q37" i="4"/>
  <c r="R37" i="4"/>
  <c r="S37" i="4"/>
  <c r="T37" i="4"/>
  <c r="U37" i="4"/>
  <c r="V37" i="4"/>
  <c r="W37" i="4"/>
  <c r="X37" i="4"/>
  <c r="Y37" i="4"/>
  <c r="Z37" i="4"/>
  <c r="AA37" i="4"/>
  <c r="AC37" i="4"/>
  <c r="AD37" i="4"/>
  <c r="AE37" i="4"/>
  <c r="AG37" i="4"/>
  <c r="AI37" i="4"/>
  <c r="AJ37" i="4"/>
  <c r="AK37" i="4"/>
  <c r="AL37" i="4"/>
  <c r="AM37" i="4"/>
  <c r="AN37" i="4"/>
  <c r="AO37" i="4"/>
  <c r="AP37" i="4"/>
  <c r="AQ37" i="4"/>
  <c r="AR37" i="4"/>
  <c r="AS37" i="4"/>
  <c r="AT37" i="4"/>
  <c r="AU37" i="4"/>
  <c r="AV37" i="4"/>
  <c r="AW37" i="4"/>
  <c r="AY37" i="4"/>
  <c r="BA37" i="4"/>
  <c r="BB37" i="4"/>
  <c r="BC37" i="4"/>
  <c r="BD37" i="4"/>
  <c r="BE37" i="4"/>
  <c r="BF37" i="4"/>
  <c r="BG37" i="4"/>
  <c r="BH37" i="4"/>
  <c r="BI37" i="4"/>
  <c r="BK37" i="4"/>
  <c r="BL37" i="4"/>
  <c r="BM37" i="4"/>
  <c r="BN37" i="4"/>
  <c r="BP37" i="4"/>
  <c r="BQ37" i="4"/>
  <c r="BR37" i="4"/>
  <c r="BS37" i="4"/>
  <c r="BT37" i="4"/>
  <c r="BU37" i="4"/>
  <c r="BV37" i="4"/>
  <c r="BW37" i="4"/>
  <c r="BZ37" i="4"/>
  <c r="CB37" i="4"/>
  <c r="CC37" i="4"/>
  <c r="CD37" i="4"/>
  <c r="CF37" i="4"/>
  <c r="CG37" i="4"/>
  <c r="CJ37" i="4"/>
  <c r="F65" i="4" s="1"/>
  <c r="J65" i="4" s="1"/>
  <c r="CQ37" i="4"/>
  <c r="CX37" i="4"/>
  <c r="A40" i="4"/>
  <c r="C40" i="4"/>
  <c r="D40" i="4"/>
  <c r="D68" i="4" s="1"/>
  <c r="H40" i="4"/>
  <c r="K40" i="4"/>
  <c r="E68" i="4" s="1"/>
  <c r="L40" i="4"/>
  <c r="O40" i="4"/>
  <c r="P40" i="4"/>
  <c r="Q40" i="4"/>
  <c r="R40" i="4"/>
  <c r="S40" i="4"/>
  <c r="T40" i="4"/>
  <c r="U40" i="4"/>
  <c r="V40" i="4"/>
  <c r="W40" i="4"/>
  <c r="X40" i="4"/>
  <c r="Y40" i="4"/>
  <c r="Z40" i="4"/>
  <c r="AA40" i="4"/>
  <c r="AC40" i="4"/>
  <c r="AD40" i="4"/>
  <c r="AE40" i="4"/>
  <c r="AG40" i="4"/>
  <c r="AI40" i="4"/>
  <c r="AJ40" i="4"/>
  <c r="AK40" i="4"/>
  <c r="AL40" i="4"/>
  <c r="AM40" i="4"/>
  <c r="AN40" i="4"/>
  <c r="AO40" i="4"/>
  <c r="AP40" i="4"/>
  <c r="AQ40" i="4"/>
  <c r="AR40" i="4"/>
  <c r="AS40" i="4"/>
  <c r="AT40" i="4"/>
  <c r="AU40" i="4"/>
  <c r="AV40" i="4"/>
  <c r="AW40" i="4"/>
  <c r="AY40" i="4"/>
  <c r="AZ40" i="4"/>
  <c r="BA40" i="4"/>
  <c r="BB40" i="4"/>
  <c r="BC40" i="4"/>
  <c r="BD40" i="4"/>
  <c r="BE40" i="4"/>
  <c r="BF40" i="4"/>
  <c r="BG40" i="4"/>
  <c r="BH40" i="4"/>
  <c r="BI40" i="4"/>
  <c r="BK40" i="4"/>
  <c r="BL40" i="4"/>
  <c r="BM40" i="4"/>
  <c r="BN40" i="4"/>
  <c r="BP40" i="4"/>
  <c r="BQ40" i="4"/>
  <c r="BR40" i="4"/>
  <c r="BS40" i="4"/>
  <c r="BT40" i="4"/>
  <c r="BU40" i="4"/>
  <c r="BV40" i="4"/>
  <c r="BW40" i="4"/>
  <c r="BZ40" i="4"/>
  <c r="CB40" i="4"/>
  <c r="CC40" i="4"/>
  <c r="CD40" i="4"/>
  <c r="CF40" i="4"/>
  <c r="CG40" i="4"/>
  <c r="CJ40" i="4"/>
  <c r="F68" i="4" s="1"/>
  <c r="J68" i="4" s="1"/>
  <c r="CQ40" i="4"/>
  <c r="CX40" i="4"/>
  <c r="A28" i="4"/>
  <c r="C28" i="4"/>
  <c r="D28" i="4"/>
  <c r="D56" i="4" s="1"/>
  <c r="H28" i="4"/>
  <c r="K28" i="4"/>
  <c r="E56" i="4" s="1"/>
  <c r="L28" i="4"/>
  <c r="O28" i="4"/>
  <c r="P28" i="4"/>
  <c r="Q28" i="4"/>
  <c r="R28" i="4"/>
  <c r="S28" i="4"/>
  <c r="T28" i="4"/>
  <c r="U28" i="4"/>
  <c r="V28" i="4"/>
  <c r="W28" i="4"/>
  <c r="X28" i="4"/>
  <c r="Y28" i="4"/>
  <c r="Z28" i="4"/>
  <c r="AA28" i="4"/>
  <c r="AC28" i="4"/>
  <c r="AD28" i="4"/>
  <c r="AE28" i="4"/>
  <c r="AG28" i="4"/>
  <c r="AI28" i="4"/>
  <c r="AJ28" i="4"/>
  <c r="AK28" i="4"/>
  <c r="AL28" i="4"/>
  <c r="AM28" i="4"/>
  <c r="AN28" i="4"/>
  <c r="AO28" i="4"/>
  <c r="AP28" i="4"/>
  <c r="AQ28" i="4"/>
  <c r="AR28" i="4"/>
  <c r="AS28" i="4"/>
  <c r="AT28" i="4"/>
  <c r="AU28" i="4"/>
  <c r="AV28" i="4"/>
  <c r="AW28" i="4"/>
  <c r="AY28" i="4"/>
  <c r="AZ28" i="4"/>
  <c r="BA28" i="4"/>
  <c r="BB28" i="4"/>
  <c r="BC28" i="4"/>
  <c r="BD28" i="4"/>
  <c r="BE28" i="4"/>
  <c r="BF28" i="4"/>
  <c r="BG28" i="4"/>
  <c r="BH28" i="4"/>
  <c r="BI28" i="4"/>
  <c r="BK28" i="4"/>
  <c r="BL28" i="4"/>
  <c r="BM28" i="4"/>
  <c r="BN28" i="4"/>
  <c r="BP28" i="4"/>
  <c r="BQ28" i="4"/>
  <c r="BR28" i="4"/>
  <c r="BS28" i="4"/>
  <c r="BT28" i="4"/>
  <c r="BU28" i="4"/>
  <c r="BV28" i="4"/>
  <c r="BW28" i="4"/>
  <c r="BZ28" i="4"/>
  <c r="CB28" i="4"/>
  <c r="CC28" i="4"/>
  <c r="CD28" i="4"/>
  <c r="CF28" i="4"/>
  <c r="CG28" i="4"/>
  <c r="CJ28" i="4"/>
  <c r="F56" i="4" s="1"/>
  <c r="J56" i="4" s="1"/>
  <c r="CQ28" i="4"/>
  <c r="CX28" i="4"/>
  <c r="CJ31" i="4"/>
  <c r="F59" i="4" s="1"/>
  <c r="J59" i="4" s="1"/>
  <c r="CJ42" i="4"/>
  <c r="F70" i="4" s="1"/>
  <c r="J70" i="4" s="1"/>
  <c r="CJ43" i="4"/>
  <c r="F71" i="4" s="1"/>
  <c r="J71" i="4" s="1"/>
  <c r="CJ39" i="4"/>
  <c r="F67" i="4" s="1"/>
  <c r="J67" i="4" s="1"/>
  <c r="CJ41" i="4"/>
  <c r="F69" i="4" s="1"/>
  <c r="J69" i="4" s="1"/>
  <c r="CJ32" i="4"/>
  <c r="F60" i="4" s="1"/>
  <c r="J60" i="4" s="1"/>
  <c r="CJ30" i="4"/>
  <c r="F58" i="4" s="1"/>
  <c r="J58" i="4" s="1"/>
  <c r="CJ36" i="4"/>
  <c r="F64" i="4" s="1"/>
  <c r="J64" i="4" s="1"/>
  <c r="CJ34" i="4"/>
  <c r="F62" i="4" s="1"/>
  <c r="J62" i="4" s="1"/>
  <c r="CJ35" i="4"/>
  <c r="F63" i="4" s="1"/>
  <c r="J63" i="4" s="1"/>
  <c r="CJ21" i="4"/>
  <c r="CJ33" i="4"/>
  <c r="J84" i="4" l="1"/>
  <c r="M84" i="4" s="1"/>
  <c r="I84" i="4"/>
  <c r="U25" i="7"/>
  <c r="AB25" i="7" s="1"/>
  <c r="AS25" i="7" s="1"/>
  <c r="AT25" i="7" s="1"/>
  <c r="AX25" i="7" s="1"/>
  <c r="I80" i="4"/>
  <c r="J80" i="4" s="1"/>
  <c r="M80" i="4" s="1"/>
  <c r="U21" i="7"/>
  <c r="AB21" i="7" s="1"/>
  <c r="AS21" i="7" s="1"/>
  <c r="AT21" i="7" s="1"/>
  <c r="AX21" i="7" s="1"/>
  <c r="J86" i="4"/>
  <c r="M86" i="4" s="1"/>
  <c r="I86" i="4"/>
  <c r="U27" i="7"/>
  <c r="AB27" i="7" s="1"/>
  <c r="AS27" i="7" s="1"/>
  <c r="AT27" i="7" s="1"/>
  <c r="AX27" i="7" s="1"/>
  <c r="AB56" i="4"/>
  <c r="AH56" i="4" s="1"/>
  <c r="AQ56" i="4" s="1"/>
  <c r="AB68" i="4"/>
  <c r="AH68" i="4" s="1"/>
  <c r="AQ68" i="4" s="1"/>
  <c r="AB65" i="4"/>
  <c r="AH65" i="4" s="1"/>
  <c r="AQ65" i="4" s="1"/>
  <c r="AB53" i="4"/>
  <c r="AH53" i="4" s="1"/>
  <c r="AQ53" i="4" s="1"/>
  <c r="AB52" i="4"/>
  <c r="AH52" i="4" s="1"/>
  <c r="AQ52" i="4" s="1"/>
  <c r="AB66" i="4"/>
  <c r="AH66" i="4" s="1"/>
  <c r="AQ66" i="4" s="1"/>
  <c r="K65" i="4"/>
  <c r="L65" i="4" s="1"/>
  <c r="M65" i="4" s="1"/>
  <c r="F37" i="4" s="1"/>
  <c r="F94" i="4" s="1"/>
  <c r="G94" i="4" s="1"/>
  <c r="AB57" i="4"/>
  <c r="AH57" i="4" s="1"/>
  <c r="AQ57" i="4" s="1"/>
  <c r="AB54" i="4"/>
  <c r="AH54" i="4" s="1"/>
  <c r="AQ54" i="4" s="1"/>
  <c r="AB55" i="4"/>
  <c r="AH55" i="4" s="1"/>
  <c r="AQ55" i="4" s="1"/>
  <c r="AB50" i="4"/>
  <c r="AH50" i="4" s="1"/>
  <c r="AQ50" i="4" s="1"/>
  <c r="AB51" i="4"/>
  <c r="AH51" i="4" s="1"/>
  <c r="AQ51" i="4" s="1"/>
  <c r="K50" i="4"/>
  <c r="L50" i="4" s="1"/>
  <c r="M50" i="4" s="1"/>
  <c r="F22" i="4" s="1"/>
  <c r="F79" i="4" s="1"/>
  <c r="G79" i="4" s="1"/>
  <c r="K68" i="4"/>
  <c r="L68" i="4" s="1"/>
  <c r="M68" i="4" s="1"/>
  <c r="F40" i="4" s="1"/>
  <c r="F97" i="4" s="1"/>
  <c r="G97" i="4" s="1"/>
  <c r="K66" i="4"/>
  <c r="L66" i="4" s="1"/>
  <c r="M66" i="4" s="1"/>
  <c r="F38" i="4" s="1"/>
  <c r="F95" i="4" s="1"/>
  <c r="G95" i="4" s="1"/>
  <c r="K54" i="4"/>
  <c r="L54" i="4" s="1"/>
  <c r="M54" i="4" s="1"/>
  <c r="F26" i="4" s="1"/>
  <c r="F83" i="4" s="1"/>
  <c r="G83" i="4" s="1"/>
  <c r="F49" i="4"/>
  <c r="J49" i="4" s="1"/>
  <c r="F61" i="4"/>
  <c r="J61" i="4" s="1"/>
  <c r="K56" i="4"/>
  <c r="L56" i="4" s="1"/>
  <c r="M56" i="4" s="1"/>
  <c r="F28" i="4" s="1"/>
  <c r="F85" i="4" s="1"/>
  <c r="G85" i="4" s="1"/>
  <c r="K53" i="4"/>
  <c r="L53" i="4" s="1"/>
  <c r="M53" i="4" s="1"/>
  <c r="F25" i="4" s="1"/>
  <c r="F82" i="4" s="1"/>
  <c r="G82" i="4" s="1"/>
  <c r="K52" i="4"/>
  <c r="L52" i="4" s="1"/>
  <c r="M52" i="4" s="1"/>
  <c r="F24" i="4" s="1"/>
  <c r="F81" i="4" s="1"/>
  <c r="G81" i="4" s="1"/>
  <c r="CX21" i="4"/>
  <c r="CQ21" i="4"/>
  <c r="CG21" i="4"/>
  <c r="CF21" i="4"/>
  <c r="CD21" i="4"/>
  <c r="CC21" i="4"/>
  <c r="CB21" i="4"/>
  <c r="BZ21" i="4"/>
  <c r="BW21" i="4"/>
  <c r="BV21" i="4"/>
  <c r="BU21" i="4"/>
  <c r="BT21" i="4"/>
  <c r="BS21" i="4"/>
  <c r="BR21" i="4"/>
  <c r="BQ21" i="4"/>
  <c r="BP21" i="4"/>
  <c r="BN21" i="4"/>
  <c r="BM21" i="4"/>
  <c r="BL21" i="4"/>
  <c r="BK21" i="4"/>
  <c r="BI21" i="4"/>
  <c r="BH21" i="4"/>
  <c r="BG21" i="4"/>
  <c r="BF21" i="4"/>
  <c r="BE21" i="4"/>
  <c r="BD21" i="4"/>
  <c r="BC21" i="4"/>
  <c r="BB21" i="4"/>
  <c r="BA21" i="4"/>
  <c r="AY21" i="4"/>
  <c r="AW21" i="4"/>
  <c r="AV21" i="4"/>
  <c r="AU21" i="4"/>
  <c r="AT21" i="4"/>
  <c r="AS21" i="4"/>
  <c r="AR21" i="4"/>
  <c r="AQ21" i="4"/>
  <c r="AP21" i="4"/>
  <c r="AO21" i="4"/>
  <c r="AN21" i="4"/>
  <c r="AM21" i="4"/>
  <c r="AL21" i="4"/>
  <c r="AK21" i="4"/>
  <c r="AJ21" i="4"/>
  <c r="AI21" i="4"/>
  <c r="AG21" i="4"/>
  <c r="AE21" i="4"/>
  <c r="AD21" i="4"/>
  <c r="AC21" i="4"/>
  <c r="AA21" i="4"/>
  <c r="Z21" i="4"/>
  <c r="Y21" i="4"/>
  <c r="X21" i="4"/>
  <c r="W21" i="4"/>
  <c r="V21" i="4"/>
  <c r="U21" i="4"/>
  <c r="T21" i="4"/>
  <c r="S21" i="4"/>
  <c r="R21" i="4"/>
  <c r="Q21" i="4"/>
  <c r="P21" i="4"/>
  <c r="O21" i="4"/>
  <c r="N21" i="4"/>
  <c r="L21" i="4"/>
  <c r="K21" i="4"/>
  <c r="H21" i="4"/>
  <c r="D21" i="4"/>
  <c r="D49" i="4" s="1"/>
  <c r="C21" i="4"/>
  <c r="A21" i="4"/>
  <c r="CX35" i="4"/>
  <c r="CQ35" i="4"/>
  <c r="CG35" i="4"/>
  <c r="CF35" i="4"/>
  <c r="CD35" i="4"/>
  <c r="CC35" i="4"/>
  <c r="CB35" i="4"/>
  <c r="BZ35" i="4"/>
  <c r="BW35" i="4"/>
  <c r="BV35" i="4"/>
  <c r="BU35" i="4"/>
  <c r="BT35" i="4"/>
  <c r="BS35" i="4"/>
  <c r="BR35" i="4"/>
  <c r="BQ35" i="4"/>
  <c r="BP35" i="4"/>
  <c r="BN35" i="4"/>
  <c r="BM35" i="4"/>
  <c r="BL35" i="4"/>
  <c r="BK35" i="4"/>
  <c r="BI35" i="4"/>
  <c r="BH35" i="4"/>
  <c r="BG35" i="4"/>
  <c r="BF35" i="4"/>
  <c r="BE35" i="4"/>
  <c r="BD35" i="4"/>
  <c r="BC35" i="4"/>
  <c r="BB35" i="4"/>
  <c r="BA35" i="4"/>
  <c r="AY35" i="4"/>
  <c r="AW35" i="4"/>
  <c r="AV35" i="4"/>
  <c r="AU35" i="4"/>
  <c r="AT35" i="4"/>
  <c r="AS35" i="4"/>
  <c r="AR35" i="4"/>
  <c r="AQ35" i="4"/>
  <c r="AP35" i="4"/>
  <c r="AO35" i="4"/>
  <c r="AN35" i="4"/>
  <c r="AM35" i="4"/>
  <c r="AL35" i="4"/>
  <c r="AK35" i="4"/>
  <c r="AJ35" i="4"/>
  <c r="AI35" i="4"/>
  <c r="AG35" i="4"/>
  <c r="AE35" i="4"/>
  <c r="AD35" i="4"/>
  <c r="AC35" i="4"/>
  <c r="AA35" i="4"/>
  <c r="Z35" i="4"/>
  <c r="Y35" i="4"/>
  <c r="X35" i="4"/>
  <c r="W35" i="4"/>
  <c r="V35" i="4"/>
  <c r="U35" i="4"/>
  <c r="T35" i="4"/>
  <c r="S35" i="4"/>
  <c r="R35" i="4"/>
  <c r="Q35" i="4"/>
  <c r="P35" i="4"/>
  <c r="O35" i="4"/>
  <c r="N35" i="4"/>
  <c r="L35" i="4"/>
  <c r="K35" i="4"/>
  <c r="E63" i="4" s="1"/>
  <c r="K63" i="4" s="1"/>
  <c r="L63" i="4" s="1"/>
  <c r="M63" i="4" s="1"/>
  <c r="F35" i="4" s="1"/>
  <c r="F92" i="4" s="1"/>
  <c r="G92" i="4" s="1"/>
  <c r="H35" i="4"/>
  <c r="D35" i="4"/>
  <c r="D63" i="4" s="1"/>
  <c r="C35" i="4"/>
  <c r="A35" i="4"/>
  <c r="CX34" i="4"/>
  <c r="CQ34" i="4"/>
  <c r="CG34" i="4"/>
  <c r="CF34" i="4"/>
  <c r="CD34" i="4"/>
  <c r="CC34" i="4"/>
  <c r="CB34" i="4"/>
  <c r="BZ34" i="4"/>
  <c r="BW34" i="4"/>
  <c r="BV34" i="4"/>
  <c r="BU34" i="4"/>
  <c r="BT34" i="4"/>
  <c r="BS34" i="4"/>
  <c r="BR34" i="4"/>
  <c r="BQ34" i="4"/>
  <c r="BP34" i="4"/>
  <c r="BN34" i="4"/>
  <c r="BM34" i="4"/>
  <c r="BL34" i="4"/>
  <c r="BK34" i="4"/>
  <c r="BI34" i="4"/>
  <c r="BH34" i="4"/>
  <c r="BG34" i="4"/>
  <c r="BF34" i="4"/>
  <c r="BE34" i="4"/>
  <c r="BD34" i="4"/>
  <c r="BC34" i="4"/>
  <c r="BB34" i="4"/>
  <c r="BA34" i="4"/>
  <c r="AY34" i="4"/>
  <c r="AW34" i="4"/>
  <c r="AV34" i="4"/>
  <c r="AU34" i="4"/>
  <c r="AT34" i="4"/>
  <c r="AS34" i="4"/>
  <c r="AR34" i="4"/>
  <c r="AQ34" i="4"/>
  <c r="AP34" i="4"/>
  <c r="AO34" i="4"/>
  <c r="AN34" i="4"/>
  <c r="AM34" i="4"/>
  <c r="AL34" i="4"/>
  <c r="AK34" i="4"/>
  <c r="AJ34" i="4"/>
  <c r="AI34" i="4"/>
  <c r="AG34" i="4"/>
  <c r="AE34" i="4"/>
  <c r="AD34" i="4"/>
  <c r="AC34" i="4"/>
  <c r="AA34" i="4"/>
  <c r="Z34" i="4"/>
  <c r="Y34" i="4"/>
  <c r="X34" i="4"/>
  <c r="W34" i="4"/>
  <c r="V34" i="4"/>
  <c r="U34" i="4"/>
  <c r="T34" i="4"/>
  <c r="S34" i="4"/>
  <c r="R34" i="4"/>
  <c r="Q34" i="4"/>
  <c r="P34" i="4"/>
  <c r="O34" i="4"/>
  <c r="N34" i="4"/>
  <c r="L34" i="4"/>
  <c r="K34" i="4"/>
  <c r="E62" i="4" s="1"/>
  <c r="K62" i="4" s="1"/>
  <c r="L62" i="4" s="1"/>
  <c r="M62" i="4" s="1"/>
  <c r="F34" i="4" s="1"/>
  <c r="F91" i="4" s="1"/>
  <c r="G91" i="4" s="1"/>
  <c r="H34" i="4"/>
  <c r="D34" i="4"/>
  <c r="D62" i="4" s="1"/>
  <c r="C34" i="4"/>
  <c r="A34" i="4"/>
  <c r="CX36" i="4"/>
  <c r="CQ36" i="4"/>
  <c r="CG36" i="4"/>
  <c r="CF36" i="4"/>
  <c r="CD36" i="4"/>
  <c r="CC36" i="4"/>
  <c r="CB36" i="4"/>
  <c r="BZ36" i="4"/>
  <c r="BW36" i="4"/>
  <c r="BV36" i="4"/>
  <c r="BU36" i="4"/>
  <c r="BT36" i="4"/>
  <c r="BS36" i="4"/>
  <c r="BR36" i="4"/>
  <c r="BQ36" i="4"/>
  <c r="BP36" i="4"/>
  <c r="BN36" i="4"/>
  <c r="BM36" i="4"/>
  <c r="BL36" i="4"/>
  <c r="BK36" i="4"/>
  <c r="BI36" i="4"/>
  <c r="BH36" i="4"/>
  <c r="BG36" i="4"/>
  <c r="BF36" i="4"/>
  <c r="BE36" i="4"/>
  <c r="BD36" i="4"/>
  <c r="BC36" i="4"/>
  <c r="BB36" i="4"/>
  <c r="BA36" i="4"/>
  <c r="AY36" i="4"/>
  <c r="AW36" i="4"/>
  <c r="AV36" i="4"/>
  <c r="AU36" i="4"/>
  <c r="AT36" i="4"/>
  <c r="AS36" i="4"/>
  <c r="AR36" i="4"/>
  <c r="AQ36" i="4"/>
  <c r="AP36" i="4"/>
  <c r="AO36" i="4"/>
  <c r="AN36" i="4"/>
  <c r="AM36" i="4"/>
  <c r="AL36" i="4"/>
  <c r="AK36" i="4"/>
  <c r="AJ36" i="4"/>
  <c r="AI36" i="4"/>
  <c r="AG36" i="4"/>
  <c r="AE36" i="4"/>
  <c r="AD36" i="4"/>
  <c r="AC36" i="4"/>
  <c r="AA36" i="4"/>
  <c r="Z36" i="4"/>
  <c r="Y36" i="4"/>
  <c r="X36" i="4"/>
  <c r="W36" i="4"/>
  <c r="V36" i="4"/>
  <c r="U36" i="4"/>
  <c r="T36" i="4"/>
  <c r="S36" i="4"/>
  <c r="R36" i="4"/>
  <c r="Q36" i="4"/>
  <c r="P36" i="4"/>
  <c r="O36" i="4"/>
  <c r="N36" i="4"/>
  <c r="L36" i="4"/>
  <c r="K36" i="4"/>
  <c r="E64" i="4" s="1"/>
  <c r="K64" i="4" s="1"/>
  <c r="L64" i="4" s="1"/>
  <c r="M64" i="4" s="1"/>
  <c r="F36" i="4" s="1"/>
  <c r="F93" i="4" s="1"/>
  <c r="G93" i="4" s="1"/>
  <c r="H36" i="4"/>
  <c r="D36" i="4"/>
  <c r="D64" i="4" s="1"/>
  <c r="C36" i="4"/>
  <c r="A36" i="4"/>
  <c r="CX30" i="4"/>
  <c r="CQ30" i="4"/>
  <c r="CG30" i="4"/>
  <c r="CF30" i="4"/>
  <c r="CD30" i="4"/>
  <c r="CC30" i="4"/>
  <c r="CB30" i="4"/>
  <c r="BZ30" i="4"/>
  <c r="BX30" i="4"/>
  <c r="BW30" i="4"/>
  <c r="BV30" i="4"/>
  <c r="BU30" i="4"/>
  <c r="BT30" i="4"/>
  <c r="BS30" i="4"/>
  <c r="BR30" i="4"/>
  <c r="BQ30" i="4"/>
  <c r="BP30" i="4"/>
  <c r="BN30" i="4"/>
  <c r="BM30" i="4"/>
  <c r="BL30" i="4"/>
  <c r="BK30" i="4"/>
  <c r="BJ30" i="4"/>
  <c r="BI30" i="4"/>
  <c r="BH30" i="4"/>
  <c r="BG30" i="4"/>
  <c r="BF30" i="4"/>
  <c r="BE30" i="4"/>
  <c r="BC30" i="4"/>
  <c r="BB30" i="4"/>
  <c r="BA30" i="4"/>
  <c r="AZ30" i="4"/>
  <c r="AY30" i="4"/>
  <c r="AW30" i="4"/>
  <c r="AV30" i="4"/>
  <c r="AU30" i="4"/>
  <c r="AT30" i="4"/>
  <c r="AS30" i="4"/>
  <c r="AR30" i="4"/>
  <c r="AP30" i="4"/>
  <c r="AO30" i="4"/>
  <c r="AN30" i="4"/>
  <c r="AM30" i="4"/>
  <c r="AL30" i="4"/>
  <c r="AK30" i="4"/>
  <c r="AJ30" i="4"/>
  <c r="AI30" i="4"/>
  <c r="AG30" i="4"/>
  <c r="AE30" i="4"/>
  <c r="AD30" i="4"/>
  <c r="AC30" i="4"/>
  <c r="AA30" i="4"/>
  <c r="Z30" i="4"/>
  <c r="Y30" i="4"/>
  <c r="X30" i="4"/>
  <c r="W30" i="4"/>
  <c r="V30" i="4"/>
  <c r="U30" i="4"/>
  <c r="T30" i="4"/>
  <c r="S30" i="4"/>
  <c r="R30" i="4"/>
  <c r="Q30" i="4"/>
  <c r="P30" i="4"/>
  <c r="O30" i="4"/>
  <c r="N30" i="4"/>
  <c r="L30" i="4"/>
  <c r="K30" i="4"/>
  <c r="E58" i="4" s="1"/>
  <c r="K58" i="4" s="1"/>
  <c r="L58" i="4" s="1"/>
  <c r="M58" i="4" s="1"/>
  <c r="F30" i="4" s="1"/>
  <c r="F87" i="4" s="1"/>
  <c r="G87" i="4" s="1"/>
  <c r="H30" i="4"/>
  <c r="D30" i="4"/>
  <c r="D58" i="4" s="1"/>
  <c r="C30" i="4"/>
  <c r="A30" i="4"/>
  <c r="CX32" i="4"/>
  <c r="CQ32" i="4"/>
  <c r="CG32" i="4"/>
  <c r="CF32" i="4"/>
  <c r="CD32" i="4"/>
  <c r="CC32" i="4"/>
  <c r="CB32" i="4"/>
  <c r="BZ32" i="4"/>
  <c r="BX32" i="4"/>
  <c r="BW32" i="4"/>
  <c r="BV32" i="4"/>
  <c r="BU32" i="4"/>
  <c r="BT32" i="4"/>
  <c r="BS32" i="4"/>
  <c r="BR32" i="4"/>
  <c r="BQ32" i="4"/>
  <c r="BP32" i="4"/>
  <c r="BN32" i="4"/>
  <c r="BM32" i="4"/>
  <c r="BL32" i="4"/>
  <c r="BK32" i="4"/>
  <c r="BJ32" i="4"/>
  <c r="BI32" i="4"/>
  <c r="BH32" i="4"/>
  <c r="BG32" i="4"/>
  <c r="BF32" i="4"/>
  <c r="BE32" i="4"/>
  <c r="BC32" i="4"/>
  <c r="BB32" i="4"/>
  <c r="BA32" i="4"/>
  <c r="AZ32" i="4"/>
  <c r="AY32" i="4"/>
  <c r="AW32" i="4"/>
  <c r="AV32" i="4"/>
  <c r="AU32" i="4"/>
  <c r="AT32" i="4"/>
  <c r="AS32" i="4"/>
  <c r="AR32" i="4"/>
  <c r="AP32" i="4"/>
  <c r="AO32" i="4"/>
  <c r="AN32" i="4"/>
  <c r="AM32" i="4"/>
  <c r="AL32" i="4"/>
  <c r="AK32" i="4"/>
  <c r="AJ32" i="4"/>
  <c r="AI32" i="4"/>
  <c r="AG32" i="4"/>
  <c r="AE32" i="4"/>
  <c r="AD32" i="4"/>
  <c r="AC32" i="4"/>
  <c r="AA32" i="4"/>
  <c r="Z32" i="4"/>
  <c r="Y32" i="4"/>
  <c r="X32" i="4"/>
  <c r="W32" i="4"/>
  <c r="V32" i="4"/>
  <c r="U32" i="4"/>
  <c r="T32" i="4"/>
  <c r="S32" i="4"/>
  <c r="R32" i="4"/>
  <c r="Q32" i="4"/>
  <c r="P32" i="4"/>
  <c r="O32" i="4"/>
  <c r="N32" i="4"/>
  <c r="L32" i="4"/>
  <c r="K32" i="4"/>
  <c r="E60" i="4" s="1"/>
  <c r="K60" i="4" s="1"/>
  <c r="L60" i="4" s="1"/>
  <c r="M60" i="4" s="1"/>
  <c r="F32" i="4" s="1"/>
  <c r="F89" i="4" s="1"/>
  <c r="G89" i="4" s="1"/>
  <c r="H32" i="4"/>
  <c r="D32" i="4"/>
  <c r="D60" i="4" s="1"/>
  <c r="C32" i="4"/>
  <c r="A32" i="4"/>
  <c r="CX41" i="4"/>
  <c r="CQ41" i="4"/>
  <c r="CG41" i="4"/>
  <c r="CF41" i="4"/>
  <c r="CD41" i="4"/>
  <c r="CC41" i="4"/>
  <c r="CB41" i="4"/>
  <c r="BZ41" i="4"/>
  <c r="BX41" i="4"/>
  <c r="BW41" i="4"/>
  <c r="BV41" i="4"/>
  <c r="BU41" i="4"/>
  <c r="BT41" i="4"/>
  <c r="BS41" i="4"/>
  <c r="BR41" i="4"/>
  <c r="BQ41" i="4"/>
  <c r="BP41" i="4"/>
  <c r="BN41" i="4"/>
  <c r="BM41" i="4"/>
  <c r="BL41" i="4"/>
  <c r="BK41" i="4"/>
  <c r="BJ41" i="4"/>
  <c r="BI41" i="4"/>
  <c r="BH41" i="4"/>
  <c r="BG41" i="4"/>
  <c r="BF41" i="4"/>
  <c r="BE41" i="4"/>
  <c r="BC41" i="4"/>
  <c r="BB41" i="4"/>
  <c r="BA41" i="4"/>
  <c r="AZ41" i="4"/>
  <c r="AY41" i="4"/>
  <c r="AW41" i="4"/>
  <c r="AV41" i="4"/>
  <c r="AU41" i="4"/>
  <c r="AT41" i="4"/>
  <c r="AS41" i="4"/>
  <c r="AR41" i="4"/>
  <c r="AP41" i="4"/>
  <c r="AO41" i="4"/>
  <c r="AN41" i="4"/>
  <c r="AM41" i="4"/>
  <c r="AL41" i="4"/>
  <c r="AK41" i="4"/>
  <c r="AJ41" i="4"/>
  <c r="AI41" i="4"/>
  <c r="AG41" i="4"/>
  <c r="AE41" i="4"/>
  <c r="AD41" i="4"/>
  <c r="AC41" i="4"/>
  <c r="AA41" i="4"/>
  <c r="Z41" i="4"/>
  <c r="Y41" i="4"/>
  <c r="X41" i="4"/>
  <c r="W41" i="4"/>
  <c r="V41" i="4"/>
  <c r="U41" i="4"/>
  <c r="T41" i="4"/>
  <c r="S41" i="4"/>
  <c r="R41" i="4"/>
  <c r="Q41" i="4"/>
  <c r="P41" i="4"/>
  <c r="O41" i="4"/>
  <c r="N41" i="4"/>
  <c r="L41" i="4"/>
  <c r="K41" i="4"/>
  <c r="E69" i="4" s="1"/>
  <c r="K69" i="4" s="1"/>
  <c r="L69" i="4" s="1"/>
  <c r="M69" i="4" s="1"/>
  <c r="F41" i="4" s="1"/>
  <c r="F98" i="4" s="1"/>
  <c r="G98" i="4" s="1"/>
  <c r="H41" i="4"/>
  <c r="D41" i="4"/>
  <c r="D69" i="4" s="1"/>
  <c r="C41" i="4"/>
  <c r="A41" i="4"/>
  <c r="CX39" i="4"/>
  <c r="CQ39" i="4"/>
  <c r="CG39" i="4"/>
  <c r="CF39" i="4"/>
  <c r="CD39" i="4"/>
  <c r="CC39" i="4"/>
  <c r="CB39" i="4"/>
  <c r="BZ39" i="4"/>
  <c r="BW39" i="4"/>
  <c r="BV39" i="4"/>
  <c r="BU39" i="4"/>
  <c r="BT39" i="4"/>
  <c r="BS39" i="4"/>
  <c r="BR39" i="4"/>
  <c r="BQ39" i="4"/>
  <c r="BP39" i="4"/>
  <c r="BN39" i="4"/>
  <c r="BM39" i="4"/>
  <c r="BL39" i="4"/>
  <c r="BK39" i="4"/>
  <c r="BI39" i="4"/>
  <c r="BH39" i="4"/>
  <c r="BG39" i="4"/>
  <c r="BF39" i="4"/>
  <c r="BE39" i="4"/>
  <c r="BD39" i="4"/>
  <c r="BC39" i="4"/>
  <c r="BB39" i="4"/>
  <c r="BA39" i="4"/>
  <c r="AZ39" i="4"/>
  <c r="AY39" i="4"/>
  <c r="AW39" i="4"/>
  <c r="AV39" i="4"/>
  <c r="AU39" i="4"/>
  <c r="AT39" i="4"/>
  <c r="AS39" i="4"/>
  <c r="AR39" i="4"/>
  <c r="AQ39" i="4"/>
  <c r="AP39" i="4"/>
  <c r="AO39" i="4"/>
  <c r="AN39" i="4"/>
  <c r="AM39" i="4"/>
  <c r="AL39" i="4"/>
  <c r="AK39" i="4"/>
  <c r="AJ39" i="4"/>
  <c r="AI39" i="4"/>
  <c r="AG39" i="4"/>
  <c r="AE39" i="4"/>
  <c r="AD39" i="4"/>
  <c r="AC39" i="4"/>
  <c r="AA39" i="4"/>
  <c r="Z39" i="4"/>
  <c r="Y39" i="4"/>
  <c r="X39" i="4"/>
  <c r="W39" i="4"/>
  <c r="V39" i="4"/>
  <c r="U39" i="4"/>
  <c r="T39" i="4"/>
  <c r="S39" i="4"/>
  <c r="R39" i="4"/>
  <c r="Q39" i="4"/>
  <c r="P39" i="4"/>
  <c r="O39" i="4"/>
  <c r="L39" i="4"/>
  <c r="K39" i="4"/>
  <c r="E67" i="4" s="1"/>
  <c r="K67" i="4" s="1"/>
  <c r="L67" i="4" s="1"/>
  <c r="M67" i="4" s="1"/>
  <c r="F39" i="4" s="1"/>
  <c r="F96" i="4" s="1"/>
  <c r="G96" i="4" s="1"/>
  <c r="H39" i="4"/>
  <c r="D39" i="4"/>
  <c r="D67" i="4" s="1"/>
  <c r="C39" i="4"/>
  <c r="A39" i="4"/>
  <c r="CX43" i="4"/>
  <c r="CQ43" i="4"/>
  <c r="CG43" i="4"/>
  <c r="CF43" i="4"/>
  <c r="CD43" i="4"/>
  <c r="CC43" i="4"/>
  <c r="CB43" i="4"/>
  <c r="BZ43" i="4"/>
  <c r="BX43" i="4"/>
  <c r="BW43" i="4"/>
  <c r="BV43" i="4"/>
  <c r="BU43" i="4"/>
  <c r="BT43" i="4"/>
  <c r="BS43" i="4"/>
  <c r="BR43" i="4"/>
  <c r="BQ43" i="4"/>
  <c r="BP43" i="4"/>
  <c r="BN43" i="4"/>
  <c r="BM43" i="4"/>
  <c r="BL43" i="4"/>
  <c r="BK43" i="4"/>
  <c r="BJ43" i="4"/>
  <c r="BI43" i="4"/>
  <c r="BH43" i="4"/>
  <c r="BG43" i="4"/>
  <c r="BF43" i="4"/>
  <c r="BE43" i="4"/>
  <c r="BC43" i="4"/>
  <c r="BB43" i="4"/>
  <c r="BA43" i="4"/>
  <c r="AZ43" i="4"/>
  <c r="AY43" i="4"/>
  <c r="AW43" i="4"/>
  <c r="AV43" i="4"/>
  <c r="AU43" i="4"/>
  <c r="AT43" i="4"/>
  <c r="AS43" i="4"/>
  <c r="AR43" i="4"/>
  <c r="AP43" i="4"/>
  <c r="AO43" i="4"/>
  <c r="AN43" i="4"/>
  <c r="AM43" i="4"/>
  <c r="AL43" i="4"/>
  <c r="AK43" i="4"/>
  <c r="AJ43" i="4"/>
  <c r="AI43" i="4"/>
  <c r="AG43" i="4"/>
  <c r="AE43" i="4"/>
  <c r="AD43" i="4"/>
  <c r="AC43" i="4"/>
  <c r="AA43" i="4"/>
  <c r="Z43" i="4"/>
  <c r="Y43" i="4"/>
  <c r="X43" i="4"/>
  <c r="W43" i="4"/>
  <c r="V43" i="4"/>
  <c r="U43" i="4"/>
  <c r="T43" i="4"/>
  <c r="S43" i="4"/>
  <c r="R43" i="4"/>
  <c r="Q43" i="4"/>
  <c r="P43" i="4"/>
  <c r="O43" i="4"/>
  <c r="N43" i="4"/>
  <c r="L43" i="4"/>
  <c r="K43" i="4"/>
  <c r="E71" i="4" s="1"/>
  <c r="K71" i="4" s="1"/>
  <c r="L71" i="4" s="1"/>
  <c r="M71" i="4" s="1"/>
  <c r="F43" i="4" s="1"/>
  <c r="F100" i="4" s="1"/>
  <c r="G100" i="4" s="1"/>
  <c r="H43" i="4"/>
  <c r="D43" i="4"/>
  <c r="D71" i="4" s="1"/>
  <c r="C43" i="4"/>
  <c r="A43" i="4"/>
  <c r="CX42" i="4"/>
  <c r="CQ42" i="4"/>
  <c r="CG42" i="4"/>
  <c r="CF42" i="4"/>
  <c r="CD42" i="4"/>
  <c r="CC42" i="4"/>
  <c r="CB42" i="4"/>
  <c r="BZ42" i="4"/>
  <c r="BX42" i="4"/>
  <c r="BW42" i="4"/>
  <c r="BV42" i="4"/>
  <c r="BU42" i="4"/>
  <c r="BT42" i="4"/>
  <c r="BS42" i="4"/>
  <c r="BR42" i="4"/>
  <c r="BQ42" i="4"/>
  <c r="BP42" i="4"/>
  <c r="BN42" i="4"/>
  <c r="BM42" i="4"/>
  <c r="BL42" i="4"/>
  <c r="BK42" i="4"/>
  <c r="BJ42" i="4"/>
  <c r="BI42" i="4"/>
  <c r="BH42" i="4"/>
  <c r="BG42" i="4"/>
  <c r="BF42" i="4"/>
  <c r="BE42" i="4"/>
  <c r="BC42" i="4"/>
  <c r="BB42" i="4"/>
  <c r="BA42" i="4"/>
  <c r="AZ42" i="4"/>
  <c r="AY42" i="4"/>
  <c r="AW42" i="4"/>
  <c r="AV42" i="4"/>
  <c r="AU42" i="4"/>
  <c r="AT42" i="4"/>
  <c r="AS42" i="4"/>
  <c r="AR42" i="4"/>
  <c r="AP42" i="4"/>
  <c r="AO42" i="4"/>
  <c r="AN42" i="4"/>
  <c r="AM42" i="4"/>
  <c r="AL42" i="4"/>
  <c r="AK42" i="4"/>
  <c r="AJ42" i="4"/>
  <c r="AI42" i="4"/>
  <c r="AG42" i="4"/>
  <c r="AE42" i="4"/>
  <c r="AD42" i="4"/>
  <c r="AC42" i="4"/>
  <c r="AA42" i="4"/>
  <c r="Z42" i="4"/>
  <c r="Y42" i="4"/>
  <c r="X42" i="4"/>
  <c r="W42" i="4"/>
  <c r="V42" i="4"/>
  <c r="U42" i="4"/>
  <c r="T42" i="4"/>
  <c r="S42" i="4"/>
  <c r="R42" i="4"/>
  <c r="Q42" i="4"/>
  <c r="P42" i="4"/>
  <c r="O42" i="4"/>
  <c r="N42" i="4"/>
  <c r="L42" i="4"/>
  <c r="K42" i="4"/>
  <c r="E70" i="4" s="1"/>
  <c r="K70" i="4" s="1"/>
  <c r="L70" i="4" s="1"/>
  <c r="M70" i="4" s="1"/>
  <c r="F42" i="4" s="1"/>
  <c r="F99" i="4" s="1"/>
  <c r="G99" i="4" s="1"/>
  <c r="H42" i="4"/>
  <c r="D42" i="4"/>
  <c r="D70" i="4" s="1"/>
  <c r="C42" i="4"/>
  <c r="A42" i="4"/>
  <c r="CX31" i="4"/>
  <c r="CQ31" i="4"/>
  <c r="CG31" i="4"/>
  <c r="CF31" i="4"/>
  <c r="CD31" i="4"/>
  <c r="CC31" i="4"/>
  <c r="CB31" i="4"/>
  <c r="BZ31" i="4"/>
  <c r="BX31" i="4"/>
  <c r="BW31" i="4"/>
  <c r="BV31" i="4"/>
  <c r="BU31" i="4"/>
  <c r="BT31" i="4"/>
  <c r="BS31" i="4"/>
  <c r="BR31" i="4"/>
  <c r="BQ31" i="4"/>
  <c r="BP31" i="4"/>
  <c r="BN31" i="4"/>
  <c r="BM31" i="4"/>
  <c r="BL31" i="4"/>
  <c r="BK31" i="4"/>
  <c r="BJ31" i="4"/>
  <c r="BI31" i="4"/>
  <c r="BH31" i="4"/>
  <c r="BG31" i="4"/>
  <c r="BF31" i="4"/>
  <c r="BE31" i="4"/>
  <c r="BC31" i="4"/>
  <c r="BB31" i="4"/>
  <c r="BA31" i="4"/>
  <c r="AZ31" i="4"/>
  <c r="AY31" i="4"/>
  <c r="AW31" i="4"/>
  <c r="AV31" i="4"/>
  <c r="AU31" i="4"/>
  <c r="AT31" i="4"/>
  <c r="AS31" i="4"/>
  <c r="AR31" i="4"/>
  <c r="AP31" i="4"/>
  <c r="AO31" i="4"/>
  <c r="AN31" i="4"/>
  <c r="AM31" i="4"/>
  <c r="AL31" i="4"/>
  <c r="AK31" i="4"/>
  <c r="AJ31" i="4"/>
  <c r="AI31" i="4"/>
  <c r="AG31" i="4"/>
  <c r="AE31" i="4"/>
  <c r="AD31" i="4"/>
  <c r="AC31" i="4"/>
  <c r="AA31" i="4"/>
  <c r="Z31" i="4"/>
  <c r="Y31" i="4"/>
  <c r="X31" i="4"/>
  <c r="W31" i="4"/>
  <c r="V31" i="4"/>
  <c r="U31" i="4"/>
  <c r="T31" i="4"/>
  <c r="S31" i="4"/>
  <c r="R31" i="4"/>
  <c r="Q31" i="4"/>
  <c r="P31" i="4"/>
  <c r="O31" i="4"/>
  <c r="N31" i="4"/>
  <c r="L31" i="4"/>
  <c r="K31" i="4"/>
  <c r="E59" i="4" s="1"/>
  <c r="K59" i="4" s="1"/>
  <c r="L59" i="4" s="1"/>
  <c r="M59" i="4" s="1"/>
  <c r="F31" i="4" s="1"/>
  <c r="F88" i="4" s="1"/>
  <c r="G88" i="4" s="1"/>
  <c r="H31" i="4"/>
  <c r="D31" i="4"/>
  <c r="D59" i="4" s="1"/>
  <c r="C31" i="4"/>
  <c r="A31" i="4"/>
  <c r="S33" i="4"/>
  <c r="S20" i="4"/>
  <c r="R33" i="4"/>
  <c r="R20" i="4"/>
  <c r="AT33" i="4"/>
  <c r="AT20" i="4"/>
  <c r="Q33" i="4"/>
  <c r="Q20" i="4"/>
  <c r="BU33" i="4"/>
  <c r="BU20" i="4"/>
  <c r="AY33" i="4"/>
  <c r="AY20" i="4"/>
  <c r="L33" i="4"/>
  <c r="K33" i="4"/>
  <c r="H33" i="4"/>
  <c r="CX33" i="4"/>
  <c r="J88" i="4" l="1"/>
  <c r="M88" i="4" s="1"/>
  <c r="I88" i="4"/>
  <c r="U29" i="7"/>
  <c r="AB29" i="7" s="1"/>
  <c r="AS29" i="7" s="1"/>
  <c r="AT29" i="7" s="1"/>
  <c r="AX29" i="7" s="1"/>
  <c r="U40" i="7"/>
  <c r="AB40" i="7" s="1"/>
  <c r="AS40" i="7" s="1"/>
  <c r="AT40" i="7" s="1"/>
  <c r="AX40" i="7" s="1"/>
  <c r="J99" i="4"/>
  <c r="M99" i="4" s="1"/>
  <c r="I99" i="4"/>
  <c r="J100" i="4"/>
  <c r="M100" i="4" s="1"/>
  <c r="I100" i="4"/>
  <c r="U41" i="7"/>
  <c r="AB41" i="7" s="1"/>
  <c r="AS41" i="7" s="1"/>
  <c r="AT41" i="7" s="1"/>
  <c r="AX41" i="7" s="1"/>
  <c r="I96" i="4"/>
  <c r="J96" i="4" s="1"/>
  <c r="M96" i="4" s="1"/>
  <c r="U37" i="7"/>
  <c r="AB37" i="7" s="1"/>
  <c r="AS37" i="7" s="1"/>
  <c r="AT37" i="7" s="1"/>
  <c r="AX37" i="7" s="1"/>
  <c r="U32" i="7"/>
  <c r="AB32" i="7" s="1"/>
  <c r="AS32" i="7" s="1"/>
  <c r="AT32" i="7" s="1"/>
  <c r="AX32" i="7" s="1"/>
  <c r="I91" i="4"/>
  <c r="J91" i="4" s="1"/>
  <c r="M91" i="4" s="1"/>
  <c r="I82" i="4"/>
  <c r="J82" i="4" s="1"/>
  <c r="M82" i="4" s="1"/>
  <c r="U23" i="7"/>
  <c r="AB23" i="7" s="1"/>
  <c r="AS23" i="7" s="1"/>
  <c r="AT23" i="7" s="1"/>
  <c r="AX23" i="7" s="1"/>
  <c r="U24" i="7"/>
  <c r="AB24" i="7" s="1"/>
  <c r="AS24" i="7" s="1"/>
  <c r="AT24" i="7" s="1"/>
  <c r="AX24" i="7" s="1"/>
  <c r="I83" i="4"/>
  <c r="J83" i="4" s="1"/>
  <c r="M83" i="4" s="1"/>
  <c r="U38" i="7"/>
  <c r="AB38" i="7" s="1"/>
  <c r="AS38" i="7" s="1"/>
  <c r="AT38" i="7" s="1"/>
  <c r="AX38" i="7" s="1"/>
  <c r="J97" i="4"/>
  <c r="M97" i="4" s="1"/>
  <c r="I97" i="4"/>
  <c r="J98" i="4"/>
  <c r="M98" i="4" s="1"/>
  <c r="I98" i="4"/>
  <c r="U39" i="7"/>
  <c r="AB39" i="7" s="1"/>
  <c r="AS39" i="7" s="1"/>
  <c r="AT39" i="7" s="1"/>
  <c r="AX39" i="7" s="1"/>
  <c r="U30" i="7"/>
  <c r="AB30" i="7" s="1"/>
  <c r="AS30" i="7" s="1"/>
  <c r="AT30" i="7" s="1"/>
  <c r="AX30" i="7" s="1"/>
  <c r="J89" i="4"/>
  <c r="M89" i="4" s="1"/>
  <c r="I89" i="4"/>
  <c r="U28" i="7"/>
  <c r="AB28" i="7" s="1"/>
  <c r="AS28" i="7" s="1"/>
  <c r="AT28" i="7" s="1"/>
  <c r="AX28" i="7" s="1"/>
  <c r="I87" i="4"/>
  <c r="J87" i="4" s="1"/>
  <c r="M87" i="4" s="1"/>
  <c r="U34" i="7"/>
  <c r="AB34" i="7" s="1"/>
  <c r="AS34" i="7" s="1"/>
  <c r="AT34" i="7" s="1"/>
  <c r="AX34" i="7" s="1"/>
  <c r="J93" i="4"/>
  <c r="M93" i="4" s="1"/>
  <c r="I93" i="4"/>
  <c r="J92" i="4"/>
  <c r="M92" i="4" s="1"/>
  <c r="I92" i="4"/>
  <c r="U33" i="7"/>
  <c r="AB33" i="7" s="1"/>
  <c r="AS33" i="7" s="1"/>
  <c r="AT33" i="7" s="1"/>
  <c r="AX33" i="7" s="1"/>
  <c r="U22" i="7"/>
  <c r="AB22" i="7" s="1"/>
  <c r="AS22" i="7" s="1"/>
  <c r="AT22" i="7" s="1"/>
  <c r="AX22" i="7" s="1"/>
  <c r="J81" i="4"/>
  <c r="M81" i="4" s="1"/>
  <c r="I81" i="4"/>
  <c r="U26" i="7"/>
  <c r="AB26" i="7" s="1"/>
  <c r="AS26" i="7" s="1"/>
  <c r="AT26" i="7" s="1"/>
  <c r="AX26" i="7" s="1"/>
  <c r="I85" i="4"/>
  <c r="J85" i="4" s="1"/>
  <c r="M85" i="4" s="1"/>
  <c r="U36" i="7"/>
  <c r="AB36" i="7" s="1"/>
  <c r="AS36" i="7" s="1"/>
  <c r="AT36" i="7" s="1"/>
  <c r="AX36" i="7" s="1"/>
  <c r="J95" i="4"/>
  <c r="M95" i="4" s="1"/>
  <c r="I95" i="4"/>
  <c r="U20" i="7"/>
  <c r="AB20" i="7" s="1"/>
  <c r="AS20" i="7" s="1"/>
  <c r="AT20" i="7" s="1"/>
  <c r="AX20" i="7" s="1"/>
  <c r="I79" i="4"/>
  <c r="J79" i="4" s="1"/>
  <c r="M79" i="4" s="1"/>
  <c r="I94" i="4"/>
  <c r="J94" i="4" s="1"/>
  <c r="M94" i="4" s="1"/>
  <c r="U35" i="7"/>
  <c r="AB35" i="7" s="1"/>
  <c r="AS35" i="7" s="1"/>
  <c r="AT35" i="7" s="1"/>
  <c r="AX35" i="7" s="1"/>
  <c r="AB69" i="4"/>
  <c r="AH69" i="4" s="1"/>
  <c r="AQ69" i="4" s="1"/>
  <c r="AB60" i="4"/>
  <c r="AH60" i="4" s="1"/>
  <c r="AQ60" i="4" s="1"/>
  <c r="AB58" i="4"/>
  <c r="AH58" i="4" s="1"/>
  <c r="AQ58" i="4" s="1"/>
  <c r="AB64" i="4"/>
  <c r="AH64" i="4" s="1"/>
  <c r="AQ64" i="4" s="1"/>
  <c r="AB63" i="4"/>
  <c r="AH63" i="4" s="1"/>
  <c r="AQ63" i="4" s="1"/>
  <c r="AB59" i="4"/>
  <c r="AH59" i="4" s="1"/>
  <c r="AQ59" i="4" s="1"/>
  <c r="AB70" i="4"/>
  <c r="AH70" i="4" s="1"/>
  <c r="AQ70" i="4" s="1"/>
  <c r="AB71" i="4"/>
  <c r="AH71" i="4" s="1"/>
  <c r="AQ71" i="4" s="1"/>
  <c r="AB67" i="4"/>
  <c r="AH67" i="4" s="1"/>
  <c r="AQ67" i="4" s="1"/>
  <c r="AB62" i="4"/>
  <c r="AH62" i="4" s="1"/>
  <c r="AQ62" i="4" s="1"/>
  <c r="AB49" i="4"/>
  <c r="AH49" i="4" s="1"/>
  <c r="AQ49" i="4" s="1"/>
  <c r="E49" i="4"/>
  <c r="K49" i="4" s="1"/>
  <c r="L49" i="4" s="1"/>
  <c r="M49" i="4" s="1"/>
  <c r="F21" i="4" s="1"/>
  <c r="F78" i="4" s="1"/>
  <c r="G78" i="4" s="1"/>
  <c r="E61" i="4"/>
  <c r="K61" i="4" s="1"/>
  <c r="L61" i="4" s="1"/>
  <c r="M61" i="4" s="1"/>
  <c r="F33" i="4" s="1"/>
  <c r="F90" i="4" s="1"/>
  <c r="G90" i="4" s="1"/>
  <c r="BP33" i="4"/>
  <c r="BP20" i="4"/>
  <c r="J90" i="4" l="1"/>
  <c r="M90" i="4" s="1"/>
  <c r="I90" i="4"/>
  <c r="U31" i="7"/>
  <c r="AB31" i="7" s="1"/>
  <c r="AS31" i="7" s="1"/>
  <c r="AT31" i="7" s="1"/>
  <c r="AX31" i="7" s="1"/>
  <c r="I78" i="4"/>
  <c r="U19" i="7"/>
  <c r="AB19" i="7" s="1"/>
  <c r="AS19" i="7" s="1"/>
  <c r="AT19" i="7" s="1"/>
  <c r="AX19" i="7" s="1"/>
  <c r="J78" i="4"/>
  <c r="M78" i="4" s="1"/>
  <c r="BE33" i="4"/>
  <c r="BE20" i="4"/>
  <c r="M101" i="4" l="1"/>
  <c r="AN33" i="4"/>
  <c r="AN20" i="4"/>
  <c r="AM33" i="4"/>
  <c r="AM20" i="4"/>
  <c r="AO33" i="4"/>
  <c r="AO20" i="4"/>
  <c r="CG33" i="4" l="1"/>
  <c r="AG33" i="4" l="1"/>
  <c r="A33" i="4" l="1"/>
  <c r="W20" i="4" l="1"/>
  <c r="V20" i="4"/>
  <c r="AE33" i="4" l="1"/>
  <c r="AD33" i="4"/>
  <c r="AC33" i="4"/>
  <c r="AA33" i="4"/>
  <c r="Z33" i="4"/>
  <c r="Y33" i="4"/>
  <c r="X33" i="4"/>
  <c r="W33" i="4"/>
  <c r="V33" i="4"/>
  <c r="CF33" i="4"/>
  <c r="CD33" i="4"/>
  <c r="CC33" i="4"/>
  <c r="CB33" i="4"/>
  <c r="BZ33" i="4"/>
  <c r="CD20" i="4"/>
  <c r="CF20" i="4"/>
  <c r="CC20" i="4"/>
  <c r="CB20" i="4"/>
  <c r="BZ20" i="4"/>
  <c r="BX33" i="4"/>
  <c r="BW33" i="4"/>
  <c r="BV33" i="4"/>
  <c r="BT33" i="4"/>
  <c r="BS33" i="4"/>
  <c r="BR33" i="4"/>
  <c r="BQ33" i="4"/>
  <c r="BN33" i="4"/>
  <c r="BM33" i="4"/>
  <c r="BL33" i="4"/>
  <c r="BW20" i="4"/>
  <c r="BV20" i="4"/>
  <c r="BT20" i="4"/>
  <c r="BS20" i="4"/>
  <c r="BR20" i="4"/>
  <c r="BQ20" i="4"/>
  <c r="BN20" i="4"/>
  <c r="BM20" i="4"/>
  <c r="BL20" i="4"/>
  <c r="BK33" i="4"/>
  <c r="BJ33" i="4"/>
  <c r="BI33" i="4"/>
  <c r="BH33" i="4"/>
  <c r="BG33" i="4"/>
  <c r="BF33" i="4"/>
  <c r="BC33" i="4"/>
  <c r="BB33" i="4"/>
  <c r="BA33" i="4"/>
  <c r="BK20" i="4"/>
  <c r="BI20" i="4"/>
  <c r="BH20" i="4"/>
  <c r="BG20" i="4"/>
  <c r="BF20" i="4"/>
  <c r="BC20" i="4"/>
  <c r="BB20" i="4"/>
  <c r="BA20" i="4"/>
  <c r="AZ20" i="4"/>
  <c r="AZ33" i="4"/>
  <c r="AW33" i="4"/>
  <c r="AV33" i="4"/>
  <c r="AU33" i="4"/>
  <c r="AS33" i="4"/>
  <c r="AR33" i="4"/>
  <c r="AW20" i="4"/>
  <c r="AV20" i="4"/>
  <c r="AU20" i="4"/>
  <c r="AS20" i="4"/>
  <c r="AR20" i="4"/>
  <c r="CQ33" i="4"/>
  <c r="AP33" i="4"/>
  <c r="AL33" i="4"/>
  <c r="AK33" i="4"/>
  <c r="AJ33" i="4"/>
  <c r="AI33" i="4"/>
  <c r="AP20" i="4"/>
  <c r="AL20" i="4"/>
  <c r="AK20" i="4"/>
  <c r="AJ20" i="4"/>
  <c r="AI20" i="4"/>
  <c r="AG20" i="4"/>
  <c r="AE20" i="4" l="1"/>
  <c r="AD20" i="4"/>
  <c r="AC20" i="4"/>
  <c r="AA20" i="4"/>
  <c r="Z20" i="4"/>
  <c r="Y20" i="4"/>
  <c r="X20" i="4"/>
  <c r="U20" i="4" l="1"/>
  <c r="T20" i="4"/>
  <c r="P20" i="4"/>
  <c r="O20" i="4"/>
  <c r="N33" i="4"/>
  <c r="U33" i="4"/>
  <c r="T33" i="4"/>
  <c r="P33" i="4"/>
  <c r="O33" i="4"/>
  <c r="D33" i="4"/>
  <c r="D61" i="4" s="1"/>
  <c r="C33" i="4"/>
  <c r="AB61" i="4" l="1"/>
  <c r="AH61" i="4" s="1"/>
  <c r="AQ61" i="4" s="1"/>
  <c r="CL23" i="4"/>
  <c r="CL29" i="4"/>
  <c r="CL37" i="4"/>
  <c r="CL40" i="4"/>
  <c r="CL22" i="4"/>
  <c r="CL26" i="4"/>
  <c r="CL27" i="4"/>
  <c r="CL24" i="4"/>
  <c r="CL28" i="4"/>
  <c r="CL38" i="4"/>
  <c r="CL25" i="4"/>
  <c r="CL35" i="4"/>
  <c r="CL43" i="4"/>
  <c r="CL36" i="4"/>
  <c r="CL41" i="4"/>
  <c r="CL39" i="4"/>
  <c r="CL32" i="4"/>
  <c r="CL30" i="4"/>
  <c r="CL21" i="4"/>
  <c r="CL34" i="4"/>
  <c r="CL31" i="4"/>
  <c r="CL42" i="4"/>
  <c r="CL33" i="4"/>
  <c r="CN38" i="4" l="1"/>
  <c r="CR38" i="4"/>
  <c r="CP38" i="4"/>
  <c r="CN24" i="4"/>
  <c r="CP24" i="4"/>
  <c r="CR24" i="4"/>
  <c r="CN26" i="4"/>
  <c r="CR26" i="4"/>
  <c r="CP26" i="4"/>
  <c r="CP40" i="4"/>
  <c r="CN40" i="4"/>
  <c r="CR40" i="4"/>
  <c r="CN29" i="4"/>
  <c r="CP29" i="4"/>
  <c r="CR29" i="4"/>
  <c r="CN25" i="4"/>
  <c r="CR25" i="4"/>
  <c r="CP25" i="4"/>
  <c r="CN28" i="4"/>
  <c r="CP28" i="4"/>
  <c r="CR28" i="4"/>
  <c r="CN27" i="4"/>
  <c r="CP27" i="4"/>
  <c r="CR27" i="4"/>
  <c r="CP22" i="4"/>
  <c r="CN22" i="4"/>
  <c r="CR22" i="4"/>
  <c r="CN37" i="4"/>
  <c r="CP37" i="4"/>
  <c r="CR37" i="4"/>
  <c r="CN23" i="4"/>
  <c r="CP23" i="4"/>
  <c r="CR23" i="4"/>
  <c r="CN41" i="4"/>
  <c r="CP41" i="4"/>
  <c r="CR41" i="4"/>
  <c r="CN30" i="4"/>
  <c r="CP30" i="4"/>
  <c r="CR30" i="4"/>
  <c r="CP32" i="4"/>
  <c r="CN32" i="4"/>
  <c r="CR32" i="4"/>
  <c r="CN43" i="4"/>
  <c r="CR43" i="4"/>
  <c r="CP43" i="4"/>
  <c r="CN21" i="4"/>
  <c r="CR21" i="4"/>
  <c r="CP21" i="4"/>
  <c r="CN36" i="4"/>
  <c r="CR36" i="4"/>
  <c r="CP36" i="4"/>
  <c r="CR34" i="4"/>
  <c r="CN34" i="4"/>
  <c r="CP34" i="4"/>
  <c r="CN39" i="4"/>
  <c r="CP39" i="4"/>
  <c r="CR39" i="4"/>
  <c r="CN35" i="4"/>
  <c r="CP35" i="4"/>
  <c r="CR35" i="4"/>
  <c r="CN42" i="4"/>
  <c r="CR42" i="4"/>
  <c r="CP42" i="4"/>
  <c r="CP31" i="4"/>
  <c r="CN31" i="4"/>
  <c r="CR31" i="4"/>
  <c r="CN33" i="4"/>
  <c r="CP33" i="4"/>
  <c r="CR33" i="4"/>
  <c r="CS32" i="4" l="1"/>
  <c r="CY32" i="4" s="1"/>
  <c r="CS41" i="4"/>
  <c r="CY41" i="4" s="1"/>
  <c r="CS37" i="4"/>
  <c r="CU37" i="4" s="1"/>
  <c r="CS27" i="4"/>
  <c r="CU27" i="4" s="1"/>
  <c r="CS25" i="4"/>
  <c r="CU25" i="4" s="1"/>
  <c r="CS40" i="4"/>
  <c r="CU40" i="4" s="1"/>
  <c r="CS24" i="4"/>
  <c r="CW24" i="4" s="1"/>
  <c r="CS43" i="4"/>
  <c r="CY43" i="4" s="1"/>
  <c r="CS30" i="4"/>
  <c r="CY30" i="4" s="1"/>
  <c r="CS23" i="4"/>
  <c r="CW23" i="4" s="1"/>
  <c r="CS22" i="4"/>
  <c r="CY22" i="4" s="1"/>
  <c r="CS28" i="4"/>
  <c r="CY28" i="4" s="1"/>
  <c r="CS29" i="4"/>
  <c r="CW29" i="4" s="1"/>
  <c r="CS26" i="4"/>
  <c r="CU26" i="4" s="1"/>
  <c r="CS38" i="4"/>
  <c r="CU38" i="4" s="1"/>
  <c r="CY23" i="4"/>
  <c r="CY37" i="4"/>
  <c r="CS39" i="4"/>
  <c r="CY39" i="4" s="1"/>
  <c r="CS36" i="4"/>
  <c r="CY36" i="4" s="1"/>
  <c r="CS35" i="4"/>
  <c r="CU35" i="4" s="1"/>
  <c r="CS34" i="4"/>
  <c r="CY34" i="4" s="1"/>
  <c r="CS21" i="4"/>
  <c r="CY21" i="4" s="1"/>
  <c r="CW34" i="4"/>
  <c r="CW39" i="4"/>
  <c r="CS42" i="4"/>
  <c r="CY42" i="4" s="1"/>
  <c r="CS31" i="4"/>
  <c r="CY31" i="4" s="1"/>
  <c r="CS33" i="4"/>
  <c r="CW32" i="4" l="1"/>
  <c r="CU24" i="4"/>
  <c r="CU30" i="4"/>
  <c r="CY29" i="4"/>
  <c r="CY40" i="4"/>
  <c r="CY24" i="4"/>
  <c r="CU22" i="4"/>
  <c r="CW41" i="4"/>
  <c r="CW26" i="4"/>
  <c r="CU43" i="4"/>
  <c r="CY38" i="4"/>
  <c r="CW38" i="4"/>
  <c r="CW37" i="4"/>
  <c r="CW35" i="4"/>
  <c r="CW43" i="4"/>
  <c r="CU39" i="4"/>
  <c r="E39" i="4" s="1"/>
  <c r="G39" i="4" s="1"/>
  <c r="CW30" i="4"/>
  <c r="E30" i="4" s="1"/>
  <c r="G30" i="4" s="1"/>
  <c r="I30" i="4" s="1"/>
  <c r="J30" i="4" s="1"/>
  <c r="M30" i="4" s="1"/>
  <c r="CU29" i="4"/>
  <c r="E29" i="4" s="1"/>
  <c r="G29" i="4" s="1"/>
  <c r="CU32" i="4"/>
  <c r="E32" i="4" s="1"/>
  <c r="CU28" i="4"/>
  <c r="CW28" i="4"/>
  <c r="CY27" i="4"/>
  <c r="CY26" i="4"/>
  <c r="CY25" i="4"/>
  <c r="CW25" i="4"/>
  <c r="CU23" i="4"/>
  <c r="E23" i="4" s="1"/>
  <c r="G23" i="4" s="1"/>
  <c r="I23" i="4" s="1"/>
  <c r="J23" i="4" s="1"/>
  <c r="M23" i="4" s="1"/>
  <c r="CW22" i="4"/>
  <c r="E22" i="4" s="1"/>
  <c r="G22" i="4" s="1"/>
  <c r="I22" i="4" s="1"/>
  <c r="J22" i="4" s="1"/>
  <c r="M22" i="4" s="1"/>
  <c r="CU41" i="4"/>
  <c r="E41" i="4" s="1"/>
  <c r="G41" i="4" s="1"/>
  <c r="I41" i="4" s="1"/>
  <c r="J41" i="4" s="1"/>
  <c r="M41" i="4" s="1"/>
  <c r="CW40" i="4"/>
  <c r="E40" i="4" s="1"/>
  <c r="G40" i="4" s="1"/>
  <c r="I40" i="4" s="1"/>
  <c r="J40" i="4" s="1"/>
  <c r="M40" i="4" s="1"/>
  <c r="CW27" i="4"/>
  <c r="CW21" i="4"/>
  <c r="CU21" i="4"/>
  <c r="CY35" i="4"/>
  <c r="E24" i="4"/>
  <c r="G24" i="4" s="1"/>
  <c r="I24" i="4" s="1"/>
  <c r="J24" i="4" s="1"/>
  <c r="M24" i="4" s="1"/>
  <c r="E37" i="4"/>
  <c r="G37" i="4" s="1"/>
  <c r="I37" i="4" s="1"/>
  <c r="J37" i="4" s="1"/>
  <c r="M37" i="4" s="1"/>
  <c r="CU36" i="4"/>
  <c r="CU34" i="4"/>
  <c r="E34" i="4" s="1"/>
  <c r="CW36" i="4"/>
  <c r="CW42" i="4"/>
  <c r="CW31" i="4"/>
  <c r="CU42" i="4"/>
  <c r="CU31" i="4"/>
  <c r="CY33" i="4"/>
  <c r="CU33" i="4"/>
  <c r="CW33" i="4"/>
  <c r="E26" i="4" l="1"/>
  <c r="G26" i="4" s="1"/>
  <c r="I26" i="4" s="1"/>
  <c r="J26" i="4" s="1"/>
  <c r="M26" i="4" s="1"/>
  <c r="E27" i="4"/>
  <c r="G27" i="4" s="1"/>
  <c r="E25" i="4"/>
  <c r="G25" i="4" s="1"/>
  <c r="I25" i="4" s="1"/>
  <c r="J25" i="4" s="1"/>
  <c r="M25" i="4" s="1"/>
  <c r="E43" i="4"/>
  <c r="E38" i="4"/>
  <c r="G38" i="4" s="1"/>
  <c r="I38" i="4" s="1"/>
  <c r="J38" i="4" s="1"/>
  <c r="M38" i="4" s="1"/>
  <c r="E35" i="4"/>
  <c r="G35" i="4" s="1"/>
  <c r="I35" i="4" s="1"/>
  <c r="J35" i="4" s="1"/>
  <c r="M35" i="4" s="1"/>
  <c r="E28" i="4"/>
  <c r="G28" i="4" s="1"/>
  <c r="I28" i="4" s="1"/>
  <c r="J28" i="4" s="1"/>
  <c r="M28" i="4" s="1"/>
  <c r="E21" i="4"/>
  <c r="E36" i="4"/>
  <c r="I27" i="4"/>
  <c r="J27" i="4" s="1"/>
  <c r="M27" i="4" s="1"/>
  <c r="I29" i="4"/>
  <c r="J29" i="4" s="1"/>
  <c r="M29" i="4" s="1"/>
  <c r="G34" i="4"/>
  <c r="I34" i="4" s="1"/>
  <c r="J34" i="4" s="1"/>
  <c r="M34" i="4" s="1"/>
  <c r="G32" i="4"/>
  <c r="I32" i="4" s="1"/>
  <c r="J32" i="4" s="1"/>
  <c r="M32" i="4" s="1"/>
  <c r="G43" i="4"/>
  <c r="I43" i="4" s="1"/>
  <c r="J43" i="4" s="1"/>
  <c r="M43" i="4" s="1"/>
  <c r="G36" i="4"/>
  <c r="I36" i="4" s="1"/>
  <c r="J36" i="4" s="1"/>
  <c r="M36" i="4" s="1"/>
  <c r="G21" i="4"/>
  <c r="I21" i="4" s="1"/>
  <c r="J21" i="4" s="1"/>
  <c r="M21" i="4" s="1"/>
  <c r="I39" i="4"/>
  <c r="J39" i="4" s="1"/>
  <c r="M39" i="4" s="1"/>
  <c r="E31" i="4"/>
  <c r="E42" i="4"/>
  <c r="E33" i="4"/>
  <c r="G33" i="4" s="1"/>
  <c r="G31" i="4" l="1"/>
  <c r="I31" i="4" s="1"/>
  <c r="J31" i="4" s="1"/>
  <c r="M31" i="4" s="1"/>
  <c r="G42" i="4"/>
  <c r="I42" i="4" s="1"/>
  <c r="J42" i="4" s="1"/>
  <c r="M42" i="4" s="1"/>
  <c r="I33" i="4"/>
  <c r="J33" i="4" s="1"/>
  <c r="M33" i="4" s="1"/>
  <c r="M44" i="4" l="1"/>
  <c r="M10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8"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<sst xmlns="http://schemas.openxmlformats.org/spreadsheetml/2006/main" count="891" uniqueCount="397">
  <si>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</si>
  <si>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</si>
  <si>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</si>
  <si>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</si>
  <si>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</si>
  <si>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</si>
  <si>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</si>
  <si>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</si>
  <si>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</si>
  <si>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</si>
  <si>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</si>
  <si>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</si>
  <si>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</si>
  <si>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</si>
  <si>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</si>
  <si>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</si>
  <si>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</si>
  <si>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</si>
  <si>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</si>
  <si>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</si>
  <si>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</si>
  <si>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</si>
  <si>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</si>
  <si>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</si>
  <si>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</si>
  <si>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</si>
  <si>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</si>
  <si>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</si>
  <si>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</si>
  <si>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</si>
  <si>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</si>
  <si>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</si>
  <si>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</si>
  <si>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</si>
  <si>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</si>
  <si>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</si>
  <si>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</si>
  <si>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</si>
  <si>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</si>
  <si>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</si>
  <si>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</si>
  <si>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</si>
  <si>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</si>
  <si>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</si>
  <si>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</si>
  <si>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</si>
  <si>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</si>
  <si>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</si>
  <si>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</si>
  <si>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</si>
  <si>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</si>
  <si>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</si>
  <si>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</si>
  <si>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</si>
  <si>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</si>
  <si>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</si>
  <si>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</si>
  <si>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</si>
  <si>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</si>
  <si>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</si>
  <si>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</si>
  <si>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</si>
  <si>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</si>
  <si>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</si>
  <si>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</si>
  <si>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</si>
  <si>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</si>
  <si>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</si>
  <si>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</si>
  <si>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</si>
  <si>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</si>
  <si>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</si>
  <si>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</si>
  <si>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</si>
  <si>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</si>
  <si>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</si>
  <si>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</si>
  <si>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</si>
  <si>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</si>
  <si>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</si>
  <si>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</si>
  <si>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</si>
  <si>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</si>
  <si>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</si>
  <si>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</si>
  <si>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</si>
  <si>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</si>
  <si>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</si>
  <si>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</si>
  <si>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</si>
  <si>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</si>
  <si>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</si>
  <si>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</si>
  <si>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</si>
  <si>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</si>
  <si>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</si>
  <si>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</si>
  <si>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</si>
  <si>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</si>
  <si>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</si>
  <si>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</si>
  <si>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</si>
  <si>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</si>
  <si>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</si>
  <si>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</si>
  <si>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</si>
  <si>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</si>
  <si>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</si>
  <si>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</si>
  <si>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</si>
  <si>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</si>
  <si>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</si>
  <si>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</si>
  <si>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</si>
  <si>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</si>
  <si>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</si>
  <si>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</si>
  <si>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</si>
  <si>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</si>
  <si>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</si>
  <si>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</si>
  <si>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</si>
  <si>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</si>
  <si>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</si>
  <si>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</si>
  <si>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</si>
  <si>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</si>
  <si>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</si>
  <si>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</si>
  <si>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</si>
  <si>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</si>
  <si>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</si>
  <si>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</si>
  <si>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</si>
  <si>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</si>
  <si>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</si>
  <si>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</si>
  <si>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</si>
  <si>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</si>
  <si>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</si>
  <si>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</si>
  <si>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</si>
  <si>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</si>
  <si>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</si>
  <si>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</si>
  <si>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</si>
  <si>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</si>
  <si>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</si>
  <si>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</si>
  <si>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</si>
  <si>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</si>
  <si>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</si>
  <si>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</si>
  <si>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</si>
  <si>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</si>
  <si>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</si>
  <si>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</si>
  <si>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</si>
  <si>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</si>
  <si>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</si>
  <si>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</si>
  <si>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</si>
  <si>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</si>
  <si>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</si>
  <si>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</si>
  <si>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</si>
  <si>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</si>
  <si>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</si>
  <si>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</si>
  <si>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</si>
  <si>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</si>
  <si>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</si>
  <si>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</si>
  <si>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</si>
  <si>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</si>
  <si>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</si>
  <si>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</si>
  <si>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</si>
  <si>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</si>
  <si>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</si>
  <si>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</si>
  <si>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</si>
  <si>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</si>
  <si>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</si>
  <si>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</si>
  <si>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</si>
  <si>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</si>
  <si>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</si>
  <si>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</si>
  <si>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</si>
  <si>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</si>
  <si>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</si>
  <si>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</si>
  <si>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</si>
  <si>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</si>
  <si>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</si>
  <si>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</si>
  <si>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</si>
  <si>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</si>
  <si>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</si>
  <si>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</si>
  <si>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</si>
  <si>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</si>
  <si>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</si>
  <si>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</si>
  <si>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</si>
  <si>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</si>
  <si>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</si>
  <si>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</si>
  <si>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</si>
  <si>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</si>
  <si>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</si>
  <si>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</si>
  <si>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</si>
  <si>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</si>
  <si>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</si>
  <si>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</si>
  <si>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</si>
  <si>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</si>
  <si>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</si>
  <si>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ENQ-18390-25-26</t>
  </si>
  <si>
    <t>FA1300009</t>
  </si>
  <si>
    <t>1 CORE X 300 SQ. MM. AL./ARM (XLPE)  - 11 KV</t>
  </si>
  <si>
    <t>STEEL</t>
  </si>
  <si>
    <t>Extruded Semiconductive</t>
  </si>
  <si>
    <t>KMS</t>
  </si>
  <si>
    <t>SP0400152</t>
  </si>
  <si>
    <t>CORRUGATED DISPATCH STEEL DRUM 1500 X 800 X 915</t>
  </si>
  <si>
    <t>FA1300016</t>
  </si>
  <si>
    <t>1 CORE X 630 SQ. MM. AL/ARM (XLPE)  - 11 KV</t>
  </si>
  <si>
    <t>SP0400091</t>
  </si>
  <si>
    <t>CORRUGATED DISPATCH STEEL DRUM 1800 X 900 X 1000</t>
  </si>
  <si>
    <t>FA1300018</t>
  </si>
  <si>
    <t>1 CORE X 400 SQ. MM. AL/ARM (XLPE) - 33 KV</t>
  </si>
  <si>
    <t>SP0400112</t>
  </si>
  <si>
    <t>CORRUGATED DISPATCH STEEL DRUM 2000 X 1000 X 1000 MM</t>
  </si>
  <si>
    <t>FA1300019</t>
  </si>
  <si>
    <t>1 CORE X 300 SQ. MM. AL/ARM (XLPE)  - 33 KV</t>
  </si>
  <si>
    <t>SP0400110</t>
  </si>
  <si>
    <t>CORRUGATED DISPATCH STEEL DRUM 1600 X 900 X 1000 MM</t>
  </si>
  <si>
    <t>FA1300022</t>
  </si>
  <si>
    <t>3 CORE X 50 SQ. MM. AL/ARD - WIRE (XLPE) - 33 KV (E)</t>
  </si>
  <si>
    <t>Polypropylene Filler</t>
  </si>
  <si>
    <t>FA1300027</t>
  </si>
  <si>
    <t>1 CORE X 630 SQ. MM. AL/ARM (XLPE)  - 33 KV</t>
  </si>
  <si>
    <t>SP0400123</t>
  </si>
  <si>
    <t>CORRUGATED DISPATCH STEEL DRUM 2000 X 1000 X 1200 MM</t>
  </si>
  <si>
    <t>FA1300047</t>
  </si>
  <si>
    <t>1 CORE X 400 SQ. MM. AL/ARM (XLPE) - 11 KV</t>
  </si>
  <si>
    <t>SP0400125</t>
  </si>
  <si>
    <t>CORRUGATED DISPATCH STEEL DRUM 1600 X 700 X 915 MM</t>
  </si>
  <si>
    <t>FA1300066</t>
  </si>
  <si>
    <t>1 CORE X 1000 SQ. MM. AL/ARM (XLPE) - 11 KV</t>
  </si>
  <si>
    <t>SP0400107</t>
  </si>
  <si>
    <t>CORRUGATED DISPATCH STEEL DRUM 2150 X 1080 X 1240 MM</t>
  </si>
  <si>
    <t>FA1300079</t>
  </si>
  <si>
    <t>3 CORE X 185 SQ. MM AL/ARM - WIRE (XLPE) - 33 KV</t>
  </si>
  <si>
    <t>SP0400081</t>
  </si>
  <si>
    <t>CORRUGATED DISPATCH STEEL  DRUM 2500 X 1400 X 1250 MM</t>
  </si>
  <si>
    <t>FA1300080</t>
  </si>
  <si>
    <t>3 CORE X 400 SQ. MM AL/ARM - WIRE (XLPE) - 33 KV</t>
  </si>
  <si>
    <t>SP0400137</t>
  </si>
  <si>
    <t>CORRUGATED DISPATCH STEEL DRUM 2600 X 1600 X 1600 MM</t>
  </si>
  <si>
    <t>FA1300081</t>
  </si>
  <si>
    <t>3 CORE X 300 SQ. MM. AL/ARM - WIRE (XLPE) - 33 KV</t>
  </si>
  <si>
    <t>CORRUGATED DISPATCH STEEL DRUM 2600 X 1600 X 1600</t>
  </si>
  <si>
    <t>FA1300083</t>
  </si>
  <si>
    <t>3 CORE X 400 SQ. MM. AL/ARM - WIRE (XLPE) - 11 KV</t>
  </si>
  <si>
    <t>SP0400105</t>
  </si>
  <si>
    <t>CORRUGATED DISPATCH STEEL DRUM 2500 X 1500 X 1400</t>
  </si>
  <si>
    <t>FA1300090</t>
  </si>
  <si>
    <t>3 CORE X 185 SQ. MM AL/ARM - WIRE (XLPE) - 11 KV</t>
  </si>
  <si>
    <t>SP0400111</t>
  </si>
  <si>
    <t>CORRUGATED DISPATCH STEEL DRUM 1900 X 1000 X 1000 MM</t>
  </si>
  <si>
    <t>FA1300091</t>
  </si>
  <si>
    <t>3 CORE X 300 SQ. MM. AL/ARM - WIRE (XLPE) - 11 KV</t>
  </si>
  <si>
    <t>SP0400136</t>
  </si>
  <si>
    <t>CORRUGATED DISPATCH STEEL DRUM 2200 X 1300 X 1200 MM</t>
  </si>
  <si>
    <t>FA1300097</t>
  </si>
  <si>
    <t>3 CORE X 70 SQ. MM. AL/ARM - WIRE (XLPE) - 11 KV</t>
  </si>
  <si>
    <t>FA1300098</t>
  </si>
  <si>
    <t>3 CORE X 95 SQ. MM. AL/ARM - WIRE (XLPE) - 11 KV</t>
  </si>
  <si>
    <t>SP0400118</t>
  </si>
  <si>
    <t>CORRUGATED DISPATCH STEEL DRUM 1700 X 1000 X 1200</t>
  </si>
  <si>
    <t>FA1300114</t>
  </si>
  <si>
    <t>3 CORE X 35 SQ. MM. AL/ARM - WIRE (XLPE) - 11 KV</t>
  </si>
  <si>
    <t>FA1300120</t>
  </si>
  <si>
    <t>3 CORE X 70 SQ. MM. AL/ARM - WIRE (XLPE) - 33 KV</t>
  </si>
  <si>
    <t>FA1300176</t>
  </si>
  <si>
    <t>3 CORE X 150 SQ. MM. AL/ARM - WIRE (XLPE) - 11 KV</t>
  </si>
  <si>
    <t>FA1300197</t>
  </si>
  <si>
    <t>3 CORE X 120 SQ. MM. AL/ARM - WIRE (XLPE) - 11 KV</t>
  </si>
  <si>
    <t>FA1300200</t>
  </si>
  <si>
    <t>3 CORE X 95 SQ. MM. AL/ARM  WIRE (XLPE) - 33 KV</t>
  </si>
  <si>
    <t>FA1300297</t>
  </si>
  <si>
    <t>3 CORE X 35 SQ. MM. AL/ARM - WIRE (XLPE) - 33 KV (E)</t>
  </si>
  <si>
    <t>FA1300313</t>
  </si>
  <si>
    <t>3 CORE X 50 SQ. MM. AL/ARD - WIRE (XLPE) - 11 KV</t>
  </si>
  <si>
    <t>NCWBT</t>
  </si>
  <si>
    <t>PP FILLER</t>
  </si>
  <si>
    <t>Rs. 15/kg extra</t>
  </si>
  <si>
    <t>Consider 1% extra cost  for complete cable .</t>
  </si>
  <si>
    <t>SP0400108</t>
  </si>
  <si>
    <t>CORRUGATED DISPATCH STEEL DRUM 2250 X 1200 X 1400 MM</t>
  </si>
  <si>
    <t>SP0400126</t>
  </si>
  <si>
    <t>CORRUGATED DISPATCH STEEL DRUM 1900 X 830 X 915 MM</t>
  </si>
  <si>
    <t>CABLE WEIGHT KG/KM</t>
  </si>
  <si>
    <t>DRUM WEIGHT</t>
  </si>
  <si>
    <t>CABLE + DRUM WEIGHT</t>
  </si>
  <si>
    <t>TRAILOR WEIGHT</t>
  </si>
  <si>
    <t>25 MT TRAILOR</t>
  </si>
  <si>
    <t>NON RETURNABLE STEEL DRUM</t>
  </si>
  <si>
    <t>FREIGHT CHARGES</t>
  </si>
  <si>
    <t>25 MT TRAILER</t>
  </si>
  <si>
    <t>BHUBANESWAR</t>
  </si>
  <si>
    <t>BALIA</t>
  </si>
  <si>
    <t>BERHAMPUR</t>
  </si>
  <si>
    <t>BURLA</t>
  </si>
  <si>
    <t xml:space="preserve">AVERAGE = </t>
  </si>
  <si>
    <t>PV Terms(Price Variation Formula)</t>
  </si>
  <si>
    <t>PV FORMULA</t>
  </si>
  <si>
    <t>Alf</t>
  </si>
  <si>
    <t>Variation factor for aluminum.</t>
  </si>
  <si>
    <t>CCFAI</t>
  </si>
  <si>
    <t>Variation factor for PVC compound/Polymer for aluminum conductor cable.</t>
  </si>
  <si>
    <t>XLFAL</t>
  </si>
  <si>
    <t>Variation Factor For XLPE</t>
  </si>
  <si>
    <t>Fef</t>
  </si>
  <si>
    <t>Variation factor for steel</t>
  </si>
  <si>
    <t>Item</t>
  </si>
  <si>
    <t>Ex-Work</t>
  </si>
  <si>
    <t>VALUE ADDITION CALCULATION</t>
  </si>
  <si>
    <t>Calculation part</t>
  </si>
  <si>
    <t>Date of Inspection</t>
  </si>
  <si>
    <t>Applicable Date</t>
  </si>
  <si>
    <t>FACTORS</t>
  </si>
  <si>
    <t>Ex-Work
Po</t>
  </si>
  <si>
    <t>PVC of al</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</si>
  <si>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</si>
  <si>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</si>
  <si>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</si>
  <si>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</si>
  <si>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</si>
  <si>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</si>
  <si>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</si>
  <si>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</si>
  <si>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</si>
  <si>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</si>
  <si>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</si>
  <si>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</si>
  <si>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</si>
  <si>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</si>
  <si>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</si>
  <si>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</si>
  <si>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</si>
  <si>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</si>
  <si>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</si>
  <si>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</si>
  <si>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</si>
  <si>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</si>
  <si>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</si>
  <si>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</si>
  <si>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</si>
  <si>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</si>
  <si>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FeF</t>
  </si>
  <si>
    <t>Smif</t>
  </si>
  <si>
    <t>ARM WIRE DIA</t>
  </si>
  <si>
    <t>Kg/Km</t>
  </si>
  <si>
    <t>PROVISIONAL</t>
  </si>
  <si>
    <t>TENDER SPECIFICATION NO ()</t>
  </si>
  <si>
    <t>TENDER DESCRIPTION  ()</t>
  </si>
  <si>
    <t>Last Date &amp; Time of Submission ()</t>
  </si>
  <si>
    <t>REVERSE AUCTION</t>
  </si>
  <si>
    <t>Price ()</t>
  </si>
  <si>
    <t>Validity  ()</t>
  </si>
  <si>
    <t>Delivery Period  ()</t>
  </si>
  <si>
    <t>Payment Terms ()</t>
  </si>
  <si>
    <t>100% payment will be made within 60 days of submission of error-free certified invoice complete in all respects. For MSME payment cycle shall be within 45 days.</t>
  </si>
  <si>
    <t>Standard length ()</t>
  </si>
  <si>
    <t>Packing  ()</t>
  </si>
  <si>
    <t>Technical Specification</t>
  </si>
  <si>
    <t>Centralized Contracts Group; TP Odisha DISCOMs
TPCODL TPNODL TPSODL TPWODL
(TATA Power and Odisha Government Joint Venture)</t>
  </si>
  <si>
    <t>TPCODL / CCG / FY 25-26 / 1000008015</t>
  </si>
  <si>
    <t>Two Year Rate Contract for supply of HT Cables at TPCODL, TPNODL, TPSODL &amp; TPWODL</t>
  </si>
  <si>
    <t>19.02.2026 [16:00 Hrs]
OPENING ON '19.02.2026 [16:30 Hrs]</t>
  </si>
  <si>
    <t>Bidders shall be allowed to participate in Reverse auction as per following criteria hence bidders are advised to quote their most competitive rates while submitting the bids to avoid disqualification from participation in Reverse Auction.
No of bidders allowed to participate in RA process shall be: Total No of bidders on whom tender would be split PLUS 2 more bidders
CCG reserves the right to split the order quantity wise among 3-5 Nos of Bidders.</t>
  </si>
  <si>
    <t>The line-item prices shall be subject to Price Variation clause as per latest IEEMA Circular. (Base Date of IEEMA for price consideration shall be Dec-25).</t>
  </si>
  <si>
    <t>Bids shall remain valid for 180 days from the due date of submission of the bid.</t>
  </si>
  <si>
    <t>The delivery period for a quantity of up to 40 KM shall be 90 days from the date of issuance of the RO or GTP drawing approval, whichever is later.
For quantities exceeding 40 KM, the delivery period shall be mutually agreed upon between the BA and the DISCOM.
DISCOMs may also plan delivery in a staggered manner based on business requirements, as per the mutual agreement. In such cases, a month-wise delivery plan along with delivery date will be specified in the SCC of the RO.</t>
  </si>
  <si>
    <t>Cable length on one drum shall be 250 meters for 3 core cables &amp; 500 meters for 1 core cables max. +/- 5%. (As per PO Terms.)
The cable shall be supplied in continuous standard length of 250 (3 cores) &amp; 500 (Single core) running meters with +/- 5% tolerance.</t>
  </si>
  <si>
    <t>Steel drums shall be provided.
The cable shall be wound on non-returnable steel drums without any extra cost to TPWODL/ TPCODL/ TPNODL/ TPSODL/TPC/TPDDL/TPADL as per IS 10418 and its latest amendments.</t>
  </si>
  <si>
    <t>EX-WORKS (PER MTR)</t>
  </si>
  <si>
    <t>FREIGHT PER MTR</t>
  </si>
  <si>
    <t>PRICE INCLUDING FREIGHT (PER MTR)</t>
  </si>
  <si>
    <t>PRICE INCLUDING GST &amp; FREIGHT (PER MTR)</t>
  </si>
  <si>
    <t>MTR</t>
  </si>
  <si>
    <t>P=Po+Alf (Al-Alo)+XLFAL(CC-Cco)+CCFAI(PVCc-PVCco)+FeF (Fe-Feo)+SMIF(SMIF1 - SMIF0)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</si>
</sst>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 numFmtId="171" formatCode="&quot;Rs.&quot;#,##0"/>
    <numFmt numFmtId="172" formatCode="0.0"/>
    <numFmt numFmtId="173" formatCode="0.000"/>
    <numFmt numFmtId="174" formatCode="0.00000"/>
  </numFmts>
  <fonts count="5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sz val="11"/>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sz val="11"/>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1"/>
      <name val="Calibri"/>
      <family val="2"/>
      <scheme val="minor"/>
    </font>
    <font>
      <sz val="10"/>
      <name val="Calibri"/>
      <family val="2"/>
      <scheme val="minor"/>
    </font>
    <font>
      <b/>
      <sz val="10"/>
      <name val="Calibri"/>
      <family val="2"/>
      <scheme val="minor"/>
    </font>
    <font>
      <b/>
      <sz val="11"/>
      <name val="Calibri"/>
      <family val="2"/>
      <scheme val="minor"/>
    </font>
    <font>
      <sz val="12"/>
      <color rgb="FF000000"/>
      <name val="Arial"/>
      <family val="2"/>
    </font>
    <font>
      <b/>
      <sz val="12"/>
      <color rgb="FF000000"/>
      <name val="Arial"/>
      <family val="2"/>
    </font>
    <font>
      <b/>
      <sz val="10"/>
      <name val="Verdana"/>
      <family val="2"/>
    </font>
    <font>
      <sz val="10"/>
      <name val="Arial"/>
      <family val="2"/>
    </font>
    <font>
      <sz val="14"/>
      <name val="Calibri"/>
      <family val="2"/>
      <scheme val="minor"/>
    </font>
    <font>
      <b/>
      <sz val="10"/>
      <name val="Arial"/>
      <family val="2"/>
    </font>
    <font>
      <sz val="10"/>
      <color rgb="FFFF0000"/>
      <name val="Calibri"/>
      <family val="2"/>
      <scheme val="minor"/>
    </font>
    <font>
      <sz val="14"/>
      <color theme="1"/>
      <name val="Arial Black"/>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36" fillId="0" borderId="0"/>
    <xf numFmtId="43" fontId="1" fillId="0" borderId="0" applyFont="0" applyFill="0" applyBorder="0" applyAlignment="0" applyProtection="0"/>
    <xf numFmtId="0" fontId="36" fillId="0" borderId="0"/>
    <xf numFmtId="0" fontId="46" fillId="0" borderId="0"/>
  </cellStyleXfs>
  <cellXfs count="270">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164" fontId="0" fillId="0" borderId="0" xfId="1" applyFont="1" applyAlignment="1">
      <alignment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35" fillId="5" borderId="1" xfId="0" applyFont="1" applyFill="1" applyBorder="1" applyAlignment="1">
      <alignment horizontal="center" vertical="center" wrapText="1"/>
    </xf>
    <xf numFmtId="3" fontId="3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2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7" fillId="4" borderId="1" xfId="0" applyFont="1" applyFill="1" applyBorder="1" applyAlignment="1">
      <alignment horizontal="center" vertical="center" wrapText="1"/>
    </xf>
    <xf numFmtId="164" fontId="0" fillId="0" borderId="0" xfId="0" applyNumberFormat="1"/>
    <xf numFmtId="3" fontId="0" fillId="0" borderId="0" xfId="0" applyNumberFormat="1" applyAlignment="1">
      <alignment wrapText="1"/>
    </xf>
    <xf numFmtId="164" fontId="7" fillId="5" borderId="1" xfId="1" applyFont="1" applyFill="1" applyBorder="1" applyAlignment="1">
      <alignment vertical="center" wrapText="1"/>
    </xf>
    <xf numFmtId="164" fontId="0" fillId="0" borderId="1" xfId="1" applyFont="1" applyBorder="1" applyAlignment="1">
      <alignment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0" fillId="0" borderId="0" xfId="0" applyAlignment="1">
      <alignment horizontal="right"/>
    </xf>
    <xf numFmtId="0" fontId="43" fillId="0" borderId="0" xfId="0" applyFont="1"/>
    <xf numFmtId="0" fontId="44" fillId="0" borderId="0" xfId="0" applyFont="1" applyAlignment="1">
      <alignment horizontal="right"/>
    </xf>
    <xf numFmtId="164" fontId="2" fillId="0" borderId="0" xfId="0" applyNumberFormat="1" applyFont="1"/>
    <xf numFmtId="0" fontId="36" fillId="0" borderId="1" xfId="6" applyBorder="1" applyAlignment="1">
      <alignment horizontal="center" vertical="center"/>
    </xf>
    <xf numFmtId="0" fontId="41" fillId="0" borderId="0" xfId="6" applyFont="1" applyAlignment="1">
      <alignment horizontal="center" vertical="center"/>
    </xf>
    <xf numFmtId="0" fontId="40" fillId="0" borderId="0" xfId="7" applyFont="1" applyAlignment="1">
      <alignment horizontal="center" vertical="center"/>
    </xf>
    <xf numFmtId="0" fontId="36" fillId="0" borderId="0" xfId="6" applyAlignment="1">
      <alignment horizontal="center" vertical="center"/>
    </xf>
    <xf numFmtId="0" fontId="41" fillId="0" borderId="1" xfId="6" applyFont="1" applyBorder="1" applyAlignment="1">
      <alignment vertical="center" wrapText="1"/>
    </xf>
    <xf numFmtId="0" fontId="36" fillId="0" borderId="0" xfId="6" applyAlignment="1">
      <alignment horizontal="left"/>
    </xf>
    <xf numFmtId="0" fontId="40" fillId="0" borderId="0" xfId="6" applyFont="1" applyAlignment="1">
      <alignment horizontal="center"/>
    </xf>
    <xf numFmtId="0" fontId="40" fillId="0" borderId="0" xfId="7" applyFont="1"/>
    <xf numFmtId="0" fontId="36" fillId="0" borderId="0" xfId="6"/>
    <xf numFmtId="0" fontId="41" fillId="0" borderId="1" xfId="6" applyFont="1" applyBorder="1" applyAlignment="1">
      <alignment horizontal="center" vertical="center"/>
    </xf>
    <xf numFmtId="0" fontId="41" fillId="0" borderId="0" xfId="6" applyFont="1" applyAlignment="1">
      <alignment horizontal="left" vertical="center" wrapText="1"/>
    </xf>
    <xf numFmtId="0" fontId="41" fillId="0" borderId="0" xfId="6" applyFont="1"/>
    <xf numFmtId="0" fontId="41" fillId="0" borderId="0" xfId="6" applyFont="1" applyAlignment="1">
      <alignment horizontal="center"/>
    </xf>
    <xf numFmtId="0" fontId="41" fillId="0" borderId="0" xfId="6" applyFont="1" applyAlignment="1">
      <alignment vertical="center"/>
    </xf>
    <xf numFmtId="0" fontId="36" fillId="0" borderId="0" xfId="6" applyAlignment="1">
      <alignment horizontal="center"/>
    </xf>
    <xf numFmtId="0" fontId="41" fillId="0" borderId="1" xfId="6" applyFont="1" applyBorder="1" applyAlignment="1">
      <alignment horizontal="left" vertical="center"/>
    </xf>
    <xf numFmtId="0" fontId="41" fillId="0" borderId="1" xfId="6" applyFont="1" applyBorder="1" applyAlignment="1">
      <alignment horizontal="center" vertical="center" wrapText="1"/>
    </xf>
    <xf numFmtId="170" fontId="41" fillId="0" borderId="0" xfId="6" applyNumberFormat="1" applyFont="1" applyAlignment="1">
      <alignment vertical="center"/>
    </xf>
    <xf numFmtId="0" fontId="45" fillId="0" borderId="1" xfId="6" applyFont="1" applyBorder="1" applyAlignment="1">
      <alignment horizontal="center"/>
    </xf>
    <xf numFmtId="14" fontId="40" fillId="0" borderId="0" xfId="6" applyNumberFormat="1" applyFont="1" applyAlignment="1">
      <alignment horizontal="center"/>
    </xf>
    <xf numFmtId="0" fontId="41" fillId="0" borderId="19" xfId="7" applyFont="1" applyBorder="1" applyAlignment="1">
      <alignment horizontal="center" vertical="center" wrapText="1"/>
    </xf>
    <xf numFmtId="0" fontId="41" fillId="0" borderId="1" xfId="7" applyFont="1" applyBorder="1" applyAlignment="1">
      <alignment horizontal="center" vertical="center" wrapText="1"/>
    </xf>
    <xf numFmtId="0" fontId="41" fillId="0" borderId="4" xfId="7" applyFont="1" applyBorder="1" applyAlignment="1">
      <alignment horizontal="center" vertical="center" wrapText="1"/>
    </xf>
    <xf numFmtId="0" fontId="41" fillId="0" borderId="2" xfId="7" applyFont="1" applyBorder="1" applyAlignment="1">
      <alignment horizontal="center" vertical="center" wrapText="1"/>
    </xf>
    <xf numFmtId="0" fontId="41" fillId="0" borderId="25" xfId="7" applyFont="1" applyBorder="1" applyAlignment="1">
      <alignment horizontal="center" vertical="center" wrapText="1"/>
    </xf>
    <xf numFmtId="0" fontId="48" fillId="0" borderId="4" xfId="7" applyFont="1" applyBorder="1" applyAlignment="1">
      <alignment horizontal="center" vertical="center" wrapText="1"/>
    </xf>
    <xf numFmtId="0" fontId="48" fillId="0" borderId="1" xfId="7" applyFont="1" applyBorder="1" applyAlignment="1">
      <alignment horizontal="center" vertical="center" wrapText="1"/>
    </xf>
    <xf numFmtId="171" fontId="48" fillId="0" borderId="4" xfId="7" applyNumberFormat="1" applyFont="1" applyBorder="1" applyAlignment="1">
      <alignment horizontal="center" vertical="center" wrapText="1"/>
    </xf>
    <xf numFmtId="171" fontId="48" fillId="0" borderId="1" xfId="7" applyNumberFormat="1" applyFont="1" applyBorder="1" applyAlignment="1">
      <alignment horizontal="center" vertical="center"/>
    </xf>
    <xf numFmtId="0" fontId="36" fillId="0" borderId="18" xfId="6" applyBorder="1"/>
    <xf numFmtId="0" fontId="36" fillId="0" borderId="32" xfId="6" applyBorder="1" applyAlignment="1">
      <alignment horizontal="center" wrapText="1"/>
    </xf>
    <xf numFmtId="0" fontId="40" fillId="0" borderId="19" xfId="7" applyFont="1" applyBorder="1" applyAlignment="1">
      <alignment horizontal="left" vertical="center" wrapText="1"/>
    </xf>
    <xf numFmtId="14" fontId="40" fillId="0" borderId="1" xfId="7" applyNumberFormat="1" applyFont="1" applyBorder="1" applyAlignment="1">
      <alignment horizontal="center" vertical="center" wrapText="1"/>
    </xf>
    <xf numFmtId="14" fontId="40" fillId="0" borderId="17" xfId="7" applyNumberFormat="1" applyFont="1" applyBorder="1" applyAlignment="1">
      <alignment horizontal="center" vertical="center" wrapText="1"/>
    </xf>
    <xf numFmtId="14" fontId="40" fillId="0" borderId="19" xfId="7" applyNumberFormat="1" applyFont="1" applyBorder="1" applyAlignment="1">
      <alignment horizontal="center" vertical="center" wrapText="1"/>
    </xf>
    <xf numFmtId="14" fontId="40" fillId="0" borderId="2" xfId="7" applyNumberFormat="1" applyFont="1" applyBorder="1" applyAlignment="1">
      <alignment horizontal="center" vertical="center" wrapText="1"/>
    </xf>
    <xf numFmtId="2" fontId="41" fillId="0" borderId="19" xfId="7" applyNumberFormat="1" applyFont="1" applyBorder="1" applyAlignment="1">
      <alignment horizontal="center" vertical="center" wrapText="1"/>
    </xf>
    <xf numFmtId="2" fontId="41" fillId="0" borderId="1" xfId="7" applyNumberFormat="1" applyFont="1" applyBorder="1" applyAlignment="1">
      <alignment horizontal="center" vertical="center" wrapText="1"/>
    </xf>
    <xf numFmtId="2" fontId="41" fillId="0" borderId="25" xfId="7" applyNumberFormat="1" applyFont="1" applyBorder="1" applyAlignment="1">
      <alignment horizontal="center" vertical="center" wrapText="1"/>
    </xf>
    <xf numFmtId="2" fontId="41" fillId="0" borderId="24" xfId="7" applyNumberFormat="1" applyFont="1" applyBorder="1" applyAlignment="1">
      <alignment horizontal="center" vertical="center" wrapText="1"/>
    </xf>
    <xf numFmtId="0" fontId="40" fillId="0" borderId="25" xfId="7" applyFont="1" applyBorder="1" applyAlignment="1">
      <alignment horizontal="center" vertical="center" wrapText="1"/>
    </xf>
    <xf numFmtId="0" fontId="40" fillId="0" borderId="24" xfId="7" applyFont="1" applyBorder="1" applyAlignment="1">
      <alignment horizontal="center" vertical="center" wrapText="1"/>
    </xf>
    <xf numFmtId="0" fontId="36" fillId="0" borderId="2" xfId="6" applyBorder="1" applyAlignment="1">
      <alignment horizontal="center" vertical="center" wrapText="1"/>
    </xf>
    <xf numFmtId="2" fontId="36" fillId="0" borderId="18" xfId="6" applyNumberFormat="1" applyBorder="1" applyAlignment="1">
      <alignment horizontal="center" wrapText="1"/>
    </xf>
    <xf numFmtId="14" fontId="4" fillId="0" borderId="3" xfId="7" applyNumberFormat="1" applyFont="1" applyBorder="1" applyAlignment="1">
      <alignment horizontal="center" vertical="center" wrapText="1"/>
    </xf>
    <xf numFmtId="14" fontId="4" fillId="10" borderId="19" xfId="7" applyNumberFormat="1" applyFont="1" applyFill="1" applyBorder="1" applyAlignment="1">
      <alignment horizontal="center" vertical="center" wrapText="1"/>
    </xf>
    <xf numFmtId="14" fontId="40" fillId="10" borderId="19" xfId="7" applyNumberFormat="1" applyFont="1" applyFill="1" applyBorder="1" applyAlignment="1">
      <alignment horizontal="center" vertical="center" wrapText="1"/>
    </xf>
    <xf numFmtId="173" fontId="40" fillId="0" borderId="19" xfId="7" applyNumberFormat="1" applyFont="1" applyBorder="1" applyAlignment="1">
      <alignment horizontal="center" vertical="center" wrapText="1"/>
    </xf>
    <xf numFmtId="173" fontId="40" fillId="0" borderId="1" xfId="7" applyNumberFormat="1" applyFont="1" applyBorder="1" applyAlignment="1">
      <alignment horizontal="center" vertical="center" wrapText="1"/>
    </xf>
    <xf numFmtId="170" fontId="40" fillId="0" borderId="25" xfId="7" applyNumberFormat="1" applyFont="1" applyBorder="1" applyAlignment="1">
      <alignment horizontal="center" vertical="center" wrapText="1"/>
    </xf>
    <xf numFmtId="173" fontId="46" fillId="0" borderId="4" xfId="7" applyNumberFormat="1" applyBorder="1" applyAlignment="1">
      <alignment vertical="center"/>
    </xf>
    <xf numFmtId="173" fontId="46" fillId="0" borderId="1" xfId="7" applyNumberFormat="1" applyBorder="1" applyAlignment="1">
      <alignment vertical="center"/>
    </xf>
    <xf numFmtId="2" fontId="48" fillId="0" borderId="1" xfId="7" applyNumberFormat="1" applyFont="1" applyBorder="1" applyAlignment="1">
      <alignment vertical="center"/>
    </xf>
    <xf numFmtId="2" fontId="46" fillId="0" borderId="1" xfId="7" applyNumberFormat="1" applyBorder="1" applyAlignment="1">
      <alignment vertical="center"/>
    </xf>
    <xf numFmtId="2" fontId="48" fillId="0" borderId="17" xfId="7" applyNumberFormat="1" applyFont="1" applyBorder="1" applyAlignment="1">
      <alignment vertical="center"/>
    </xf>
    <xf numFmtId="0" fontId="36" fillId="0" borderId="34" xfId="6" applyBorder="1" applyAlignment="1">
      <alignment wrapText="1"/>
    </xf>
    <xf numFmtId="14" fontId="40" fillId="0" borderId="35" xfId="7" applyNumberFormat="1" applyFont="1" applyBorder="1" applyAlignment="1">
      <alignment horizontal="center" vertical="center" wrapText="1"/>
    </xf>
    <xf numFmtId="14" fontId="40" fillId="0" borderId="36" xfId="7" applyNumberFormat="1" applyFont="1" applyBorder="1" applyAlignment="1">
      <alignment horizontal="center" vertical="center" wrapText="1"/>
    </xf>
    <xf numFmtId="2" fontId="40" fillId="0" borderId="37" xfId="7" applyNumberFormat="1" applyFont="1" applyBorder="1" applyAlignment="1">
      <alignment horizontal="center" vertical="center" wrapText="1"/>
    </xf>
    <xf numFmtId="2" fontId="40" fillId="0" borderId="38" xfId="7" applyNumberFormat="1" applyFont="1" applyBorder="1" applyAlignment="1">
      <alignment horizontal="center" vertical="center" wrapText="1"/>
    </xf>
    <xf numFmtId="2" fontId="40" fillId="0" borderId="36" xfId="7" applyNumberFormat="1" applyFont="1" applyBorder="1" applyAlignment="1">
      <alignment horizontal="center" vertical="center" wrapText="1"/>
    </xf>
    <xf numFmtId="172" fontId="40" fillId="0" borderId="37" xfId="7" applyNumberFormat="1" applyFont="1" applyBorder="1" applyAlignment="1">
      <alignment horizontal="center" vertical="center" wrapText="1"/>
    </xf>
    <xf numFmtId="172" fontId="40" fillId="0" borderId="39" xfId="7" applyNumberFormat="1" applyFont="1" applyBorder="1" applyAlignment="1">
      <alignment horizontal="center" vertical="center" wrapText="1"/>
    </xf>
    <xf numFmtId="2" fontId="40" fillId="0" borderId="39" xfId="7" applyNumberFormat="1" applyFont="1" applyBorder="1" applyAlignment="1">
      <alignment horizontal="center" vertical="center" wrapText="1"/>
    </xf>
    <xf numFmtId="2" fontId="40" fillId="0" borderId="40" xfId="7" applyNumberFormat="1" applyFont="1" applyBorder="1" applyAlignment="1">
      <alignment horizontal="center" vertical="center" wrapText="1"/>
    </xf>
    <xf numFmtId="174" fontId="40" fillId="0" borderId="41" xfId="7" applyNumberFormat="1" applyFont="1" applyBorder="1" applyAlignment="1">
      <alignment vertical="center" wrapText="1"/>
    </xf>
    <xf numFmtId="174" fontId="40" fillId="0" borderId="37" xfId="7" applyNumberFormat="1" applyFont="1" applyBorder="1" applyAlignment="1">
      <alignment vertical="center" wrapText="1"/>
    </xf>
    <xf numFmtId="174" fontId="40" fillId="0" borderId="39" xfId="7" applyNumberFormat="1" applyFont="1" applyBorder="1" applyAlignment="1">
      <alignment vertical="center" wrapText="1"/>
    </xf>
    <xf numFmtId="170" fontId="40" fillId="0" borderId="42" xfId="7" applyNumberFormat="1" applyFont="1" applyBorder="1" applyAlignment="1">
      <alignment horizontal="center" vertical="center" wrapText="1"/>
    </xf>
    <xf numFmtId="0" fontId="36" fillId="0" borderId="43" xfId="6" applyBorder="1"/>
    <xf numFmtId="0" fontId="36" fillId="0" borderId="44" xfId="6" applyBorder="1"/>
    <xf numFmtId="0" fontId="36" fillId="0" borderId="0" xfId="6" applyAlignment="1">
      <alignment wrapText="1"/>
    </xf>
    <xf numFmtId="0" fontId="45" fillId="0" borderId="0" xfId="6" applyFont="1"/>
    <xf numFmtId="0" fontId="42" fillId="8" borderId="1" xfId="0" applyFont="1" applyFill="1" applyBorder="1" applyAlignment="1">
      <alignment horizontal="center" vertical="center" wrapText="1"/>
    </xf>
    <xf numFmtId="0" fontId="41" fillId="8" borderId="1" xfId="0" applyFont="1" applyFill="1" applyBorder="1" applyAlignment="1">
      <alignment horizontal="center" vertical="center" wrapText="1"/>
    </xf>
    <xf numFmtId="0" fontId="0" fillId="0" borderId="0" xfId="0" applyAlignment="1">
      <alignment vertical="center"/>
    </xf>
    <xf numFmtId="0" fontId="2" fillId="9" borderId="6" xfId="0" applyFont="1" applyFill="1" applyBorder="1" applyAlignment="1">
      <alignment vertical="top" wrapText="1"/>
    </xf>
    <xf numFmtId="0" fontId="2" fillId="9" borderId="19"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164" fontId="2" fillId="0" borderId="1" xfId="0" applyNumberFormat="1" applyFont="1" applyBorder="1" applyAlignment="1">
      <alignment horizontal="center" vertical="center" wrapText="1"/>
    </xf>
    <xf numFmtId="43" fontId="0" fillId="0" borderId="0" xfId="0" applyNumberFormat="1"/>
    <xf numFmtId="173" fontId="40" fillId="0" borderId="48" xfId="7" applyNumberFormat="1" applyFont="1" applyBorder="1" applyAlignment="1">
      <alignment horizontal="center" vertical="center" wrapText="1"/>
    </xf>
    <xf numFmtId="173" fontId="40" fillId="0" borderId="20" xfId="7" applyNumberFormat="1" applyFont="1" applyBorder="1" applyAlignment="1">
      <alignment horizontal="center" vertical="center" wrapText="1"/>
    </xf>
    <xf numFmtId="164" fontId="40" fillId="0" borderId="1" xfId="1" applyFont="1" applyBorder="1" applyAlignment="1">
      <alignment horizontal="center" vertical="center" wrapText="1"/>
    </xf>
    <xf numFmtId="164" fontId="40" fillId="0" borderId="2" xfId="1" applyFont="1" applyBorder="1" applyAlignment="1">
      <alignment horizontal="center" vertical="center" wrapText="1"/>
    </xf>
    <xf numFmtId="164" fontId="40" fillId="0" borderId="21" xfId="1" applyFont="1" applyBorder="1" applyAlignment="1">
      <alignment horizontal="center" vertical="center" wrapText="1"/>
    </xf>
    <xf numFmtId="164" fontId="49" fillId="0" borderId="1" xfId="1" applyFont="1" applyBorder="1" applyAlignment="1">
      <alignment horizontal="center" vertical="center" wrapText="1"/>
    </xf>
    <xf numFmtId="164" fontId="40" fillId="0" borderId="24" xfId="1" applyFont="1" applyBorder="1" applyAlignment="1">
      <alignment horizontal="center" vertical="center" wrapText="1"/>
    </xf>
    <xf numFmtId="164" fontId="40" fillId="0" borderId="4" xfId="1" applyFont="1" applyBorder="1" applyAlignment="1">
      <alignment vertical="center" wrapText="1"/>
    </xf>
    <xf numFmtId="164" fontId="40" fillId="0" borderId="25" xfId="1" applyFont="1" applyBorder="1" applyAlignment="1">
      <alignment horizontal="center" vertical="center" wrapText="1"/>
    </xf>
    <xf numFmtId="164" fontId="40" fillId="11" borderId="24" xfId="1" applyFont="1" applyFill="1" applyBorder="1" applyAlignment="1">
      <alignment horizontal="center" vertical="center" wrapText="1"/>
    </xf>
    <xf numFmtId="0" fontId="0" fillId="0" borderId="1" xfId="0" applyBorder="1" applyAlignment="1">
      <alignment vertical="center" wrapText="1"/>
    </xf>
    <xf numFmtId="0" fontId="39" fillId="0" borderId="1" xfId="0" applyFont="1" applyBorder="1" applyAlignment="1">
      <alignment horizontal="left" vertical="top" wrapText="1"/>
    </xf>
    <xf numFmtId="0" fontId="39" fillId="0" borderId="2" xfId="0" applyFont="1" applyBorder="1" applyAlignment="1">
      <alignment horizontal="left" vertical="top" wrapText="1"/>
    </xf>
    <xf numFmtId="0" fontId="39" fillId="0" borderId="3" xfId="0" applyFont="1" applyBorder="1" applyAlignment="1">
      <alignment horizontal="left" vertical="top" wrapText="1"/>
    </xf>
    <xf numFmtId="0" fontId="39" fillId="0" borderId="4" xfId="0" applyFont="1" applyBorder="1" applyAlignment="1">
      <alignment horizontal="left" vertical="top" wrapText="1"/>
    </xf>
    <xf numFmtId="0" fontId="39" fillId="0" borderId="2" xfId="0" applyFont="1" applyBorder="1" applyAlignment="1">
      <alignment horizontal="justify" vertical="top" wrapText="1"/>
    </xf>
    <xf numFmtId="0" fontId="39" fillId="0" borderId="3" xfId="0" applyFont="1" applyBorder="1" applyAlignment="1">
      <alignment horizontal="justify" vertical="top" wrapText="1"/>
    </xf>
    <xf numFmtId="0" fontId="39" fillId="0" borderId="4" xfId="0" applyFont="1" applyBorder="1" applyAlignment="1">
      <alignment horizontal="justify" vertical="top" wrapText="1"/>
    </xf>
    <xf numFmtId="0" fontId="50" fillId="0" borderId="45" xfId="0" applyFont="1" applyBorder="1" applyAlignment="1">
      <alignment horizontal="center" wrapText="1"/>
    </xf>
    <xf numFmtId="0" fontId="50" fillId="0" borderId="46" xfId="0" applyFont="1" applyBorder="1" applyAlignment="1">
      <alignment horizontal="center"/>
    </xf>
    <xf numFmtId="0" fontId="50" fillId="0" borderId="47" xfId="0" applyFont="1" applyBorder="1" applyAlignment="1">
      <alignment horizontal="center"/>
    </xf>
    <xf numFmtId="0" fontId="39" fillId="0" borderId="1" xfId="0" applyFont="1" applyBorder="1" applyAlignment="1">
      <alignment horizontal="left" vertical="top"/>
    </xf>
    <xf numFmtId="0" fontId="39" fillId="0" borderId="1" xfId="0" quotePrefix="1" applyFont="1" applyBorder="1" applyAlignment="1">
      <alignment horizontal="left" vertical="top" wrapText="1"/>
    </xf>
    <xf numFmtId="0" fontId="34" fillId="5" borderId="2"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4"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8"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8" fillId="0" borderId="20" xfId="7" applyFont="1" applyBorder="1" applyAlignment="1">
      <alignment horizontal="center" vertical="center" wrapText="1"/>
    </xf>
    <xf numFmtId="0" fontId="48" fillId="0" borderId="30" xfId="7" applyFont="1" applyBorder="1" applyAlignment="1">
      <alignment horizontal="center" vertical="center" wrapText="1"/>
    </xf>
    <xf numFmtId="0" fontId="48" fillId="0" borderId="28" xfId="7" applyFont="1" applyBorder="1" applyAlignment="1">
      <alignment horizontal="center" vertical="center" wrapText="1"/>
    </xf>
    <xf numFmtId="0" fontId="48" fillId="0" borderId="26" xfId="7" applyFont="1" applyBorder="1" applyAlignment="1">
      <alignment horizontal="center" vertical="center" wrapText="1"/>
    </xf>
    <xf numFmtId="0" fontId="48" fillId="0" borderId="31" xfId="7" applyFont="1" applyBorder="1" applyAlignment="1">
      <alignment horizontal="center" vertical="center" wrapText="1"/>
    </xf>
    <xf numFmtId="0" fontId="48" fillId="0" borderId="33" xfId="7" applyFont="1" applyBorder="1" applyAlignment="1">
      <alignment horizontal="center" vertical="center" wrapText="1"/>
    </xf>
    <xf numFmtId="0" fontId="41" fillId="0" borderId="21" xfId="7" applyFont="1" applyBorder="1" applyAlignment="1">
      <alignment horizontal="center" vertical="center" wrapText="1"/>
    </xf>
    <xf numFmtId="0" fontId="41" fillId="0" borderId="29" xfId="7" applyFont="1" applyBorder="1" applyAlignment="1">
      <alignment horizontal="center" vertical="center" wrapText="1"/>
    </xf>
    <xf numFmtId="0" fontId="41" fillId="0" borderId="17" xfId="7" applyFont="1" applyBorder="1" applyAlignment="1">
      <alignment horizontal="center" vertical="center" wrapText="1"/>
    </xf>
    <xf numFmtId="0" fontId="41" fillId="0" borderId="19" xfId="7" applyFont="1" applyBorder="1" applyAlignment="1">
      <alignment horizontal="center" vertical="center" wrapText="1"/>
    </xf>
    <xf numFmtId="0" fontId="41" fillId="0" borderId="1" xfId="7" applyFont="1" applyBorder="1" applyAlignment="1">
      <alignment horizontal="center" vertical="center" wrapText="1"/>
    </xf>
    <xf numFmtId="0" fontId="41" fillId="0" borderId="20" xfId="7" applyFont="1" applyBorder="1" applyAlignment="1">
      <alignment horizontal="center" vertical="center" wrapText="1"/>
    </xf>
    <xf numFmtId="0" fontId="41" fillId="0" borderId="28" xfId="7" applyFont="1" applyBorder="1" applyAlignment="1">
      <alignment horizontal="center" vertical="center" wrapText="1"/>
    </xf>
    <xf numFmtId="0" fontId="41" fillId="0" borderId="7" xfId="7" applyFont="1" applyBorder="1" applyAlignment="1">
      <alignment horizontal="center" vertical="center" wrapText="1"/>
    </xf>
    <xf numFmtId="0" fontId="41" fillId="0" borderId="11" xfId="7" applyFont="1" applyBorder="1" applyAlignment="1">
      <alignment horizontal="center" vertical="center" wrapText="1"/>
    </xf>
    <xf numFmtId="0" fontId="41" fillId="0" borderId="2" xfId="7" applyFont="1" applyBorder="1" applyAlignment="1">
      <alignment horizontal="center" vertical="center" wrapText="1"/>
    </xf>
    <xf numFmtId="0" fontId="41" fillId="0" borderId="16" xfId="7" applyFont="1" applyBorder="1" applyAlignment="1">
      <alignment horizontal="center" vertical="center" wrapText="1"/>
    </xf>
    <xf numFmtId="0" fontId="41" fillId="0" borderId="25" xfId="7" applyFont="1" applyBorder="1" applyAlignment="1">
      <alignment horizontal="center" vertical="center" wrapText="1"/>
    </xf>
    <xf numFmtId="0" fontId="41" fillId="0" borderId="14" xfId="7" applyFont="1" applyBorder="1" applyAlignment="1">
      <alignment horizontal="center" vertical="center" wrapText="1"/>
    </xf>
    <xf numFmtId="0" fontId="41" fillId="0" borderId="24" xfId="7" applyFont="1" applyBorder="1" applyAlignment="1">
      <alignment horizontal="center" vertical="center" wrapText="1"/>
    </xf>
    <xf numFmtId="0" fontId="48" fillId="0" borderId="6" xfId="7" applyFont="1" applyBorder="1" applyAlignment="1">
      <alignment horizontal="center" vertical="center"/>
    </xf>
    <xf numFmtId="0" fontId="48" fillId="0" borderId="7" xfId="7" applyFont="1" applyBorder="1" applyAlignment="1">
      <alignment horizontal="center" vertical="center"/>
    </xf>
    <xf numFmtId="0" fontId="48" fillId="0" borderId="8" xfId="7" applyFont="1" applyBorder="1" applyAlignment="1">
      <alignment horizontal="center" vertical="center"/>
    </xf>
    <xf numFmtId="0" fontId="48" fillId="0" borderId="4" xfId="7" applyFont="1" applyBorder="1" applyAlignment="1">
      <alignment horizontal="center" vertical="center"/>
    </xf>
    <xf numFmtId="0" fontId="48" fillId="0" borderId="1" xfId="7" applyFont="1" applyBorder="1" applyAlignment="1">
      <alignment horizontal="center" vertical="center"/>
    </xf>
    <xf numFmtId="0" fontId="48" fillId="0" borderId="17" xfId="7" applyFont="1" applyBorder="1" applyAlignment="1">
      <alignment horizontal="center" vertical="center"/>
    </xf>
    <xf numFmtId="0" fontId="45" fillId="0" borderId="9" xfId="6" applyFont="1" applyBorder="1" applyAlignment="1">
      <alignment horizontal="center" vertical="center"/>
    </xf>
    <xf numFmtId="0" fontId="45" fillId="0" borderId="18" xfId="6" applyFont="1" applyBorder="1" applyAlignment="1">
      <alignment horizontal="center" vertical="center"/>
    </xf>
    <xf numFmtId="0" fontId="45" fillId="0" borderId="27" xfId="6" applyFont="1" applyBorder="1" applyAlignment="1">
      <alignment horizontal="center" vertical="center"/>
    </xf>
    <xf numFmtId="0" fontId="45" fillId="0" borderId="9" xfId="6" applyFont="1" applyBorder="1" applyAlignment="1">
      <alignment horizontal="center" vertical="center" wrapText="1"/>
    </xf>
    <xf numFmtId="0" fontId="45" fillId="0" borderId="18" xfId="6" applyFont="1" applyBorder="1" applyAlignment="1">
      <alignment horizontal="center" vertical="center" wrapText="1"/>
    </xf>
    <xf numFmtId="0" fontId="45" fillId="0" borderId="27" xfId="6" applyFont="1" applyBorder="1" applyAlignment="1">
      <alignment horizontal="center" vertical="center" wrapText="1"/>
    </xf>
    <xf numFmtId="0" fontId="41" fillId="0" borderId="10" xfId="7" applyFont="1" applyBorder="1" applyAlignment="1">
      <alignment horizontal="center" vertical="center" wrapText="1"/>
    </xf>
    <xf numFmtId="0" fontId="41" fillId="0" borderId="0" xfId="7" applyFont="1" applyAlignment="1">
      <alignment horizontal="center" vertical="center" wrapText="1"/>
    </xf>
    <xf numFmtId="0" fontId="41" fillId="0" borderId="5" xfId="7" applyFont="1" applyBorder="1" applyAlignment="1">
      <alignment horizontal="center" vertical="center" wrapText="1"/>
    </xf>
    <xf numFmtId="0" fontId="41" fillId="0" borderId="6" xfId="7" applyFont="1" applyBorder="1" applyAlignment="1">
      <alignment horizontal="center" vertical="center" wrapText="1"/>
    </xf>
    <xf numFmtId="0" fontId="41" fillId="0" borderId="8" xfId="7" applyFont="1" applyBorder="1" applyAlignment="1">
      <alignment horizontal="center" vertical="center" wrapText="1"/>
    </xf>
    <xf numFmtId="0" fontId="41" fillId="0" borderId="12" xfId="7" applyFont="1" applyBorder="1" applyAlignment="1">
      <alignment horizontal="center" vertical="center" wrapText="1"/>
    </xf>
    <xf numFmtId="0" fontId="41" fillId="0" borderId="13" xfId="7" applyFont="1" applyBorder="1" applyAlignment="1">
      <alignment horizontal="center" vertical="center" wrapText="1"/>
    </xf>
    <xf numFmtId="0" fontId="41" fillId="0" borderId="22" xfId="7" applyFont="1" applyBorder="1" applyAlignment="1">
      <alignment horizontal="center" vertical="center" wrapText="1"/>
    </xf>
    <xf numFmtId="0" fontId="41" fillId="0" borderId="23" xfId="7" applyFont="1" applyBorder="1" applyAlignment="1">
      <alignment horizontal="center" vertical="center" wrapText="1"/>
    </xf>
    <xf numFmtId="0" fontId="41" fillId="0" borderId="15" xfId="7" applyFont="1" applyBorder="1" applyAlignment="1">
      <alignment horizontal="center" vertical="center" wrapText="1"/>
    </xf>
    <xf numFmtId="0" fontId="41" fillId="0" borderId="4" xfId="7" applyFont="1" applyBorder="1" applyAlignment="1">
      <alignment horizontal="center" vertical="center" wrapText="1"/>
    </xf>
    <xf numFmtId="14" fontId="45" fillId="9" borderId="2" xfId="6" applyNumberFormat="1" applyFont="1" applyFill="1" applyBorder="1" applyAlignment="1">
      <alignment horizontal="center" vertical="center"/>
    </xf>
    <xf numFmtId="0" fontId="45" fillId="9" borderId="3" xfId="6" applyFont="1" applyFill="1" applyBorder="1" applyAlignment="1">
      <alignment horizontal="center" vertical="center"/>
    </xf>
    <xf numFmtId="0" fontId="45" fillId="9" borderId="4" xfId="6" applyFont="1" applyFill="1" applyBorder="1" applyAlignment="1">
      <alignment horizontal="center" vertical="center"/>
    </xf>
    <xf numFmtId="0" fontId="47" fillId="0" borderId="2" xfId="6" applyFont="1" applyBorder="1" applyAlignment="1">
      <alignment vertical="center" wrapText="1"/>
    </xf>
    <xf numFmtId="0" fontId="41" fillId="0" borderId="3" xfId="6" applyFont="1" applyBorder="1" applyAlignment="1">
      <alignment vertical="center" wrapText="1"/>
    </xf>
    <xf numFmtId="0" fontId="41" fillId="0" borderId="4" xfId="6" applyFont="1" applyBorder="1" applyAlignment="1">
      <alignment vertical="center" wrapText="1"/>
    </xf>
    <xf numFmtId="0" fontId="41" fillId="0" borderId="1" xfId="6" applyFont="1" applyBorder="1" applyAlignment="1">
      <alignment horizontal="center" vertical="center"/>
    </xf>
    <xf numFmtId="0" fontId="36" fillId="0" borderId="0" xfId="6" applyAlignment="1">
      <alignment horizontal="center"/>
    </xf>
    <xf numFmtId="0" fontId="41" fillId="0" borderId="2" xfId="6" applyFont="1" applyBorder="1" applyAlignment="1">
      <alignment horizontal="left" vertical="center" wrapText="1"/>
    </xf>
    <xf numFmtId="0" fontId="41" fillId="0" borderId="4" xfId="6" applyFont="1" applyBorder="1" applyAlignment="1">
      <alignment horizontal="left" vertical="center"/>
    </xf>
    <xf numFmtId="170" fontId="40" fillId="0" borderId="17" xfId="7" applyNumberFormat="1" applyFont="1" applyBorder="1" applyAlignment="1">
      <alignment horizontal="center" vertical="center" wrapText="1"/>
    </xf>
    <xf numFmtId="170" fontId="40" fillId="0" borderId="26" xfId="7" applyNumberFormat="1" applyFont="1" applyBorder="1" applyAlignment="1">
      <alignment horizontal="center" vertical="center" wrapText="1"/>
    </xf>
    <xf numFmtId="170" fontId="40" fillId="8" borderId="17" xfId="7" applyNumberFormat="1" applyFont="1" applyFill="1" applyBorder="1" applyAlignment="1">
      <alignment horizontal="center" vertical="center" wrapText="1"/>
    </xf>
    <xf numFmtId="173" fontId="40" fillId="8" borderId="1" xfId="7" applyNumberFormat="1" applyFont="1" applyFill="1" applyBorder="1" applyAlignment="1">
      <alignment horizontal="center" vertical="center" wrapText="1"/>
    </xf>
    <xf numFmtId="164" fontId="48" fillId="0" borderId="1" xfId="1" applyFont="1" applyBorder="1" applyAlignment="1">
      <alignment vertical="center"/>
    </xf>
    <xf numFmtId="164" fontId="46" fillId="0" borderId="1" xfId="1" applyFont="1" applyBorder="1" applyAlignment="1">
      <alignment vertical="center"/>
    </xf>
    <xf numFmtId="0" fontId="36" fillId="8" borderId="0" xfId="6" applyFill="1" applyAlignment="1">
      <alignment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1C182893-F14B-48A9-9600-FE3423493D3B}"/>
    <cellStyle name="Normal 6 2" xfId="6" xr:uid="{EB9F12B6-F124-419D-85E2-D64DCBFB3789}"/>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F31" sqref="F31"/>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47" t="s">
        <v>138</v>
      </c>
      <c r="G1" s="47" t="s">
        <v>139</v>
      </c>
      <c r="H1" s="47" t="s">
        <v>140</v>
      </c>
      <c r="I1" s="47" t="s">
        <v>141</v>
      </c>
      <c r="J1" s="42" t="s">
        <v>82</v>
      </c>
      <c r="K1" s="42" t="s">
        <v>142</v>
      </c>
      <c r="L1" s="42" t="s">
        <v>143</v>
      </c>
      <c r="M1" s="42" t="s">
        <v>144</v>
      </c>
      <c r="N1" s="41" t="s">
        <v>4</v>
      </c>
      <c r="O1" s="41" t="s">
        <v>145</v>
      </c>
      <c r="P1" s="41" t="s">
        <v>146</v>
      </c>
      <c r="Q1" s="41" t="s">
        <v>147</v>
      </c>
      <c r="R1" s="45" t="s">
        <v>148</v>
      </c>
      <c r="S1" s="45" t="s">
        <v>149</v>
      </c>
      <c r="T1" s="45" t="s">
        <v>150</v>
      </c>
      <c r="U1" s="45" t="s">
        <v>151</v>
      </c>
      <c r="V1" s="44" t="s">
        <v>6</v>
      </c>
      <c r="W1" s="44" t="s">
        <v>152</v>
      </c>
      <c r="X1" s="44" t="s">
        <v>153</v>
      </c>
      <c r="Y1" s="44" t="s">
        <v>154</v>
      </c>
      <c r="Z1" s="1" t="s">
        <v>155</v>
      </c>
      <c r="AA1" s="1" t="s">
        <v>156</v>
      </c>
      <c r="AB1" s="1" t="s">
        <v>157</v>
      </c>
      <c r="AC1" s="1" t="s">
        <v>158</v>
      </c>
      <c r="AD1" s="43" t="s">
        <v>8</v>
      </c>
      <c r="AE1" s="43" t="s">
        <v>159</v>
      </c>
      <c r="AF1" s="43" t="s">
        <v>160</v>
      </c>
      <c r="AG1" s="43" t="s">
        <v>161</v>
      </c>
      <c r="AH1" s="44" t="s">
        <v>9</v>
      </c>
      <c r="AI1" s="44" t="s">
        <v>162</v>
      </c>
      <c r="AJ1" s="44" t="s">
        <v>163</v>
      </c>
      <c r="AK1" s="44" t="s">
        <v>164</v>
      </c>
      <c r="AL1" s="1" t="s">
        <v>10</v>
      </c>
      <c r="AM1" s="1" t="s">
        <v>165</v>
      </c>
      <c r="AN1" s="1" t="s">
        <v>166</v>
      </c>
      <c r="AO1" s="1" t="s">
        <v>167</v>
      </c>
      <c r="AP1" s="46" t="s">
        <v>168</v>
      </c>
      <c r="AQ1" s="46" t="s">
        <v>169</v>
      </c>
      <c r="AR1" s="46" t="s">
        <v>170</v>
      </c>
      <c r="AS1" s="46"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52"/>
      <c r="C2" s="1" t="s">
        <v>221</v>
      </c>
      <c r="D2" s="1" t="s">
        <v>222</v>
      </c>
      <c r="E2" s="1" t="s">
        <v>223</v>
      </c>
      <c r="F2" s="47" t="s">
        <v>69</v>
      </c>
      <c r="G2" s="47"/>
      <c r="H2" s="47">
        <v>41</v>
      </c>
      <c r="I2" s="47"/>
      <c r="J2" s="42" t="s">
        <v>41</v>
      </c>
      <c r="K2" s="42"/>
      <c r="L2" s="42">
        <v>810</v>
      </c>
      <c r="M2" s="42"/>
      <c r="N2" s="41"/>
      <c r="O2" s="41"/>
      <c r="P2" s="41">
        <v>0</v>
      </c>
      <c r="Q2" s="41"/>
      <c r="R2" s="45" t="s">
        <v>224</v>
      </c>
      <c r="S2" s="45"/>
      <c r="T2" s="45">
        <v>112</v>
      </c>
      <c r="U2" s="45"/>
      <c r="V2" s="44" t="s">
        <v>51</v>
      </c>
      <c r="W2" s="44"/>
      <c r="X2" s="44">
        <v>267</v>
      </c>
      <c r="Y2" s="44"/>
      <c r="Z2" s="1" t="s">
        <v>7</v>
      </c>
      <c r="AA2" s="1"/>
      <c r="AB2" s="1">
        <v>0</v>
      </c>
      <c r="AC2" s="1"/>
      <c r="AD2" s="43" t="s">
        <v>48</v>
      </c>
      <c r="AE2" s="43"/>
      <c r="AF2" s="43">
        <v>87</v>
      </c>
      <c r="AG2" s="43"/>
      <c r="AH2" s="44" t="s">
        <v>67</v>
      </c>
      <c r="AI2" s="44"/>
      <c r="AJ2" s="44">
        <v>388</v>
      </c>
      <c r="AK2" s="44"/>
      <c r="AL2" s="1" t="s">
        <v>61</v>
      </c>
      <c r="AM2" s="1"/>
      <c r="AN2" s="1">
        <v>318</v>
      </c>
      <c r="AO2" s="1"/>
      <c r="AP2" s="46"/>
      <c r="AQ2" s="46"/>
      <c r="AR2" s="46">
        <v>0</v>
      </c>
      <c r="AS2" s="46"/>
      <c r="AT2" s="1"/>
      <c r="AU2" s="1"/>
      <c r="AV2" s="1">
        <v>0</v>
      </c>
      <c r="AW2" s="1"/>
      <c r="AX2" s="1" t="s">
        <v>13</v>
      </c>
      <c r="AY2" s="1"/>
      <c r="AZ2" s="1">
        <v>0</v>
      </c>
      <c r="BA2" s="1"/>
      <c r="BB2" s="1" t="s">
        <v>14</v>
      </c>
      <c r="BC2" s="1"/>
      <c r="BD2" s="1">
        <v>38</v>
      </c>
      <c r="BE2" s="1"/>
      <c r="BF2" s="1"/>
      <c r="BG2" s="1"/>
      <c r="BH2" s="1">
        <v>0</v>
      </c>
      <c r="BI2" s="1"/>
      <c r="BJ2" s="1"/>
      <c r="BK2" s="1"/>
      <c r="BL2" s="1">
        <v>0</v>
      </c>
      <c r="BM2" s="59"/>
      <c r="BN2" s="1"/>
      <c r="BO2" s="1"/>
      <c r="BP2" s="1">
        <v>0</v>
      </c>
      <c r="BQ2" s="1"/>
      <c r="BR2" s="1" t="s">
        <v>18</v>
      </c>
      <c r="BS2" s="1"/>
      <c r="BT2" s="1">
        <v>0</v>
      </c>
      <c r="BU2" s="1"/>
      <c r="BV2" s="1"/>
      <c r="BW2" s="1"/>
      <c r="BX2" s="1">
        <v>0</v>
      </c>
      <c r="BY2" s="1"/>
      <c r="BZ2" s="1">
        <v>27000</v>
      </c>
      <c r="CA2" s="1">
        <v>27000</v>
      </c>
      <c r="CB2" s="49"/>
      <c r="CC2" s="1"/>
      <c r="CD2" s="49"/>
      <c r="CE2" s="1"/>
      <c r="CF2" s="49"/>
      <c r="CG2" s="1"/>
      <c r="CH2" s="1">
        <v>27000</v>
      </c>
      <c r="CI2" s="49"/>
      <c r="CJ2" s="1"/>
      <c r="CK2" s="49"/>
      <c r="CL2" s="1"/>
      <c r="CM2" s="1"/>
      <c r="CN2" s="1"/>
      <c r="CO2" s="1">
        <v>27000</v>
      </c>
      <c r="CP2" s="49"/>
      <c r="CQ2" s="1">
        <v>27000</v>
      </c>
      <c r="CR2" s="49">
        <v>0.18</v>
      </c>
      <c r="CS2" s="1">
        <v>4860</v>
      </c>
      <c r="CT2" s="1">
        <v>31860</v>
      </c>
      <c r="CU2" s="48">
        <v>3</v>
      </c>
      <c r="CV2" s="48" t="s">
        <v>225</v>
      </c>
      <c r="CW2" s="48">
        <v>95580</v>
      </c>
      <c r="CX2" s="1">
        <v>500</v>
      </c>
      <c r="CY2" s="10" t="s">
        <v>226</v>
      </c>
      <c r="CZ2" s="10" t="s">
        <v>227</v>
      </c>
    </row>
    <row r="3" spans="1:104" s="10" customFormat="1" ht="18" customHeight="1" x14ac:dyDescent="0.25">
      <c r="A3" s="6" t="s">
        <v>220</v>
      </c>
      <c r="B3" s="52"/>
      <c r="C3" s="1" t="s">
        <v>228</v>
      </c>
      <c r="D3" s="1" t="s">
        <v>229</v>
      </c>
      <c r="E3" s="1" t="s">
        <v>223</v>
      </c>
      <c r="F3" s="47" t="s">
        <v>69</v>
      </c>
      <c r="G3" s="47"/>
      <c r="H3" s="47">
        <v>54</v>
      </c>
      <c r="I3" s="47"/>
      <c r="J3" s="42" t="s">
        <v>41</v>
      </c>
      <c r="K3" s="42"/>
      <c r="L3" s="42">
        <v>1701</v>
      </c>
      <c r="M3" s="42"/>
      <c r="N3" s="41"/>
      <c r="O3" s="41"/>
      <c r="P3" s="41">
        <v>0</v>
      </c>
      <c r="Q3" s="41"/>
      <c r="R3" s="45" t="s">
        <v>224</v>
      </c>
      <c r="S3" s="45"/>
      <c r="T3" s="45">
        <v>150</v>
      </c>
      <c r="U3" s="45"/>
      <c r="V3" s="44" t="s">
        <v>51</v>
      </c>
      <c r="W3" s="44"/>
      <c r="X3" s="44">
        <v>374</v>
      </c>
      <c r="Y3" s="44"/>
      <c r="Z3" s="1" t="s">
        <v>7</v>
      </c>
      <c r="AA3" s="1"/>
      <c r="AB3" s="1">
        <v>0</v>
      </c>
      <c r="AC3" s="1"/>
      <c r="AD3" s="43" t="s">
        <v>48</v>
      </c>
      <c r="AE3" s="43"/>
      <c r="AF3" s="43">
        <v>134</v>
      </c>
      <c r="AG3" s="43"/>
      <c r="AH3" s="44" t="s">
        <v>67</v>
      </c>
      <c r="AI3" s="44"/>
      <c r="AJ3" s="44">
        <v>511</v>
      </c>
      <c r="AK3" s="44"/>
      <c r="AL3" s="1" t="s">
        <v>61</v>
      </c>
      <c r="AM3" s="1"/>
      <c r="AN3" s="1">
        <v>472</v>
      </c>
      <c r="AO3" s="1"/>
      <c r="AP3" s="46"/>
      <c r="AQ3" s="46"/>
      <c r="AR3" s="46">
        <v>0</v>
      </c>
      <c r="AS3" s="46"/>
      <c r="AT3" s="1"/>
      <c r="AU3" s="1"/>
      <c r="AV3" s="1">
        <v>0</v>
      </c>
      <c r="AW3" s="1"/>
      <c r="AX3" s="1" t="s">
        <v>13</v>
      </c>
      <c r="AY3" s="1"/>
      <c r="AZ3" s="1">
        <v>0</v>
      </c>
      <c r="BA3" s="1"/>
      <c r="BB3" s="1" t="s">
        <v>14</v>
      </c>
      <c r="BC3" s="1"/>
      <c r="BD3" s="1">
        <v>70</v>
      </c>
      <c r="BE3" s="1"/>
      <c r="BF3" s="1"/>
      <c r="BG3" s="1"/>
      <c r="BH3" s="1">
        <v>0</v>
      </c>
      <c r="BI3" s="1"/>
      <c r="BJ3" s="1"/>
      <c r="BK3" s="1"/>
      <c r="BL3" s="1">
        <v>0</v>
      </c>
      <c r="BM3" s="59"/>
      <c r="BN3" s="1"/>
      <c r="BO3" s="1"/>
      <c r="BP3" s="1">
        <v>0</v>
      </c>
      <c r="BQ3" s="1"/>
      <c r="BR3" s="1" t="s">
        <v>18</v>
      </c>
      <c r="BS3" s="1"/>
      <c r="BT3" s="1">
        <v>0</v>
      </c>
      <c r="BU3" s="1"/>
      <c r="BV3" s="1"/>
      <c r="BW3" s="1"/>
      <c r="BX3" s="1">
        <v>0</v>
      </c>
      <c r="BY3" s="1"/>
      <c r="BZ3" s="1">
        <v>48450</v>
      </c>
      <c r="CA3" s="1">
        <v>48450</v>
      </c>
      <c r="CB3" s="49"/>
      <c r="CC3" s="1"/>
      <c r="CD3" s="49"/>
      <c r="CE3" s="1"/>
      <c r="CF3" s="49"/>
      <c r="CG3" s="1"/>
      <c r="CH3" s="1">
        <v>48450</v>
      </c>
      <c r="CI3" s="49"/>
      <c r="CJ3" s="1"/>
      <c r="CK3" s="49"/>
      <c r="CL3" s="1"/>
      <c r="CM3" s="1"/>
      <c r="CN3" s="1"/>
      <c r="CO3" s="1">
        <v>48450</v>
      </c>
      <c r="CP3" s="49"/>
      <c r="CQ3" s="1">
        <v>48450</v>
      </c>
      <c r="CR3" s="49">
        <v>0.18</v>
      </c>
      <c r="CS3" s="1">
        <v>8721</v>
      </c>
      <c r="CT3" s="1">
        <v>57171</v>
      </c>
      <c r="CU3" s="48">
        <v>13</v>
      </c>
      <c r="CV3" s="48" t="s">
        <v>225</v>
      </c>
      <c r="CW3" s="48">
        <v>743223</v>
      </c>
      <c r="CX3" s="1">
        <v>500</v>
      </c>
      <c r="CY3" s="10" t="s">
        <v>230</v>
      </c>
      <c r="CZ3" s="10" t="s">
        <v>231</v>
      </c>
    </row>
    <row r="4" spans="1:104" s="10" customFormat="1" ht="18" customHeight="1" x14ac:dyDescent="0.25">
      <c r="A4" s="6" t="s">
        <v>220</v>
      </c>
      <c r="B4" s="52"/>
      <c r="C4" s="1" t="s">
        <v>232</v>
      </c>
      <c r="D4" s="1" t="s">
        <v>233</v>
      </c>
      <c r="E4" s="1" t="s">
        <v>223</v>
      </c>
      <c r="F4" s="47" t="s">
        <v>69</v>
      </c>
      <c r="G4" s="47"/>
      <c r="H4" s="47">
        <v>60</v>
      </c>
      <c r="I4" s="47"/>
      <c r="J4" s="42" t="s">
        <v>41</v>
      </c>
      <c r="K4" s="42"/>
      <c r="L4" s="42">
        <v>1080</v>
      </c>
      <c r="M4" s="42"/>
      <c r="N4" s="41"/>
      <c r="O4" s="41"/>
      <c r="P4" s="41">
        <v>0</v>
      </c>
      <c r="Q4" s="41"/>
      <c r="R4" s="45" t="s">
        <v>224</v>
      </c>
      <c r="S4" s="45"/>
      <c r="T4" s="45">
        <v>141</v>
      </c>
      <c r="U4" s="45"/>
      <c r="V4" s="44" t="s">
        <v>51</v>
      </c>
      <c r="W4" s="44"/>
      <c r="X4" s="44">
        <v>870</v>
      </c>
      <c r="Y4" s="44"/>
      <c r="Z4" s="1" t="s">
        <v>7</v>
      </c>
      <c r="AA4" s="1"/>
      <c r="AB4" s="1">
        <v>0</v>
      </c>
      <c r="AC4" s="1"/>
      <c r="AD4" s="43" t="s">
        <v>48</v>
      </c>
      <c r="AE4" s="43"/>
      <c r="AF4" s="43">
        <v>147</v>
      </c>
      <c r="AG4" s="43"/>
      <c r="AH4" s="44" t="s">
        <v>67</v>
      </c>
      <c r="AI4" s="44"/>
      <c r="AJ4" s="44">
        <v>702</v>
      </c>
      <c r="AK4" s="44"/>
      <c r="AL4" s="1" t="s">
        <v>61</v>
      </c>
      <c r="AM4" s="1"/>
      <c r="AN4" s="1">
        <v>575</v>
      </c>
      <c r="AO4" s="1"/>
      <c r="AP4" s="46"/>
      <c r="AQ4" s="46"/>
      <c r="AR4" s="46">
        <v>0</v>
      </c>
      <c r="AS4" s="46"/>
      <c r="AT4" s="1"/>
      <c r="AU4" s="1"/>
      <c r="AV4" s="1">
        <v>0</v>
      </c>
      <c r="AW4" s="1"/>
      <c r="AX4" s="1" t="s">
        <v>13</v>
      </c>
      <c r="AY4" s="1"/>
      <c r="AZ4" s="1">
        <v>54</v>
      </c>
      <c r="BA4" s="1"/>
      <c r="BB4" s="1" t="s">
        <v>14</v>
      </c>
      <c r="BC4" s="1"/>
      <c r="BD4" s="1">
        <v>0</v>
      </c>
      <c r="BE4" s="1"/>
      <c r="BF4" s="1"/>
      <c r="BG4" s="1"/>
      <c r="BH4" s="1">
        <v>52</v>
      </c>
      <c r="BI4" s="1"/>
      <c r="BJ4" s="1"/>
      <c r="BK4" s="1"/>
      <c r="BL4" s="1">
        <v>0</v>
      </c>
      <c r="BM4" s="59"/>
      <c r="BN4" s="1"/>
      <c r="BO4" s="1"/>
      <c r="BP4" s="1">
        <v>0</v>
      </c>
      <c r="BQ4" s="1"/>
      <c r="BR4" s="1" t="s">
        <v>18</v>
      </c>
      <c r="BS4" s="1"/>
      <c r="BT4" s="1">
        <v>0</v>
      </c>
      <c r="BU4" s="1"/>
      <c r="BV4" s="1"/>
      <c r="BW4" s="1"/>
      <c r="BX4" s="1">
        <v>0</v>
      </c>
      <c r="BY4" s="1"/>
      <c r="BZ4" s="1">
        <v>53200</v>
      </c>
      <c r="CA4" s="1">
        <v>53200</v>
      </c>
      <c r="CB4" s="49"/>
      <c r="CC4" s="1"/>
      <c r="CD4" s="49"/>
      <c r="CE4" s="1"/>
      <c r="CF4" s="49"/>
      <c r="CG4" s="1"/>
      <c r="CH4" s="1">
        <v>53200</v>
      </c>
      <c r="CI4" s="49"/>
      <c r="CJ4" s="1"/>
      <c r="CK4" s="49"/>
      <c r="CL4" s="1"/>
      <c r="CM4" s="1"/>
      <c r="CN4" s="1"/>
      <c r="CO4" s="1">
        <v>53200</v>
      </c>
      <c r="CP4" s="49"/>
      <c r="CQ4" s="1">
        <v>53200</v>
      </c>
      <c r="CR4" s="49">
        <v>0.18</v>
      </c>
      <c r="CS4" s="1">
        <v>9576</v>
      </c>
      <c r="CT4" s="1">
        <v>62776</v>
      </c>
      <c r="CU4" s="48">
        <v>16</v>
      </c>
      <c r="CV4" s="48" t="s">
        <v>225</v>
      </c>
      <c r="CW4" s="48">
        <v>1004416</v>
      </c>
      <c r="CX4" s="1">
        <v>500</v>
      </c>
      <c r="CY4" s="10" t="s">
        <v>234</v>
      </c>
      <c r="CZ4" s="10" t="s">
        <v>235</v>
      </c>
    </row>
    <row r="5" spans="1:104" s="10" customFormat="1" ht="18" customHeight="1" x14ac:dyDescent="0.25">
      <c r="A5" s="6" t="s">
        <v>220</v>
      </c>
      <c r="B5" s="52"/>
      <c r="C5" s="1" t="s">
        <v>236</v>
      </c>
      <c r="D5" s="1" t="s">
        <v>237</v>
      </c>
      <c r="E5" s="1" t="s">
        <v>223</v>
      </c>
      <c r="F5" s="47" t="s">
        <v>69</v>
      </c>
      <c r="G5" s="47"/>
      <c r="H5" s="47">
        <v>55</v>
      </c>
      <c r="I5" s="47"/>
      <c r="J5" s="42" t="s">
        <v>41</v>
      </c>
      <c r="K5" s="42"/>
      <c r="L5" s="42">
        <v>810</v>
      </c>
      <c r="M5" s="42"/>
      <c r="N5" s="41"/>
      <c r="O5" s="41"/>
      <c r="P5" s="41">
        <v>0</v>
      </c>
      <c r="Q5" s="41"/>
      <c r="R5" s="45" t="s">
        <v>224</v>
      </c>
      <c r="S5" s="45"/>
      <c r="T5" s="45">
        <v>128</v>
      </c>
      <c r="U5" s="45"/>
      <c r="V5" s="44" t="s">
        <v>51</v>
      </c>
      <c r="W5" s="44"/>
      <c r="X5" s="44">
        <v>792</v>
      </c>
      <c r="Y5" s="44"/>
      <c r="Z5" s="1" t="s">
        <v>7</v>
      </c>
      <c r="AA5" s="1"/>
      <c r="AB5" s="1">
        <v>0</v>
      </c>
      <c r="AC5" s="1"/>
      <c r="AD5" s="43" t="s">
        <v>48</v>
      </c>
      <c r="AE5" s="43"/>
      <c r="AF5" s="43">
        <v>138</v>
      </c>
      <c r="AG5" s="43"/>
      <c r="AH5" s="44" t="s">
        <v>67</v>
      </c>
      <c r="AI5" s="44"/>
      <c r="AJ5" s="44">
        <v>648</v>
      </c>
      <c r="AK5" s="44"/>
      <c r="AL5" s="1" t="s">
        <v>61</v>
      </c>
      <c r="AM5" s="1"/>
      <c r="AN5" s="1">
        <v>542</v>
      </c>
      <c r="AO5" s="1"/>
      <c r="AP5" s="46"/>
      <c r="AQ5" s="46"/>
      <c r="AR5" s="46">
        <v>0</v>
      </c>
      <c r="AS5" s="46"/>
      <c r="AT5" s="1"/>
      <c r="AU5" s="1"/>
      <c r="AV5" s="1">
        <v>0</v>
      </c>
      <c r="AW5" s="1"/>
      <c r="AX5" s="1" t="s">
        <v>13</v>
      </c>
      <c r="AY5" s="1"/>
      <c r="AZ5" s="1">
        <v>0</v>
      </c>
      <c r="BA5" s="1"/>
      <c r="BB5" s="1" t="s">
        <v>14</v>
      </c>
      <c r="BC5" s="1"/>
      <c r="BD5" s="1">
        <v>0</v>
      </c>
      <c r="BE5" s="1"/>
      <c r="BF5" s="1"/>
      <c r="BG5" s="1"/>
      <c r="BH5" s="1">
        <v>0</v>
      </c>
      <c r="BI5" s="1"/>
      <c r="BJ5" s="1"/>
      <c r="BK5" s="1"/>
      <c r="BL5" s="1">
        <v>0</v>
      </c>
      <c r="BM5" s="1"/>
      <c r="BN5" s="1"/>
      <c r="BO5" s="1"/>
      <c r="BP5" s="1">
        <v>0</v>
      </c>
      <c r="BQ5" s="1"/>
      <c r="BR5" s="1" t="s">
        <v>18</v>
      </c>
      <c r="BS5" s="1"/>
      <c r="BT5" s="1">
        <v>0</v>
      </c>
      <c r="BU5" s="1"/>
      <c r="BV5" s="1"/>
      <c r="BW5" s="1"/>
      <c r="BX5" s="1">
        <v>0</v>
      </c>
      <c r="BY5" s="1"/>
      <c r="BZ5" s="1">
        <v>47500</v>
      </c>
      <c r="CA5" s="1">
        <v>47500</v>
      </c>
      <c r="CB5" s="49"/>
      <c r="CC5" s="1"/>
      <c r="CD5" s="49"/>
      <c r="CE5" s="1"/>
      <c r="CF5" s="49"/>
      <c r="CG5" s="1"/>
      <c r="CH5" s="1">
        <v>47500</v>
      </c>
      <c r="CI5" s="49"/>
      <c r="CJ5" s="1"/>
      <c r="CK5" s="49"/>
      <c r="CL5" s="1"/>
      <c r="CM5" s="1"/>
      <c r="CN5" s="1"/>
      <c r="CO5" s="1">
        <v>47500</v>
      </c>
      <c r="CP5" s="49"/>
      <c r="CQ5" s="1">
        <v>47500</v>
      </c>
      <c r="CR5" s="49">
        <v>0.18</v>
      </c>
      <c r="CS5" s="1">
        <v>8550</v>
      </c>
      <c r="CT5" s="1">
        <v>56050</v>
      </c>
      <c r="CU5" s="48">
        <v>3</v>
      </c>
      <c r="CV5" s="48" t="s">
        <v>225</v>
      </c>
      <c r="CW5" s="48">
        <v>168150</v>
      </c>
      <c r="CX5" s="1">
        <v>500</v>
      </c>
      <c r="CY5" s="10" t="s">
        <v>238</v>
      </c>
      <c r="CZ5" s="10" t="s">
        <v>239</v>
      </c>
    </row>
    <row r="6" spans="1:104" s="10" customFormat="1" ht="18" customHeight="1" x14ac:dyDescent="0.25">
      <c r="A6" s="6" t="s">
        <v>220</v>
      </c>
      <c r="B6" s="52"/>
      <c r="C6" s="1" t="s">
        <v>240</v>
      </c>
      <c r="D6" s="1" t="s">
        <v>241</v>
      </c>
      <c r="E6" s="1" t="s">
        <v>223</v>
      </c>
      <c r="F6" s="47" t="s">
        <v>69</v>
      </c>
      <c r="G6" s="47"/>
      <c r="H6" s="47"/>
      <c r="I6" s="47"/>
      <c r="J6" s="42" t="s">
        <v>41</v>
      </c>
      <c r="K6" s="42"/>
      <c r="L6" s="42"/>
      <c r="M6" s="42"/>
      <c r="N6" s="41"/>
      <c r="O6" s="41"/>
      <c r="P6" s="41"/>
      <c r="Q6" s="41"/>
      <c r="R6" s="45" t="s">
        <v>224</v>
      </c>
      <c r="S6" s="45"/>
      <c r="T6" s="45"/>
      <c r="U6" s="45"/>
      <c r="V6" s="44" t="s">
        <v>51</v>
      </c>
      <c r="W6" s="44"/>
      <c r="X6" s="44"/>
      <c r="Y6" s="44"/>
      <c r="Z6" s="1"/>
      <c r="AA6" s="1"/>
      <c r="AB6" s="1"/>
      <c r="AC6" s="1"/>
      <c r="AD6" s="43" t="s">
        <v>74</v>
      </c>
      <c r="AE6" s="43"/>
      <c r="AF6" s="43"/>
      <c r="AG6" s="43"/>
      <c r="AH6" s="44" t="s">
        <v>78</v>
      </c>
      <c r="AI6" s="44"/>
      <c r="AJ6" s="44"/>
      <c r="AK6" s="44"/>
      <c r="AL6" s="1" t="s">
        <v>61</v>
      </c>
      <c r="AM6" s="1"/>
      <c r="AN6" s="1"/>
      <c r="AO6" s="1"/>
      <c r="AP6" s="46" t="s">
        <v>242</v>
      </c>
      <c r="AQ6" s="46"/>
      <c r="AR6" s="46"/>
      <c r="AS6" s="46"/>
      <c r="AT6" s="1"/>
      <c r="AU6" s="1"/>
      <c r="AV6" s="1"/>
      <c r="AW6" s="1"/>
      <c r="AX6" s="1" t="s">
        <v>13</v>
      </c>
      <c r="AY6" s="1"/>
      <c r="AZ6" s="1"/>
      <c r="BA6" s="1"/>
      <c r="BB6" s="1" t="s">
        <v>14</v>
      </c>
      <c r="BC6" s="1"/>
      <c r="BD6" s="1"/>
      <c r="BE6" s="1"/>
      <c r="BF6" s="1"/>
      <c r="BG6" s="1"/>
      <c r="BH6" s="1"/>
      <c r="BI6" s="1"/>
      <c r="BJ6" s="1"/>
      <c r="BK6" s="1"/>
      <c r="BL6" s="1"/>
      <c r="BM6" s="1"/>
      <c r="BN6" s="1"/>
      <c r="BO6" s="1"/>
      <c r="BP6" s="1"/>
      <c r="BQ6" s="1"/>
      <c r="BR6" s="1" t="s">
        <v>18</v>
      </c>
      <c r="BS6" s="1"/>
      <c r="BT6" s="1"/>
      <c r="BU6" s="1"/>
      <c r="BV6" s="1"/>
      <c r="BW6" s="1"/>
      <c r="BX6" s="1"/>
      <c r="BY6" s="1"/>
      <c r="BZ6" s="1">
        <v>106400</v>
      </c>
      <c r="CA6" s="1">
        <v>106400</v>
      </c>
      <c r="CB6" s="49"/>
      <c r="CC6" s="1"/>
      <c r="CD6" s="49"/>
      <c r="CE6" s="1"/>
      <c r="CF6" s="49"/>
      <c r="CG6" s="1"/>
      <c r="CH6" s="1">
        <v>106400</v>
      </c>
      <c r="CI6" s="49"/>
      <c r="CJ6" s="1"/>
      <c r="CK6" s="49"/>
      <c r="CL6" s="1"/>
      <c r="CM6" s="1"/>
      <c r="CN6" s="1"/>
      <c r="CO6" s="1">
        <v>106400</v>
      </c>
      <c r="CP6" s="49"/>
      <c r="CQ6" s="1">
        <v>106400</v>
      </c>
      <c r="CR6" s="49">
        <v>0.18</v>
      </c>
      <c r="CS6" s="1">
        <v>19152</v>
      </c>
      <c r="CT6" s="1">
        <v>125552</v>
      </c>
      <c r="CU6" s="48">
        <v>2.5</v>
      </c>
      <c r="CV6" s="48" t="s">
        <v>225</v>
      </c>
      <c r="CW6" s="48">
        <v>313880</v>
      </c>
      <c r="CX6" s="1">
        <v>250</v>
      </c>
      <c r="CY6" s="10" t="s">
        <v>234</v>
      </c>
      <c r="CZ6" s="10" t="s">
        <v>235</v>
      </c>
    </row>
    <row r="7" spans="1:104" s="10" customFormat="1" ht="18" customHeight="1" x14ac:dyDescent="0.25">
      <c r="A7" s="6" t="s">
        <v>220</v>
      </c>
      <c r="B7" s="52"/>
      <c r="C7" s="1" t="s">
        <v>243</v>
      </c>
      <c r="D7" s="1" t="s">
        <v>244</v>
      </c>
      <c r="E7" s="1" t="s">
        <v>223</v>
      </c>
      <c r="F7" s="47" t="s">
        <v>69</v>
      </c>
      <c r="G7" s="47"/>
      <c r="H7" s="47">
        <v>69</v>
      </c>
      <c r="I7" s="47"/>
      <c r="J7" s="42" t="s">
        <v>41</v>
      </c>
      <c r="K7" s="42"/>
      <c r="L7" s="42">
        <v>1701</v>
      </c>
      <c r="M7" s="42"/>
      <c r="N7" s="41"/>
      <c r="O7" s="41"/>
      <c r="P7" s="41">
        <v>0</v>
      </c>
      <c r="Q7" s="41"/>
      <c r="R7" s="45" t="s">
        <v>224</v>
      </c>
      <c r="S7" s="45"/>
      <c r="T7" s="45">
        <v>172</v>
      </c>
      <c r="U7" s="45"/>
      <c r="V7" s="44" t="s">
        <v>51</v>
      </c>
      <c r="W7" s="44"/>
      <c r="X7" s="44">
        <v>1040</v>
      </c>
      <c r="Y7" s="44"/>
      <c r="Z7" s="1" t="s">
        <v>7</v>
      </c>
      <c r="AA7" s="1"/>
      <c r="AB7" s="1">
        <v>0</v>
      </c>
      <c r="AC7" s="1"/>
      <c r="AD7" s="43" t="s">
        <v>48</v>
      </c>
      <c r="AE7" s="43"/>
      <c r="AF7" s="43">
        <v>193</v>
      </c>
      <c r="AG7" s="43"/>
      <c r="AH7" s="44" t="s">
        <v>67</v>
      </c>
      <c r="AI7" s="44"/>
      <c r="AJ7" s="44">
        <v>800</v>
      </c>
      <c r="AK7" s="44"/>
      <c r="AL7" s="1" t="s">
        <v>61</v>
      </c>
      <c r="AM7" s="1"/>
      <c r="AN7" s="1">
        <v>738</v>
      </c>
      <c r="AO7" s="1"/>
      <c r="AP7" s="46"/>
      <c r="AQ7" s="46"/>
      <c r="AR7" s="46">
        <v>0</v>
      </c>
      <c r="AS7" s="46"/>
      <c r="AT7" s="1"/>
      <c r="AU7" s="1"/>
      <c r="AV7" s="1">
        <v>0</v>
      </c>
      <c r="AW7" s="1"/>
      <c r="AX7" s="1" t="s">
        <v>13</v>
      </c>
      <c r="AY7" s="1"/>
      <c r="AZ7" s="1">
        <v>0</v>
      </c>
      <c r="BA7" s="1"/>
      <c r="BB7" s="1" t="s">
        <v>14</v>
      </c>
      <c r="BC7" s="1"/>
      <c r="BD7" s="1">
        <v>0</v>
      </c>
      <c r="BE7" s="1"/>
      <c r="BF7" s="1"/>
      <c r="BG7" s="1"/>
      <c r="BH7" s="1">
        <v>0</v>
      </c>
      <c r="BI7" s="1"/>
      <c r="BJ7" s="1"/>
      <c r="BK7" s="1"/>
      <c r="BL7" s="1">
        <v>0</v>
      </c>
      <c r="BM7" s="1"/>
      <c r="BN7" s="1"/>
      <c r="BO7" s="1"/>
      <c r="BP7" s="1">
        <v>0</v>
      </c>
      <c r="BQ7" s="1"/>
      <c r="BR7" s="1" t="s">
        <v>18</v>
      </c>
      <c r="BS7" s="1"/>
      <c r="BT7" s="1">
        <v>0</v>
      </c>
      <c r="BU7" s="1"/>
      <c r="BV7" s="1"/>
      <c r="BW7" s="1"/>
      <c r="BX7" s="1">
        <v>0</v>
      </c>
      <c r="BY7" s="1"/>
      <c r="BZ7" s="1">
        <v>53200</v>
      </c>
      <c r="CA7" s="1">
        <v>53200</v>
      </c>
      <c r="CB7" s="49"/>
      <c r="CC7" s="1"/>
      <c r="CD7" s="49"/>
      <c r="CE7" s="1"/>
      <c r="CF7" s="49"/>
      <c r="CG7" s="1"/>
      <c r="CH7" s="1">
        <v>53200</v>
      </c>
      <c r="CI7" s="49"/>
      <c r="CJ7" s="1"/>
      <c r="CK7" s="49"/>
      <c r="CL7" s="1"/>
      <c r="CM7" s="1"/>
      <c r="CN7" s="1"/>
      <c r="CO7" s="1">
        <v>53200</v>
      </c>
      <c r="CP7" s="49"/>
      <c r="CQ7" s="1">
        <v>53200</v>
      </c>
      <c r="CR7" s="49">
        <v>0.18</v>
      </c>
      <c r="CS7" s="1">
        <v>9576</v>
      </c>
      <c r="CT7" s="1">
        <v>62776</v>
      </c>
      <c r="CU7" s="48">
        <v>105</v>
      </c>
      <c r="CV7" s="48" t="s">
        <v>225</v>
      </c>
      <c r="CW7" s="48">
        <v>6591480</v>
      </c>
      <c r="CX7" s="1">
        <v>500</v>
      </c>
      <c r="CY7" s="10" t="s">
        <v>245</v>
      </c>
      <c r="CZ7" s="10" t="s">
        <v>246</v>
      </c>
    </row>
    <row r="8" spans="1:104" s="10" customFormat="1" ht="18" customHeight="1" x14ac:dyDescent="0.25">
      <c r="A8" s="6" t="s">
        <v>220</v>
      </c>
      <c r="B8" s="52"/>
      <c r="C8" s="1" t="s">
        <v>247</v>
      </c>
      <c r="D8" s="1" t="s">
        <v>248</v>
      </c>
      <c r="E8" s="1" t="s">
        <v>223</v>
      </c>
      <c r="F8" s="47" t="s">
        <v>69</v>
      </c>
      <c r="G8" s="47"/>
      <c r="H8" s="47">
        <v>45</v>
      </c>
      <c r="I8" s="47"/>
      <c r="J8" s="42" t="s">
        <v>41</v>
      </c>
      <c r="K8" s="42"/>
      <c r="L8" s="42">
        <v>1080</v>
      </c>
      <c r="M8" s="42"/>
      <c r="N8" s="41"/>
      <c r="O8" s="41"/>
      <c r="P8" s="41">
        <v>0</v>
      </c>
      <c r="Q8" s="41"/>
      <c r="R8" s="45" t="s">
        <v>224</v>
      </c>
      <c r="S8" s="45"/>
      <c r="T8" s="45">
        <v>122</v>
      </c>
      <c r="U8" s="45"/>
      <c r="V8" s="44" t="s">
        <v>51</v>
      </c>
      <c r="W8" s="44"/>
      <c r="X8" s="44">
        <v>305</v>
      </c>
      <c r="Y8" s="44"/>
      <c r="Z8" s="1"/>
      <c r="AA8" s="1"/>
      <c r="AB8" s="1">
        <v>0</v>
      </c>
      <c r="AC8" s="1"/>
      <c r="AD8" s="43" t="s">
        <v>48</v>
      </c>
      <c r="AE8" s="43"/>
      <c r="AF8" s="43">
        <v>96</v>
      </c>
      <c r="AG8" s="43"/>
      <c r="AH8" s="44" t="s">
        <v>67</v>
      </c>
      <c r="AI8" s="44"/>
      <c r="AJ8" s="44">
        <v>423</v>
      </c>
      <c r="AK8" s="44"/>
      <c r="AL8" s="1" t="s">
        <v>61</v>
      </c>
      <c r="AM8" s="1"/>
      <c r="AN8" s="1">
        <v>376</v>
      </c>
      <c r="AO8" s="1"/>
      <c r="AP8" s="46"/>
      <c r="AQ8" s="46"/>
      <c r="AR8" s="46">
        <v>0</v>
      </c>
      <c r="AS8" s="46"/>
      <c r="AT8" s="1"/>
      <c r="AU8" s="1"/>
      <c r="AV8" s="1">
        <v>0</v>
      </c>
      <c r="AW8" s="1"/>
      <c r="AX8" s="1" t="s">
        <v>13</v>
      </c>
      <c r="AY8" s="1"/>
      <c r="AZ8" s="1">
        <v>0</v>
      </c>
      <c r="BA8" s="1"/>
      <c r="BB8" s="1" t="s">
        <v>14</v>
      </c>
      <c r="BC8" s="1"/>
      <c r="BD8" s="1">
        <v>54</v>
      </c>
      <c r="BE8" s="1"/>
      <c r="BF8" s="1"/>
      <c r="BG8" s="1"/>
      <c r="BH8" s="1">
        <v>0</v>
      </c>
      <c r="BI8" s="1"/>
      <c r="BJ8" s="1"/>
      <c r="BK8" s="1"/>
      <c r="BL8" s="1">
        <v>0</v>
      </c>
      <c r="BM8" s="1"/>
      <c r="BN8" s="1"/>
      <c r="BO8" s="1"/>
      <c r="BP8" s="1">
        <v>0</v>
      </c>
      <c r="BQ8" s="1"/>
      <c r="BR8" s="1"/>
      <c r="BS8" s="1"/>
      <c r="BT8" s="1">
        <v>0</v>
      </c>
      <c r="BU8" s="1"/>
      <c r="BV8" s="1"/>
      <c r="BW8" s="1"/>
      <c r="BX8" s="1">
        <v>0</v>
      </c>
      <c r="BY8" s="1"/>
      <c r="BZ8" s="1">
        <v>34200</v>
      </c>
      <c r="CA8" s="1">
        <v>34200</v>
      </c>
      <c r="CB8" s="49"/>
      <c r="CC8" s="1"/>
      <c r="CD8" s="49"/>
      <c r="CE8" s="1"/>
      <c r="CF8" s="49"/>
      <c r="CG8" s="1"/>
      <c r="CH8" s="1">
        <v>34200</v>
      </c>
      <c r="CI8" s="49"/>
      <c r="CJ8" s="1"/>
      <c r="CK8" s="49"/>
      <c r="CL8" s="1"/>
      <c r="CM8" s="1"/>
      <c r="CN8" s="1"/>
      <c r="CO8" s="1">
        <v>34200</v>
      </c>
      <c r="CP8" s="49"/>
      <c r="CQ8" s="1">
        <v>34200</v>
      </c>
      <c r="CR8" s="49">
        <v>0.18</v>
      </c>
      <c r="CS8" s="1">
        <v>6156</v>
      </c>
      <c r="CT8" s="1">
        <v>40356</v>
      </c>
      <c r="CU8" s="48">
        <v>6.5</v>
      </c>
      <c r="CV8" s="48" t="s">
        <v>225</v>
      </c>
      <c r="CW8" s="48">
        <v>262314</v>
      </c>
      <c r="CX8" s="1">
        <v>500</v>
      </c>
      <c r="CY8" s="10" t="s">
        <v>249</v>
      </c>
      <c r="CZ8" s="10" t="s">
        <v>250</v>
      </c>
    </row>
    <row r="9" spans="1:104" s="10" customFormat="1" ht="18" customHeight="1" x14ac:dyDescent="0.25">
      <c r="A9" s="6" t="s">
        <v>220</v>
      </c>
      <c r="B9" s="52"/>
      <c r="C9" s="1" t="s">
        <v>251</v>
      </c>
      <c r="D9" s="1" t="s">
        <v>252</v>
      </c>
      <c r="E9" s="1" t="s">
        <v>223</v>
      </c>
      <c r="F9" s="47" t="s">
        <v>69</v>
      </c>
      <c r="G9" s="47"/>
      <c r="H9" s="47">
        <v>66</v>
      </c>
      <c r="I9" s="47"/>
      <c r="J9" s="42" t="s">
        <v>41</v>
      </c>
      <c r="K9" s="42"/>
      <c r="L9" s="42">
        <v>2732</v>
      </c>
      <c r="M9" s="42"/>
      <c r="N9" s="41"/>
      <c r="O9" s="41"/>
      <c r="P9" s="41">
        <v>0</v>
      </c>
      <c r="Q9" s="41"/>
      <c r="R9" s="45" t="s">
        <v>224</v>
      </c>
      <c r="S9" s="45"/>
      <c r="T9" s="45">
        <v>200</v>
      </c>
      <c r="U9" s="45"/>
      <c r="V9" s="44" t="s">
        <v>51</v>
      </c>
      <c r="W9" s="44"/>
      <c r="X9" s="44">
        <v>465</v>
      </c>
      <c r="Y9" s="44"/>
      <c r="Z9" s="1" t="s">
        <v>7</v>
      </c>
      <c r="AA9" s="1"/>
      <c r="AB9" s="1">
        <v>0</v>
      </c>
      <c r="AC9" s="1"/>
      <c r="AD9" s="43" t="s">
        <v>48</v>
      </c>
      <c r="AE9" s="43"/>
      <c r="AF9" s="43">
        <v>185</v>
      </c>
      <c r="AG9" s="43"/>
      <c r="AH9" s="44" t="s">
        <v>67</v>
      </c>
      <c r="AI9" s="44"/>
      <c r="AJ9" s="44">
        <v>773</v>
      </c>
      <c r="AK9" s="44"/>
      <c r="AL9" s="1" t="s">
        <v>61</v>
      </c>
      <c r="AM9" s="1"/>
      <c r="AN9" s="1">
        <v>655</v>
      </c>
      <c r="AO9" s="1"/>
      <c r="AP9" s="46"/>
      <c r="AQ9" s="46"/>
      <c r="AR9" s="46">
        <v>0</v>
      </c>
      <c r="AS9" s="46"/>
      <c r="AT9" s="1"/>
      <c r="AU9" s="1"/>
      <c r="AV9" s="1">
        <v>0</v>
      </c>
      <c r="AW9" s="1"/>
      <c r="AX9" s="1" t="s">
        <v>13</v>
      </c>
      <c r="AY9" s="1"/>
      <c r="AZ9" s="1">
        <v>0</v>
      </c>
      <c r="BA9" s="1"/>
      <c r="BB9" s="1" t="s">
        <v>14</v>
      </c>
      <c r="BC9" s="1"/>
      <c r="BD9" s="1">
        <v>99</v>
      </c>
      <c r="BE9" s="1"/>
      <c r="BF9" s="1"/>
      <c r="BG9" s="1"/>
      <c r="BH9" s="1">
        <v>59</v>
      </c>
      <c r="BI9" s="1"/>
      <c r="BJ9" s="1"/>
      <c r="BK9" s="1"/>
      <c r="BL9" s="1">
        <v>0</v>
      </c>
      <c r="BM9" s="1"/>
      <c r="BN9" s="1"/>
      <c r="BO9" s="1"/>
      <c r="BP9" s="1">
        <v>0</v>
      </c>
      <c r="BQ9" s="1"/>
      <c r="BR9" s="1" t="s">
        <v>18</v>
      </c>
      <c r="BS9" s="1"/>
      <c r="BT9" s="1">
        <v>52</v>
      </c>
      <c r="BU9" s="1"/>
      <c r="BV9" s="1"/>
      <c r="BW9" s="1"/>
      <c r="BX9" s="1">
        <v>0</v>
      </c>
      <c r="BY9" s="1"/>
      <c r="BZ9" s="1">
        <v>66500</v>
      </c>
      <c r="CA9" s="1">
        <v>66500</v>
      </c>
      <c r="CB9" s="49"/>
      <c r="CC9" s="1"/>
      <c r="CD9" s="49"/>
      <c r="CE9" s="1"/>
      <c r="CF9" s="49"/>
      <c r="CG9" s="1"/>
      <c r="CH9" s="1">
        <v>66500</v>
      </c>
      <c r="CI9" s="49"/>
      <c r="CJ9" s="1"/>
      <c r="CK9" s="49"/>
      <c r="CL9" s="1"/>
      <c r="CM9" s="1"/>
      <c r="CN9" s="1"/>
      <c r="CO9" s="1">
        <v>66500</v>
      </c>
      <c r="CP9" s="49"/>
      <c r="CQ9" s="1">
        <v>66500</v>
      </c>
      <c r="CR9" s="49">
        <v>0.18</v>
      </c>
      <c r="CS9" s="1">
        <v>11970</v>
      </c>
      <c r="CT9" s="1">
        <v>78470</v>
      </c>
      <c r="CU9" s="48">
        <v>7.5</v>
      </c>
      <c r="CV9" s="48" t="s">
        <v>225</v>
      </c>
      <c r="CW9" s="48">
        <v>588525</v>
      </c>
      <c r="CX9" s="1">
        <v>500</v>
      </c>
      <c r="CY9" s="10" t="s">
        <v>253</v>
      </c>
      <c r="CZ9" s="10" t="s">
        <v>254</v>
      </c>
    </row>
    <row r="10" spans="1:104" s="10" customFormat="1" ht="18" customHeight="1" x14ac:dyDescent="0.25">
      <c r="A10" s="6" t="s">
        <v>220</v>
      </c>
      <c r="B10" s="52"/>
      <c r="C10" s="1" t="s">
        <v>255</v>
      </c>
      <c r="D10" s="1" t="s">
        <v>256</v>
      </c>
      <c r="E10" s="1" t="s">
        <v>223</v>
      </c>
      <c r="F10" s="47" t="s">
        <v>69</v>
      </c>
      <c r="G10" s="47"/>
      <c r="H10" s="47">
        <v>149</v>
      </c>
      <c r="I10" s="47"/>
      <c r="J10" s="42" t="s">
        <v>41</v>
      </c>
      <c r="K10" s="42"/>
      <c r="L10" s="42">
        <v>1499</v>
      </c>
      <c r="M10" s="42"/>
      <c r="N10" s="41"/>
      <c r="O10" s="41"/>
      <c r="P10" s="41">
        <v>0</v>
      </c>
      <c r="Q10" s="41"/>
      <c r="R10" s="45" t="s">
        <v>224</v>
      </c>
      <c r="S10" s="45"/>
      <c r="T10" s="45">
        <v>326</v>
      </c>
      <c r="U10" s="45"/>
      <c r="V10" s="44" t="s">
        <v>51</v>
      </c>
      <c r="W10" s="44"/>
      <c r="X10" s="44">
        <v>2040</v>
      </c>
      <c r="Y10" s="44"/>
      <c r="Z10" s="1"/>
      <c r="AA10" s="1"/>
      <c r="AB10" s="1">
        <v>0</v>
      </c>
      <c r="AC10" s="1"/>
      <c r="AD10" s="43" t="s">
        <v>74</v>
      </c>
      <c r="AE10" s="43"/>
      <c r="AF10" s="43">
        <v>335</v>
      </c>
      <c r="AG10" s="43"/>
      <c r="AH10" s="44" t="s">
        <v>78</v>
      </c>
      <c r="AI10" s="44"/>
      <c r="AJ10" s="44">
        <v>5745</v>
      </c>
      <c r="AK10" s="44"/>
      <c r="AL10" s="1" t="s">
        <v>61</v>
      </c>
      <c r="AM10" s="1"/>
      <c r="AN10" s="1">
        <v>1411</v>
      </c>
      <c r="AO10" s="1"/>
      <c r="AP10" s="46" t="s">
        <v>242</v>
      </c>
      <c r="AQ10" s="46"/>
      <c r="AR10" s="46">
        <v>1838</v>
      </c>
      <c r="AS10" s="46"/>
      <c r="AT10" s="1"/>
      <c r="AU10" s="1"/>
      <c r="AV10" s="1">
        <v>0</v>
      </c>
      <c r="AW10" s="1"/>
      <c r="AX10" s="1" t="s">
        <v>13</v>
      </c>
      <c r="AY10" s="1"/>
      <c r="AZ10" s="1">
        <v>0</v>
      </c>
      <c r="BA10" s="1"/>
      <c r="BB10" s="1" t="s">
        <v>14</v>
      </c>
      <c r="BC10" s="1"/>
      <c r="BD10" s="1">
        <v>0</v>
      </c>
      <c r="BE10" s="1"/>
      <c r="BF10" s="1"/>
      <c r="BG10" s="1"/>
      <c r="BH10" s="1">
        <v>0</v>
      </c>
      <c r="BI10" s="1"/>
      <c r="BJ10" s="1"/>
      <c r="BK10" s="1"/>
      <c r="BL10" s="1">
        <v>0</v>
      </c>
      <c r="BM10" s="1"/>
      <c r="BN10" s="1"/>
      <c r="BO10" s="1"/>
      <c r="BP10" s="1">
        <v>0</v>
      </c>
      <c r="BQ10" s="1"/>
      <c r="BR10" s="1" t="s">
        <v>18</v>
      </c>
      <c r="BS10" s="1"/>
      <c r="BT10" s="1">
        <v>0</v>
      </c>
      <c r="BU10" s="1"/>
      <c r="BV10" s="1"/>
      <c r="BW10" s="1"/>
      <c r="BX10" s="1">
        <v>0</v>
      </c>
      <c r="BY10" s="1"/>
      <c r="BZ10" s="1">
        <v>171000</v>
      </c>
      <c r="CA10" s="1">
        <v>171000</v>
      </c>
      <c r="CB10" s="49"/>
      <c r="CC10" s="1"/>
      <c r="CD10" s="49"/>
      <c r="CE10" s="1"/>
      <c r="CF10" s="49"/>
      <c r="CG10" s="1"/>
      <c r="CH10" s="1">
        <v>171000</v>
      </c>
      <c r="CI10" s="49"/>
      <c r="CJ10" s="1"/>
      <c r="CK10" s="49"/>
      <c r="CL10" s="1"/>
      <c r="CM10" s="1"/>
      <c r="CN10" s="1"/>
      <c r="CO10" s="1">
        <v>171000</v>
      </c>
      <c r="CP10" s="49"/>
      <c r="CQ10" s="1">
        <v>171000</v>
      </c>
      <c r="CR10" s="49">
        <v>0.18</v>
      </c>
      <c r="CS10" s="1">
        <v>30780</v>
      </c>
      <c r="CT10" s="1">
        <v>201780</v>
      </c>
      <c r="CU10" s="48">
        <v>28.5</v>
      </c>
      <c r="CV10" s="48" t="s">
        <v>225</v>
      </c>
      <c r="CW10" s="48">
        <v>5750730</v>
      </c>
      <c r="CX10" s="1">
        <v>250</v>
      </c>
      <c r="CY10" s="10" t="s">
        <v>257</v>
      </c>
      <c r="CZ10" s="10" t="s">
        <v>258</v>
      </c>
    </row>
    <row r="11" spans="1:104" s="10" customFormat="1" ht="18" customHeight="1" x14ac:dyDescent="0.25">
      <c r="A11" s="6" t="s">
        <v>220</v>
      </c>
      <c r="B11" s="52"/>
      <c r="C11" s="1" t="s">
        <v>259</v>
      </c>
      <c r="D11" s="1" t="s">
        <v>260</v>
      </c>
      <c r="E11" s="1" t="s">
        <v>223</v>
      </c>
      <c r="F11" s="47" t="s">
        <v>69</v>
      </c>
      <c r="G11" s="47"/>
      <c r="H11" s="47">
        <v>179</v>
      </c>
      <c r="I11" s="47"/>
      <c r="J11" s="42" t="s">
        <v>41</v>
      </c>
      <c r="K11" s="42"/>
      <c r="L11" s="42">
        <v>3240</v>
      </c>
      <c r="M11" s="42"/>
      <c r="N11" s="41"/>
      <c r="O11" s="41"/>
      <c r="P11" s="41">
        <v>0</v>
      </c>
      <c r="Q11" s="41"/>
      <c r="R11" s="45" t="s">
        <v>224</v>
      </c>
      <c r="S11" s="45"/>
      <c r="T11" s="45">
        <v>427</v>
      </c>
      <c r="U11" s="45"/>
      <c r="V11" s="44" t="s">
        <v>51</v>
      </c>
      <c r="W11" s="44"/>
      <c r="X11" s="44">
        <v>2621</v>
      </c>
      <c r="Y11" s="44"/>
      <c r="Z11" s="1"/>
      <c r="AA11" s="1"/>
      <c r="AB11" s="1">
        <v>0</v>
      </c>
      <c r="AC11" s="1"/>
      <c r="AD11" s="43" t="s">
        <v>74</v>
      </c>
      <c r="AE11" s="43"/>
      <c r="AF11" s="43">
        <v>405</v>
      </c>
      <c r="AG11" s="43"/>
      <c r="AH11" s="44" t="s">
        <v>78</v>
      </c>
      <c r="AI11" s="44"/>
      <c r="AJ11" s="44">
        <v>6975</v>
      </c>
      <c r="AK11" s="44"/>
      <c r="AL11" s="1" t="s">
        <v>61</v>
      </c>
      <c r="AM11" s="1"/>
      <c r="AN11" s="1">
        <v>1660</v>
      </c>
      <c r="AO11" s="1"/>
      <c r="AP11" s="46" t="s">
        <v>242</v>
      </c>
      <c r="AQ11" s="46"/>
      <c r="AR11" s="46">
        <v>2672</v>
      </c>
      <c r="AS11" s="46"/>
      <c r="AT11" s="1"/>
      <c r="AU11" s="1"/>
      <c r="AV11" s="1">
        <v>0</v>
      </c>
      <c r="AW11" s="1"/>
      <c r="AX11" s="1" t="s">
        <v>13</v>
      </c>
      <c r="AY11" s="1"/>
      <c r="AZ11" s="1">
        <v>120</v>
      </c>
      <c r="BA11" s="1"/>
      <c r="BB11" s="1" t="s">
        <v>14</v>
      </c>
      <c r="BC11" s="1"/>
      <c r="BD11" s="1">
        <v>0</v>
      </c>
      <c r="BE11" s="1"/>
      <c r="BF11" s="1"/>
      <c r="BG11" s="1"/>
      <c r="BH11" s="1">
        <v>144</v>
      </c>
      <c r="BI11" s="1"/>
      <c r="BJ11" s="1"/>
      <c r="BK11" s="1"/>
      <c r="BL11" s="1">
        <v>0</v>
      </c>
      <c r="BM11" s="1"/>
      <c r="BN11" s="1"/>
      <c r="BO11" s="1"/>
      <c r="BP11" s="1">
        <v>0</v>
      </c>
      <c r="BQ11" s="1"/>
      <c r="BR11" s="1" t="s">
        <v>18</v>
      </c>
      <c r="BS11" s="1"/>
      <c r="BT11" s="1">
        <v>0</v>
      </c>
      <c r="BU11" s="1"/>
      <c r="BV11" s="1"/>
      <c r="BW11" s="1"/>
      <c r="BX11" s="1">
        <v>0</v>
      </c>
      <c r="BY11" s="1"/>
      <c r="BZ11" s="1">
        <v>190000</v>
      </c>
      <c r="CA11" s="1">
        <v>190000</v>
      </c>
      <c r="CB11" s="49"/>
      <c r="CC11" s="1"/>
      <c r="CD11" s="49"/>
      <c r="CE11" s="1"/>
      <c r="CF11" s="49"/>
      <c r="CG11" s="1"/>
      <c r="CH11" s="1">
        <v>190000</v>
      </c>
      <c r="CI11" s="49"/>
      <c r="CJ11" s="1"/>
      <c r="CK11" s="49"/>
      <c r="CL11" s="1"/>
      <c r="CM11" s="1"/>
      <c r="CN11" s="1"/>
      <c r="CO11" s="1">
        <v>190000</v>
      </c>
      <c r="CP11" s="49"/>
      <c r="CQ11" s="1">
        <v>190000</v>
      </c>
      <c r="CR11" s="49">
        <v>0.18</v>
      </c>
      <c r="CS11" s="1">
        <v>34200</v>
      </c>
      <c r="CT11" s="1">
        <v>224200</v>
      </c>
      <c r="CU11" s="48">
        <v>321.5</v>
      </c>
      <c r="CV11" s="48" t="s">
        <v>225</v>
      </c>
      <c r="CW11" s="48">
        <v>72080300</v>
      </c>
      <c r="CX11" s="1">
        <v>250</v>
      </c>
      <c r="CY11" s="10" t="s">
        <v>261</v>
      </c>
      <c r="CZ11" s="10" t="s">
        <v>262</v>
      </c>
    </row>
    <row r="12" spans="1:104" s="10" customFormat="1" ht="18" customHeight="1" x14ac:dyDescent="0.25">
      <c r="A12" s="6" t="s">
        <v>220</v>
      </c>
      <c r="B12" s="52"/>
      <c r="C12" s="1" t="s">
        <v>263</v>
      </c>
      <c r="D12" s="1" t="s">
        <v>264</v>
      </c>
      <c r="E12" s="1" t="s">
        <v>223</v>
      </c>
      <c r="F12" s="47" t="s">
        <v>69</v>
      </c>
      <c r="G12" s="47"/>
      <c r="H12" s="47">
        <v>165</v>
      </c>
      <c r="I12" s="47"/>
      <c r="J12" s="42" t="s">
        <v>41</v>
      </c>
      <c r="K12" s="42"/>
      <c r="L12" s="42">
        <v>2430</v>
      </c>
      <c r="M12" s="42"/>
      <c r="N12" s="41"/>
      <c r="O12" s="41"/>
      <c r="P12" s="41">
        <v>0</v>
      </c>
      <c r="Q12" s="41"/>
      <c r="R12" s="45" t="s">
        <v>224</v>
      </c>
      <c r="S12" s="45"/>
      <c r="T12" s="45">
        <v>386</v>
      </c>
      <c r="U12" s="45"/>
      <c r="V12" s="44" t="s">
        <v>51</v>
      </c>
      <c r="W12" s="44"/>
      <c r="X12" s="44">
        <v>2385</v>
      </c>
      <c r="Y12" s="44"/>
      <c r="Z12" s="1"/>
      <c r="AA12" s="1"/>
      <c r="AB12" s="1">
        <v>0</v>
      </c>
      <c r="AC12" s="1"/>
      <c r="AD12" s="43" t="s">
        <v>74</v>
      </c>
      <c r="AE12" s="43"/>
      <c r="AF12" s="43">
        <v>378</v>
      </c>
      <c r="AG12" s="43"/>
      <c r="AH12" s="44" t="s">
        <v>78</v>
      </c>
      <c r="AI12" s="44"/>
      <c r="AJ12" s="44">
        <v>6463</v>
      </c>
      <c r="AK12" s="44"/>
      <c r="AL12" s="1" t="s">
        <v>61</v>
      </c>
      <c r="AM12" s="1"/>
      <c r="AN12" s="1">
        <v>1558</v>
      </c>
      <c r="AO12" s="1"/>
      <c r="AP12" s="46" t="s">
        <v>242</v>
      </c>
      <c r="AQ12" s="46"/>
      <c r="AR12" s="46">
        <v>2315</v>
      </c>
      <c r="AS12" s="46"/>
      <c r="AT12" s="1"/>
      <c r="AU12" s="1"/>
      <c r="AV12" s="1">
        <v>0</v>
      </c>
      <c r="AW12" s="1"/>
      <c r="AX12" s="1" t="s">
        <v>13</v>
      </c>
      <c r="AY12" s="1"/>
      <c r="AZ12" s="1">
        <v>0</v>
      </c>
      <c r="BA12" s="1"/>
      <c r="BB12" s="1" t="s">
        <v>14</v>
      </c>
      <c r="BC12" s="1"/>
      <c r="BD12" s="1">
        <v>0</v>
      </c>
      <c r="BE12" s="1"/>
      <c r="BF12" s="1"/>
      <c r="BG12" s="1"/>
      <c r="BH12" s="1">
        <v>0</v>
      </c>
      <c r="BI12" s="1"/>
      <c r="BJ12" s="1"/>
      <c r="BK12" s="1"/>
      <c r="BL12" s="1">
        <v>0</v>
      </c>
      <c r="BM12" s="1"/>
      <c r="BN12" s="1"/>
      <c r="BO12" s="1"/>
      <c r="BP12" s="1">
        <v>0</v>
      </c>
      <c r="BQ12" s="1"/>
      <c r="BR12" s="1" t="s">
        <v>18</v>
      </c>
      <c r="BS12" s="1"/>
      <c r="BT12" s="1">
        <v>0</v>
      </c>
      <c r="BU12" s="1"/>
      <c r="BV12" s="1"/>
      <c r="BW12" s="1"/>
      <c r="BX12" s="1">
        <v>0</v>
      </c>
      <c r="BY12" s="1"/>
      <c r="BZ12" s="1">
        <v>190000</v>
      </c>
      <c r="CA12" s="1">
        <v>190000</v>
      </c>
      <c r="CB12" s="49"/>
      <c r="CC12" s="1"/>
      <c r="CD12" s="49"/>
      <c r="CE12" s="1"/>
      <c r="CF12" s="49"/>
      <c r="CG12" s="1"/>
      <c r="CH12" s="1">
        <v>190000</v>
      </c>
      <c r="CI12" s="49"/>
      <c r="CJ12" s="1"/>
      <c r="CK12" s="49"/>
      <c r="CL12" s="1"/>
      <c r="CM12" s="1"/>
      <c r="CN12" s="1"/>
      <c r="CO12" s="1">
        <v>190000</v>
      </c>
      <c r="CP12" s="49"/>
      <c r="CQ12" s="1">
        <v>190000</v>
      </c>
      <c r="CR12" s="49">
        <v>0.18</v>
      </c>
      <c r="CS12" s="1">
        <v>34200</v>
      </c>
      <c r="CT12" s="1">
        <v>224200</v>
      </c>
      <c r="CU12" s="48">
        <v>45</v>
      </c>
      <c r="CV12" s="48" t="s">
        <v>225</v>
      </c>
      <c r="CW12" s="48">
        <v>10089000</v>
      </c>
      <c r="CX12" s="1">
        <v>250</v>
      </c>
      <c r="CY12" s="10" t="s">
        <v>261</v>
      </c>
      <c r="CZ12" s="10" t="s">
        <v>265</v>
      </c>
    </row>
    <row r="13" spans="1:104" s="10" customFormat="1" ht="18" customHeight="1" x14ac:dyDescent="0.25">
      <c r="A13" s="6" t="s">
        <v>220</v>
      </c>
      <c r="B13" s="52"/>
      <c r="C13" s="1" t="s">
        <v>266</v>
      </c>
      <c r="D13" s="1" t="s">
        <v>267</v>
      </c>
      <c r="E13" s="1" t="s">
        <v>223</v>
      </c>
      <c r="F13" s="47" t="s">
        <v>69</v>
      </c>
      <c r="G13" s="47"/>
      <c r="H13" s="47">
        <v>136</v>
      </c>
      <c r="I13" s="47"/>
      <c r="J13" s="42" t="s">
        <v>41</v>
      </c>
      <c r="K13" s="42"/>
      <c r="L13" s="42">
        <v>3240</v>
      </c>
      <c r="M13" s="42"/>
      <c r="N13" s="41"/>
      <c r="O13" s="41"/>
      <c r="P13" s="41">
        <v>0</v>
      </c>
      <c r="Q13" s="41"/>
      <c r="R13" s="45" t="s">
        <v>224</v>
      </c>
      <c r="S13" s="45"/>
      <c r="T13" s="45">
        <v>366</v>
      </c>
      <c r="U13" s="45"/>
      <c r="V13" s="44" t="s">
        <v>51</v>
      </c>
      <c r="W13" s="44"/>
      <c r="X13" s="44">
        <v>908</v>
      </c>
      <c r="Y13" s="44"/>
      <c r="Z13" s="1"/>
      <c r="AA13" s="1"/>
      <c r="AB13" s="1">
        <v>0</v>
      </c>
      <c r="AC13" s="1"/>
      <c r="AD13" s="43" t="s">
        <v>74</v>
      </c>
      <c r="AE13" s="43"/>
      <c r="AF13" s="43">
        <v>305</v>
      </c>
      <c r="AG13" s="43"/>
      <c r="AH13" s="44" t="s">
        <v>78</v>
      </c>
      <c r="AI13" s="44"/>
      <c r="AJ13" s="44">
        <v>5335</v>
      </c>
      <c r="AK13" s="44"/>
      <c r="AL13" s="1" t="s">
        <v>61</v>
      </c>
      <c r="AM13" s="1"/>
      <c r="AN13" s="1">
        <v>1308</v>
      </c>
      <c r="AO13" s="1"/>
      <c r="AP13" s="46" t="s">
        <v>242</v>
      </c>
      <c r="AQ13" s="46"/>
      <c r="AR13" s="46">
        <v>1535</v>
      </c>
      <c r="AS13" s="46"/>
      <c r="AT13" s="1"/>
      <c r="AU13" s="1"/>
      <c r="AV13" s="1">
        <v>0</v>
      </c>
      <c r="AW13" s="1"/>
      <c r="AX13" s="1" t="s">
        <v>13</v>
      </c>
      <c r="AY13" s="1"/>
      <c r="AZ13" s="1">
        <v>0</v>
      </c>
      <c r="BA13" s="1"/>
      <c r="BB13" s="1" t="s">
        <v>14</v>
      </c>
      <c r="BC13" s="1"/>
      <c r="BD13" s="1">
        <v>64</v>
      </c>
      <c r="BE13" s="1"/>
      <c r="BF13" s="1"/>
      <c r="BG13" s="1"/>
      <c r="BH13" s="1">
        <v>0</v>
      </c>
      <c r="BI13" s="1"/>
      <c r="BJ13" s="1"/>
      <c r="BK13" s="1"/>
      <c r="BL13" s="1">
        <v>0</v>
      </c>
      <c r="BM13" s="1"/>
      <c r="BN13" s="1"/>
      <c r="BO13" s="1"/>
      <c r="BP13" s="1">
        <v>0</v>
      </c>
      <c r="BQ13" s="1"/>
      <c r="BR13" s="1" t="s">
        <v>18</v>
      </c>
      <c r="BS13" s="1"/>
      <c r="BT13" s="1">
        <v>0</v>
      </c>
      <c r="BU13" s="1"/>
      <c r="BV13" s="1"/>
      <c r="BW13" s="1"/>
      <c r="BX13" s="1">
        <v>0</v>
      </c>
      <c r="BY13" s="1"/>
      <c r="BZ13" s="1">
        <v>182400</v>
      </c>
      <c r="CA13" s="1">
        <v>182400</v>
      </c>
      <c r="CB13" s="49"/>
      <c r="CC13" s="1"/>
      <c r="CD13" s="49"/>
      <c r="CE13" s="1"/>
      <c r="CF13" s="49"/>
      <c r="CG13" s="1"/>
      <c r="CH13" s="1">
        <v>182400</v>
      </c>
      <c r="CI13" s="49"/>
      <c r="CJ13" s="1"/>
      <c r="CK13" s="49"/>
      <c r="CL13" s="1"/>
      <c r="CM13" s="1"/>
      <c r="CN13" s="1"/>
      <c r="CO13" s="1">
        <v>182400</v>
      </c>
      <c r="CP13" s="49"/>
      <c r="CQ13" s="1">
        <v>182400</v>
      </c>
      <c r="CR13" s="49">
        <v>0.18</v>
      </c>
      <c r="CS13" s="1">
        <v>32832</v>
      </c>
      <c r="CT13" s="1">
        <v>215232</v>
      </c>
      <c r="CU13" s="48">
        <v>209</v>
      </c>
      <c r="CV13" s="48" t="s">
        <v>225</v>
      </c>
      <c r="CW13" s="48">
        <v>44983488</v>
      </c>
      <c r="CX13" s="1">
        <v>250</v>
      </c>
      <c r="CY13" s="10" t="s">
        <v>268</v>
      </c>
      <c r="CZ13" s="10" t="s">
        <v>269</v>
      </c>
    </row>
    <row r="14" spans="1:104" s="10" customFormat="1" ht="18" customHeight="1" x14ac:dyDescent="0.25">
      <c r="A14" s="6" t="s">
        <v>220</v>
      </c>
      <c r="B14" s="6"/>
      <c r="C14" s="1" t="s">
        <v>270</v>
      </c>
      <c r="D14" s="1" t="s">
        <v>271</v>
      </c>
      <c r="E14" s="1" t="s">
        <v>223</v>
      </c>
      <c r="F14" s="47" t="s">
        <v>69</v>
      </c>
      <c r="G14" s="47"/>
      <c r="H14" s="47">
        <v>105</v>
      </c>
      <c r="I14" s="47"/>
      <c r="J14" s="42" t="s">
        <v>41</v>
      </c>
      <c r="K14" s="42"/>
      <c r="L14" s="42">
        <v>1499</v>
      </c>
      <c r="M14" s="42"/>
      <c r="N14" s="41"/>
      <c r="O14" s="41"/>
      <c r="P14" s="41">
        <v>0</v>
      </c>
      <c r="Q14" s="41"/>
      <c r="R14" s="45" t="s">
        <v>224</v>
      </c>
      <c r="S14" s="45"/>
      <c r="T14" s="45">
        <v>276</v>
      </c>
      <c r="U14" s="45"/>
      <c r="V14" s="44" t="s">
        <v>51</v>
      </c>
      <c r="W14" s="44"/>
      <c r="X14" s="44">
        <v>663</v>
      </c>
      <c r="Y14" s="44"/>
      <c r="Z14" s="1"/>
      <c r="AA14" s="1"/>
      <c r="AB14" s="1">
        <v>0</v>
      </c>
      <c r="AC14" s="1"/>
      <c r="AD14" s="43" t="s">
        <v>74</v>
      </c>
      <c r="AE14" s="43"/>
      <c r="AF14" s="43">
        <v>237</v>
      </c>
      <c r="AG14" s="43"/>
      <c r="AH14" s="44" t="s">
        <v>78</v>
      </c>
      <c r="AI14" s="44"/>
      <c r="AJ14" s="44">
        <v>3244</v>
      </c>
      <c r="AK14" s="44"/>
      <c r="AL14" s="1" t="s">
        <v>61</v>
      </c>
      <c r="AM14" s="1"/>
      <c r="AN14" s="1">
        <v>862</v>
      </c>
      <c r="AO14" s="1"/>
      <c r="AP14" s="46" t="s">
        <v>242</v>
      </c>
      <c r="AQ14" s="46"/>
      <c r="AR14" s="46">
        <v>914</v>
      </c>
      <c r="AS14" s="46"/>
      <c r="AT14" s="1"/>
      <c r="AU14" s="1"/>
      <c r="AV14" s="1">
        <v>0</v>
      </c>
      <c r="AW14" s="1"/>
      <c r="AX14" s="1" t="s">
        <v>13</v>
      </c>
      <c r="AY14" s="1"/>
      <c r="AZ14" s="1">
        <v>0</v>
      </c>
      <c r="BA14" s="1"/>
      <c r="BB14" s="1" t="s">
        <v>14</v>
      </c>
      <c r="BC14" s="1"/>
      <c r="BD14" s="1">
        <v>0</v>
      </c>
      <c r="BE14" s="1"/>
      <c r="BF14" s="1"/>
      <c r="BG14" s="1"/>
      <c r="BH14" s="1">
        <v>0</v>
      </c>
      <c r="BI14" s="1"/>
      <c r="BJ14" s="1"/>
      <c r="BK14" s="1"/>
      <c r="BL14" s="1">
        <v>0</v>
      </c>
      <c r="BM14" s="1"/>
      <c r="BN14" s="1"/>
      <c r="BO14" s="1"/>
      <c r="BP14" s="1">
        <v>0</v>
      </c>
      <c r="BQ14" s="1"/>
      <c r="BR14" s="1" t="s">
        <v>18</v>
      </c>
      <c r="BS14" s="1"/>
      <c r="BT14" s="1">
        <v>0</v>
      </c>
      <c r="BU14" s="1"/>
      <c r="BV14" s="1"/>
      <c r="BW14" s="1"/>
      <c r="BX14" s="1">
        <v>0</v>
      </c>
      <c r="BY14" s="1"/>
      <c r="BZ14" s="1">
        <v>76000</v>
      </c>
      <c r="CA14" s="1">
        <v>76000</v>
      </c>
      <c r="CB14" s="1"/>
      <c r="CC14" s="1"/>
      <c r="CD14" s="1"/>
      <c r="CE14" s="1"/>
      <c r="CF14" s="1"/>
      <c r="CG14" s="1"/>
      <c r="CH14" s="1">
        <v>76000</v>
      </c>
      <c r="CI14" s="1"/>
      <c r="CJ14" s="1"/>
      <c r="CK14" s="1"/>
      <c r="CL14" s="1"/>
      <c r="CM14" s="1"/>
      <c r="CN14" s="1"/>
      <c r="CO14" s="1">
        <v>76000</v>
      </c>
      <c r="CP14" s="1"/>
      <c r="CQ14" s="1">
        <v>76000</v>
      </c>
      <c r="CR14" s="49">
        <v>0.18</v>
      </c>
      <c r="CS14" s="1">
        <v>13680</v>
      </c>
      <c r="CT14" s="1">
        <v>89680</v>
      </c>
      <c r="CU14" s="1">
        <v>17</v>
      </c>
      <c r="CV14" s="48" t="s">
        <v>225</v>
      </c>
      <c r="CW14" s="48">
        <v>1524560</v>
      </c>
      <c r="CX14" s="1">
        <v>250</v>
      </c>
      <c r="CY14" s="10" t="s">
        <v>272</v>
      </c>
      <c r="CZ14" s="10" t="s">
        <v>273</v>
      </c>
    </row>
    <row r="15" spans="1:104" s="10" customFormat="1" ht="18" customHeight="1" x14ac:dyDescent="0.25">
      <c r="A15" s="6" t="s">
        <v>220</v>
      </c>
      <c r="B15" s="6"/>
      <c r="C15" s="1" t="s">
        <v>274</v>
      </c>
      <c r="D15" s="1" t="s">
        <v>275</v>
      </c>
      <c r="E15" s="1" t="s">
        <v>223</v>
      </c>
      <c r="F15" s="47" t="s">
        <v>69</v>
      </c>
      <c r="G15" s="47"/>
      <c r="H15" s="47">
        <v>122</v>
      </c>
      <c r="I15" s="47"/>
      <c r="J15" s="42" t="s">
        <v>41</v>
      </c>
      <c r="K15" s="42"/>
      <c r="L15" s="42">
        <v>2430</v>
      </c>
      <c r="M15" s="42"/>
      <c r="N15" s="41"/>
      <c r="O15" s="41"/>
      <c r="P15" s="41">
        <v>0</v>
      </c>
      <c r="Q15" s="41"/>
      <c r="R15" s="45" t="s">
        <v>224</v>
      </c>
      <c r="S15" s="45"/>
      <c r="T15" s="45">
        <v>337</v>
      </c>
      <c r="U15" s="45"/>
      <c r="V15" s="44" t="s">
        <v>51</v>
      </c>
      <c r="W15" s="44"/>
      <c r="X15" s="44">
        <v>802</v>
      </c>
      <c r="Y15" s="44"/>
      <c r="Z15" s="1"/>
      <c r="AA15" s="1"/>
      <c r="AB15" s="1">
        <v>0</v>
      </c>
      <c r="AC15" s="1"/>
      <c r="AD15" s="43" t="s">
        <v>74</v>
      </c>
      <c r="AE15" s="43"/>
      <c r="AF15" s="43">
        <v>277</v>
      </c>
      <c r="AG15" s="43"/>
      <c r="AH15" s="44" t="s">
        <v>78</v>
      </c>
      <c r="AI15" s="44"/>
      <c r="AJ15" s="44">
        <v>3753</v>
      </c>
      <c r="AK15" s="44"/>
      <c r="AL15" s="1" t="s">
        <v>61</v>
      </c>
      <c r="AM15" s="1"/>
      <c r="AN15" s="1">
        <v>1120</v>
      </c>
      <c r="AO15" s="1"/>
      <c r="AP15" s="46" t="s">
        <v>242</v>
      </c>
      <c r="AQ15" s="46"/>
      <c r="AR15" s="46">
        <v>1258</v>
      </c>
      <c r="AS15" s="46"/>
      <c r="AT15" s="1"/>
      <c r="AU15" s="1"/>
      <c r="AV15" s="1">
        <v>0</v>
      </c>
      <c r="AW15" s="1"/>
      <c r="AX15" s="1" t="s">
        <v>13</v>
      </c>
      <c r="AY15" s="1"/>
      <c r="AZ15" s="1">
        <v>0</v>
      </c>
      <c r="BA15" s="1"/>
      <c r="BB15" s="1" t="s">
        <v>14</v>
      </c>
      <c r="BC15" s="1"/>
      <c r="BD15" s="1">
        <v>115</v>
      </c>
      <c r="BE15" s="1"/>
      <c r="BF15" s="1"/>
      <c r="BG15" s="1"/>
      <c r="BH15" s="1">
        <v>34</v>
      </c>
      <c r="BI15" s="1"/>
      <c r="BJ15" s="1"/>
      <c r="BK15" s="1"/>
      <c r="BL15" s="1">
        <v>0</v>
      </c>
      <c r="BM15" s="1"/>
      <c r="BN15" s="1"/>
      <c r="BO15" s="1"/>
      <c r="BP15" s="1">
        <v>0</v>
      </c>
      <c r="BQ15" s="1"/>
      <c r="BR15" s="1" t="s">
        <v>18</v>
      </c>
      <c r="BS15" s="1"/>
      <c r="BT15" s="1">
        <v>0</v>
      </c>
      <c r="BU15" s="1"/>
      <c r="BV15" s="1"/>
      <c r="BW15" s="1"/>
      <c r="BX15" s="1">
        <v>0</v>
      </c>
      <c r="BY15" s="1"/>
      <c r="BZ15" s="1">
        <v>171000</v>
      </c>
      <c r="CA15" s="1">
        <v>171000</v>
      </c>
      <c r="CB15" s="1"/>
      <c r="CC15" s="1"/>
      <c r="CD15" s="1"/>
      <c r="CE15" s="1"/>
      <c r="CF15" s="1"/>
      <c r="CG15" s="1"/>
      <c r="CH15" s="1">
        <v>171000</v>
      </c>
      <c r="CI15" s="1"/>
      <c r="CJ15" s="1"/>
      <c r="CK15" s="1"/>
      <c r="CL15" s="1"/>
      <c r="CM15" s="1"/>
      <c r="CN15" s="1"/>
      <c r="CO15" s="1">
        <v>171000</v>
      </c>
      <c r="CP15" s="1"/>
      <c r="CQ15" s="1">
        <v>171000</v>
      </c>
      <c r="CR15" s="49">
        <v>0.18</v>
      </c>
      <c r="CS15" s="1">
        <v>30780</v>
      </c>
      <c r="CT15" s="1">
        <v>201780</v>
      </c>
      <c r="CU15" s="1">
        <v>151</v>
      </c>
      <c r="CV15" s="48" t="s">
        <v>225</v>
      </c>
      <c r="CW15" s="48">
        <v>30468780</v>
      </c>
      <c r="CX15" s="1">
        <v>250</v>
      </c>
      <c r="CY15" s="10" t="s">
        <v>276</v>
      </c>
      <c r="CZ15" s="10" t="s">
        <v>277</v>
      </c>
    </row>
    <row r="16" spans="1:104" s="10" customFormat="1" ht="18" customHeight="1" x14ac:dyDescent="0.25">
      <c r="A16" s="6" t="s">
        <v>220</v>
      </c>
      <c r="B16" s="6"/>
      <c r="C16" s="1" t="s">
        <v>278</v>
      </c>
      <c r="D16" s="1" t="s">
        <v>279</v>
      </c>
      <c r="E16" s="1" t="s">
        <v>223</v>
      </c>
      <c r="F16" s="47" t="s">
        <v>69</v>
      </c>
      <c r="G16" s="47"/>
      <c r="H16" s="47">
        <v>80</v>
      </c>
      <c r="I16" s="47"/>
      <c r="J16" s="42" t="s">
        <v>41</v>
      </c>
      <c r="K16" s="42"/>
      <c r="L16" s="42">
        <v>567</v>
      </c>
      <c r="M16" s="42"/>
      <c r="N16" s="41"/>
      <c r="O16" s="41"/>
      <c r="P16" s="41">
        <v>0</v>
      </c>
      <c r="Q16" s="41"/>
      <c r="R16" s="45" t="s">
        <v>224</v>
      </c>
      <c r="S16" s="45"/>
      <c r="T16" s="45">
        <v>188</v>
      </c>
      <c r="U16" s="45"/>
      <c r="V16" s="44" t="s">
        <v>51</v>
      </c>
      <c r="W16" s="44"/>
      <c r="X16" s="44">
        <v>474</v>
      </c>
      <c r="Y16" s="44"/>
      <c r="Z16" s="1"/>
      <c r="AA16" s="1"/>
      <c r="AB16" s="1">
        <v>0</v>
      </c>
      <c r="AC16" s="1"/>
      <c r="AD16" s="43" t="s">
        <v>74</v>
      </c>
      <c r="AE16" s="43"/>
      <c r="AF16" s="43">
        <v>142</v>
      </c>
      <c r="AG16" s="43"/>
      <c r="AH16" s="44" t="s">
        <v>78</v>
      </c>
      <c r="AI16" s="44"/>
      <c r="AJ16" s="44">
        <v>1964</v>
      </c>
      <c r="AK16" s="44"/>
      <c r="AL16" s="1" t="s">
        <v>61</v>
      </c>
      <c r="AM16" s="1"/>
      <c r="AN16" s="1">
        <v>557</v>
      </c>
      <c r="AO16" s="1"/>
      <c r="AP16" s="46" t="s">
        <v>242</v>
      </c>
      <c r="AQ16" s="46"/>
      <c r="AR16" s="46">
        <v>533</v>
      </c>
      <c r="AS16" s="46"/>
      <c r="AT16" s="1"/>
      <c r="AU16" s="1"/>
      <c r="AV16" s="1">
        <v>0</v>
      </c>
      <c r="AW16" s="1"/>
      <c r="AX16" s="1" t="s">
        <v>13</v>
      </c>
      <c r="AY16" s="1"/>
      <c r="AZ16" s="1">
        <v>0</v>
      </c>
      <c r="BA16" s="1"/>
      <c r="BB16" s="1" t="s">
        <v>14</v>
      </c>
      <c r="BC16" s="1"/>
      <c r="BD16" s="1">
        <v>0</v>
      </c>
      <c r="BE16" s="1"/>
      <c r="BF16" s="1"/>
      <c r="BG16" s="1"/>
      <c r="BH16" s="1">
        <v>22</v>
      </c>
      <c r="BI16" s="1"/>
      <c r="BJ16" s="1"/>
      <c r="BK16" s="1"/>
      <c r="BL16" s="1">
        <v>0</v>
      </c>
      <c r="BM16" s="1"/>
      <c r="BN16" s="1"/>
      <c r="BO16" s="1"/>
      <c r="BP16" s="1">
        <v>0</v>
      </c>
      <c r="BQ16" s="1"/>
      <c r="BR16" s="1" t="s">
        <v>18</v>
      </c>
      <c r="BS16" s="1"/>
      <c r="BT16" s="1">
        <v>0</v>
      </c>
      <c r="BU16" s="1"/>
      <c r="BV16" s="1"/>
      <c r="BW16" s="1"/>
      <c r="BX16" s="1">
        <v>0</v>
      </c>
      <c r="BY16" s="1"/>
      <c r="BZ16" s="1">
        <v>92000</v>
      </c>
      <c r="CA16" s="1">
        <v>92000</v>
      </c>
      <c r="CB16" s="1"/>
      <c r="CC16" s="1"/>
      <c r="CD16" s="1"/>
      <c r="CE16" s="1"/>
      <c r="CF16" s="1"/>
      <c r="CG16" s="1"/>
      <c r="CH16" s="1">
        <v>92000</v>
      </c>
      <c r="CI16" s="1"/>
      <c r="CJ16" s="1"/>
      <c r="CK16" s="1"/>
      <c r="CL16" s="1"/>
      <c r="CM16" s="1"/>
      <c r="CN16" s="1"/>
      <c r="CO16" s="1">
        <v>92000</v>
      </c>
      <c r="CP16" s="1"/>
      <c r="CQ16" s="1">
        <v>92000</v>
      </c>
      <c r="CR16" s="49">
        <v>0.18</v>
      </c>
      <c r="CS16" s="1">
        <v>16560</v>
      </c>
      <c r="CT16" s="1">
        <v>108560</v>
      </c>
      <c r="CU16" s="1">
        <v>5.5</v>
      </c>
      <c r="CV16" s="48" t="s">
        <v>225</v>
      </c>
      <c r="CW16" s="48">
        <v>597080</v>
      </c>
      <c r="CX16" s="1">
        <v>250</v>
      </c>
      <c r="CY16" s="10" t="s">
        <v>238</v>
      </c>
      <c r="CZ16" s="10" t="s">
        <v>239</v>
      </c>
    </row>
    <row r="17" spans="1:104" s="10" customFormat="1" ht="18" customHeight="1" x14ac:dyDescent="0.25">
      <c r="A17" s="6" t="s">
        <v>220</v>
      </c>
      <c r="B17" s="6"/>
      <c r="C17" s="1" t="s">
        <v>280</v>
      </c>
      <c r="D17" s="1" t="s">
        <v>281</v>
      </c>
      <c r="E17" s="1" t="s">
        <v>223</v>
      </c>
      <c r="F17" s="47" t="s">
        <v>69</v>
      </c>
      <c r="G17" s="47"/>
      <c r="H17" s="47">
        <v>86</v>
      </c>
      <c r="I17" s="47"/>
      <c r="J17" s="42" t="s">
        <v>41</v>
      </c>
      <c r="K17" s="42"/>
      <c r="L17" s="42">
        <v>770</v>
      </c>
      <c r="M17" s="42"/>
      <c r="N17" s="41"/>
      <c r="O17" s="41"/>
      <c r="P17" s="41">
        <v>0</v>
      </c>
      <c r="Q17" s="41"/>
      <c r="R17" s="45" t="s">
        <v>224</v>
      </c>
      <c r="S17" s="45"/>
      <c r="T17" s="45">
        <v>205</v>
      </c>
      <c r="U17" s="45"/>
      <c r="V17" s="44" t="s">
        <v>51</v>
      </c>
      <c r="W17" s="44"/>
      <c r="X17" s="44">
        <v>520</v>
      </c>
      <c r="Y17" s="44"/>
      <c r="Z17" s="1"/>
      <c r="AA17" s="1"/>
      <c r="AB17" s="1">
        <v>0</v>
      </c>
      <c r="AC17" s="1"/>
      <c r="AD17" s="43" t="s">
        <v>74</v>
      </c>
      <c r="AE17" s="43"/>
      <c r="AF17" s="43">
        <v>173</v>
      </c>
      <c r="AG17" s="43"/>
      <c r="AH17" s="44" t="s">
        <v>78</v>
      </c>
      <c r="AI17" s="44"/>
      <c r="AJ17" s="44">
        <v>2124</v>
      </c>
      <c r="AK17" s="44"/>
      <c r="AL17" s="1" t="s">
        <v>61</v>
      </c>
      <c r="AM17" s="1"/>
      <c r="AN17" s="1">
        <v>635</v>
      </c>
      <c r="AO17" s="1"/>
      <c r="AP17" s="46" t="s">
        <v>242</v>
      </c>
      <c r="AQ17" s="46"/>
      <c r="AR17" s="46">
        <v>613</v>
      </c>
      <c r="AS17" s="46"/>
      <c r="AT17" s="1"/>
      <c r="AU17" s="1"/>
      <c r="AV17" s="1">
        <v>0</v>
      </c>
      <c r="AW17" s="1"/>
      <c r="AX17" s="1" t="s">
        <v>13</v>
      </c>
      <c r="AY17" s="1"/>
      <c r="AZ17" s="1">
        <v>75</v>
      </c>
      <c r="BA17" s="1"/>
      <c r="BB17" s="1" t="s">
        <v>14</v>
      </c>
      <c r="BC17" s="1"/>
      <c r="BD17" s="1">
        <v>0</v>
      </c>
      <c r="BE17" s="1"/>
      <c r="BF17" s="1"/>
      <c r="BG17" s="1"/>
      <c r="BH17" s="1">
        <v>45</v>
      </c>
      <c r="BI17" s="1"/>
      <c r="BJ17" s="1"/>
      <c r="BK17" s="1"/>
      <c r="BL17" s="1">
        <v>0</v>
      </c>
      <c r="BM17" s="1"/>
      <c r="BN17" s="1"/>
      <c r="BO17" s="1"/>
      <c r="BP17" s="1">
        <v>0</v>
      </c>
      <c r="BQ17" s="1"/>
      <c r="BR17" s="1" t="s">
        <v>18</v>
      </c>
      <c r="BS17" s="1"/>
      <c r="BT17" s="1">
        <v>35</v>
      </c>
      <c r="BU17" s="1"/>
      <c r="BV17" s="1"/>
      <c r="BW17" s="1"/>
      <c r="BX17" s="1">
        <v>0</v>
      </c>
      <c r="BY17" s="1"/>
      <c r="BZ17" s="1">
        <v>95000</v>
      </c>
      <c r="CA17" s="1">
        <v>95000</v>
      </c>
      <c r="CB17" s="1"/>
      <c r="CC17" s="1"/>
      <c r="CD17" s="1"/>
      <c r="CE17" s="1"/>
      <c r="CF17" s="1"/>
      <c r="CG17" s="1"/>
      <c r="CH17" s="1">
        <v>95000</v>
      </c>
      <c r="CI17" s="1"/>
      <c r="CJ17" s="1"/>
      <c r="CK17" s="1"/>
      <c r="CL17" s="1"/>
      <c r="CM17" s="1"/>
      <c r="CN17" s="1"/>
      <c r="CO17" s="1">
        <v>95000</v>
      </c>
      <c r="CP17" s="1"/>
      <c r="CQ17" s="1">
        <v>95000</v>
      </c>
      <c r="CR17" s="49">
        <v>0.18</v>
      </c>
      <c r="CS17" s="1">
        <v>17100</v>
      </c>
      <c r="CT17" s="1">
        <v>112100</v>
      </c>
      <c r="CU17" s="1">
        <v>25.5</v>
      </c>
      <c r="CV17" s="48" t="s">
        <v>225</v>
      </c>
      <c r="CW17" s="48">
        <v>2858550</v>
      </c>
      <c r="CX17" s="1">
        <v>250</v>
      </c>
      <c r="CY17" s="10" t="s">
        <v>282</v>
      </c>
      <c r="CZ17" s="10" t="s">
        <v>283</v>
      </c>
    </row>
    <row r="18" spans="1:104" s="10" customFormat="1" ht="18" customHeight="1" x14ac:dyDescent="0.25">
      <c r="A18" s="6" t="s">
        <v>220</v>
      </c>
      <c r="B18" s="6"/>
      <c r="C18" s="1" t="s">
        <v>284</v>
      </c>
      <c r="D18" s="1" t="s">
        <v>285</v>
      </c>
      <c r="E18" s="1"/>
      <c r="F18" s="47"/>
      <c r="G18" s="47"/>
      <c r="H18" s="47">
        <v>0</v>
      </c>
      <c r="I18" s="47"/>
      <c r="J18" s="42"/>
      <c r="K18" s="42"/>
      <c r="L18" s="42">
        <v>284</v>
      </c>
      <c r="M18" s="42"/>
      <c r="N18" s="41"/>
      <c r="O18" s="41"/>
      <c r="P18" s="41">
        <v>0</v>
      </c>
      <c r="Q18" s="41"/>
      <c r="R18" s="45"/>
      <c r="S18" s="45"/>
      <c r="T18" s="45">
        <v>150</v>
      </c>
      <c r="U18" s="45"/>
      <c r="V18" s="44"/>
      <c r="W18" s="44"/>
      <c r="X18" s="44">
        <v>384</v>
      </c>
      <c r="Y18" s="44"/>
      <c r="Z18" s="1"/>
      <c r="AA18" s="1"/>
      <c r="AB18" s="1">
        <v>0</v>
      </c>
      <c r="AC18" s="1"/>
      <c r="AD18" s="43"/>
      <c r="AE18" s="43"/>
      <c r="AF18" s="43">
        <v>122</v>
      </c>
      <c r="AG18" s="43"/>
      <c r="AH18" s="44"/>
      <c r="AI18" s="44"/>
      <c r="AJ18" s="44">
        <v>1360</v>
      </c>
      <c r="AK18" s="44"/>
      <c r="AL18" s="1"/>
      <c r="AM18" s="1"/>
      <c r="AN18" s="1">
        <v>437</v>
      </c>
      <c r="AO18" s="1"/>
      <c r="AP18" s="46"/>
      <c r="AQ18" s="46"/>
      <c r="AR18" s="46">
        <v>390</v>
      </c>
      <c r="AS18" s="46"/>
      <c r="AT18" s="1"/>
      <c r="AU18" s="1"/>
      <c r="AV18" s="1">
        <v>0</v>
      </c>
      <c r="AW18" s="1"/>
      <c r="AX18" s="1"/>
      <c r="AY18" s="1"/>
      <c r="AZ18" s="1">
        <v>0</v>
      </c>
      <c r="BA18" s="1"/>
      <c r="BB18" s="1"/>
      <c r="BC18" s="1"/>
      <c r="BD18" s="1">
        <v>0</v>
      </c>
      <c r="BE18" s="1"/>
      <c r="BF18" s="1"/>
      <c r="BG18" s="1"/>
      <c r="BH18" s="1">
        <v>0</v>
      </c>
      <c r="BI18" s="1"/>
      <c r="BJ18" s="1"/>
      <c r="BK18" s="1"/>
      <c r="BL18" s="1">
        <v>0</v>
      </c>
      <c r="BM18" s="1"/>
      <c r="BN18" s="1"/>
      <c r="BO18" s="1"/>
      <c r="BP18" s="1">
        <v>0</v>
      </c>
      <c r="BQ18" s="1"/>
      <c r="BR18" s="1"/>
      <c r="BS18" s="1"/>
      <c r="BT18" s="1">
        <v>0</v>
      </c>
      <c r="BU18" s="1"/>
      <c r="BV18" s="1"/>
      <c r="BW18" s="1"/>
      <c r="BX18" s="1">
        <v>0</v>
      </c>
      <c r="BY18" s="1"/>
      <c r="BZ18" s="1"/>
      <c r="CA18" s="1"/>
      <c r="CB18" s="1"/>
      <c r="CC18" s="1"/>
      <c r="CD18" s="1"/>
      <c r="CE18" s="1"/>
      <c r="CF18" s="1"/>
      <c r="CG18" s="1"/>
      <c r="CH18" s="1"/>
      <c r="CI18" s="1"/>
      <c r="CJ18" s="1"/>
      <c r="CK18" s="1"/>
      <c r="CL18" s="1"/>
      <c r="CM18" s="1"/>
      <c r="CN18" s="1"/>
      <c r="CO18" s="1"/>
      <c r="CP18" s="1"/>
      <c r="CQ18" s="1"/>
      <c r="CR18" s="49">
        <v>0.18</v>
      </c>
      <c r="CS18" s="1"/>
      <c r="CT18" s="1"/>
      <c r="CU18" s="1">
        <v>7.5</v>
      </c>
      <c r="CV18" s="48" t="s">
        <v>225</v>
      </c>
      <c r="CW18" s="48"/>
      <c r="CX18" s="1">
        <v>250</v>
      </c>
    </row>
    <row r="19" spans="1:104" s="10" customFormat="1" ht="18" customHeight="1" x14ac:dyDescent="0.25">
      <c r="A19" s="6" t="s">
        <v>220</v>
      </c>
      <c r="B19" s="6"/>
      <c r="C19" s="1" t="s">
        <v>286</v>
      </c>
      <c r="D19" s="1" t="s">
        <v>287</v>
      </c>
      <c r="E19" s="1" t="s">
        <v>223</v>
      </c>
      <c r="F19" s="47" t="s">
        <v>69</v>
      </c>
      <c r="G19" s="47"/>
      <c r="H19" s="47">
        <v>134</v>
      </c>
      <c r="I19" s="47"/>
      <c r="J19" s="42" t="s">
        <v>41</v>
      </c>
      <c r="K19" s="42"/>
      <c r="L19" s="42">
        <v>567</v>
      </c>
      <c r="M19" s="42"/>
      <c r="N19" s="41"/>
      <c r="O19" s="41"/>
      <c r="P19" s="41">
        <v>0</v>
      </c>
      <c r="Q19" s="41"/>
      <c r="R19" s="45" t="s">
        <v>224</v>
      </c>
      <c r="S19" s="45"/>
      <c r="T19" s="45">
        <v>245</v>
      </c>
      <c r="U19" s="45"/>
      <c r="V19" s="44" t="s">
        <v>51</v>
      </c>
      <c r="W19" s="44"/>
      <c r="X19" s="44">
        <v>1561</v>
      </c>
      <c r="Y19" s="44"/>
      <c r="Z19" s="1"/>
      <c r="AA19" s="1"/>
      <c r="AB19" s="1">
        <v>0</v>
      </c>
      <c r="AC19" s="1"/>
      <c r="AD19" s="43" t="s">
        <v>74</v>
      </c>
      <c r="AE19" s="43"/>
      <c r="AF19" s="43">
        <v>280</v>
      </c>
      <c r="AG19" s="43"/>
      <c r="AH19" s="44" t="s">
        <v>78</v>
      </c>
      <c r="AI19" s="44"/>
      <c r="AJ19" s="44">
        <v>3818</v>
      </c>
      <c r="AK19" s="44"/>
      <c r="AL19" s="1" t="s">
        <v>61</v>
      </c>
      <c r="AM19" s="1"/>
      <c r="AN19" s="1">
        <v>1124</v>
      </c>
      <c r="AO19" s="1"/>
      <c r="AP19" s="46" t="s">
        <v>242</v>
      </c>
      <c r="AQ19" s="46"/>
      <c r="AR19" s="46">
        <v>1267</v>
      </c>
      <c r="AS19" s="46"/>
      <c r="AT19" s="1"/>
      <c r="AU19" s="1"/>
      <c r="AV19" s="1">
        <v>0</v>
      </c>
      <c r="AW19" s="1"/>
      <c r="AX19" s="1" t="s">
        <v>13</v>
      </c>
      <c r="AY19" s="1"/>
      <c r="AZ19" s="1">
        <v>0</v>
      </c>
      <c r="BA19" s="1"/>
      <c r="BB19" s="1" t="s">
        <v>14</v>
      </c>
      <c r="BC19" s="1"/>
      <c r="BD19" s="1">
        <v>0</v>
      </c>
      <c r="BE19" s="1"/>
      <c r="BF19" s="1"/>
      <c r="BG19" s="1"/>
      <c r="BH19" s="1">
        <v>0</v>
      </c>
      <c r="BI19" s="1"/>
      <c r="BJ19" s="1"/>
      <c r="BK19" s="1"/>
      <c r="BL19" s="1">
        <v>0</v>
      </c>
      <c r="BM19" s="1"/>
      <c r="BN19" s="1"/>
      <c r="BO19" s="1"/>
      <c r="BP19" s="1">
        <v>0</v>
      </c>
      <c r="BQ19" s="1"/>
      <c r="BR19" s="1" t="s">
        <v>18</v>
      </c>
      <c r="BS19" s="1"/>
      <c r="BT19" s="1">
        <v>0</v>
      </c>
      <c r="BU19" s="1"/>
      <c r="BV19" s="1"/>
      <c r="BW19" s="1"/>
      <c r="BX19" s="1">
        <v>0</v>
      </c>
      <c r="BY19" s="1"/>
      <c r="BZ19" s="1">
        <v>171000</v>
      </c>
      <c r="CA19" s="1">
        <v>171000</v>
      </c>
      <c r="CB19" s="1"/>
      <c r="CC19" s="1"/>
      <c r="CD19" s="1"/>
      <c r="CE19" s="1"/>
      <c r="CF19" s="1"/>
      <c r="CG19" s="1"/>
      <c r="CH19" s="1">
        <v>171000</v>
      </c>
      <c r="CI19" s="1"/>
      <c r="CJ19" s="1"/>
      <c r="CK19" s="1"/>
      <c r="CL19" s="1"/>
      <c r="CM19" s="1"/>
      <c r="CN19" s="1"/>
      <c r="CO19" s="1">
        <v>171000</v>
      </c>
      <c r="CP19" s="1"/>
      <c r="CQ19" s="1">
        <v>171000</v>
      </c>
      <c r="CR19" s="49">
        <v>0.18</v>
      </c>
      <c r="CS19" s="1">
        <v>30780</v>
      </c>
      <c r="CT19" s="1">
        <v>201780</v>
      </c>
      <c r="CU19" s="1">
        <v>2</v>
      </c>
      <c r="CV19" s="48" t="s">
        <v>225</v>
      </c>
      <c r="CW19" s="48">
        <v>403560</v>
      </c>
      <c r="CX19" s="1">
        <v>250</v>
      </c>
      <c r="CY19" s="10" t="s">
        <v>276</v>
      </c>
      <c r="CZ19" s="10" t="s">
        <v>277</v>
      </c>
    </row>
    <row r="20" spans="1:104" s="10" customFormat="1" ht="18" customHeight="1" x14ac:dyDescent="0.25">
      <c r="A20" s="6" t="s">
        <v>220</v>
      </c>
      <c r="B20" s="6"/>
      <c r="C20" s="1" t="s">
        <v>288</v>
      </c>
      <c r="D20" s="1" t="s">
        <v>289</v>
      </c>
      <c r="E20" s="1" t="s">
        <v>223</v>
      </c>
      <c r="F20" s="47" t="s">
        <v>69</v>
      </c>
      <c r="G20" s="47"/>
      <c r="H20" s="47">
        <v>99</v>
      </c>
      <c r="I20" s="47"/>
      <c r="J20" s="42" t="s">
        <v>41</v>
      </c>
      <c r="K20" s="42"/>
      <c r="L20" s="42">
        <v>1215</v>
      </c>
      <c r="M20" s="42"/>
      <c r="N20" s="41"/>
      <c r="O20" s="41"/>
      <c r="P20" s="41">
        <v>0</v>
      </c>
      <c r="Q20" s="41"/>
      <c r="R20" s="45" t="s">
        <v>224</v>
      </c>
      <c r="S20" s="45"/>
      <c r="T20" s="45">
        <v>246</v>
      </c>
      <c r="U20" s="45"/>
      <c r="V20" s="44" t="s">
        <v>51</v>
      </c>
      <c r="W20" s="44"/>
      <c r="X20" s="44">
        <v>620</v>
      </c>
      <c r="Y20" s="44"/>
      <c r="Z20" s="1"/>
      <c r="AA20" s="1"/>
      <c r="AB20" s="1">
        <v>0</v>
      </c>
      <c r="AC20" s="1"/>
      <c r="AD20" s="43" t="s">
        <v>74</v>
      </c>
      <c r="AE20" s="43"/>
      <c r="AF20" s="43">
        <v>200</v>
      </c>
      <c r="AG20" s="43"/>
      <c r="AH20" s="44" t="s">
        <v>78</v>
      </c>
      <c r="AI20" s="44"/>
      <c r="AJ20" s="44">
        <v>2404</v>
      </c>
      <c r="AK20" s="44"/>
      <c r="AL20" s="1" t="s">
        <v>61</v>
      </c>
      <c r="AM20" s="1"/>
      <c r="AN20" s="1">
        <v>755</v>
      </c>
      <c r="AO20" s="1"/>
      <c r="AP20" s="46" t="s">
        <v>242</v>
      </c>
      <c r="AQ20" s="46"/>
      <c r="AR20" s="46">
        <v>809</v>
      </c>
      <c r="AS20" s="46"/>
      <c r="AT20" s="1"/>
      <c r="AU20" s="1"/>
      <c r="AV20" s="1">
        <v>0</v>
      </c>
      <c r="AW20" s="1"/>
      <c r="AX20" s="1" t="s">
        <v>13</v>
      </c>
      <c r="AY20" s="1"/>
      <c r="AZ20" s="1">
        <v>0</v>
      </c>
      <c r="BA20" s="1"/>
      <c r="BB20" s="1" t="s">
        <v>14</v>
      </c>
      <c r="BC20" s="1"/>
      <c r="BD20" s="1">
        <v>162</v>
      </c>
      <c r="BE20" s="1"/>
      <c r="BF20" s="1"/>
      <c r="BG20" s="1"/>
      <c r="BH20" s="1">
        <v>0</v>
      </c>
      <c r="BI20" s="1"/>
      <c r="BJ20" s="1"/>
      <c r="BK20" s="1"/>
      <c r="BL20" s="1">
        <v>0</v>
      </c>
      <c r="BM20" s="1"/>
      <c r="BN20" s="1"/>
      <c r="BO20" s="1"/>
      <c r="BP20" s="1">
        <v>0</v>
      </c>
      <c r="BQ20" s="1"/>
      <c r="BR20" s="1" t="s">
        <v>18</v>
      </c>
      <c r="BS20" s="1"/>
      <c r="BT20" s="1">
        <v>0</v>
      </c>
      <c r="BU20" s="1"/>
      <c r="BV20" s="1"/>
      <c r="BW20" s="1"/>
      <c r="BX20" s="1">
        <v>0</v>
      </c>
      <c r="BY20" s="1"/>
      <c r="BZ20" s="1">
        <v>108300</v>
      </c>
      <c r="CA20" s="1">
        <v>108300</v>
      </c>
      <c r="CB20" s="1"/>
      <c r="CC20" s="1"/>
      <c r="CD20" s="1"/>
      <c r="CE20" s="1"/>
      <c r="CF20" s="1"/>
      <c r="CG20" s="1"/>
      <c r="CH20" s="1">
        <v>108300</v>
      </c>
      <c r="CI20" s="1"/>
      <c r="CJ20" s="1"/>
      <c r="CK20" s="1"/>
      <c r="CL20" s="1"/>
      <c r="CM20" s="1"/>
      <c r="CN20" s="1"/>
      <c r="CO20" s="1">
        <v>108300</v>
      </c>
      <c r="CP20" s="1"/>
      <c r="CQ20" s="1">
        <v>108300</v>
      </c>
      <c r="CR20" s="49">
        <v>0.18</v>
      </c>
      <c r="CS20" s="1">
        <v>19494</v>
      </c>
      <c r="CT20" s="1">
        <v>127794</v>
      </c>
      <c r="CU20" s="1">
        <v>4</v>
      </c>
      <c r="CV20" s="48" t="s">
        <v>225</v>
      </c>
      <c r="CW20" s="48">
        <v>511176</v>
      </c>
      <c r="CX20" s="1">
        <v>250</v>
      </c>
      <c r="CY20" s="10" t="s">
        <v>272</v>
      </c>
      <c r="CZ20" s="10" t="s">
        <v>273</v>
      </c>
    </row>
    <row r="21" spans="1:104" s="10" customFormat="1" ht="18" customHeight="1" x14ac:dyDescent="0.25">
      <c r="A21" s="6" t="s">
        <v>220</v>
      </c>
      <c r="B21" s="6"/>
      <c r="C21" s="1" t="s">
        <v>290</v>
      </c>
      <c r="D21" s="1" t="s">
        <v>291</v>
      </c>
      <c r="E21" s="1" t="s">
        <v>223</v>
      </c>
      <c r="F21" s="47" t="s">
        <v>69</v>
      </c>
      <c r="G21" s="47"/>
      <c r="H21" s="47">
        <v>93</v>
      </c>
      <c r="I21" s="47"/>
      <c r="J21" s="42" t="s">
        <v>41</v>
      </c>
      <c r="K21" s="42"/>
      <c r="L21" s="42">
        <v>972</v>
      </c>
      <c r="M21" s="42"/>
      <c r="N21" s="41"/>
      <c r="O21" s="41"/>
      <c r="P21" s="41">
        <v>0</v>
      </c>
      <c r="Q21" s="41"/>
      <c r="R21" s="45" t="s">
        <v>224</v>
      </c>
      <c r="S21" s="45"/>
      <c r="T21" s="45">
        <v>232</v>
      </c>
      <c r="U21" s="45"/>
      <c r="V21" s="44" t="s">
        <v>51</v>
      </c>
      <c r="W21" s="44"/>
      <c r="X21" s="44">
        <v>567</v>
      </c>
      <c r="Y21" s="44"/>
      <c r="Z21" s="1"/>
      <c r="AA21" s="1"/>
      <c r="AB21" s="1">
        <v>0</v>
      </c>
      <c r="AC21" s="1"/>
      <c r="AD21" s="43" t="s">
        <v>74</v>
      </c>
      <c r="AE21" s="43"/>
      <c r="AF21" s="43">
        <v>185</v>
      </c>
      <c r="AG21" s="43"/>
      <c r="AH21" s="44" t="s">
        <v>78</v>
      </c>
      <c r="AI21" s="44"/>
      <c r="AJ21" s="44">
        <v>2244</v>
      </c>
      <c r="AK21" s="44"/>
      <c r="AL21" s="1" t="s">
        <v>61</v>
      </c>
      <c r="AM21" s="1"/>
      <c r="AN21" s="1">
        <v>669</v>
      </c>
      <c r="AO21" s="1"/>
      <c r="AP21" s="46" t="s">
        <v>242</v>
      </c>
      <c r="AQ21" s="46"/>
      <c r="AR21" s="46">
        <v>704</v>
      </c>
      <c r="AS21" s="46"/>
      <c r="AT21" s="1"/>
      <c r="AU21" s="1"/>
      <c r="AV21" s="1">
        <v>0</v>
      </c>
      <c r="AW21" s="1"/>
      <c r="AX21" s="1" t="s">
        <v>13</v>
      </c>
      <c r="AY21" s="1"/>
      <c r="AZ21" s="1">
        <v>0</v>
      </c>
      <c r="BA21" s="1"/>
      <c r="BB21" s="1" t="s">
        <v>14</v>
      </c>
      <c r="BC21" s="1"/>
      <c r="BD21" s="1">
        <v>59</v>
      </c>
      <c r="BE21" s="1"/>
      <c r="BF21" s="1"/>
      <c r="BG21" s="1"/>
      <c r="BH21" s="1">
        <v>0</v>
      </c>
      <c r="BI21" s="1"/>
      <c r="BJ21" s="1"/>
      <c r="BK21" s="1"/>
      <c r="BL21" s="1">
        <v>0</v>
      </c>
      <c r="BM21" s="1"/>
      <c r="BN21" s="1"/>
      <c r="BO21" s="1"/>
      <c r="BP21" s="1">
        <v>0</v>
      </c>
      <c r="BQ21" s="1"/>
      <c r="BR21" s="1" t="s">
        <v>18</v>
      </c>
      <c r="BS21" s="1"/>
      <c r="BT21" s="1">
        <v>0</v>
      </c>
      <c r="BU21" s="1"/>
      <c r="BV21" s="1"/>
      <c r="BW21" s="1"/>
      <c r="BX21" s="1">
        <v>0</v>
      </c>
      <c r="BY21" s="1"/>
      <c r="BZ21" s="1">
        <v>95000</v>
      </c>
      <c r="CA21" s="1">
        <v>95000</v>
      </c>
      <c r="CB21" s="1"/>
      <c r="CC21" s="1"/>
      <c r="CD21" s="1"/>
      <c r="CE21" s="1"/>
      <c r="CF21" s="1"/>
      <c r="CG21" s="1"/>
      <c r="CH21" s="1">
        <v>95000</v>
      </c>
      <c r="CI21" s="1"/>
      <c r="CJ21" s="1"/>
      <c r="CK21" s="1"/>
      <c r="CL21" s="1"/>
      <c r="CM21" s="1"/>
      <c r="CN21" s="1"/>
      <c r="CO21" s="1">
        <v>95000</v>
      </c>
      <c r="CP21" s="1"/>
      <c r="CQ21" s="1">
        <v>95000</v>
      </c>
      <c r="CR21" s="49">
        <v>0.18</v>
      </c>
      <c r="CS21" s="1">
        <v>17100</v>
      </c>
      <c r="CT21" s="1">
        <v>112100</v>
      </c>
      <c r="CU21" s="1">
        <v>8</v>
      </c>
      <c r="CV21" s="48" t="s">
        <v>225</v>
      </c>
      <c r="CW21" s="48">
        <v>896800</v>
      </c>
      <c r="CX21" s="1">
        <v>250</v>
      </c>
      <c r="CY21" s="10" t="s">
        <v>282</v>
      </c>
      <c r="CZ21" s="10" t="s">
        <v>283</v>
      </c>
    </row>
    <row r="22" spans="1:104" s="10" customFormat="1" ht="18" customHeight="1" x14ac:dyDescent="0.25">
      <c r="A22" s="6" t="s">
        <v>220</v>
      </c>
      <c r="B22" s="6"/>
      <c r="C22" s="1" t="s">
        <v>292</v>
      </c>
      <c r="D22" s="1" t="s">
        <v>293</v>
      </c>
      <c r="E22" s="1" t="s">
        <v>223</v>
      </c>
      <c r="F22" s="47" t="s">
        <v>69</v>
      </c>
      <c r="G22" s="47"/>
      <c r="H22" s="47">
        <v>129</v>
      </c>
      <c r="I22" s="47"/>
      <c r="J22" s="42" t="s">
        <v>41</v>
      </c>
      <c r="K22" s="42"/>
      <c r="L22" s="42">
        <v>770</v>
      </c>
      <c r="M22" s="42"/>
      <c r="N22" s="41"/>
      <c r="O22" s="41"/>
      <c r="P22" s="41">
        <v>0</v>
      </c>
      <c r="Q22" s="41"/>
      <c r="R22" s="45" t="s">
        <v>224</v>
      </c>
      <c r="S22" s="45"/>
      <c r="T22" s="45">
        <v>265</v>
      </c>
      <c r="U22" s="45"/>
      <c r="V22" s="44" t="s">
        <v>51</v>
      </c>
      <c r="W22" s="44"/>
      <c r="X22" s="44">
        <v>1670</v>
      </c>
      <c r="Y22" s="44"/>
      <c r="Z22" s="1"/>
      <c r="AA22" s="1"/>
      <c r="AB22" s="1">
        <v>0</v>
      </c>
      <c r="AC22" s="1"/>
      <c r="AD22" s="43" t="s">
        <v>74</v>
      </c>
      <c r="AE22" s="43"/>
      <c r="AF22" s="43">
        <v>292</v>
      </c>
      <c r="AG22" s="43"/>
      <c r="AH22" s="44" t="s">
        <v>78</v>
      </c>
      <c r="AI22" s="44"/>
      <c r="AJ22" s="44">
        <v>3945</v>
      </c>
      <c r="AK22" s="44"/>
      <c r="AL22" s="1" t="s">
        <v>61</v>
      </c>
      <c r="AM22" s="1"/>
      <c r="AN22" s="1">
        <v>1228</v>
      </c>
      <c r="AO22" s="1"/>
      <c r="AP22" s="46" t="s">
        <v>242</v>
      </c>
      <c r="AQ22" s="46"/>
      <c r="AR22" s="46">
        <v>1389</v>
      </c>
      <c r="AS22" s="46"/>
      <c r="AT22" s="1"/>
      <c r="AU22" s="1"/>
      <c r="AV22" s="1">
        <v>0</v>
      </c>
      <c r="AW22" s="1"/>
      <c r="AX22" s="1" t="s">
        <v>13</v>
      </c>
      <c r="AY22" s="1"/>
      <c r="AZ22" s="1">
        <v>0</v>
      </c>
      <c r="BA22" s="1"/>
      <c r="BB22" s="1" t="s">
        <v>14</v>
      </c>
      <c r="BC22" s="1"/>
      <c r="BD22" s="1">
        <v>0</v>
      </c>
      <c r="BE22" s="1"/>
      <c r="BF22" s="1"/>
      <c r="BG22" s="1"/>
      <c r="BH22" s="1">
        <v>0</v>
      </c>
      <c r="BI22" s="1"/>
      <c r="BJ22" s="1"/>
      <c r="BK22" s="1"/>
      <c r="BL22" s="1">
        <v>0</v>
      </c>
      <c r="BM22" s="1"/>
      <c r="BN22" s="1"/>
      <c r="BO22" s="1"/>
      <c r="BP22" s="1">
        <v>0</v>
      </c>
      <c r="BQ22" s="1"/>
      <c r="BR22" s="1" t="s">
        <v>18</v>
      </c>
      <c r="BS22" s="1"/>
      <c r="BT22" s="1">
        <v>0</v>
      </c>
      <c r="BU22" s="1"/>
      <c r="BV22" s="1"/>
      <c r="BW22" s="1"/>
      <c r="BX22" s="1">
        <v>0</v>
      </c>
      <c r="BY22" s="1"/>
      <c r="BZ22" s="1">
        <v>147200</v>
      </c>
      <c r="CA22" s="1">
        <v>147200</v>
      </c>
      <c r="CB22" s="1"/>
      <c r="CC22" s="1"/>
      <c r="CD22" s="1"/>
      <c r="CE22" s="1"/>
      <c r="CF22" s="1"/>
      <c r="CG22" s="1"/>
      <c r="CH22" s="1">
        <v>147200</v>
      </c>
      <c r="CI22" s="1"/>
      <c r="CJ22" s="1"/>
      <c r="CK22" s="1"/>
      <c r="CL22" s="1"/>
      <c r="CM22" s="1"/>
      <c r="CN22" s="1"/>
      <c r="CO22" s="1">
        <v>147200</v>
      </c>
      <c r="CP22" s="1"/>
      <c r="CQ22" s="1">
        <v>147200</v>
      </c>
      <c r="CR22" s="49">
        <v>0.18</v>
      </c>
      <c r="CS22" s="1">
        <v>26496</v>
      </c>
      <c r="CT22" s="1">
        <v>173696</v>
      </c>
      <c r="CU22" s="1">
        <v>10.5</v>
      </c>
      <c r="CV22" s="48" t="s">
        <v>225</v>
      </c>
      <c r="CW22" s="48">
        <v>1823808</v>
      </c>
      <c r="CX22" s="1">
        <v>250</v>
      </c>
      <c r="CY22" s="10" t="s">
        <v>276</v>
      </c>
      <c r="CZ22" s="10" t="s">
        <v>277</v>
      </c>
    </row>
    <row r="23" spans="1:104" s="10" customFormat="1" ht="18" customHeight="1" x14ac:dyDescent="0.25">
      <c r="A23" s="6" t="s">
        <v>220</v>
      </c>
      <c r="B23" s="6"/>
      <c r="C23" s="1" t="s">
        <v>294</v>
      </c>
      <c r="D23" s="1" t="s">
        <v>295</v>
      </c>
      <c r="E23" s="1" t="s">
        <v>223</v>
      </c>
      <c r="F23" s="47" t="s">
        <v>69</v>
      </c>
      <c r="G23" s="47"/>
      <c r="H23" s="47"/>
      <c r="I23" s="47"/>
      <c r="J23" s="42" t="s">
        <v>41</v>
      </c>
      <c r="K23" s="42"/>
      <c r="L23" s="42"/>
      <c r="M23" s="42"/>
      <c r="N23" s="41"/>
      <c r="O23" s="41"/>
      <c r="P23" s="41"/>
      <c r="Q23" s="41"/>
      <c r="R23" s="45" t="s">
        <v>224</v>
      </c>
      <c r="S23" s="45"/>
      <c r="T23" s="45"/>
      <c r="U23" s="45"/>
      <c r="V23" s="44" t="s">
        <v>51</v>
      </c>
      <c r="W23" s="44"/>
      <c r="X23" s="44"/>
      <c r="Y23" s="44"/>
      <c r="Z23" s="1"/>
      <c r="AA23" s="1"/>
      <c r="AB23" s="1"/>
      <c r="AC23" s="1"/>
      <c r="AD23" s="43" t="s">
        <v>74</v>
      </c>
      <c r="AE23" s="43"/>
      <c r="AF23" s="43"/>
      <c r="AG23" s="43"/>
      <c r="AH23" s="44" t="s">
        <v>78</v>
      </c>
      <c r="AI23" s="44"/>
      <c r="AJ23" s="44"/>
      <c r="AK23" s="44"/>
      <c r="AL23" s="1" t="s">
        <v>61</v>
      </c>
      <c r="AM23" s="1"/>
      <c r="AN23" s="1"/>
      <c r="AO23" s="1"/>
      <c r="AP23" s="46" t="s">
        <v>242</v>
      </c>
      <c r="AQ23" s="46"/>
      <c r="AR23" s="46"/>
      <c r="AS23" s="46"/>
      <c r="AT23" s="1"/>
      <c r="AU23" s="1"/>
      <c r="AV23" s="1"/>
      <c r="AW23" s="1"/>
      <c r="AX23" s="1" t="s">
        <v>13</v>
      </c>
      <c r="AY23" s="1"/>
      <c r="AZ23" s="1"/>
      <c r="BA23" s="1"/>
      <c r="BB23" s="1" t="s">
        <v>14</v>
      </c>
      <c r="BC23" s="1"/>
      <c r="BD23" s="1"/>
      <c r="BE23" s="1"/>
      <c r="BF23" s="1"/>
      <c r="BG23" s="1"/>
      <c r="BH23" s="1"/>
      <c r="BI23" s="1"/>
      <c r="BJ23" s="1"/>
      <c r="BK23" s="1"/>
      <c r="BL23" s="1"/>
      <c r="BM23" s="1"/>
      <c r="BN23" s="1"/>
      <c r="BO23" s="1"/>
      <c r="BP23" s="1"/>
      <c r="BQ23" s="1"/>
      <c r="BR23" s="1" t="s">
        <v>18</v>
      </c>
      <c r="BS23" s="1"/>
      <c r="BT23" s="1"/>
      <c r="BU23" s="1"/>
      <c r="BV23" s="1"/>
      <c r="BW23" s="1"/>
      <c r="BX23" s="1"/>
      <c r="BY23" s="1"/>
      <c r="BZ23" s="1">
        <v>80000</v>
      </c>
      <c r="CA23" s="1">
        <v>80000</v>
      </c>
      <c r="CB23" s="1"/>
      <c r="CC23" s="1"/>
      <c r="CD23" s="1"/>
      <c r="CE23" s="1"/>
      <c r="CF23" s="1"/>
      <c r="CG23" s="1"/>
      <c r="CH23" s="1">
        <v>80000</v>
      </c>
      <c r="CI23" s="1"/>
      <c r="CJ23" s="1"/>
      <c r="CK23" s="1"/>
      <c r="CL23" s="1"/>
      <c r="CM23" s="1"/>
      <c r="CN23" s="1"/>
      <c r="CO23" s="1">
        <v>80000</v>
      </c>
      <c r="CP23" s="1"/>
      <c r="CQ23" s="1">
        <v>80000</v>
      </c>
      <c r="CR23" s="49">
        <v>0.18</v>
      </c>
      <c r="CS23" s="1">
        <v>14400</v>
      </c>
      <c r="CT23" s="1">
        <v>94400</v>
      </c>
      <c r="CU23" s="1">
        <v>2.5</v>
      </c>
      <c r="CV23" s="48" t="s">
        <v>225</v>
      </c>
      <c r="CW23" s="48">
        <v>236000</v>
      </c>
      <c r="CX23" s="1">
        <v>250</v>
      </c>
      <c r="CY23" s="10" t="s">
        <v>234</v>
      </c>
      <c r="CZ23" s="10" t="s">
        <v>235</v>
      </c>
    </row>
    <row r="24" spans="1:104" s="10" customFormat="1" ht="18" customHeight="1" x14ac:dyDescent="0.25">
      <c r="A24" s="6" t="s">
        <v>220</v>
      </c>
      <c r="B24" s="6"/>
      <c r="C24" s="1" t="s">
        <v>296</v>
      </c>
      <c r="D24" s="1" t="s">
        <v>297</v>
      </c>
      <c r="E24" s="1" t="s">
        <v>223</v>
      </c>
      <c r="F24" s="47" t="s">
        <v>69</v>
      </c>
      <c r="G24" s="47"/>
      <c r="H24" s="47"/>
      <c r="I24" s="47"/>
      <c r="J24" s="42" t="s">
        <v>41</v>
      </c>
      <c r="K24" s="42"/>
      <c r="L24" s="42"/>
      <c r="M24" s="42"/>
      <c r="N24" s="41"/>
      <c r="O24" s="41"/>
      <c r="P24" s="41"/>
      <c r="Q24" s="41"/>
      <c r="R24" s="45" t="s">
        <v>224</v>
      </c>
      <c r="S24" s="45"/>
      <c r="T24" s="45"/>
      <c r="U24" s="45"/>
      <c r="V24" s="44" t="s">
        <v>51</v>
      </c>
      <c r="W24" s="44"/>
      <c r="X24" s="44"/>
      <c r="Y24" s="44"/>
      <c r="Z24" s="1"/>
      <c r="AA24" s="1"/>
      <c r="AB24" s="1"/>
      <c r="AC24" s="1"/>
      <c r="AD24" s="43" t="s">
        <v>48</v>
      </c>
      <c r="AE24" s="43"/>
      <c r="AF24" s="43"/>
      <c r="AG24" s="43"/>
      <c r="AH24" s="44" t="s">
        <v>78</v>
      </c>
      <c r="AI24" s="44"/>
      <c r="AJ24" s="44"/>
      <c r="AK24" s="44"/>
      <c r="AL24" s="1" t="s">
        <v>61</v>
      </c>
      <c r="AM24" s="1"/>
      <c r="AN24" s="1"/>
      <c r="AO24" s="1"/>
      <c r="AP24" s="46" t="s">
        <v>242</v>
      </c>
      <c r="AQ24" s="46"/>
      <c r="AR24" s="46"/>
      <c r="AS24" s="46"/>
      <c r="AT24" s="1"/>
      <c r="AU24" s="1"/>
      <c r="AV24" s="1"/>
      <c r="AW24" s="1"/>
      <c r="AX24" s="1" t="s">
        <v>13</v>
      </c>
      <c r="AY24" s="1"/>
      <c r="AZ24" s="1"/>
      <c r="BA24" s="1"/>
      <c r="BB24" s="1" t="s">
        <v>14</v>
      </c>
      <c r="BC24" s="1"/>
      <c r="BD24" s="1"/>
      <c r="BE24" s="1"/>
      <c r="BF24" s="1"/>
      <c r="BG24" s="1"/>
      <c r="BH24" s="1"/>
      <c r="BI24" s="1"/>
      <c r="BJ24" s="1"/>
      <c r="BK24" s="1"/>
      <c r="BL24" s="1"/>
      <c r="BM24" s="1"/>
      <c r="BN24" s="1"/>
      <c r="BO24" s="1"/>
      <c r="BP24" s="1"/>
      <c r="BQ24" s="1"/>
      <c r="BR24" s="1" t="s">
        <v>18</v>
      </c>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49">
        <v>0.18</v>
      </c>
      <c r="CS24" s="1"/>
      <c r="CT24" s="1"/>
      <c r="CU24" s="1">
        <v>8</v>
      </c>
      <c r="CV24" s="48" t="s">
        <v>225</v>
      </c>
      <c r="CW24" s="48"/>
      <c r="CX24" s="1">
        <v>250</v>
      </c>
    </row>
    <row r="25" spans="1:104" s="10" customFormat="1" ht="18" customHeight="1" x14ac:dyDescent="0.25">
      <c r="A25" s="6"/>
      <c r="B25" s="6"/>
      <c r="C25" s="1"/>
      <c r="D25" s="1"/>
      <c r="E25" s="1"/>
      <c r="F25" s="47"/>
      <c r="G25" s="47"/>
      <c r="H25" s="47"/>
      <c r="I25" s="47"/>
      <c r="J25" s="42"/>
      <c r="K25" s="42"/>
      <c r="L25" s="42"/>
      <c r="M25" s="42"/>
      <c r="N25" s="41"/>
      <c r="O25" s="41"/>
      <c r="P25" s="41"/>
      <c r="Q25" s="41"/>
      <c r="R25" s="45"/>
      <c r="S25" s="45"/>
      <c r="T25" s="45"/>
      <c r="U25" s="45"/>
      <c r="V25" s="44"/>
      <c r="W25" s="44"/>
      <c r="X25" s="44"/>
      <c r="Y25" s="44"/>
      <c r="Z25" s="1"/>
      <c r="AA25" s="1"/>
      <c r="AB25" s="1"/>
      <c r="AC25" s="1"/>
      <c r="AD25" s="43"/>
      <c r="AE25" s="43"/>
      <c r="AF25" s="43"/>
      <c r="AG25" s="43"/>
      <c r="AH25" s="44"/>
      <c r="AI25" s="44"/>
      <c r="AJ25" s="44"/>
      <c r="AK25" s="44"/>
      <c r="AL25" s="1"/>
      <c r="AM25" s="1"/>
      <c r="AN25" s="1"/>
      <c r="AO25" s="1"/>
      <c r="AP25" s="46"/>
      <c r="AQ25" s="46"/>
      <c r="AR25" s="46"/>
      <c r="AS25" s="4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48"/>
      <c r="CW25" s="48"/>
      <c r="CX25" s="1"/>
    </row>
    <row r="26" spans="1:104" s="10" customFormat="1" ht="18" customHeight="1" x14ac:dyDescent="0.25">
      <c r="A26" s="6"/>
      <c r="B26" s="6"/>
      <c r="C26" s="1"/>
      <c r="D26" s="1"/>
      <c r="E26" s="1"/>
      <c r="F26" s="47"/>
      <c r="G26" s="47"/>
      <c r="H26" s="47"/>
      <c r="I26" s="47"/>
      <c r="J26" s="42"/>
      <c r="K26" s="42"/>
      <c r="L26" s="42"/>
      <c r="M26" s="42"/>
      <c r="N26" s="41"/>
      <c r="O26" s="41"/>
      <c r="P26" s="41"/>
      <c r="Q26" s="41"/>
      <c r="R26" s="45"/>
      <c r="S26" s="45"/>
      <c r="T26" s="45"/>
      <c r="U26" s="45"/>
      <c r="V26" s="44"/>
      <c r="W26" s="44"/>
      <c r="X26" s="44"/>
      <c r="Y26" s="44"/>
      <c r="Z26" s="1"/>
      <c r="AA26" s="1"/>
      <c r="AB26" s="1"/>
      <c r="AC26" s="1"/>
      <c r="AD26" s="43"/>
      <c r="AE26" s="43"/>
      <c r="AF26" s="43"/>
      <c r="AG26" s="43"/>
      <c r="AH26" s="44"/>
      <c r="AI26" s="44"/>
      <c r="AJ26" s="44"/>
      <c r="AK26" s="44"/>
      <c r="AL26" s="1"/>
      <c r="AM26" s="1"/>
      <c r="AN26" s="1"/>
      <c r="AO26" s="1"/>
      <c r="AP26" s="46"/>
      <c r="AQ26" s="46"/>
      <c r="AR26" s="46"/>
      <c r="AS26" s="4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48"/>
      <c r="CW26" s="48"/>
      <c r="CX26" s="1"/>
    </row>
    <row r="27" spans="1:104" s="10" customFormat="1" ht="18" customHeight="1" x14ac:dyDescent="0.25">
      <c r="A27" s="6"/>
      <c r="B27" s="6"/>
      <c r="C27" s="1"/>
      <c r="D27" s="1"/>
      <c r="E27" s="1"/>
      <c r="F27" s="47"/>
      <c r="G27" s="47"/>
      <c r="H27" s="47"/>
      <c r="I27" s="47"/>
      <c r="J27" s="42"/>
      <c r="K27" s="42"/>
      <c r="L27" s="42"/>
      <c r="M27" s="42"/>
      <c r="N27" s="41"/>
      <c r="O27" s="41"/>
      <c r="P27" s="41"/>
      <c r="Q27" s="41"/>
      <c r="R27" s="45"/>
      <c r="S27" s="45"/>
      <c r="T27" s="45"/>
      <c r="U27" s="45"/>
      <c r="V27" s="44"/>
      <c r="W27" s="44"/>
      <c r="X27" s="44"/>
      <c r="Y27" s="44"/>
      <c r="Z27" s="1"/>
      <c r="AA27" s="1"/>
      <c r="AB27" s="1"/>
      <c r="AC27" s="1"/>
      <c r="AD27" s="43"/>
      <c r="AE27" s="43"/>
      <c r="AF27" s="43"/>
      <c r="AG27" s="43"/>
      <c r="AH27" s="44"/>
      <c r="AI27" s="44"/>
      <c r="AJ27" s="44"/>
      <c r="AK27" s="44"/>
      <c r="AL27" s="1"/>
      <c r="AM27" s="1"/>
      <c r="AN27" s="1"/>
      <c r="AO27" s="1"/>
      <c r="AP27" s="46"/>
      <c r="AQ27" s="46"/>
      <c r="AR27" s="46"/>
      <c r="AS27" s="4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48"/>
      <c r="CW27" s="48"/>
      <c r="CX27" s="1"/>
    </row>
    <row r="28" spans="1:104" s="10" customFormat="1" ht="18" customHeight="1" x14ac:dyDescent="0.25">
      <c r="A28" s="6"/>
      <c r="B28" s="6"/>
      <c r="C28" s="1"/>
      <c r="D28" s="1"/>
      <c r="E28" s="1"/>
      <c r="F28" s="47"/>
      <c r="G28" s="47"/>
      <c r="H28" s="47"/>
      <c r="I28" s="47"/>
      <c r="J28" s="42"/>
      <c r="K28" s="42"/>
      <c r="L28" s="42"/>
      <c r="M28" s="42"/>
      <c r="N28" s="41"/>
      <c r="O28" s="41"/>
      <c r="P28" s="41"/>
      <c r="Q28" s="41"/>
      <c r="R28" s="45"/>
      <c r="S28" s="45"/>
      <c r="T28" s="45"/>
      <c r="U28" s="45"/>
      <c r="V28" s="44"/>
      <c r="W28" s="44"/>
      <c r="X28" s="44"/>
      <c r="Y28" s="44"/>
      <c r="Z28" s="1"/>
      <c r="AA28" s="1"/>
      <c r="AB28" s="1"/>
      <c r="AC28" s="1"/>
      <c r="AD28" s="43"/>
      <c r="AE28" s="43"/>
      <c r="AF28" s="43"/>
      <c r="AG28" s="43"/>
      <c r="AH28" s="44"/>
      <c r="AI28" s="44"/>
      <c r="AJ28" s="44"/>
      <c r="AK28" s="44"/>
      <c r="AL28" s="1"/>
      <c r="AM28" s="1"/>
      <c r="AN28" s="1"/>
      <c r="AO28" s="1"/>
      <c r="AP28" s="46"/>
      <c r="AQ28" s="46"/>
      <c r="AR28" s="46"/>
      <c r="AS28" s="4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48"/>
      <c r="CW28" s="48"/>
      <c r="CX28" s="1"/>
    </row>
    <row r="29" spans="1:104" s="10" customFormat="1" ht="18" customHeight="1" x14ac:dyDescent="0.25">
      <c r="A29" s="6"/>
      <c r="B29" s="6"/>
      <c r="C29" s="1"/>
      <c r="D29" s="1"/>
      <c r="E29" s="1"/>
      <c r="F29" s="47"/>
      <c r="G29" s="47"/>
      <c r="H29" s="47"/>
      <c r="I29" s="47"/>
      <c r="J29" s="42"/>
      <c r="K29" s="42"/>
      <c r="L29" s="42"/>
      <c r="M29" s="42"/>
      <c r="N29" s="41"/>
      <c r="O29" s="41"/>
      <c r="P29" s="41"/>
      <c r="Q29" s="41"/>
      <c r="R29" s="45"/>
      <c r="S29" s="45"/>
      <c r="T29" s="45"/>
      <c r="U29" s="45"/>
      <c r="V29" s="44"/>
      <c r="W29" s="44"/>
      <c r="X29" s="44"/>
      <c r="Y29" s="44"/>
      <c r="Z29" s="1"/>
      <c r="AA29" s="1"/>
      <c r="AB29" s="1"/>
      <c r="AC29" s="1"/>
      <c r="AD29" s="43"/>
      <c r="AE29" s="43"/>
      <c r="AF29" s="43"/>
      <c r="AG29" s="43"/>
      <c r="AH29" s="44"/>
      <c r="AI29" s="44"/>
      <c r="AJ29" s="44"/>
      <c r="AK29" s="44"/>
      <c r="AL29" s="1"/>
      <c r="AM29" s="1"/>
      <c r="AN29" s="1"/>
      <c r="AO29" s="1"/>
      <c r="AP29" s="46"/>
      <c r="AQ29" s="46"/>
      <c r="AR29" s="46"/>
      <c r="AS29" s="4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48"/>
      <c r="CW29" s="48"/>
      <c r="CX29" s="1"/>
    </row>
    <row r="30" spans="1:104" s="10" customFormat="1" ht="18" customHeight="1" x14ac:dyDescent="0.25">
      <c r="A30" s="6"/>
      <c r="B30" s="6"/>
      <c r="C30" s="1"/>
      <c r="D30" s="1"/>
      <c r="E30" s="1"/>
      <c r="F30" s="47"/>
      <c r="G30" s="47"/>
      <c r="H30" s="47"/>
      <c r="I30" s="47"/>
      <c r="J30" s="42"/>
      <c r="K30" s="42"/>
      <c r="L30" s="42"/>
      <c r="M30" s="42"/>
      <c r="N30" s="41"/>
      <c r="O30" s="41"/>
      <c r="P30" s="41"/>
      <c r="Q30" s="41"/>
      <c r="R30" s="45"/>
      <c r="S30" s="45"/>
      <c r="T30" s="45"/>
      <c r="U30" s="45"/>
      <c r="V30" s="44"/>
      <c r="W30" s="44"/>
      <c r="X30" s="44"/>
      <c r="Y30" s="44"/>
      <c r="Z30" s="1"/>
      <c r="AA30" s="1"/>
      <c r="AB30" s="1"/>
      <c r="AC30" s="1"/>
      <c r="AD30" s="43"/>
      <c r="AE30" s="43"/>
      <c r="AF30" s="43"/>
      <c r="AG30" s="43"/>
      <c r="AH30" s="44"/>
      <c r="AI30" s="44"/>
      <c r="AJ30" s="44"/>
      <c r="AK30" s="44"/>
      <c r="AL30" s="1"/>
      <c r="AM30" s="1"/>
      <c r="AN30" s="1"/>
      <c r="AO30" s="1"/>
      <c r="AP30" s="46"/>
      <c r="AQ30" s="46"/>
      <c r="AR30" s="46"/>
      <c r="AS30" s="4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48"/>
      <c r="CW30" s="48"/>
      <c r="CX30" s="1"/>
    </row>
    <row r="31" spans="1:104" s="10" customFormat="1" ht="18" customHeight="1" x14ac:dyDescent="0.25">
      <c r="A31" s="6"/>
      <c r="B31" s="6"/>
      <c r="C31" s="1"/>
      <c r="D31" s="1"/>
      <c r="E31" s="1"/>
      <c r="F31" s="47"/>
      <c r="G31" s="47"/>
      <c r="H31" s="47"/>
      <c r="I31" s="47"/>
      <c r="J31" s="42"/>
      <c r="K31" s="42"/>
      <c r="L31" s="42"/>
      <c r="M31" s="42"/>
      <c r="N31" s="41"/>
      <c r="O31" s="41"/>
      <c r="P31" s="41"/>
      <c r="Q31" s="41"/>
      <c r="R31" s="45"/>
      <c r="S31" s="45"/>
      <c r="T31" s="45"/>
      <c r="U31" s="45"/>
      <c r="V31" s="44"/>
      <c r="W31" s="44"/>
      <c r="X31" s="44"/>
      <c r="Y31" s="44"/>
      <c r="Z31" s="1"/>
      <c r="AA31" s="1"/>
      <c r="AB31" s="1"/>
      <c r="AC31" s="1"/>
      <c r="AD31" s="43"/>
      <c r="AE31" s="43"/>
      <c r="AF31" s="43"/>
      <c r="AG31" s="43"/>
      <c r="AH31" s="44"/>
      <c r="AI31" s="44"/>
      <c r="AJ31" s="44"/>
      <c r="AK31" s="44"/>
      <c r="AL31" s="1"/>
      <c r="AM31" s="1"/>
      <c r="AN31" s="1"/>
      <c r="AO31" s="1"/>
      <c r="AP31" s="46"/>
      <c r="AQ31" s="46"/>
      <c r="AR31" s="46"/>
      <c r="AS31" s="4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48"/>
      <c r="CW31" s="48"/>
      <c r="CX31" s="1"/>
    </row>
    <row r="32" spans="1:104" s="10" customFormat="1" ht="18" customHeight="1" x14ac:dyDescent="0.25">
      <c r="A32" s="6"/>
      <c r="B32" s="6"/>
      <c r="C32" s="1"/>
      <c r="D32" s="1"/>
      <c r="E32" s="1"/>
      <c r="F32" s="47"/>
      <c r="G32" s="47"/>
      <c r="H32" s="47"/>
      <c r="I32" s="47"/>
      <c r="J32" s="42"/>
      <c r="K32" s="42"/>
      <c r="L32" s="42"/>
      <c r="M32" s="42"/>
      <c r="N32" s="41"/>
      <c r="O32" s="41"/>
      <c r="P32" s="41"/>
      <c r="Q32" s="41"/>
      <c r="R32" s="45"/>
      <c r="S32" s="45"/>
      <c r="T32" s="45"/>
      <c r="U32" s="45"/>
      <c r="V32" s="44"/>
      <c r="W32" s="44"/>
      <c r="X32" s="44"/>
      <c r="Y32" s="44"/>
      <c r="Z32" s="1"/>
      <c r="AA32" s="1"/>
      <c r="AB32" s="1"/>
      <c r="AC32" s="1"/>
      <c r="AD32" s="43"/>
      <c r="AE32" s="43"/>
      <c r="AF32" s="43"/>
      <c r="AG32" s="43"/>
      <c r="AH32" s="44"/>
      <c r="AI32" s="44"/>
      <c r="AJ32" s="44"/>
      <c r="AK32" s="44"/>
      <c r="AL32" s="1"/>
      <c r="AM32" s="1"/>
      <c r="AN32" s="1"/>
      <c r="AO32" s="1"/>
      <c r="AP32" s="46"/>
      <c r="AQ32" s="46"/>
      <c r="AR32" s="46"/>
      <c r="AS32" s="4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48"/>
      <c r="CW32" s="48"/>
      <c r="CX32" s="1"/>
    </row>
    <row r="33" spans="1:102" s="10" customFormat="1" ht="18" customHeight="1" x14ac:dyDescent="0.25">
      <c r="A33" s="6"/>
      <c r="B33" s="6"/>
      <c r="C33" s="1"/>
      <c r="D33" s="1"/>
      <c r="E33" s="1"/>
      <c r="F33" s="47"/>
      <c r="G33" s="47"/>
      <c r="H33" s="47"/>
      <c r="I33" s="47"/>
      <c r="J33" s="42"/>
      <c r="K33" s="42"/>
      <c r="L33" s="42"/>
      <c r="M33" s="42"/>
      <c r="N33" s="41"/>
      <c r="O33" s="41"/>
      <c r="P33" s="41"/>
      <c r="Q33" s="41"/>
      <c r="R33" s="45"/>
      <c r="S33" s="45"/>
      <c r="T33" s="45"/>
      <c r="U33" s="45"/>
      <c r="V33" s="44"/>
      <c r="W33" s="44"/>
      <c r="X33" s="44"/>
      <c r="Y33" s="44"/>
      <c r="Z33" s="1"/>
      <c r="AA33" s="1"/>
      <c r="AB33" s="1"/>
      <c r="AC33" s="1"/>
      <c r="AD33" s="43"/>
      <c r="AE33" s="43"/>
      <c r="AF33" s="43"/>
      <c r="AG33" s="43"/>
      <c r="AH33" s="44"/>
      <c r="AI33" s="44"/>
      <c r="AJ33" s="44"/>
      <c r="AK33" s="44"/>
      <c r="AL33" s="1"/>
      <c r="AM33" s="1"/>
      <c r="AN33" s="1"/>
      <c r="AO33" s="1"/>
      <c r="AP33" s="46"/>
      <c r="AQ33" s="46"/>
      <c r="AR33" s="46"/>
      <c r="AS33" s="4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48"/>
      <c r="CW33" s="48"/>
      <c r="CX33" s="1"/>
    </row>
    <row r="34" spans="1:102" s="10" customFormat="1" ht="18" customHeight="1" x14ac:dyDescent="0.25">
      <c r="A34" s="6"/>
      <c r="B34" s="6"/>
      <c r="C34" s="1"/>
      <c r="D34" s="1"/>
      <c r="E34" s="1"/>
      <c r="F34" s="47"/>
      <c r="G34" s="47"/>
      <c r="H34" s="47"/>
      <c r="I34" s="47"/>
      <c r="J34" s="42"/>
      <c r="K34" s="42"/>
      <c r="L34" s="42"/>
      <c r="M34" s="42"/>
      <c r="N34" s="41"/>
      <c r="O34" s="41"/>
      <c r="P34" s="41"/>
      <c r="Q34" s="41"/>
      <c r="R34" s="45"/>
      <c r="S34" s="45"/>
      <c r="T34" s="45"/>
      <c r="U34" s="45"/>
      <c r="V34" s="44"/>
      <c r="W34" s="44"/>
      <c r="X34" s="44"/>
      <c r="Y34" s="44"/>
      <c r="Z34" s="1"/>
      <c r="AA34" s="1"/>
      <c r="AB34" s="1"/>
      <c r="AC34" s="1"/>
      <c r="AD34" s="43"/>
      <c r="AE34" s="43"/>
      <c r="AF34" s="43"/>
      <c r="AG34" s="43"/>
      <c r="AH34" s="44"/>
      <c r="AI34" s="44"/>
      <c r="AJ34" s="44"/>
      <c r="AK34" s="44"/>
      <c r="AL34" s="1"/>
      <c r="AM34" s="1"/>
      <c r="AN34" s="1"/>
      <c r="AO34" s="1"/>
      <c r="AP34" s="46"/>
      <c r="AQ34" s="46"/>
      <c r="AR34" s="46"/>
      <c r="AS34" s="4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48"/>
      <c r="CW34" s="48"/>
      <c r="CX34" s="1"/>
    </row>
    <row r="35" spans="1:102" s="10" customFormat="1" ht="18" customHeight="1" x14ac:dyDescent="0.25">
      <c r="A35" s="6"/>
      <c r="B35" s="6"/>
      <c r="C35" s="1"/>
      <c r="D35" s="1"/>
      <c r="E35" s="1"/>
      <c r="F35" s="47"/>
      <c r="G35" s="47"/>
      <c r="H35" s="47"/>
      <c r="I35" s="47"/>
      <c r="J35" s="42"/>
      <c r="K35" s="42"/>
      <c r="L35" s="42"/>
      <c r="M35" s="42"/>
      <c r="N35" s="41"/>
      <c r="O35" s="41"/>
      <c r="P35" s="41"/>
      <c r="Q35" s="41"/>
      <c r="R35" s="45"/>
      <c r="S35" s="45"/>
      <c r="T35" s="45"/>
      <c r="U35" s="45"/>
      <c r="V35" s="44"/>
      <c r="W35" s="44"/>
      <c r="X35" s="44"/>
      <c r="Y35" s="44"/>
      <c r="Z35" s="1"/>
      <c r="AA35" s="1"/>
      <c r="AB35" s="1"/>
      <c r="AC35" s="1"/>
      <c r="AD35" s="43"/>
      <c r="AE35" s="43"/>
      <c r="AF35" s="43"/>
      <c r="AG35" s="43"/>
      <c r="AH35" s="44"/>
      <c r="AI35" s="44"/>
      <c r="AJ35" s="44"/>
      <c r="AK35" s="44"/>
      <c r="AL35" s="1"/>
      <c r="AM35" s="1"/>
      <c r="AN35" s="1"/>
      <c r="AO35" s="1"/>
      <c r="AP35" s="46"/>
      <c r="AQ35" s="46"/>
      <c r="AR35" s="46"/>
      <c r="AS35" s="4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48"/>
      <c r="CW35" s="48"/>
      <c r="CX35" s="1"/>
    </row>
    <row r="36" spans="1:102" s="10" customFormat="1" ht="18" customHeight="1" x14ac:dyDescent="0.25">
      <c r="A36" s="6"/>
      <c r="B36" s="6"/>
      <c r="C36" s="1"/>
      <c r="D36" s="1"/>
      <c r="E36" s="1"/>
      <c r="F36" s="47"/>
      <c r="G36" s="47"/>
      <c r="H36" s="47"/>
      <c r="I36" s="47"/>
      <c r="J36" s="42"/>
      <c r="K36" s="42"/>
      <c r="L36" s="42"/>
      <c r="M36" s="42"/>
      <c r="N36" s="41"/>
      <c r="O36" s="41"/>
      <c r="P36" s="41"/>
      <c r="Q36" s="41"/>
      <c r="R36" s="45"/>
      <c r="S36" s="45"/>
      <c r="T36" s="45"/>
      <c r="U36" s="45"/>
      <c r="V36" s="44"/>
      <c r="W36" s="44"/>
      <c r="X36" s="44"/>
      <c r="Y36" s="44"/>
      <c r="Z36" s="1"/>
      <c r="AA36" s="1"/>
      <c r="AB36" s="1"/>
      <c r="AC36" s="1"/>
      <c r="AD36" s="43"/>
      <c r="AE36" s="43"/>
      <c r="AF36" s="43"/>
      <c r="AG36" s="43"/>
      <c r="AH36" s="44"/>
      <c r="AI36" s="44"/>
      <c r="AJ36" s="44"/>
      <c r="AK36" s="44"/>
      <c r="AL36" s="1"/>
      <c r="AM36" s="1"/>
      <c r="AN36" s="1"/>
      <c r="AO36" s="1"/>
      <c r="AP36" s="46"/>
      <c r="AQ36" s="46"/>
      <c r="AR36" s="46"/>
      <c r="AS36" s="4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48"/>
      <c r="CW36" s="48"/>
      <c r="CX36" s="1"/>
    </row>
    <row r="37" spans="1:102" s="10" customFormat="1" ht="18" customHeight="1" x14ac:dyDescent="0.25">
      <c r="A37" s="6"/>
      <c r="B37" s="6"/>
      <c r="C37" s="1"/>
      <c r="D37" s="1"/>
      <c r="E37" s="1"/>
      <c r="F37" s="47"/>
      <c r="G37" s="47"/>
      <c r="H37" s="47"/>
      <c r="I37" s="47"/>
      <c r="J37" s="42"/>
      <c r="K37" s="42"/>
      <c r="L37" s="42"/>
      <c r="M37" s="42"/>
      <c r="N37" s="41"/>
      <c r="O37" s="41"/>
      <c r="P37" s="41"/>
      <c r="Q37" s="41"/>
      <c r="R37" s="45"/>
      <c r="S37" s="45"/>
      <c r="T37" s="45"/>
      <c r="U37" s="45"/>
      <c r="V37" s="44"/>
      <c r="W37" s="44"/>
      <c r="X37" s="44"/>
      <c r="Y37" s="44"/>
      <c r="Z37" s="1"/>
      <c r="AA37" s="1"/>
      <c r="AB37" s="1"/>
      <c r="AC37" s="1"/>
      <c r="AD37" s="43"/>
      <c r="AE37" s="43"/>
      <c r="AF37" s="43"/>
      <c r="AG37" s="43"/>
      <c r="AH37" s="44"/>
      <c r="AI37" s="44"/>
      <c r="AJ37" s="44"/>
      <c r="AK37" s="44"/>
      <c r="AL37" s="1"/>
      <c r="AM37" s="1"/>
      <c r="AN37" s="1"/>
      <c r="AO37" s="1"/>
      <c r="AP37" s="46"/>
      <c r="AQ37" s="46"/>
      <c r="AR37" s="46"/>
      <c r="AS37" s="4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48"/>
      <c r="CW37" s="48"/>
      <c r="CX37" s="1"/>
    </row>
    <row r="38" spans="1:102" s="10" customFormat="1" ht="18" customHeight="1" x14ac:dyDescent="0.25">
      <c r="A38" s="6"/>
      <c r="B38" s="6"/>
      <c r="C38" s="1"/>
      <c r="D38" s="1"/>
      <c r="E38" s="1"/>
      <c r="F38" s="47"/>
      <c r="G38" s="47"/>
      <c r="H38" s="47"/>
      <c r="I38" s="47"/>
      <c r="J38" s="42"/>
      <c r="K38" s="42"/>
      <c r="L38" s="42"/>
      <c r="M38" s="42"/>
      <c r="N38" s="41"/>
      <c r="O38" s="41"/>
      <c r="P38" s="41"/>
      <c r="Q38" s="41"/>
      <c r="R38" s="45"/>
      <c r="S38" s="45"/>
      <c r="T38" s="45"/>
      <c r="U38" s="45"/>
      <c r="V38" s="44"/>
      <c r="W38" s="44"/>
      <c r="X38" s="44"/>
      <c r="Y38" s="44"/>
      <c r="Z38" s="1"/>
      <c r="AA38" s="1"/>
      <c r="AB38" s="1"/>
      <c r="AC38" s="1"/>
      <c r="AD38" s="43"/>
      <c r="AE38" s="43"/>
      <c r="AF38" s="43"/>
      <c r="AG38" s="43"/>
      <c r="AH38" s="44"/>
      <c r="AI38" s="44"/>
      <c r="AJ38" s="44"/>
      <c r="AK38" s="44"/>
      <c r="AL38" s="1"/>
      <c r="AM38" s="1"/>
      <c r="AN38" s="1"/>
      <c r="AO38" s="1"/>
      <c r="AP38" s="46"/>
      <c r="AQ38" s="46"/>
      <c r="AR38" s="46"/>
      <c r="AS38" s="4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48"/>
      <c r="CW38" s="48"/>
      <c r="CX38" s="1"/>
    </row>
    <row r="39" spans="1:102" s="10" customFormat="1" ht="18" customHeight="1" x14ac:dyDescent="0.25">
      <c r="A39" s="6"/>
      <c r="B39" s="6"/>
      <c r="C39" s="1"/>
      <c r="D39" s="1"/>
      <c r="E39" s="1"/>
      <c r="F39" s="47"/>
      <c r="G39" s="47"/>
      <c r="H39" s="47"/>
      <c r="I39" s="47"/>
      <c r="J39" s="42"/>
      <c r="K39" s="42"/>
      <c r="L39" s="42"/>
      <c r="M39" s="42"/>
      <c r="N39" s="41"/>
      <c r="O39" s="41"/>
      <c r="P39" s="41"/>
      <c r="Q39" s="41"/>
      <c r="R39" s="45"/>
      <c r="S39" s="45"/>
      <c r="T39" s="45"/>
      <c r="U39" s="45"/>
      <c r="V39" s="44"/>
      <c r="W39" s="44"/>
      <c r="X39" s="44"/>
      <c r="Y39" s="44"/>
      <c r="Z39" s="1"/>
      <c r="AA39" s="1"/>
      <c r="AB39" s="1"/>
      <c r="AC39" s="1"/>
      <c r="AD39" s="43"/>
      <c r="AE39" s="43"/>
      <c r="AF39" s="43"/>
      <c r="AG39" s="43"/>
      <c r="AH39" s="44"/>
      <c r="AI39" s="44"/>
      <c r="AJ39" s="44"/>
      <c r="AK39" s="44"/>
      <c r="AL39" s="1"/>
      <c r="AM39" s="1"/>
      <c r="AN39" s="1"/>
      <c r="AO39" s="1"/>
      <c r="AP39" s="46"/>
      <c r="AQ39" s="46"/>
      <c r="AR39" s="46"/>
      <c r="AS39" s="4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48"/>
      <c r="CW39" s="48"/>
      <c r="CX39" s="1"/>
    </row>
    <row r="40" spans="1:102" s="10" customFormat="1" ht="18" customHeight="1" x14ac:dyDescent="0.25">
      <c r="A40" s="6"/>
      <c r="B40" s="6"/>
      <c r="C40" s="1"/>
      <c r="D40" s="1"/>
      <c r="E40" s="1"/>
      <c r="F40" s="47"/>
      <c r="G40" s="47"/>
      <c r="H40" s="47"/>
      <c r="I40" s="47"/>
      <c r="J40" s="42"/>
      <c r="K40" s="42"/>
      <c r="L40" s="42"/>
      <c r="M40" s="42"/>
      <c r="N40" s="41"/>
      <c r="O40" s="41"/>
      <c r="P40" s="41"/>
      <c r="Q40" s="41"/>
      <c r="R40" s="45"/>
      <c r="S40" s="45"/>
      <c r="T40" s="45"/>
      <c r="U40" s="45"/>
      <c r="V40" s="44"/>
      <c r="W40" s="44"/>
      <c r="X40" s="44"/>
      <c r="Y40" s="44"/>
      <c r="Z40" s="1"/>
      <c r="AA40" s="1"/>
      <c r="AB40" s="1"/>
      <c r="AC40" s="1"/>
      <c r="AD40" s="43"/>
      <c r="AE40" s="43"/>
      <c r="AF40" s="43"/>
      <c r="AG40" s="43"/>
      <c r="AH40" s="44"/>
      <c r="AI40" s="44"/>
      <c r="AJ40" s="44"/>
      <c r="AK40" s="44"/>
      <c r="AL40" s="1"/>
      <c r="AM40" s="1"/>
      <c r="AN40" s="1"/>
      <c r="AO40" s="1"/>
      <c r="AP40" s="46"/>
      <c r="AQ40" s="46"/>
      <c r="AR40" s="46"/>
      <c r="AS40" s="4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48"/>
      <c r="CW40" s="48"/>
      <c r="CX40" s="1"/>
    </row>
    <row r="41" spans="1:102" s="10" customFormat="1" ht="18" customHeight="1" x14ac:dyDescent="0.25">
      <c r="A41" s="6"/>
      <c r="B41" s="6"/>
      <c r="C41" s="1"/>
      <c r="D41" s="1"/>
      <c r="E41" s="1"/>
      <c r="F41" s="47"/>
      <c r="G41" s="47"/>
      <c r="H41" s="47"/>
      <c r="I41" s="47"/>
      <c r="J41" s="42"/>
      <c r="K41" s="42"/>
      <c r="L41" s="42"/>
      <c r="M41" s="42"/>
      <c r="N41" s="41"/>
      <c r="O41" s="41"/>
      <c r="P41" s="41"/>
      <c r="Q41" s="41"/>
      <c r="R41" s="45"/>
      <c r="S41" s="45"/>
      <c r="T41" s="45"/>
      <c r="U41" s="45"/>
      <c r="V41" s="44"/>
      <c r="W41" s="44"/>
      <c r="X41" s="44"/>
      <c r="Y41" s="44"/>
      <c r="Z41" s="1"/>
      <c r="AA41" s="1"/>
      <c r="AB41" s="1"/>
      <c r="AC41" s="1"/>
      <c r="AD41" s="43"/>
      <c r="AE41" s="43"/>
      <c r="AF41" s="43"/>
      <c r="AG41" s="43"/>
      <c r="AH41" s="44"/>
      <c r="AI41" s="44"/>
      <c r="AJ41" s="44"/>
      <c r="AK41" s="44"/>
      <c r="AL41" s="1"/>
      <c r="AM41" s="1"/>
      <c r="AN41" s="1"/>
      <c r="AO41" s="1"/>
      <c r="AP41" s="46"/>
      <c r="AQ41" s="46"/>
      <c r="AR41" s="46"/>
      <c r="AS41" s="4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48"/>
      <c r="CW41" s="48"/>
      <c r="CX41" s="1"/>
    </row>
    <row r="42" spans="1:102" s="10" customFormat="1" ht="18" customHeight="1" x14ac:dyDescent="0.25">
      <c r="A42" s="6"/>
      <c r="B42" s="6"/>
      <c r="C42" s="1"/>
      <c r="D42" s="1"/>
      <c r="E42" s="1"/>
      <c r="F42" s="47"/>
      <c r="G42" s="47"/>
      <c r="H42" s="47"/>
      <c r="I42" s="47"/>
      <c r="J42" s="42"/>
      <c r="K42" s="42"/>
      <c r="L42" s="42"/>
      <c r="M42" s="42"/>
      <c r="N42" s="41"/>
      <c r="O42" s="41"/>
      <c r="P42" s="41"/>
      <c r="Q42" s="41"/>
      <c r="R42" s="45"/>
      <c r="S42" s="45"/>
      <c r="T42" s="45"/>
      <c r="U42" s="45"/>
      <c r="V42" s="44"/>
      <c r="W42" s="44"/>
      <c r="X42" s="44"/>
      <c r="Y42" s="44"/>
      <c r="Z42" s="1"/>
      <c r="AA42" s="1"/>
      <c r="AB42" s="1"/>
      <c r="AC42" s="1"/>
      <c r="AD42" s="43"/>
      <c r="AE42" s="43"/>
      <c r="AF42" s="43"/>
      <c r="AG42" s="43"/>
      <c r="AH42" s="44"/>
      <c r="AI42" s="44"/>
      <c r="AJ42" s="44"/>
      <c r="AK42" s="44"/>
      <c r="AL42" s="1"/>
      <c r="AM42" s="1"/>
      <c r="AN42" s="1"/>
      <c r="AO42" s="1"/>
      <c r="AP42" s="46"/>
      <c r="AQ42" s="46"/>
      <c r="AR42" s="46"/>
      <c r="AS42" s="4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48"/>
      <c r="CW42" s="48"/>
      <c r="CX42" s="1"/>
    </row>
    <row r="43" spans="1:102" s="10" customFormat="1" ht="18" customHeight="1" x14ac:dyDescent="0.25">
      <c r="A43" s="6"/>
      <c r="B43" s="6"/>
      <c r="C43" s="1"/>
      <c r="D43" s="1"/>
      <c r="E43" s="1"/>
      <c r="F43" s="47"/>
      <c r="G43" s="47"/>
      <c r="H43" s="47"/>
      <c r="I43" s="47"/>
      <c r="J43" s="42"/>
      <c r="K43" s="42"/>
      <c r="L43" s="42"/>
      <c r="M43" s="42"/>
      <c r="N43" s="41"/>
      <c r="O43" s="41"/>
      <c r="P43" s="41"/>
      <c r="Q43" s="41"/>
      <c r="R43" s="45"/>
      <c r="S43" s="45"/>
      <c r="T43" s="45"/>
      <c r="U43" s="45"/>
      <c r="V43" s="44"/>
      <c r="W43" s="44"/>
      <c r="X43" s="44"/>
      <c r="Y43" s="44"/>
      <c r="Z43" s="1"/>
      <c r="AA43" s="1"/>
      <c r="AB43" s="1"/>
      <c r="AC43" s="1"/>
      <c r="AD43" s="43"/>
      <c r="AE43" s="43"/>
      <c r="AF43" s="43"/>
      <c r="AG43" s="43"/>
      <c r="AH43" s="44"/>
      <c r="AI43" s="44"/>
      <c r="AJ43" s="44"/>
      <c r="AK43" s="44"/>
      <c r="AL43" s="1"/>
      <c r="AM43" s="1"/>
      <c r="AN43" s="1"/>
      <c r="AO43" s="1"/>
      <c r="AP43" s="46"/>
      <c r="AQ43" s="46"/>
      <c r="AR43" s="46"/>
      <c r="AS43" s="4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48"/>
      <c r="CW43" s="48"/>
      <c r="CX43" s="1"/>
    </row>
    <row r="44" spans="1:102" s="10" customFormat="1" ht="18" customHeight="1" x14ac:dyDescent="0.25">
      <c r="A44" s="6"/>
      <c r="B44" s="6"/>
      <c r="C44" s="1"/>
      <c r="D44" s="1"/>
      <c r="E44" s="1"/>
      <c r="F44" s="47"/>
      <c r="G44" s="47"/>
      <c r="H44" s="47"/>
      <c r="I44" s="47"/>
      <c r="J44" s="42"/>
      <c r="K44" s="42"/>
      <c r="L44" s="42"/>
      <c r="M44" s="42"/>
      <c r="N44" s="41"/>
      <c r="O44" s="41"/>
      <c r="P44" s="41"/>
      <c r="Q44" s="41"/>
      <c r="R44" s="45"/>
      <c r="S44" s="45"/>
      <c r="T44" s="45"/>
      <c r="U44" s="45"/>
      <c r="V44" s="44"/>
      <c r="W44" s="44"/>
      <c r="X44" s="44"/>
      <c r="Y44" s="44"/>
      <c r="Z44" s="1"/>
      <c r="AA44" s="1"/>
      <c r="AB44" s="1"/>
      <c r="AC44" s="1"/>
      <c r="AD44" s="43"/>
      <c r="AE44" s="43"/>
      <c r="AF44" s="43"/>
      <c r="AG44" s="43"/>
      <c r="AH44" s="44"/>
      <c r="AI44" s="44"/>
      <c r="AJ44" s="44"/>
      <c r="AK44" s="44"/>
      <c r="AL44" s="1"/>
      <c r="AM44" s="1"/>
      <c r="AN44" s="1"/>
      <c r="AO44" s="1"/>
      <c r="AP44" s="46"/>
      <c r="AQ44" s="46"/>
      <c r="AR44" s="46"/>
      <c r="AS44" s="4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48"/>
      <c r="CW44" s="4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Z102"/>
  <sheetViews>
    <sheetView showZeros="0" tabSelected="1" topLeftCell="A75" zoomScale="85" zoomScaleNormal="85" workbookViewId="0">
      <selection activeCell="H53" sqref="H53"/>
    </sheetView>
  </sheetViews>
  <sheetFormatPr defaultRowHeight="15" x14ac:dyDescent="0.25"/>
  <cols>
    <col min="1" max="1" width="18.140625" customWidth="1"/>
    <col min="2" max="2" width="17.85546875" style="51" bestFit="1" customWidth="1"/>
    <col min="3" max="3" width="10.28515625" bestFit="1" customWidth="1"/>
    <col min="4" max="4" width="37.5703125" bestFit="1" customWidth="1"/>
    <col min="5" max="5" width="13.7109375" style="2" customWidth="1"/>
    <col min="6" max="6" width="13" customWidth="1"/>
    <col min="7" max="7" width="15" customWidth="1"/>
    <col min="8" max="8" width="14.5703125" style="5" customWidth="1"/>
    <col min="9" max="9" width="11.7109375" customWidth="1"/>
    <col min="10" max="10" width="13.140625" customWidth="1"/>
    <col min="11" max="11" width="12.42578125" customWidth="1"/>
    <col min="12" max="12" width="11.42578125" customWidth="1"/>
    <col min="13" max="13" width="17.140625" customWidth="1"/>
    <col min="14" max="14" width="7.85546875" style="15" customWidth="1"/>
    <col min="15" max="27" width="7.85546875" style="15" hidden="1" customWidth="1"/>
    <col min="28" max="28" width="9.28515625" style="15" customWidth="1"/>
    <col min="29" max="31" width="7.85546875" style="15" hidden="1" customWidth="1"/>
    <col min="32" max="32" width="7.85546875" style="15" customWidth="1"/>
    <col min="33" max="33" width="7.85546875" style="15" hidden="1" customWidth="1"/>
    <col min="34" max="34" width="7.85546875" style="15" customWidth="1"/>
    <col min="35" max="42" width="7.85546875" style="15" hidden="1" customWidth="1"/>
    <col min="43" max="43" width="7.85546875" style="15" customWidth="1"/>
    <col min="44" max="49" width="7.85546875" style="15" hidden="1" customWidth="1"/>
    <col min="50" max="50" width="7.85546875" style="15" customWidth="1"/>
    <col min="51" max="55" width="7.85546875" style="15" hidden="1" customWidth="1"/>
    <col min="56" max="56" width="7.85546875" style="15" customWidth="1"/>
    <col min="57" max="61" width="7.85546875" style="15" hidden="1" customWidth="1"/>
    <col min="62" max="62" width="7.85546875" style="15" customWidth="1"/>
    <col min="63" max="66" width="7.85546875" style="15" hidden="1" customWidth="1"/>
    <col min="67" max="67" width="7.85546875" style="15" customWidth="1"/>
    <col min="68" max="75" width="7.85546875" style="15" hidden="1" customWidth="1"/>
    <col min="76" max="77" width="7.85546875" style="15" customWidth="1"/>
    <col min="78" max="78" width="7.85546875" style="15" hidden="1" customWidth="1"/>
    <col min="79" max="79" width="7.85546875" style="15" customWidth="1"/>
    <col min="80" max="82" width="7.85546875" style="15" hidden="1" customWidth="1"/>
    <col min="83" max="83" width="7.85546875" style="15" customWidth="1"/>
    <col min="84" max="84" width="7.85546875" style="15" hidden="1" customWidth="1"/>
    <col min="85" max="85" width="7.85546875" style="15" customWidth="1"/>
    <col min="86" max="86" width="11" style="15" customWidth="1"/>
    <col min="87" max="87" width="30" style="15" customWidth="1"/>
    <col min="88" max="88" width="10.7109375" style="15" customWidth="1"/>
    <col min="89" max="89" width="14.28515625" style="2" customWidth="1"/>
    <col min="90" max="90" width="13.85546875" style="2" bestFit="1" customWidth="1"/>
    <col min="91" max="91" width="9.140625" style="13" customWidth="1"/>
    <col min="92" max="92" width="14"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168"/>
      <c r="B1" s="168"/>
      <c r="C1" s="168"/>
      <c r="D1" s="168"/>
      <c r="E1" s="168"/>
      <c r="F1" s="168"/>
      <c r="G1" s="168"/>
      <c r="H1" s="168"/>
      <c r="I1" s="168"/>
      <c r="J1" s="168"/>
      <c r="K1" s="168"/>
      <c r="L1" s="168"/>
      <c r="M1" s="168"/>
      <c r="N1" s="168"/>
      <c r="O1" s="168"/>
      <c r="P1" s="168"/>
      <c r="Q1" s="168"/>
      <c r="R1" s="168"/>
    </row>
    <row r="2" spans="1:18" ht="74.25" customHeight="1" thickBot="1" x14ac:dyDescent="0.5">
      <c r="A2" s="193" t="s">
        <v>381</v>
      </c>
      <c r="B2" s="194"/>
      <c r="C2" s="194"/>
      <c r="D2" s="194"/>
      <c r="E2" s="194"/>
      <c r="F2" s="194"/>
      <c r="G2" s="194"/>
      <c r="H2" s="194"/>
      <c r="I2" s="194"/>
      <c r="J2" s="194"/>
      <c r="K2" s="194"/>
      <c r="L2" s="194"/>
      <c r="M2" s="194"/>
      <c r="N2" s="194"/>
      <c r="O2" s="194"/>
      <c r="P2" s="194"/>
      <c r="Q2" s="194"/>
      <c r="R2" s="195"/>
    </row>
    <row r="3" spans="1:18" ht="15.75" thickBot="1" x14ac:dyDescent="0.3">
      <c r="B3"/>
      <c r="E3"/>
      <c r="H3"/>
      <c r="N3"/>
      <c r="O3"/>
      <c r="P3"/>
      <c r="Q3"/>
      <c r="R3"/>
    </row>
    <row r="4" spans="1:18" ht="45.75" thickBot="1" x14ac:dyDescent="0.3">
      <c r="A4" s="169" t="s">
        <v>369</v>
      </c>
      <c r="B4" s="196" t="s">
        <v>382</v>
      </c>
      <c r="C4" s="196"/>
      <c r="D4" s="196"/>
      <c r="E4" s="196"/>
      <c r="F4" s="196"/>
      <c r="G4" s="196"/>
      <c r="H4" s="196"/>
      <c r="I4" s="196"/>
      <c r="J4" s="196"/>
      <c r="K4" s="196"/>
      <c r="L4" s="196"/>
      <c r="M4" s="196"/>
      <c r="N4" s="196"/>
      <c r="O4" s="196"/>
      <c r="P4" s="196"/>
      <c r="Q4" s="196"/>
      <c r="R4" s="196"/>
    </row>
    <row r="5" spans="1:18" ht="30" x14ac:dyDescent="0.25">
      <c r="A5" s="169" t="s">
        <v>370</v>
      </c>
      <c r="B5" s="196" t="s">
        <v>383</v>
      </c>
      <c r="C5" s="196"/>
      <c r="D5" s="196"/>
      <c r="E5" s="196"/>
      <c r="F5" s="196"/>
      <c r="G5" s="196"/>
      <c r="H5" s="196"/>
      <c r="I5" s="196"/>
      <c r="J5" s="196"/>
      <c r="K5" s="196"/>
      <c r="L5" s="196"/>
      <c r="M5" s="196"/>
      <c r="N5" s="196"/>
      <c r="O5" s="196"/>
      <c r="P5" s="196"/>
      <c r="Q5" s="196"/>
      <c r="R5" s="196"/>
    </row>
    <row r="6" spans="1:18" ht="30" x14ac:dyDescent="0.25">
      <c r="A6" s="170" t="s">
        <v>371</v>
      </c>
      <c r="B6" s="197" t="s">
        <v>384</v>
      </c>
      <c r="C6" s="196"/>
      <c r="D6" s="196"/>
      <c r="E6" s="196"/>
      <c r="F6" s="196"/>
      <c r="G6" s="196"/>
      <c r="H6" s="196"/>
      <c r="I6" s="196"/>
      <c r="J6" s="196"/>
      <c r="K6" s="196"/>
      <c r="L6" s="196"/>
      <c r="M6" s="196"/>
      <c r="N6" s="196"/>
      <c r="O6" s="196"/>
      <c r="P6" s="196"/>
      <c r="Q6" s="196"/>
      <c r="R6" s="196"/>
    </row>
    <row r="7" spans="1:18" ht="66.75" customHeight="1" x14ac:dyDescent="0.25">
      <c r="A7" s="170" t="s">
        <v>372</v>
      </c>
      <c r="B7" s="186" t="s">
        <v>385</v>
      </c>
      <c r="C7" s="196"/>
      <c r="D7" s="196"/>
      <c r="E7" s="196"/>
      <c r="F7" s="196"/>
      <c r="G7" s="196"/>
      <c r="H7" s="196"/>
      <c r="I7" s="196"/>
      <c r="J7" s="196"/>
      <c r="K7" s="196"/>
      <c r="L7" s="196"/>
      <c r="M7" s="196"/>
      <c r="N7" s="196"/>
      <c r="O7" s="196"/>
      <c r="P7" s="196"/>
      <c r="Q7" s="196"/>
      <c r="R7" s="196"/>
    </row>
    <row r="8" spans="1:18" x14ac:dyDescent="0.25">
      <c r="A8" s="170" t="s">
        <v>373</v>
      </c>
      <c r="B8" s="186" t="s">
        <v>386</v>
      </c>
      <c r="C8" s="186"/>
      <c r="D8" s="186"/>
      <c r="E8" s="186"/>
      <c r="F8" s="186"/>
      <c r="G8" s="186"/>
      <c r="H8" s="186"/>
      <c r="I8" s="186"/>
      <c r="J8" s="186"/>
      <c r="K8" s="186"/>
      <c r="L8" s="186"/>
      <c r="M8" s="186"/>
      <c r="N8" s="186"/>
      <c r="O8" s="186"/>
      <c r="P8" s="186"/>
      <c r="Q8" s="186"/>
      <c r="R8" s="186"/>
    </row>
    <row r="9" spans="1:18" x14ac:dyDescent="0.25">
      <c r="A9" s="170" t="s">
        <v>374</v>
      </c>
      <c r="B9" s="187" t="s">
        <v>387</v>
      </c>
      <c r="C9" s="188"/>
      <c r="D9" s="188"/>
      <c r="E9" s="188"/>
      <c r="F9" s="188"/>
      <c r="G9" s="188"/>
      <c r="H9" s="188"/>
      <c r="I9" s="188"/>
      <c r="J9" s="188"/>
      <c r="K9" s="188"/>
      <c r="L9" s="188"/>
      <c r="M9" s="188"/>
      <c r="N9" s="188"/>
      <c r="O9" s="188"/>
      <c r="P9" s="188"/>
      <c r="Q9" s="188"/>
      <c r="R9" s="189"/>
    </row>
    <row r="10" spans="1:18" ht="64.5" customHeight="1" x14ac:dyDescent="0.25">
      <c r="A10" s="170" t="s">
        <v>375</v>
      </c>
      <c r="B10" s="186" t="s">
        <v>388</v>
      </c>
      <c r="C10" s="186"/>
      <c r="D10" s="186"/>
      <c r="E10" s="186"/>
      <c r="F10" s="186"/>
      <c r="G10" s="186"/>
      <c r="H10" s="186"/>
      <c r="I10" s="186"/>
      <c r="J10" s="186"/>
      <c r="K10" s="186"/>
      <c r="L10" s="186"/>
      <c r="M10" s="186"/>
      <c r="N10" s="186"/>
      <c r="O10" s="186"/>
      <c r="P10" s="186"/>
      <c r="Q10" s="186"/>
      <c r="R10" s="186"/>
    </row>
    <row r="11" spans="1:18" x14ac:dyDescent="0.25">
      <c r="A11" s="170" t="s">
        <v>376</v>
      </c>
      <c r="B11" s="190" t="s">
        <v>377</v>
      </c>
      <c r="C11" s="191"/>
      <c r="D11" s="191"/>
      <c r="E11" s="191"/>
      <c r="F11" s="191"/>
      <c r="G11" s="191"/>
      <c r="H11" s="191"/>
      <c r="I11" s="191"/>
      <c r="J11" s="191"/>
      <c r="K11" s="191"/>
      <c r="L11" s="191"/>
      <c r="M11" s="191"/>
      <c r="N11" s="191"/>
      <c r="O11" s="191"/>
      <c r="P11" s="191"/>
      <c r="Q11" s="191"/>
      <c r="R11" s="192"/>
    </row>
    <row r="12" spans="1:18" ht="35.25" customHeight="1" x14ac:dyDescent="0.25">
      <c r="A12" s="171" t="s">
        <v>378</v>
      </c>
      <c r="B12" s="185" t="s">
        <v>389</v>
      </c>
      <c r="C12" s="185"/>
      <c r="D12" s="185"/>
      <c r="E12" s="185"/>
      <c r="F12" s="185"/>
      <c r="G12" s="185"/>
      <c r="H12" s="185"/>
      <c r="I12" s="185"/>
      <c r="J12" s="185"/>
      <c r="K12" s="185"/>
      <c r="L12" s="185"/>
      <c r="M12" s="185"/>
      <c r="N12" s="185"/>
      <c r="O12" s="185"/>
      <c r="P12" s="185"/>
      <c r="Q12" s="185"/>
      <c r="R12" s="185"/>
    </row>
    <row r="13" spans="1:18" ht="39.75" customHeight="1" x14ac:dyDescent="0.25">
      <c r="A13" s="171" t="s">
        <v>379</v>
      </c>
      <c r="B13" s="185" t="s">
        <v>390</v>
      </c>
      <c r="C13" s="185"/>
      <c r="D13" s="185"/>
      <c r="E13" s="185"/>
      <c r="F13" s="185"/>
      <c r="G13" s="185"/>
      <c r="H13" s="185"/>
      <c r="I13" s="185"/>
      <c r="J13" s="185"/>
      <c r="K13" s="185"/>
      <c r="L13" s="185"/>
      <c r="M13" s="185"/>
      <c r="N13" s="185"/>
      <c r="O13" s="185"/>
      <c r="P13" s="185"/>
      <c r="Q13" s="185"/>
      <c r="R13" s="185"/>
    </row>
    <row r="14" spans="1:18" ht="30" x14ac:dyDescent="0.25">
      <c r="A14" s="172" t="s">
        <v>380</v>
      </c>
      <c r="B14" s="185"/>
      <c r="C14" s="185"/>
      <c r="D14" s="185"/>
      <c r="E14" s="185"/>
      <c r="F14" s="185"/>
      <c r="G14" s="185"/>
      <c r="H14" s="185"/>
      <c r="I14" s="185"/>
      <c r="J14" s="185"/>
      <c r="K14" s="185"/>
      <c r="L14" s="185"/>
      <c r="M14" s="185"/>
      <c r="N14" s="185"/>
      <c r="O14" s="185"/>
      <c r="P14" s="185"/>
      <c r="Q14" s="185"/>
      <c r="R14" s="185"/>
    </row>
    <row r="18" spans="1:104" s="22" customFormat="1" ht="28.9" customHeight="1" x14ac:dyDescent="0.25">
      <c r="A18" s="72"/>
      <c r="B18" s="72"/>
      <c r="C18" s="73"/>
      <c r="D18" s="73"/>
      <c r="E18" s="26"/>
      <c r="H18" s="27"/>
      <c r="N18" s="205" t="s">
        <v>82</v>
      </c>
      <c r="O18" s="205"/>
      <c r="P18" s="205"/>
      <c r="Q18" s="205"/>
      <c r="R18" s="205"/>
      <c r="S18" s="205"/>
      <c r="T18" s="205"/>
      <c r="U18" s="205"/>
      <c r="V18" s="206" t="s">
        <v>4</v>
      </c>
      <c r="W18" s="206"/>
      <c r="X18" s="207" t="s">
        <v>3</v>
      </c>
      <c r="Y18" s="207"/>
      <c r="Z18" s="207"/>
      <c r="AA18" s="207"/>
      <c r="AB18" s="207"/>
      <c r="AC18" s="207"/>
      <c r="AD18" s="207"/>
      <c r="AE18" s="207"/>
      <c r="AF18" s="208" t="s">
        <v>5</v>
      </c>
      <c r="AG18" s="208"/>
      <c r="AH18" s="209" t="s">
        <v>6</v>
      </c>
      <c r="AI18" s="209"/>
      <c r="AJ18" s="209"/>
      <c r="AK18" s="209"/>
      <c r="AL18" s="209"/>
      <c r="AM18" s="209"/>
      <c r="AN18" s="209"/>
      <c r="AO18" s="209"/>
      <c r="AP18" s="209"/>
      <c r="AQ18" s="33" t="s">
        <v>7</v>
      </c>
      <c r="AR18" s="201" t="s">
        <v>8</v>
      </c>
      <c r="AS18" s="202"/>
      <c r="AT18" s="202"/>
      <c r="AU18" s="202"/>
      <c r="AV18" s="202"/>
      <c r="AW18" s="202"/>
      <c r="AX18" s="202"/>
      <c r="AY18" s="202"/>
      <c r="AZ18" s="202"/>
      <c r="BA18" s="203" t="s">
        <v>9</v>
      </c>
      <c r="BB18" s="203"/>
      <c r="BC18" s="203"/>
      <c r="BD18" s="203"/>
      <c r="BE18" s="203"/>
      <c r="BF18" s="203"/>
      <c r="BG18" s="203"/>
      <c r="BH18" s="203"/>
      <c r="BI18" s="203"/>
      <c r="BJ18" s="203"/>
      <c r="BK18" s="203"/>
      <c r="BL18" s="204" t="s">
        <v>300</v>
      </c>
      <c r="BM18" s="204"/>
      <c r="BN18" s="204"/>
      <c r="BO18" s="204"/>
      <c r="BP18" s="204"/>
      <c r="BQ18" s="204"/>
      <c r="BR18" s="204"/>
      <c r="BS18" s="204"/>
      <c r="BT18" s="204"/>
      <c r="BU18" s="204"/>
      <c r="BV18" s="204"/>
      <c r="BW18" s="204"/>
      <c r="BX18" s="34" t="s">
        <v>11</v>
      </c>
      <c r="BY18" s="36" t="s">
        <v>12</v>
      </c>
      <c r="BZ18" s="30" t="s">
        <v>13</v>
      </c>
      <c r="CA18" s="32" t="s">
        <v>14</v>
      </c>
      <c r="CB18" s="31" t="s">
        <v>15</v>
      </c>
      <c r="CC18" s="38" t="s">
        <v>16</v>
      </c>
      <c r="CD18" s="39" t="s">
        <v>17</v>
      </c>
      <c r="CE18" s="35" t="s">
        <v>18</v>
      </c>
      <c r="CF18" s="30" t="s">
        <v>19</v>
      </c>
      <c r="CG18" s="198" t="s">
        <v>84</v>
      </c>
      <c r="CH18" s="199"/>
      <c r="CI18" s="199"/>
      <c r="CJ18" s="200"/>
      <c r="CK18" s="54" t="s">
        <v>20</v>
      </c>
      <c r="CL18" s="23" t="s">
        <v>21</v>
      </c>
      <c r="CM18" s="24" t="s">
        <v>40</v>
      </c>
      <c r="CN18" s="23" t="s">
        <v>81</v>
      </c>
      <c r="CO18" s="25"/>
      <c r="CP18" s="26"/>
      <c r="CQ18" s="27"/>
      <c r="CR18" s="26"/>
      <c r="CS18" s="26"/>
      <c r="CT18" s="27"/>
      <c r="CV18" s="27"/>
      <c r="CZ18" s="22" t="s">
        <v>126</v>
      </c>
    </row>
    <row r="19" spans="1:104" s="11" customFormat="1" ht="89.25" x14ac:dyDescent="0.25">
      <c r="A19" s="64" t="s">
        <v>0</v>
      </c>
      <c r="B19" s="65" t="s">
        <v>85</v>
      </c>
      <c r="C19" s="64" t="s">
        <v>1</v>
      </c>
      <c r="D19" s="64" t="s">
        <v>2</v>
      </c>
      <c r="E19" s="3" t="s">
        <v>31</v>
      </c>
      <c r="F19" s="9" t="s">
        <v>32</v>
      </c>
      <c r="G19" s="9" t="s">
        <v>33</v>
      </c>
      <c r="H19" s="4" t="s">
        <v>34</v>
      </c>
      <c r="I19" s="9" t="s">
        <v>35</v>
      </c>
      <c r="J19" s="9" t="s">
        <v>36</v>
      </c>
      <c r="K19" s="9" t="s">
        <v>37</v>
      </c>
      <c r="L19" s="9" t="s">
        <v>38</v>
      </c>
      <c r="M19" s="9" t="s">
        <v>39</v>
      </c>
      <c r="N19" s="66" t="s">
        <v>41</v>
      </c>
      <c r="O19" s="66" t="s">
        <v>46</v>
      </c>
      <c r="P19" s="66" t="s">
        <v>43</v>
      </c>
      <c r="Q19" s="66" t="s">
        <v>123</v>
      </c>
      <c r="R19" s="66" t="s">
        <v>124</v>
      </c>
      <c r="S19" s="66" t="s">
        <v>125</v>
      </c>
      <c r="T19" s="66" t="s">
        <v>44</v>
      </c>
      <c r="U19" s="66" t="s">
        <v>45</v>
      </c>
      <c r="V19" s="66" t="s">
        <v>41</v>
      </c>
      <c r="W19" s="66" t="s">
        <v>46</v>
      </c>
      <c r="X19" s="67" t="s">
        <v>53</v>
      </c>
      <c r="Y19" s="67" t="s">
        <v>57</v>
      </c>
      <c r="Z19" s="67" t="s">
        <v>60</v>
      </c>
      <c r="AA19" s="67" t="s">
        <v>65</v>
      </c>
      <c r="AB19" s="67" t="s">
        <v>69</v>
      </c>
      <c r="AC19" s="67" t="s">
        <v>71</v>
      </c>
      <c r="AD19" s="67" t="s">
        <v>73</v>
      </c>
      <c r="AE19" s="67" t="s">
        <v>75</v>
      </c>
      <c r="AF19" s="67" t="s">
        <v>52</v>
      </c>
      <c r="AG19" s="67" t="s">
        <v>56</v>
      </c>
      <c r="AH19" s="67" t="s">
        <v>51</v>
      </c>
      <c r="AI19" s="67" t="s">
        <v>47</v>
      </c>
      <c r="AJ19" s="67" t="s">
        <v>59</v>
      </c>
      <c r="AK19" s="67" t="s">
        <v>64</v>
      </c>
      <c r="AL19" s="67" t="s">
        <v>68</v>
      </c>
      <c r="AM19" s="67" t="s">
        <v>87</v>
      </c>
      <c r="AN19" s="67" t="s">
        <v>88</v>
      </c>
      <c r="AO19" s="67" t="s">
        <v>86</v>
      </c>
      <c r="AP19" s="67" t="s">
        <v>94</v>
      </c>
      <c r="AQ19" s="68" t="s">
        <v>7</v>
      </c>
      <c r="AR19" s="67" t="s">
        <v>54</v>
      </c>
      <c r="AS19" s="67" t="s">
        <v>58</v>
      </c>
      <c r="AT19" s="67" t="s">
        <v>63</v>
      </c>
      <c r="AU19" s="67" t="s">
        <v>61</v>
      </c>
      <c r="AV19" s="67" t="s">
        <v>66</v>
      </c>
      <c r="AW19" s="67" t="s">
        <v>70</v>
      </c>
      <c r="AX19" s="67" t="s">
        <v>48</v>
      </c>
      <c r="AY19" s="67" t="s">
        <v>122</v>
      </c>
      <c r="AZ19" s="67" t="s">
        <v>74</v>
      </c>
      <c r="BA19" s="67" t="s">
        <v>55</v>
      </c>
      <c r="BB19" s="67" t="s">
        <v>42</v>
      </c>
      <c r="BC19" s="67" t="s">
        <v>62</v>
      </c>
      <c r="BD19" s="67" t="s">
        <v>67</v>
      </c>
      <c r="BE19" s="67" t="s">
        <v>89</v>
      </c>
      <c r="BF19" s="67" t="s">
        <v>72</v>
      </c>
      <c r="BG19" s="67" t="s">
        <v>49</v>
      </c>
      <c r="BH19" s="67" t="s">
        <v>76</v>
      </c>
      <c r="BI19" s="67" t="s">
        <v>77</v>
      </c>
      <c r="BJ19" s="67" t="s">
        <v>78</v>
      </c>
      <c r="BK19" s="67" t="s">
        <v>80</v>
      </c>
      <c r="BL19" s="67" t="s">
        <v>54</v>
      </c>
      <c r="BM19" s="67" t="s">
        <v>58</v>
      </c>
      <c r="BN19" s="67" t="s">
        <v>63</v>
      </c>
      <c r="BO19" s="67" t="s">
        <v>61</v>
      </c>
      <c r="BP19" s="67" t="s">
        <v>90</v>
      </c>
      <c r="BQ19" s="67" t="s">
        <v>95</v>
      </c>
      <c r="BR19" s="67" t="s">
        <v>91</v>
      </c>
      <c r="BS19" s="67" t="s">
        <v>66</v>
      </c>
      <c r="BT19" s="67" t="s">
        <v>48</v>
      </c>
      <c r="BU19" s="67" t="s">
        <v>122</v>
      </c>
      <c r="BV19" s="67" t="s">
        <v>74</v>
      </c>
      <c r="BW19" s="67" t="s">
        <v>79</v>
      </c>
      <c r="BX19" s="82" t="s">
        <v>299</v>
      </c>
      <c r="BY19" s="82" t="s">
        <v>298</v>
      </c>
      <c r="BZ19" s="69" t="s">
        <v>13</v>
      </c>
      <c r="CA19" s="70" t="s">
        <v>14</v>
      </c>
      <c r="CB19" s="69" t="s">
        <v>15</v>
      </c>
      <c r="CC19" s="69" t="s">
        <v>16</v>
      </c>
      <c r="CD19" s="69" t="s">
        <v>17</v>
      </c>
      <c r="CE19" s="70" t="s">
        <v>18</v>
      </c>
      <c r="CF19" s="69" t="s">
        <v>19</v>
      </c>
      <c r="CG19" s="58" t="s">
        <v>83</v>
      </c>
      <c r="CH19" s="58" t="s">
        <v>92</v>
      </c>
      <c r="CI19" s="58" t="s">
        <v>93</v>
      </c>
      <c r="CJ19" s="58" t="s">
        <v>96</v>
      </c>
      <c r="CK19" s="14"/>
      <c r="CL19" s="14"/>
      <c r="CM19" s="12" t="s">
        <v>301</v>
      </c>
      <c r="CN19" s="14" t="s">
        <v>301</v>
      </c>
      <c r="CO19" s="7" t="s">
        <v>22</v>
      </c>
      <c r="CP19" s="3" t="s">
        <v>23</v>
      </c>
      <c r="CQ19" s="4" t="s">
        <v>24</v>
      </c>
      <c r="CR19" s="3" t="s">
        <v>25</v>
      </c>
      <c r="CS19" s="3" t="s">
        <v>26</v>
      </c>
      <c r="CT19" s="4" t="s">
        <v>27</v>
      </c>
      <c r="CU19" s="9" t="s">
        <v>28</v>
      </c>
      <c r="CV19" s="4" t="s">
        <v>29</v>
      </c>
      <c r="CW19" s="9" t="s">
        <v>30</v>
      </c>
      <c r="CX19" s="4" t="s">
        <v>97</v>
      </c>
      <c r="CY19" s="9" t="s">
        <v>98</v>
      </c>
    </row>
    <row r="20" spans="1:104" s="14" customFormat="1" ht="25.5" x14ac:dyDescent="0.25">
      <c r="A20" s="16"/>
      <c r="B20" s="50"/>
      <c r="C20" s="16"/>
      <c r="D20" s="16"/>
      <c r="E20" s="3"/>
      <c r="F20" s="61"/>
      <c r="G20" s="53"/>
      <c r="H20" s="3"/>
      <c r="I20" s="3"/>
      <c r="J20" s="3"/>
      <c r="K20" s="62"/>
      <c r="L20" s="3"/>
      <c r="M20" s="3"/>
      <c r="N20" s="17">
        <v>299</v>
      </c>
      <c r="O20" s="17">
        <f>+IFERROR(VLOOKUP($O$19,Sheet1!J:L,2,0),0)</f>
        <v>0</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v>1211</v>
      </c>
      <c r="AC20" s="18">
        <f>+IFERROR(VLOOKUP($AC$19,Sheet1!F:I,2,0),0)</f>
        <v>0</v>
      </c>
      <c r="AD20" s="18">
        <f>+IFERROR(VLOOKUP($AD$19,Sheet1!F:I,2,0),0)</f>
        <v>0</v>
      </c>
      <c r="AE20" s="18">
        <f>+IFERROR(VLOOKUP($AE$19,Sheet1!F:I,2,0),0)</f>
        <v>0</v>
      </c>
      <c r="AF20" s="18">
        <v>162</v>
      </c>
      <c r="AG20" s="18">
        <f>+IFERROR(VLOOKUP($AG$19,Sheet1!R:U,2,0),0)</f>
        <v>0</v>
      </c>
      <c r="AH20" s="18">
        <v>125</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v>109</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v>59</v>
      </c>
      <c r="AY20" s="18">
        <f>+IFERROR(VLOOKUP($AY$19,Sheet1!AD2:AG840,2,0),0)</f>
        <v>0</v>
      </c>
      <c r="AZ20" s="18">
        <f>+IFERROR(VLOOKUP($AZ$19,Sheet1!AD2:AG840,2,0),0)</f>
        <v>0</v>
      </c>
      <c r="BA20" s="18">
        <f>+IFERROR(VLOOKUP($BA$19,Sheet1!AH2:AK840,2,0),0)</f>
        <v>0</v>
      </c>
      <c r="BB20" s="18">
        <f>+IFERROR(VLOOKUP($BB$19,Sheet1!AH2:AK840,2,0),0)</f>
        <v>0</v>
      </c>
      <c r="BC20" s="18">
        <f>+IFERROR(VLOOKUP($BC$19,Sheet1!AH2:AK840,2,0),0)</f>
        <v>0</v>
      </c>
      <c r="BD20" s="18">
        <f>N20+5</f>
        <v>304</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v>81</v>
      </c>
      <c r="BK20" s="18">
        <f>+IFERROR(VLOOKUP($BK$19,Sheet1!AH2:AK840,2,0),0)</f>
        <v>0</v>
      </c>
      <c r="BL20" s="18">
        <f>+IFERROR(VLOOKUP($BL$19,Sheet1!AL2:AO840,2,0),0)</f>
        <v>0</v>
      </c>
      <c r="BM20" s="18">
        <f>+IFERROR(VLOOKUP($BM$19,Sheet1!AL2:AO840,2,0),0)</f>
        <v>0</v>
      </c>
      <c r="BN20" s="18">
        <f>+IFERROR(VLOOKUP($BN$19,Sheet1!AL2:AO840,2,0),0)</f>
        <v>0</v>
      </c>
      <c r="BO20" s="18">
        <f>76+15</f>
        <v>91</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v>75</v>
      </c>
      <c r="BY20" s="19">
        <v>310</v>
      </c>
      <c r="BZ20" s="20">
        <f>+IFERROR(VLOOKUP($BZ$19,Sheet1!AX2:BA840,2,0),0)</f>
        <v>0</v>
      </c>
      <c r="CA20" s="21">
        <v>393</v>
      </c>
      <c r="CB20" s="20">
        <f>+IFERROR(VLOOKUP($CB$19,Sheet1!BF2:BI840,2,0),0)</f>
        <v>0</v>
      </c>
      <c r="CC20" s="20">
        <f>+IFERROR(VLOOKUP($CC$19,Sheet1!BJ2:BM840,2,0),0)</f>
        <v>0</v>
      </c>
      <c r="CD20" s="20">
        <f>+IFERROR(VLOOKUP($CD$19,Sheet1!BN2:BQ840,2,0),0)</f>
        <v>0</v>
      </c>
      <c r="CE20" s="21">
        <v>284</v>
      </c>
      <c r="CF20" s="20">
        <f>+IFERROR(VLOOKUP($CF$19,Sheet1!BV2:BY840,2,0),0)</f>
        <v>0</v>
      </c>
      <c r="CG20" s="55"/>
      <c r="CH20" s="55"/>
      <c r="CI20" s="85" t="s">
        <v>311</v>
      </c>
      <c r="CJ20" s="55"/>
      <c r="CO20" s="3"/>
      <c r="CP20" s="3"/>
      <c r="CQ20" s="3"/>
      <c r="CR20" s="3"/>
      <c r="CS20" s="3"/>
      <c r="CT20" s="3"/>
      <c r="CU20" s="3"/>
      <c r="CV20" s="3"/>
      <c r="CW20" s="3"/>
      <c r="CX20" s="3"/>
      <c r="CY20" s="3"/>
    </row>
    <row r="21" spans="1:104" s="22" customFormat="1" ht="30" x14ac:dyDescent="0.25">
      <c r="A21" s="6" t="str">
        <f>Sheet1!A13</f>
        <v>ENQ-18390-25-26</v>
      </c>
      <c r="B21" s="71">
        <v>46357</v>
      </c>
      <c r="C21" s="6" t="str">
        <f>Sheet1!C13</f>
        <v>FA1300083</v>
      </c>
      <c r="D21" s="6" t="str">
        <f>Sheet1!D13</f>
        <v>3 CORE X 400 SQ. MM. AL/ARM - WIRE (XLPE) - 11 KV</v>
      </c>
      <c r="E21" s="23">
        <f t="shared" ref="E21:E43" si="0">CS21+CU21+CW21+CY21</f>
        <v>2800573.7388999998</v>
      </c>
      <c r="F21" s="86">
        <f>ROUNDUP(M49,0)</f>
        <v>58278</v>
      </c>
      <c r="G21" s="28">
        <f t="shared" ref="G21:G43" si="1">E21+F21</f>
        <v>2858851.7388999998</v>
      </c>
      <c r="H21" s="29">
        <f>Sheet1!CR13</f>
        <v>0.18</v>
      </c>
      <c r="I21" s="28">
        <f t="shared" ref="I21:I43" si="2">G21*H21</f>
        <v>514593.31300199992</v>
      </c>
      <c r="J21" s="28">
        <f t="shared" ref="J21:J43" si="3">G21+I21</f>
        <v>3373445.0519019999</v>
      </c>
      <c r="K21" s="63">
        <f>Sheet1!CU13</f>
        <v>209</v>
      </c>
      <c r="L21" s="60" t="str">
        <f>Sheet1!CV13</f>
        <v>KMS</v>
      </c>
      <c r="M21" s="23">
        <f t="shared" ref="M21:M43" si="4">J21*K21</f>
        <v>705050015.84751797</v>
      </c>
      <c r="N21" s="166">
        <f>+IFERROR(VLOOKUP($N$19,Sheet1!J13:L13,3,0),0)</f>
        <v>3240</v>
      </c>
      <c r="O21" s="88">
        <f>+IFERROR(VLOOKUP($O$19,Sheet1!J13:L13,3,0),0)</f>
        <v>0</v>
      </c>
      <c r="P21" s="88">
        <f>+IFERROR(VLOOKUP($P$19,Sheet1!J13:M13,3,0),0)</f>
        <v>0</v>
      </c>
      <c r="Q21" s="88">
        <f>+IFERROR(VLOOKUP($Q$19,Sheet1!J13:M13,3,0),0)</f>
        <v>0</v>
      </c>
      <c r="R21" s="88">
        <f>+IFERROR(VLOOKUP($R$19,Sheet1!J13:M13,3,0),0)</f>
        <v>0</v>
      </c>
      <c r="S21" s="88">
        <f>+IFERROR(VLOOKUP($S$19,Sheet1!J13:M13,3,0),0)</f>
        <v>0</v>
      </c>
      <c r="T21" s="88">
        <f>+IFERROR(VLOOKUP($T$19,Sheet1!J13:M13,3,0),0)</f>
        <v>0</v>
      </c>
      <c r="U21" s="88">
        <f>+IFERROR(VLOOKUP($U$19,Sheet1!J13:M13,3,0),0)</f>
        <v>0</v>
      </c>
      <c r="V21" s="88">
        <f>+IFERROR(VLOOKUP($V$19,Sheet1!N13:Q13,3,0),0)</f>
        <v>0</v>
      </c>
      <c r="W21" s="88">
        <f>+IFERROR(VLOOKUP($W$19,Sheet1!N13:Q13,3,0),0)</f>
        <v>0</v>
      </c>
      <c r="X21" s="88">
        <f>+IFERROR(VLOOKUP($X$19,Sheet1!F13:I13,3,0),0)</f>
        <v>0</v>
      </c>
      <c r="Y21" s="88">
        <f>+IFERROR(VLOOKUP($Y$19,Sheet1!F13:I13,3,0),0)</f>
        <v>0</v>
      </c>
      <c r="Z21" s="88">
        <f>+IFERROR(VLOOKUP($Z$19,Sheet1!F13:I13,3,0),0)</f>
        <v>0</v>
      </c>
      <c r="AA21" s="88">
        <f>+IFERROR(VLOOKUP($AA$19,Sheet1!F13:I13,3,0),0)</f>
        <v>0</v>
      </c>
      <c r="AB21" s="166">
        <v>176</v>
      </c>
      <c r="AC21" s="88">
        <f>+IFERROR(VLOOKUP($AC$19,Sheet1!F13:I13,3,0),0)</f>
        <v>0</v>
      </c>
      <c r="AD21" s="88">
        <f>+IFERROR(VLOOKUP($AD$19,Sheet1!F13:I13,3,0),0)</f>
        <v>0</v>
      </c>
      <c r="AE21" s="88">
        <f>+IFERROR(VLOOKUP($AE$19,Sheet1!F13:I13,3,0),0)</f>
        <v>0</v>
      </c>
      <c r="AF21" s="166">
        <v>518</v>
      </c>
      <c r="AG21" s="87">
        <f>+IFERROR(VLOOKUP($AG$19,Sheet1!R13:U13,3,0),0)</f>
        <v>0</v>
      </c>
      <c r="AH21" s="166">
        <v>930</v>
      </c>
      <c r="AI21" s="87">
        <f>+IFERROR(VLOOKUP($AI$19,Sheet1!V13:Y13,3,0),0)</f>
        <v>0</v>
      </c>
      <c r="AJ21" s="87">
        <f>+IFERROR(VLOOKUP($AJ$19,Sheet1!V13:Y13,3,0),0)</f>
        <v>0</v>
      </c>
      <c r="AK21" s="87">
        <f>+IFERROR(VLOOKUP($AK$19,Sheet1!V13:Y13,3,0),0)</f>
        <v>0</v>
      </c>
      <c r="AL21" s="87">
        <f>+IFERROR(VLOOKUP($AL$19,Sheet1!V13:Y13,3,0),0)</f>
        <v>0</v>
      </c>
      <c r="AM21" s="87">
        <f>+IFERROR(VLOOKUP($AM$19,Sheet1!V13:Y13,3,0),0)</f>
        <v>0</v>
      </c>
      <c r="AN21" s="87">
        <f>+IFERROR(VLOOKUP($AN$19,Sheet1!V13:Y13,3,0),0)</f>
        <v>0</v>
      </c>
      <c r="AO21" s="87">
        <f>+IFERROR(VLOOKUP($AO$19,Sheet1!V13:Y13,3,0),0)</f>
        <v>0</v>
      </c>
      <c r="AP21" s="87">
        <f>+IFERROR(VLOOKUP($AP$19,Sheet1!V13:Y13,3,0),0)</f>
        <v>0</v>
      </c>
      <c r="AQ21" s="87">
        <f>+IFERROR(VLOOKUP($AQ$19,Sheet1!Z13:AB13,3,0),0)</f>
        <v>0</v>
      </c>
      <c r="AR21" s="87">
        <f>+IFERROR(VLOOKUP($AR$19,Sheet1!AD13:AG13,3,0),0)</f>
        <v>0</v>
      </c>
      <c r="AS21" s="87">
        <f>+IFERROR(VLOOKUP($AS$19,Sheet1!AD13:AG13,3,0),0)</f>
        <v>0</v>
      </c>
      <c r="AT21" s="87">
        <f>+IFERROR(VLOOKUP($AT$19,Sheet1!AD13:AG13,3,0),0)</f>
        <v>0</v>
      </c>
      <c r="AU21" s="87">
        <f>+IFERROR(VLOOKUP($AU$19,Sheet1!AD13:AG13,3,0),0)</f>
        <v>0</v>
      </c>
      <c r="AV21" s="87">
        <f>+IFERROR(VLOOKUP($AV$19,Sheet1!AD13:AG13,3,0),0)</f>
        <v>0</v>
      </c>
      <c r="AW21" s="87">
        <f>+IFERROR(VLOOKUP($AW$19,Sheet1!AD13:AG13,3,0),0)</f>
        <v>0</v>
      </c>
      <c r="AX21" s="167">
        <v>1130</v>
      </c>
      <c r="AY21" s="87">
        <f>+IFERROR(VLOOKUP($AY$19,Sheet1!AD13:AG13,3,0),0)</f>
        <v>0</v>
      </c>
      <c r="AZ21" s="87"/>
      <c r="BA21" s="87">
        <f>+IFERROR(VLOOKUP($BA$19,Sheet1!AH13:AK13,3,0),0)</f>
        <v>0</v>
      </c>
      <c r="BB21" s="87">
        <f>+IFERROR(VLOOKUP($BB$19,Sheet1!AH13:AK13,3,0),0)</f>
        <v>0</v>
      </c>
      <c r="BC21" s="87">
        <f>+IFERROR(VLOOKUP($BC$19,Sheet1!AH13:AK13,3,0),0)</f>
        <v>0</v>
      </c>
      <c r="BD21" s="87">
        <f>+IFERROR(VLOOKUP($BD$19,Sheet1!AH13:AK13,3,0),0)</f>
        <v>0</v>
      </c>
      <c r="BE21" s="87">
        <f>+IFERROR(VLOOKUP($BE$19,Sheet1!AH13:AK13,3,0),0)</f>
        <v>0</v>
      </c>
      <c r="BF21" s="87">
        <f>+IFERROR(VLOOKUP($BF$19,Sheet1!AH13:AK13,3,0),0)</f>
        <v>0</v>
      </c>
      <c r="BG21" s="87">
        <f>+IFERROR(VLOOKUP($BG$19,Sheet1!AH13:AK13,3,0),0)</f>
        <v>0</v>
      </c>
      <c r="BH21" s="87">
        <f>+IFERROR(VLOOKUP($BH$19,Sheet1!AH13:AK13,3,0),0)</f>
        <v>0</v>
      </c>
      <c r="BI21" s="87">
        <f>+IFERROR(VLOOKUP($BI$19,Sheet1!AH13:AK13,3,0),0)</f>
        <v>0</v>
      </c>
      <c r="BJ21" s="167">
        <v>5643</v>
      </c>
      <c r="BK21" s="87">
        <f>+IFERROR(VLOOKUP($BK$19,Sheet1!AH13:AK13,3,0),0)</f>
        <v>0</v>
      </c>
      <c r="BL21" s="87">
        <f>+IFERROR(VLOOKUP($BL$19,Sheet1!AL13:AO13,3,0),0)</f>
        <v>0</v>
      </c>
      <c r="BM21" s="87">
        <f>+IFERROR(VLOOKUP($BM$19,Sheet1!AL13:AO13,3,0),0)</f>
        <v>0</v>
      </c>
      <c r="BN21" s="87">
        <f>+IFERROR(VLOOKUP($BN$19,Sheet1!AL13:AO13,3,0),0)</f>
        <v>0</v>
      </c>
      <c r="BO21" s="167">
        <v>1377</v>
      </c>
      <c r="BP21" s="87">
        <f>+IFERROR(VLOOKUP($BP$19,Sheet1!AL13:AO13,3,0),0)</f>
        <v>0</v>
      </c>
      <c r="BQ21" s="87">
        <f>+IFERROR(VLOOKUP($BQ$19,Sheet1!AL13:AO13,3,0),0)</f>
        <v>0</v>
      </c>
      <c r="BR21" s="87">
        <f>+IFERROR(VLOOKUP($BR$19,Sheet1!AL13:AO13,3,0),0)</f>
        <v>0</v>
      </c>
      <c r="BS21" s="87">
        <f>+IFERROR(VLOOKUP($BS$19,Sheet1!AL13:AO13,3,0),0)</f>
        <v>0</v>
      </c>
      <c r="BT21" s="87">
        <f>+IFERROR(VLOOKUP($BT$19,Sheet1!AL13:AO13,3,0),0)</f>
        <v>0</v>
      </c>
      <c r="BU21" s="87">
        <f>+IFERROR(VLOOKUP($BU$19,Sheet1!AL13:AO13,3,0),0)</f>
        <v>0</v>
      </c>
      <c r="BV21" s="87">
        <f>+IFERROR(VLOOKUP($BV$19,Sheet1!AL13:AO13,3,0),0)</f>
        <v>0</v>
      </c>
      <c r="BW21" s="87">
        <f>+IFERROR(VLOOKUP($BW$19,Sheet1!AL13:AO13,3,0),0)</f>
        <v>0</v>
      </c>
      <c r="BX21" s="167">
        <v>1032</v>
      </c>
      <c r="BY21" s="167">
        <v>58</v>
      </c>
      <c r="BZ21" s="87">
        <f>+IFERROR(VLOOKUP($BZ$19,Sheet1!AX13:BA13,3,0),0)</f>
        <v>0</v>
      </c>
      <c r="CA21" s="167">
        <v>95</v>
      </c>
      <c r="CB21" s="87">
        <f>+IFERROR(VLOOKUP($CB$19,Sheet1!BF13:BI13,3,0),0)</f>
        <v>0</v>
      </c>
      <c r="CC21" s="87">
        <f>+IFERROR(VLOOKUP($CC$19,Sheet1!BJ13:BM13,3,0),0)</f>
        <v>0</v>
      </c>
      <c r="CD21" s="87">
        <f>+IFERROR(VLOOKUP($CD$19,Sheet1!BN13:BQ13,3,0),0)</f>
        <v>0</v>
      </c>
      <c r="CE21" s="167">
        <v>60</v>
      </c>
      <c r="CF21" s="37">
        <f>+IFERROR(VLOOKUP($CF$19,Sheet1!BV13:BY13,3,0),0)</f>
        <v>0</v>
      </c>
      <c r="CG21" s="56" t="str">
        <f>Sheet1!E13</f>
        <v>STEEL</v>
      </c>
      <c r="CH21" s="57" t="s">
        <v>276</v>
      </c>
      <c r="CI21" s="57" t="s">
        <v>277</v>
      </c>
      <c r="CJ21" s="57">
        <f>Sheet1!CX13</f>
        <v>250</v>
      </c>
      <c r="CK21" s="23">
        <f>26000/0.25</f>
        <v>104000</v>
      </c>
      <c r="CL21" s="23">
        <f t="shared" ref="CL21:CL43" si="5">SUMPRODUCT($N$20:$CF$20,N21:CF21)+CK21</f>
        <v>2284877</v>
      </c>
      <c r="CM21" s="79">
        <v>0.01</v>
      </c>
      <c r="CN21" s="23">
        <f t="shared" ref="CN21:CN43" si="6">CL21*CM21</f>
        <v>22848.77</v>
      </c>
      <c r="CO21" s="79">
        <v>0.18</v>
      </c>
      <c r="CP21" s="23">
        <f t="shared" ref="CP21:CP43" si="7">CL21*CO21</f>
        <v>411277.86</v>
      </c>
      <c r="CQ21" s="79">
        <f>Sheet1!CF13</f>
        <v>0</v>
      </c>
      <c r="CR21" s="23">
        <f t="shared" ref="CR21:CR43" si="8">CL21*CQ21</f>
        <v>0</v>
      </c>
      <c r="CS21" s="23">
        <f t="shared" ref="CS21:CS43" si="9">CL21+CN21+CP21+CR21</f>
        <v>2719003.63</v>
      </c>
      <c r="CT21" s="79">
        <v>0.02</v>
      </c>
      <c r="CU21" s="6">
        <f t="shared" ref="CU21:CU43" si="10">CS21*CT21</f>
        <v>54380.0726</v>
      </c>
      <c r="CV21" s="79">
        <v>0.01</v>
      </c>
      <c r="CW21" s="6">
        <f t="shared" ref="CW21:CW43" si="11">CS21*CV21</f>
        <v>27190.0363</v>
      </c>
      <c r="CX21" s="79">
        <f>Sheet1!CM13</f>
        <v>0</v>
      </c>
      <c r="CY21" s="6">
        <f t="shared" ref="CY21:CY43" si="12">CX21*CS21</f>
        <v>0</v>
      </c>
    </row>
    <row r="22" spans="1:104" s="22" customFormat="1" ht="30" x14ac:dyDescent="0.25">
      <c r="A22" s="6" t="str">
        <f>Sheet1!A15</f>
        <v>ENQ-18390-25-26</v>
      </c>
      <c r="B22" s="71">
        <v>46357</v>
      </c>
      <c r="C22" s="6" t="str">
        <f>Sheet1!C15</f>
        <v>FA1300091</v>
      </c>
      <c r="D22" s="6" t="str">
        <f>Sheet1!D15</f>
        <v>3 CORE X 300 SQ. MM. AL/ARM - WIRE (XLPE) - 11 KV</v>
      </c>
      <c r="E22" s="23">
        <f t="shared" si="0"/>
        <v>2238616.0286000003</v>
      </c>
      <c r="F22" s="86">
        <f t="shared" ref="F22:F43" si="13">ROUNDUP(M50,0)</f>
        <v>58097</v>
      </c>
      <c r="G22" s="28">
        <f t="shared" si="1"/>
        <v>2296713.0286000003</v>
      </c>
      <c r="H22" s="29">
        <f>Sheet1!CR15</f>
        <v>0.18</v>
      </c>
      <c r="I22" s="28">
        <f t="shared" si="2"/>
        <v>413408.34514800005</v>
      </c>
      <c r="J22" s="28">
        <f t="shared" si="3"/>
        <v>2710121.3737480002</v>
      </c>
      <c r="K22" s="63">
        <f>Sheet1!CU15</f>
        <v>151</v>
      </c>
      <c r="L22" s="60" t="str">
        <f>Sheet1!CV15</f>
        <v>KMS</v>
      </c>
      <c r="M22" s="23">
        <f t="shared" si="4"/>
        <v>409228327.43594801</v>
      </c>
      <c r="N22" s="166">
        <f>+IFERROR(VLOOKUP($N$19,Sheet1!J15:L15,3,0),0)</f>
        <v>2430</v>
      </c>
      <c r="O22" s="88">
        <f>+IFERROR(VLOOKUP($O$19,Sheet1!J15:L15,3,0),0)</f>
        <v>0</v>
      </c>
      <c r="P22" s="88">
        <f>+IFERROR(VLOOKUP($P$19,Sheet1!J15:M15,3,0),0)</f>
        <v>0</v>
      </c>
      <c r="Q22" s="88">
        <f>+IFERROR(VLOOKUP($Q$19,Sheet1!J15:M15,3,0),0)</f>
        <v>0</v>
      </c>
      <c r="R22" s="88">
        <f>+IFERROR(VLOOKUP($R$19,Sheet1!J15:M15,3,0),0)</f>
        <v>0</v>
      </c>
      <c r="S22" s="88">
        <f>+IFERROR(VLOOKUP($S$19,Sheet1!J15:M15,3,0),0)</f>
        <v>0</v>
      </c>
      <c r="T22" s="88">
        <f>+IFERROR(VLOOKUP($T$19,Sheet1!J15:M15,3,0),0)</f>
        <v>0</v>
      </c>
      <c r="U22" s="88">
        <f>+IFERROR(VLOOKUP($U$19,Sheet1!J15:M15,3,0),0)</f>
        <v>0</v>
      </c>
      <c r="V22" s="88">
        <f>+IFERROR(VLOOKUP($V$19,Sheet1!N15:Q15,3,0),0)</f>
        <v>0</v>
      </c>
      <c r="W22" s="88">
        <f>+IFERROR(VLOOKUP($W$19,Sheet1!N15:Q15,3,0),0)</f>
        <v>0</v>
      </c>
      <c r="X22" s="88">
        <f>+IFERROR(VLOOKUP($X$19,Sheet1!F15:I15,3,0),0)</f>
        <v>0</v>
      </c>
      <c r="Y22" s="88">
        <f>+IFERROR(VLOOKUP($Y$19,Sheet1!F15:I15,3,0),0)</f>
        <v>0</v>
      </c>
      <c r="Z22" s="88">
        <f>+IFERROR(VLOOKUP($Z$19,Sheet1!F15:I15,3,0),0)</f>
        <v>0</v>
      </c>
      <c r="AA22" s="88">
        <f>+IFERROR(VLOOKUP($AA$19,Sheet1!F15:I15,3,0),0)</f>
        <v>0</v>
      </c>
      <c r="AB22" s="166">
        <v>161</v>
      </c>
      <c r="AC22" s="88">
        <f>+IFERROR(VLOOKUP($AC$19,Sheet1!F15:I15,3,0),0)</f>
        <v>0</v>
      </c>
      <c r="AD22" s="88">
        <f>+IFERROR(VLOOKUP($AD$19,Sheet1!F15:I15,3,0),0)</f>
        <v>0</v>
      </c>
      <c r="AE22" s="88">
        <f>+IFERROR(VLOOKUP($AE$19,Sheet1!F15:I15,3,0),0)</f>
        <v>0</v>
      </c>
      <c r="AF22" s="166">
        <v>465</v>
      </c>
      <c r="AG22" s="87">
        <f>+IFERROR(VLOOKUP($AG$19,Sheet1!R15:U15,3,0),0)</f>
        <v>0</v>
      </c>
      <c r="AH22" s="166">
        <v>835</v>
      </c>
      <c r="AI22" s="87">
        <f>+IFERROR(VLOOKUP($AI$19,Sheet1!V15:Y15,3,0),0)</f>
        <v>0</v>
      </c>
      <c r="AJ22" s="87">
        <f>+IFERROR(VLOOKUP($AJ$19,Sheet1!V15:Y15,3,0),0)</f>
        <v>0</v>
      </c>
      <c r="AK22" s="87">
        <f>+IFERROR(VLOOKUP($AK$19,Sheet1!V15:Y15,3,0),0)</f>
        <v>0</v>
      </c>
      <c r="AL22" s="87">
        <f>+IFERROR(VLOOKUP($AL$19,Sheet1!V15:Y15,3,0),0)</f>
        <v>0</v>
      </c>
      <c r="AM22" s="87">
        <f>+IFERROR(VLOOKUP($AM$19,Sheet1!V15:Y15,3,0),0)</f>
        <v>0</v>
      </c>
      <c r="AN22" s="87">
        <f>+IFERROR(VLOOKUP($AN$19,Sheet1!V15:Y15,3,0),0)</f>
        <v>0</v>
      </c>
      <c r="AO22" s="87">
        <f>+IFERROR(VLOOKUP($AO$19,Sheet1!V15:Y15,3,0),0)</f>
        <v>0</v>
      </c>
      <c r="AP22" s="87">
        <f>+IFERROR(VLOOKUP($AP$19,Sheet1!V15:Y15,3,0),0)</f>
        <v>0</v>
      </c>
      <c r="AQ22" s="87">
        <f>+IFERROR(VLOOKUP($AQ$19,Sheet1!Z15:AB15,3,0),0)</f>
        <v>0</v>
      </c>
      <c r="AR22" s="87">
        <f>+IFERROR(VLOOKUP($AR$19,Sheet1!AD15:AG15,3,0),0)</f>
        <v>0</v>
      </c>
      <c r="AS22" s="87">
        <f>+IFERROR(VLOOKUP($AS$19,Sheet1!AD15:AG15,3,0),0)</f>
        <v>0</v>
      </c>
      <c r="AT22" s="87">
        <f>+IFERROR(VLOOKUP($AT$19,Sheet1!AD15:AG15,3,0),0)</f>
        <v>0</v>
      </c>
      <c r="AU22" s="87">
        <f>+IFERROR(VLOOKUP($AU$19,Sheet1!AD15:AG15,3,0),0)</f>
        <v>0</v>
      </c>
      <c r="AV22" s="87">
        <f>+IFERROR(VLOOKUP($AV$19,Sheet1!AD15:AG15,3,0),0)</f>
        <v>0</v>
      </c>
      <c r="AW22" s="87">
        <f>+IFERROR(VLOOKUP($AW$19,Sheet1!AD15:AG15,3,0),0)</f>
        <v>0</v>
      </c>
      <c r="AX22" s="167">
        <v>974</v>
      </c>
      <c r="AY22" s="87">
        <f>+IFERROR(VLOOKUP($AY$19,Sheet1!AD15:AG15,3,0),0)</f>
        <v>0</v>
      </c>
      <c r="AZ22" s="87"/>
      <c r="BA22" s="87">
        <f>+IFERROR(VLOOKUP($BA$19,Sheet1!AH15:AK15,3,0),0)</f>
        <v>0</v>
      </c>
      <c r="BB22" s="87">
        <f>+IFERROR(VLOOKUP($BB$19,Sheet1!AH15:AK15,3,0),0)</f>
        <v>0</v>
      </c>
      <c r="BC22" s="87">
        <f>+IFERROR(VLOOKUP($BC$19,Sheet1!AH15:AK15,3,0),0)</f>
        <v>0</v>
      </c>
      <c r="BD22" s="87">
        <f>+IFERROR(VLOOKUP($BD$19,Sheet1!AH15:AK15,3,0),0)</f>
        <v>0</v>
      </c>
      <c r="BE22" s="87">
        <f>+IFERROR(VLOOKUP($BE$19,Sheet1!AH15:AK15,3,0),0)</f>
        <v>0</v>
      </c>
      <c r="BF22" s="87">
        <f>+IFERROR(VLOOKUP($BF$19,Sheet1!AH15:AK15,3,0),0)</f>
        <v>0</v>
      </c>
      <c r="BG22" s="87">
        <f>+IFERROR(VLOOKUP($BG$19,Sheet1!AH15:AK15,3,0),0)</f>
        <v>0</v>
      </c>
      <c r="BH22" s="87">
        <f>+IFERROR(VLOOKUP($BH$19,Sheet1!AH15:AK15,3,0),0)</f>
        <v>0</v>
      </c>
      <c r="BI22" s="87">
        <f>+IFERROR(VLOOKUP($BI$19,Sheet1!AH15:AK15,3,0),0)</f>
        <v>0</v>
      </c>
      <c r="BJ22" s="167">
        <v>4072</v>
      </c>
      <c r="BK22" s="87">
        <f>+IFERROR(VLOOKUP($BK$19,Sheet1!AH15:AK15,3,0),0)</f>
        <v>0</v>
      </c>
      <c r="BL22" s="87">
        <f>+IFERROR(VLOOKUP($BL$19,Sheet1!AL15:AO15,3,0),0)</f>
        <v>0</v>
      </c>
      <c r="BM22" s="87">
        <f>+IFERROR(VLOOKUP($BM$19,Sheet1!AL15:AO15,3,0),0)</f>
        <v>0</v>
      </c>
      <c r="BN22" s="87">
        <f>+IFERROR(VLOOKUP($BN$19,Sheet1!AL15:AO15,3,0),0)</f>
        <v>0</v>
      </c>
      <c r="BO22" s="167">
        <v>1190</v>
      </c>
      <c r="BP22" s="87">
        <f>+IFERROR(VLOOKUP($BP$19,Sheet1!AL15:AO15,3,0),0)</f>
        <v>0</v>
      </c>
      <c r="BQ22" s="87">
        <f>+IFERROR(VLOOKUP($BQ$19,Sheet1!AL15:AO15,3,0),0)</f>
        <v>0</v>
      </c>
      <c r="BR22" s="87">
        <f>+IFERROR(VLOOKUP($BR$19,Sheet1!AL15:AO15,3,0),0)</f>
        <v>0</v>
      </c>
      <c r="BS22" s="87">
        <f>+IFERROR(VLOOKUP($BS$19,Sheet1!AL15:AO15,3,0),0)</f>
        <v>0</v>
      </c>
      <c r="BT22" s="87">
        <f>+IFERROR(VLOOKUP($BT$19,Sheet1!AL15:AO15,3,0),0)</f>
        <v>0</v>
      </c>
      <c r="BU22" s="87">
        <f>+IFERROR(VLOOKUP($BU$19,Sheet1!AL15:AO15,3,0),0)</f>
        <v>0</v>
      </c>
      <c r="BV22" s="87">
        <f>+IFERROR(VLOOKUP($BV$19,Sheet1!AL15:AO15,3,0),0)</f>
        <v>0</v>
      </c>
      <c r="BW22" s="87">
        <f>+IFERROR(VLOOKUP($BW$19,Sheet1!AL15:AO15,3,0),0)</f>
        <v>0</v>
      </c>
      <c r="BX22" s="167">
        <v>862</v>
      </c>
      <c r="BY22" s="167">
        <v>38</v>
      </c>
      <c r="BZ22" s="87">
        <f>+IFERROR(VLOOKUP($BZ$19,Sheet1!AX15:BA15,3,0),0)</f>
        <v>0</v>
      </c>
      <c r="CA22" s="167">
        <v>86</v>
      </c>
      <c r="CB22" s="87">
        <f>+IFERROR(VLOOKUP($CB$19,Sheet1!BF15:BI15,3,0),0)</f>
        <v>0</v>
      </c>
      <c r="CC22" s="87">
        <f>+IFERROR(VLOOKUP($CC$19,Sheet1!BJ15:BM15,3,0),0)</f>
        <v>0</v>
      </c>
      <c r="CD22" s="87">
        <f>+IFERROR(VLOOKUP($CD$19,Sheet1!BN15:BQ15,3,0),0)</f>
        <v>0</v>
      </c>
      <c r="CE22" s="167">
        <v>54</v>
      </c>
      <c r="CF22" s="37">
        <f>+IFERROR(VLOOKUP($CF$19,Sheet1!BV15:BY15,3,0),0)</f>
        <v>0</v>
      </c>
      <c r="CG22" s="56" t="str">
        <f>Sheet1!E15</f>
        <v>STEEL</v>
      </c>
      <c r="CH22" s="57" t="s">
        <v>276</v>
      </c>
      <c r="CI22" s="57" t="s">
        <v>277</v>
      </c>
      <c r="CJ22" s="57">
        <f>Sheet1!CX15</f>
        <v>250</v>
      </c>
      <c r="CK22" s="23">
        <f>26000/0.25</f>
        <v>104000</v>
      </c>
      <c r="CL22" s="23">
        <f t="shared" si="5"/>
        <v>1826398</v>
      </c>
      <c r="CM22" s="79">
        <v>0.01</v>
      </c>
      <c r="CN22" s="23">
        <f t="shared" si="6"/>
        <v>18263.98</v>
      </c>
      <c r="CO22" s="79">
        <v>0.18</v>
      </c>
      <c r="CP22" s="23">
        <f t="shared" si="7"/>
        <v>328751.64</v>
      </c>
      <c r="CQ22" s="79">
        <f>Sheet1!CF15</f>
        <v>0</v>
      </c>
      <c r="CR22" s="23">
        <f t="shared" si="8"/>
        <v>0</v>
      </c>
      <c r="CS22" s="23">
        <f t="shared" si="9"/>
        <v>2173413.62</v>
      </c>
      <c r="CT22" s="79">
        <v>0.02</v>
      </c>
      <c r="CU22" s="6">
        <f t="shared" si="10"/>
        <v>43468.272400000002</v>
      </c>
      <c r="CV22" s="79">
        <v>0.01</v>
      </c>
      <c r="CW22" s="6">
        <f t="shared" si="11"/>
        <v>21734.136200000001</v>
      </c>
      <c r="CX22" s="79">
        <f>Sheet1!CM15</f>
        <v>0</v>
      </c>
      <c r="CY22" s="6">
        <f t="shared" si="12"/>
        <v>0</v>
      </c>
    </row>
    <row r="23" spans="1:104" s="22" customFormat="1" ht="30" x14ac:dyDescent="0.25">
      <c r="A23" s="6" t="str">
        <f>Sheet1!A14</f>
        <v>ENQ-18390-25-26</v>
      </c>
      <c r="B23" s="71">
        <v>46357</v>
      </c>
      <c r="C23" s="6" t="str">
        <f>Sheet1!C14</f>
        <v>FA1300090</v>
      </c>
      <c r="D23" s="6" t="str">
        <f>Sheet1!D14</f>
        <v>3 CORE X 185 SQ. MM AL/ARM - WIRE (XLPE) - 11 KV</v>
      </c>
      <c r="E23" s="23">
        <f t="shared" si="0"/>
        <v>1652693.4319</v>
      </c>
      <c r="F23" s="86">
        <f t="shared" si="13"/>
        <v>34118</v>
      </c>
      <c r="G23" s="28">
        <f t="shared" si="1"/>
        <v>1686811.4319</v>
      </c>
      <c r="H23" s="29">
        <f>Sheet1!CR14</f>
        <v>0.18</v>
      </c>
      <c r="I23" s="28">
        <f t="shared" si="2"/>
        <v>303626.05774199998</v>
      </c>
      <c r="J23" s="28">
        <f t="shared" si="3"/>
        <v>1990437.4896419998</v>
      </c>
      <c r="K23" s="63">
        <f>Sheet1!CU14</f>
        <v>17</v>
      </c>
      <c r="L23" s="60" t="str">
        <f>Sheet1!CV14</f>
        <v>KMS</v>
      </c>
      <c r="M23" s="23">
        <f t="shared" si="4"/>
        <v>33837437.323913999</v>
      </c>
      <c r="N23" s="166">
        <f>+IFERROR(VLOOKUP($N$19,Sheet1!J14:L14,3,0),0)</f>
        <v>1499</v>
      </c>
      <c r="O23" s="88">
        <f>+IFERROR(VLOOKUP($O$19,Sheet1!J14:L14,3,0),0)</f>
        <v>0</v>
      </c>
      <c r="P23" s="88">
        <f>+IFERROR(VLOOKUP($P$19,Sheet1!J14:M14,3,0),0)</f>
        <v>0</v>
      </c>
      <c r="Q23" s="88">
        <f>+IFERROR(VLOOKUP($Q$19,Sheet1!J14:M14,3,0),0)</f>
        <v>0</v>
      </c>
      <c r="R23" s="88">
        <f>+IFERROR(VLOOKUP($R$19,Sheet1!J14:M14,3,0),0)</f>
        <v>0</v>
      </c>
      <c r="S23" s="88">
        <f>+IFERROR(VLOOKUP($S$19,Sheet1!J14:M14,3,0),0)</f>
        <v>0</v>
      </c>
      <c r="T23" s="88">
        <f>+IFERROR(VLOOKUP($T$19,Sheet1!J14:M14,3,0),0)</f>
        <v>0</v>
      </c>
      <c r="U23" s="88">
        <f>+IFERROR(VLOOKUP($U$19,Sheet1!J14:M14,3,0),0)</f>
        <v>0</v>
      </c>
      <c r="V23" s="88">
        <f>+IFERROR(VLOOKUP($V$19,Sheet1!N14:Q14,3,0),0)</f>
        <v>0</v>
      </c>
      <c r="W23" s="88">
        <f>+IFERROR(VLOOKUP($W$19,Sheet1!N14:Q14,3,0),0)</f>
        <v>0</v>
      </c>
      <c r="X23" s="88">
        <f>+IFERROR(VLOOKUP($X$19,Sheet1!F14:I14,3,0),0)</f>
        <v>0</v>
      </c>
      <c r="Y23" s="88">
        <f>+IFERROR(VLOOKUP($Y$19,Sheet1!F14:I14,3,0),0)</f>
        <v>0</v>
      </c>
      <c r="Z23" s="88">
        <f>+IFERROR(VLOOKUP($Z$19,Sheet1!F14:I14,3,0),0)</f>
        <v>0</v>
      </c>
      <c r="AA23" s="88">
        <f>+IFERROR(VLOOKUP($AA$19,Sheet1!F14:I14,3,0),0)</f>
        <v>0</v>
      </c>
      <c r="AB23" s="166">
        <v>138</v>
      </c>
      <c r="AC23" s="88">
        <f>+IFERROR(VLOOKUP($AC$19,Sheet1!F14:I14,3,0),0)</f>
        <v>0</v>
      </c>
      <c r="AD23" s="88">
        <f>+IFERROR(VLOOKUP($AD$19,Sheet1!F14:I14,3,0),0)</f>
        <v>0</v>
      </c>
      <c r="AE23" s="88">
        <f>+IFERROR(VLOOKUP($AE$19,Sheet1!F14:I14,3,0),0)</f>
        <v>0</v>
      </c>
      <c r="AF23" s="166">
        <v>387</v>
      </c>
      <c r="AG23" s="87">
        <f>+IFERROR(VLOOKUP($AG$19,Sheet1!R14:U14,3,0),0)</f>
        <v>0</v>
      </c>
      <c r="AH23" s="166">
        <v>693</v>
      </c>
      <c r="AI23" s="87">
        <f>+IFERROR(VLOOKUP($AI$19,Sheet1!V14:Y14,3,0),0)</f>
        <v>0</v>
      </c>
      <c r="AJ23" s="87">
        <f>+IFERROR(VLOOKUP($AJ$19,Sheet1!V14:Y14,3,0),0)</f>
        <v>0</v>
      </c>
      <c r="AK23" s="87">
        <f>+IFERROR(VLOOKUP($AK$19,Sheet1!V14:Y14,3,0),0)</f>
        <v>0</v>
      </c>
      <c r="AL23" s="87">
        <f>+IFERROR(VLOOKUP($AL$19,Sheet1!V14:Y14,3,0),0)</f>
        <v>0</v>
      </c>
      <c r="AM23" s="87">
        <f>+IFERROR(VLOOKUP($AM$19,Sheet1!V14:Y14,3,0),0)</f>
        <v>0</v>
      </c>
      <c r="AN23" s="87">
        <f>+IFERROR(VLOOKUP($AN$19,Sheet1!V14:Y14,3,0),0)</f>
        <v>0</v>
      </c>
      <c r="AO23" s="87">
        <f>+IFERROR(VLOOKUP($AO$19,Sheet1!V14:Y14,3,0),0)</f>
        <v>0</v>
      </c>
      <c r="AP23" s="87">
        <f>+IFERROR(VLOOKUP($AP$19,Sheet1!V14:Y14,3,0),0)</f>
        <v>0</v>
      </c>
      <c r="AQ23" s="87">
        <f>+IFERROR(VLOOKUP($AQ$19,Sheet1!Z14:AB14,3,0),0)</f>
        <v>0</v>
      </c>
      <c r="AR23" s="87">
        <f>+IFERROR(VLOOKUP($AR$19,Sheet1!AD14:AG14,3,0),0)</f>
        <v>0</v>
      </c>
      <c r="AS23" s="87">
        <f>+IFERROR(VLOOKUP($AS$19,Sheet1!AD14:AG14,3,0),0)</f>
        <v>0</v>
      </c>
      <c r="AT23" s="87">
        <f>+IFERROR(VLOOKUP($AT$19,Sheet1!AD14:AG14,3,0),0)</f>
        <v>0</v>
      </c>
      <c r="AU23" s="87">
        <f>+IFERROR(VLOOKUP($AU$19,Sheet1!AD14:AG14,3,0),0)</f>
        <v>0</v>
      </c>
      <c r="AV23" s="87">
        <f>+IFERROR(VLOOKUP($AV$19,Sheet1!AD14:AG14,3,0),0)</f>
        <v>0</v>
      </c>
      <c r="AW23" s="87">
        <f>+IFERROR(VLOOKUP($AW$19,Sheet1!AD14:AG14,3,0),0)</f>
        <v>0</v>
      </c>
      <c r="AX23" s="167">
        <v>809</v>
      </c>
      <c r="AY23" s="87">
        <f>+IFERROR(VLOOKUP($AY$19,Sheet1!AD14:AG14,3,0),0)</f>
        <v>0</v>
      </c>
      <c r="AZ23" s="87"/>
      <c r="BA23" s="87">
        <f>+IFERROR(VLOOKUP($BA$19,Sheet1!AH14:AK14,3,0),0)</f>
        <v>0</v>
      </c>
      <c r="BB23" s="87">
        <f>+IFERROR(VLOOKUP($BB$19,Sheet1!AH14:AK14,3,0),0)</f>
        <v>0</v>
      </c>
      <c r="BC23" s="87">
        <f>+IFERROR(VLOOKUP($BC$19,Sheet1!AH14:AK14,3,0),0)</f>
        <v>0</v>
      </c>
      <c r="BD23" s="87">
        <f>+IFERROR(VLOOKUP($BD$19,Sheet1!AH14:AK14,3,0),0)</f>
        <v>0</v>
      </c>
      <c r="BE23" s="87">
        <f>+IFERROR(VLOOKUP($BE$19,Sheet1!AH14:AK14,3,0),0)</f>
        <v>0</v>
      </c>
      <c r="BF23" s="87">
        <f>+IFERROR(VLOOKUP($BF$19,Sheet1!AH14:AK14,3,0),0)</f>
        <v>0</v>
      </c>
      <c r="BG23" s="87">
        <f>+IFERROR(VLOOKUP($BG$19,Sheet1!AH14:AK14,3,0),0)</f>
        <v>0</v>
      </c>
      <c r="BH23" s="87">
        <f>+IFERROR(VLOOKUP($BH$19,Sheet1!AH14:AK14,3,0),0)</f>
        <v>0</v>
      </c>
      <c r="BI23" s="87">
        <f>+IFERROR(VLOOKUP($BI$19,Sheet1!AH14:AK14,3,0),0)</f>
        <v>0</v>
      </c>
      <c r="BJ23" s="167">
        <v>3500</v>
      </c>
      <c r="BK23" s="87">
        <f>+IFERROR(VLOOKUP($BK$19,Sheet1!AH14:AK14,3,0),0)</f>
        <v>0</v>
      </c>
      <c r="BL23" s="87">
        <f>+IFERROR(VLOOKUP($BL$19,Sheet1!AL14:AO14,3,0),0)</f>
        <v>0</v>
      </c>
      <c r="BM23" s="87">
        <f>+IFERROR(VLOOKUP($BM$19,Sheet1!AL14:AO14,3,0),0)</f>
        <v>0</v>
      </c>
      <c r="BN23" s="87">
        <f>+IFERROR(VLOOKUP($BN$19,Sheet1!AL14:AO14,3,0),0)</f>
        <v>0</v>
      </c>
      <c r="BO23" s="167">
        <v>945</v>
      </c>
      <c r="BP23" s="87">
        <f>+IFERROR(VLOOKUP($BP$19,Sheet1!AL14:AO14,3,0),0)</f>
        <v>0</v>
      </c>
      <c r="BQ23" s="87">
        <f>+IFERROR(VLOOKUP($BQ$19,Sheet1!AL14:AO14,3,0),0)</f>
        <v>0</v>
      </c>
      <c r="BR23" s="87">
        <f>+IFERROR(VLOOKUP($BR$19,Sheet1!AL14:AO14,3,0),0)</f>
        <v>0</v>
      </c>
      <c r="BS23" s="87">
        <f>+IFERROR(VLOOKUP($BS$19,Sheet1!AL14:AO14,3,0),0)</f>
        <v>0</v>
      </c>
      <c r="BT23" s="87">
        <f>+IFERROR(VLOOKUP($BT$19,Sheet1!AL14:AO14,3,0),0)</f>
        <v>0</v>
      </c>
      <c r="BU23" s="87">
        <f>+IFERROR(VLOOKUP($BU$19,Sheet1!AL14:AO14,3,0),0)</f>
        <v>0</v>
      </c>
      <c r="BV23" s="87">
        <f>+IFERROR(VLOOKUP($BV$19,Sheet1!AL14:AO14,3,0),0)</f>
        <v>0</v>
      </c>
      <c r="BW23" s="87">
        <f>+IFERROR(VLOOKUP($BW$19,Sheet1!AL14:AO14,3,0),0)</f>
        <v>0</v>
      </c>
      <c r="BX23" s="167">
        <v>615</v>
      </c>
      <c r="BY23" s="167">
        <v>35</v>
      </c>
      <c r="BZ23" s="87">
        <f>+IFERROR(VLOOKUP($BZ$19,Sheet1!AX14:BA14,3,0),0)</f>
        <v>0</v>
      </c>
      <c r="CA23" s="167">
        <v>72</v>
      </c>
      <c r="CB23" s="87">
        <f>+IFERROR(VLOOKUP($CB$19,Sheet1!BF14:BI14,3,0),0)</f>
        <v>0</v>
      </c>
      <c r="CC23" s="87">
        <f>+IFERROR(VLOOKUP($CC$19,Sheet1!BJ14:BM14,3,0),0)</f>
        <v>0</v>
      </c>
      <c r="CD23" s="87">
        <f>+IFERROR(VLOOKUP($CD$19,Sheet1!BN14:BQ14,3,0),0)</f>
        <v>0</v>
      </c>
      <c r="CE23" s="167">
        <v>48</v>
      </c>
      <c r="CF23" s="37">
        <f>+IFERROR(VLOOKUP($CF$19,Sheet1!BV14:BY14,3,0),0)</f>
        <v>0</v>
      </c>
      <c r="CG23" s="56" t="str">
        <f>Sheet1!E14</f>
        <v>STEEL</v>
      </c>
      <c r="CH23" s="57" t="s">
        <v>272</v>
      </c>
      <c r="CI23" s="57" t="s">
        <v>273</v>
      </c>
      <c r="CJ23" s="57">
        <f>Sheet1!CX14</f>
        <v>250</v>
      </c>
      <c r="CK23" s="23">
        <f>16900/0.25</f>
        <v>67600</v>
      </c>
      <c r="CL23" s="23">
        <f t="shared" si="5"/>
        <v>1348367</v>
      </c>
      <c r="CM23" s="79">
        <v>0.01</v>
      </c>
      <c r="CN23" s="23">
        <f t="shared" si="6"/>
        <v>13483.67</v>
      </c>
      <c r="CO23" s="79">
        <v>0.18</v>
      </c>
      <c r="CP23" s="23">
        <f t="shared" si="7"/>
        <v>242706.06</v>
      </c>
      <c r="CQ23" s="79">
        <f>Sheet1!CF14</f>
        <v>0</v>
      </c>
      <c r="CR23" s="23">
        <f t="shared" si="8"/>
        <v>0</v>
      </c>
      <c r="CS23" s="23">
        <f t="shared" si="9"/>
        <v>1604556.73</v>
      </c>
      <c r="CT23" s="79">
        <v>0.02</v>
      </c>
      <c r="CU23" s="6">
        <f t="shared" si="10"/>
        <v>32091.134600000001</v>
      </c>
      <c r="CV23" s="79">
        <v>0.01</v>
      </c>
      <c r="CW23" s="6">
        <f t="shared" si="11"/>
        <v>16045.567300000001</v>
      </c>
      <c r="CX23" s="79">
        <f>Sheet1!CM14</f>
        <v>0</v>
      </c>
      <c r="CY23" s="6">
        <f t="shared" si="12"/>
        <v>0</v>
      </c>
    </row>
    <row r="24" spans="1:104" s="22" customFormat="1" ht="30" x14ac:dyDescent="0.25">
      <c r="A24" s="6" t="str">
        <f>Sheet1!A20</f>
        <v>ENQ-18390-25-26</v>
      </c>
      <c r="B24" s="71">
        <v>46357</v>
      </c>
      <c r="C24" s="6" t="str">
        <f>Sheet1!C20</f>
        <v>FA1300176</v>
      </c>
      <c r="D24" s="6" t="str">
        <f>Sheet1!D20</f>
        <v>3 CORE X 150 SQ. MM. AL/ARM - WIRE (XLPE) - 11 KV</v>
      </c>
      <c r="E24" s="23">
        <f t="shared" si="0"/>
        <v>1369163.2822</v>
      </c>
      <c r="F24" s="86">
        <f t="shared" si="13"/>
        <v>36250</v>
      </c>
      <c r="G24" s="28">
        <f t="shared" si="1"/>
        <v>1405413.2822</v>
      </c>
      <c r="H24" s="29">
        <f>Sheet1!CR20</f>
        <v>0.18</v>
      </c>
      <c r="I24" s="28">
        <f t="shared" si="2"/>
        <v>252974.39079599999</v>
      </c>
      <c r="J24" s="28">
        <f t="shared" si="3"/>
        <v>1658387.6729959999</v>
      </c>
      <c r="K24" s="63">
        <f>Sheet1!CU20</f>
        <v>4</v>
      </c>
      <c r="L24" s="60" t="str">
        <f>Sheet1!CV20</f>
        <v>KMS</v>
      </c>
      <c r="M24" s="23">
        <f t="shared" si="4"/>
        <v>6633550.6919839997</v>
      </c>
      <c r="N24" s="166">
        <f>+IFERROR(VLOOKUP($N$19,Sheet1!J20:L20,3,0),0)</f>
        <v>1215</v>
      </c>
      <c r="O24" s="88">
        <f>+IFERROR(VLOOKUP($O$19,Sheet1!J20:L20,3,0),0)</f>
        <v>0</v>
      </c>
      <c r="P24" s="88">
        <f>+IFERROR(VLOOKUP($P$19,Sheet1!J20:M20,3,0),0)</f>
        <v>0</v>
      </c>
      <c r="Q24" s="88">
        <f>+IFERROR(VLOOKUP($Q$19,Sheet1!J20:M20,3,0),0)</f>
        <v>0</v>
      </c>
      <c r="R24" s="88">
        <f>+IFERROR(VLOOKUP($R$19,Sheet1!J20:M20,3,0),0)</f>
        <v>0</v>
      </c>
      <c r="S24" s="88">
        <f>+IFERROR(VLOOKUP($S$19,Sheet1!J20:M20,3,0),0)</f>
        <v>0</v>
      </c>
      <c r="T24" s="88">
        <f>+IFERROR(VLOOKUP($T$19,Sheet1!J20:M20,3,0),0)</f>
        <v>0</v>
      </c>
      <c r="U24" s="88">
        <f>+IFERROR(VLOOKUP($U$19,Sheet1!J20:M20,3,0),0)</f>
        <v>0</v>
      </c>
      <c r="V24" s="88">
        <f>+IFERROR(VLOOKUP($V$19,Sheet1!N20:Q20,3,0),0)</f>
        <v>0</v>
      </c>
      <c r="W24" s="88">
        <f>+IFERROR(VLOOKUP($W$19,Sheet1!N20:Q20,3,0),0)</f>
        <v>0</v>
      </c>
      <c r="X24" s="88">
        <f>+IFERROR(VLOOKUP($X$19,Sheet1!F20:I20,3,0),0)</f>
        <v>0</v>
      </c>
      <c r="Y24" s="88">
        <f>+IFERROR(VLOOKUP($Y$19,Sheet1!F20:I20,3,0),0)</f>
        <v>0</v>
      </c>
      <c r="Z24" s="88">
        <f>+IFERROR(VLOOKUP($Z$19,Sheet1!F20:I20,3,0),0)</f>
        <v>0</v>
      </c>
      <c r="AA24" s="88">
        <f>+IFERROR(VLOOKUP($AA$19,Sheet1!F20:I20,3,0),0)</f>
        <v>0</v>
      </c>
      <c r="AB24" s="166">
        <v>130</v>
      </c>
      <c r="AC24" s="88">
        <f>+IFERROR(VLOOKUP($AC$19,Sheet1!F20:I20,3,0),0)</f>
        <v>0</v>
      </c>
      <c r="AD24" s="88">
        <f>+IFERROR(VLOOKUP($AD$19,Sheet1!F20:I20,3,0),0)</f>
        <v>0</v>
      </c>
      <c r="AE24" s="88">
        <f>+IFERROR(VLOOKUP($AE$19,Sheet1!F20:I20,3,0),0)</f>
        <v>0</v>
      </c>
      <c r="AF24" s="166">
        <v>359</v>
      </c>
      <c r="AG24" s="87">
        <f>+IFERROR(VLOOKUP($AG$19,Sheet1!R20:U20,3,0),0)</f>
        <v>0</v>
      </c>
      <c r="AH24" s="166">
        <v>642</v>
      </c>
      <c r="AI24" s="87">
        <f>+IFERROR(VLOOKUP($AI$19,Sheet1!V20:Y20,3,0),0)</f>
        <v>0</v>
      </c>
      <c r="AJ24" s="87">
        <f>+IFERROR(VLOOKUP($AJ$19,Sheet1!V20:Y20,3,0),0)</f>
        <v>0</v>
      </c>
      <c r="AK24" s="87">
        <f>+IFERROR(VLOOKUP($AK$19,Sheet1!V20:Y20,3,0),0)</f>
        <v>0</v>
      </c>
      <c r="AL24" s="87">
        <f>+IFERROR(VLOOKUP($AL$19,Sheet1!V20:Y20,3,0),0)</f>
        <v>0</v>
      </c>
      <c r="AM24" s="87">
        <f>+IFERROR(VLOOKUP($AM$19,Sheet1!V20:Y20,3,0),0)</f>
        <v>0</v>
      </c>
      <c r="AN24" s="87">
        <f>+IFERROR(VLOOKUP($AN$19,Sheet1!V20:Y20,3,0),0)</f>
        <v>0</v>
      </c>
      <c r="AO24" s="87">
        <f>+IFERROR(VLOOKUP($AO$19,Sheet1!V20:Y20,3,0),0)</f>
        <v>0</v>
      </c>
      <c r="AP24" s="87">
        <f>+IFERROR(VLOOKUP($AP$19,Sheet1!V20:Y20,3,0),0)</f>
        <v>0</v>
      </c>
      <c r="AQ24" s="87">
        <f>+IFERROR(VLOOKUP($AQ$19,Sheet1!Z20:AB20,3,0),0)</f>
        <v>0</v>
      </c>
      <c r="AR24" s="87">
        <f>+IFERROR(VLOOKUP($AR$19,Sheet1!AD20:AG20,3,0),0)</f>
        <v>0</v>
      </c>
      <c r="AS24" s="87">
        <f>+IFERROR(VLOOKUP($AS$19,Sheet1!AD20:AG20,3,0),0)</f>
        <v>0</v>
      </c>
      <c r="AT24" s="87">
        <f>+IFERROR(VLOOKUP($AT$19,Sheet1!AD20:AG20,3,0),0)</f>
        <v>0</v>
      </c>
      <c r="AU24" s="87">
        <f>+IFERROR(VLOOKUP($AU$19,Sheet1!AD20:AG20,3,0),0)</f>
        <v>0</v>
      </c>
      <c r="AV24" s="87">
        <f>+IFERROR(VLOOKUP($AV$19,Sheet1!AD20:AG20,3,0),0)</f>
        <v>0</v>
      </c>
      <c r="AW24" s="87">
        <f>+IFERROR(VLOOKUP($AW$19,Sheet1!AD20:AG20,3,0),0)</f>
        <v>0</v>
      </c>
      <c r="AX24" s="167">
        <v>666</v>
      </c>
      <c r="AY24" s="87">
        <f>+IFERROR(VLOOKUP($AY$19,Sheet1!AD20:AG20,3,0),0)</f>
        <v>0</v>
      </c>
      <c r="AZ24" s="87"/>
      <c r="BA24" s="87">
        <f>+IFERROR(VLOOKUP($BA$19,Sheet1!AH20:AK20,3,0),0)</f>
        <v>0</v>
      </c>
      <c r="BB24" s="87">
        <f>+IFERROR(VLOOKUP($BB$19,Sheet1!AH20:AK20,3,0),0)</f>
        <v>0</v>
      </c>
      <c r="BC24" s="87">
        <f>+IFERROR(VLOOKUP($BC$19,Sheet1!AH20:AK20,3,0),0)</f>
        <v>0</v>
      </c>
      <c r="BD24" s="87">
        <f>+IFERROR(VLOOKUP($BD$19,Sheet1!AH20:AK20,3,0),0)</f>
        <v>0</v>
      </c>
      <c r="BE24" s="87">
        <f>+IFERROR(VLOOKUP($BE$19,Sheet1!AH20:AK20,3,0),0)</f>
        <v>0</v>
      </c>
      <c r="BF24" s="87">
        <f>+IFERROR(VLOOKUP($BF$19,Sheet1!AH20:AK20,3,0),0)</f>
        <v>0</v>
      </c>
      <c r="BG24" s="87">
        <f>+IFERROR(VLOOKUP($BG$19,Sheet1!AH20:AK20,3,0),0)</f>
        <v>0</v>
      </c>
      <c r="BH24" s="87">
        <f>+IFERROR(VLOOKUP($BH$19,Sheet1!AH20:AK20,3,0),0)</f>
        <v>0</v>
      </c>
      <c r="BI24" s="87">
        <f>+IFERROR(VLOOKUP($BI$19,Sheet1!AH20:AK20,3,0),0)</f>
        <v>0</v>
      </c>
      <c r="BJ24" s="167">
        <v>2605</v>
      </c>
      <c r="BK24" s="87">
        <f>+IFERROR(VLOOKUP($BK$19,Sheet1!AH20:AK20,3,0),0)</f>
        <v>0</v>
      </c>
      <c r="BL24" s="87">
        <f>+IFERROR(VLOOKUP($BL$19,Sheet1!AL20:AO20,3,0),0)</f>
        <v>0</v>
      </c>
      <c r="BM24" s="87">
        <f>+IFERROR(VLOOKUP($BM$19,Sheet1!AL20:AO20,3,0),0)</f>
        <v>0</v>
      </c>
      <c r="BN24" s="87">
        <f>+IFERROR(VLOOKUP($BN$19,Sheet1!AL20:AO20,3,0),0)</f>
        <v>0</v>
      </c>
      <c r="BO24" s="167">
        <v>812</v>
      </c>
      <c r="BP24" s="87">
        <f>+IFERROR(VLOOKUP($BP$19,Sheet1!AL20:AO20,3,0),0)</f>
        <v>0</v>
      </c>
      <c r="BQ24" s="87">
        <f>+IFERROR(VLOOKUP($BQ$19,Sheet1!AL20:AO20,3,0),0)</f>
        <v>0</v>
      </c>
      <c r="BR24" s="87">
        <f>+IFERROR(VLOOKUP($BR$19,Sheet1!AL20:AO20,3,0),0)</f>
        <v>0</v>
      </c>
      <c r="BS24" s="87">
        <f>+IFERROR(VLOOKUP($BS$19,Sheet1!AL20:AO20,3,0),0)</f>
        <v>0</v>
      </c>
      <c r="BT24" s="87">
        <f>+IFERROR(VLOOKUP($BT$19,Sheet1!AL20:AO20,3,0),0)</f>
        <v>0</v>
      </c>
      <c r="BU24" s="87">
        <f>+IFERROR(VLOOKUP($BU$19,Sheet1!AL20:AO20,3,0),0)</f>
        <v>0</v>
      </c>
      <c r="BV24" s="87">
        <f>+IFERROR(VLOOKUP($BV$19,Sheet1!AL20:AO20,3,0),0)</f>
        <v>0</v>
      </c>
      <c r="BW24" s="87">
        <f>+IFERROR(VLOOKUP($BW$19,Sheet1!AL20:AO20,3,0),0)</f>
        <v>0</v>
      </c>
      <c r="BX24" s="167">
        <v>567</v>
      </c>
      <c r="BY24" s="167">
        <v>18</v>
      </c>
      <c r="BZ24" s="87">
        <f>+IFERROR(VLOOKUP($BZ$19,Sheet1!AX20:BA20,3,0),0)</f>
        <v>0</v>
      </c>
      <c r="CA24" s="167">
        <v>67</v>
      </c>
      <c r="CB24" s="87">
        <f>+IFERROR(VLOOKUP($CB$19,Sheet1!BF20:BI20,3,0),0)</f>
        <v>0</v>
      </c>
      <c r="CC24" s="87">
        <f>+IFERROR(VLOOKUP($CC$19,Sheet1!BJ20:BM20,3,0),0)</f>
        <v>0</v>
      </c>
      <c r="CD24" s="87">
        <f>+IFERROR(VLOOKUP($CD$19,Sheet1!BN20:BQ20,3,0),0)</f>
        <v>0</v>
      </c>
      <c r="CE24" s="167">
        <v>44</v>
      </c>
      <c r="CF24" s="37">
        <f>+IFERROR(VLOOKUP($CF$19,Sheet1!BV20:BY20,3,0),0)</f>
        <v>0</v>
      </c>
      <c r="CG24" s="56" t="str">
        <f>Sheet1!E20</f>
        <v>STEEL</v>
      </c>
      <c r="CH24" s="57" t="s">
        <v>282</v>
      </c>
      <c r="CI24" s="57" t="s">
        <v>283</v>
      </c>
      <c r="CJ24" s="57">
        <f>Sheet1!CX20</f>
        <v>250</v>
      </c>
      <c r="CK24" s="23">
        <f>11700/0.25</f>
        <v>46800</v>
      </c>
      <c r="CL24" s="23">
        <f t="shared" si="5"/>
        <v>1117046</v>
      </c>
      <c r="CM24" s="79">
        <v>0.01</v>
      </c>
      <c r="CN24" s="23">
        <f t="shared" si="6"/>
        <v>11170.460000000001</v>
      </c>
      <c r="CO24" s="79">
        <v>0.18</v>
      </c>
      <c r="CP24" s="23">
        <f t="shared" si="7"/>
        <v>201068.28</v>
      </c>
      <c r="CQ24" s="79">
        <f>Sheet1!CF20</f>
        <v>0</v>
      </c>
      <c r="CR24" s="23">
        <f t="shared" si="8"/>
        <v>0</v>
      </c>
      <c r="CS24" s="23">
        <f t="shared" si="9"/>
        <v>1329284.74</v>
      </c>
      <c r="CT24" s="79">
        <v>0.02</v>
      </c>
      <c r="CU24" s="6">
        <f t="shared" si="10"/>
        <v>26585.694800000001</v>
      </c>
      <c r="CV24" s="79">
        <v>0.01</v>
      </c>
      <c r="CW24" s="6">
        <f t="shared" si="11"/>
        <v>13292.847400000001</v>
      </c>
      <c r="CX24" s="79">
        <f>Sheet1!CM20</f>
        <v>0</v>
      </c>
      <c r="CY24" s="6">
        <f t="shared" si="12"/>
        <v>0</v>
      </c>
    </row>
    <row r="25" spans="1:104" s="22" customFormat="1" ht="30" x14ac:dyDescent="0.25">
      <c r="A25" s="6" t="str">
        <f>Sheet1!A21</f>
        <v>ENQ-18390-25-26</v>
      </c>
      <c r="B25" s="71">
        <v>46357</v>
      </c>
      <c r="C25" s="6" t="str">
        <f>Sheet1!C21</f>
        <v>FA1300197</v>
      </c>
      <c r="D25" s="6" t="str">
        <f>Sheet1!D21</f>
        <v>3 CORE X 120 SQ. MM. AL/ARM - WIRE (XLPE) - 11 KV</v>
      </c>
      <c r="E25" s="23">
        <f t="shared" si="0"/>
        <v>1221563.2625</v>
      </c>
      <c r="F25" s="86">
        <f t="shared" si="13"/>
        <v>36250</v>
      </c>
      <c r="G25" s="28">
        <f t="shared" si="1"/>
        <v>1257813.2625</v>
      </c>
      <c r="H25" s="29">
        <f>Sheet1!CR21</f>
        <v>0.18</v>
      </c>
      <c r="I25" s="28">
        <f t="shared" si="2"/>
        <v>226406.38724999997</v>
      </c>
      <c r="J25" s="28">
        <f t="shared" si="3"/>
        <v>1484219.6497499999</v>
      </c>
      <c r="K25" s="63">
        <f>Sheet1!CU21</f>
        <v>8</v>
      </c>
      <c r="L25" s="60" t="str">
        <f>Sheet1!CV21</f>
        <v>KMS</v>
      </c>
      <c r="M25" s="23">
        <f t="shared" si="4"/>
        <v>11873757.197999999</v>
      </c>
      <c r="N25" s="166">
        <f>+IFERROR(VLOOKUP($N$19,Sheet1!J21:L21,3,0),0)</f>
        <v>972</v>
      </c>
      <c r="O25" s="88">
        <f>+IFERROR(VLOOKUP($O$19,Sheet1!J21:L21,3,0),0)</f>
        <v>0</v>
      </c>
      <c r="P25" s="88">
        <f>+IFERROR(VLOOKUP($P$19,Sheet1!J21:M21,3,0),0)</f>
        <v>0</v>
      </c>
      <c r="Q25" s="88">
        <f>+IFERROR(VLOOKUP($Q$19,Sheet1!J21:M21,3,0),0)</f>
        <v>0</v>
      </c>
      <c r="R25" s="88">
        <f>+IFERROR(VLOOKUP($R$19,Sheet1!J21:M21,3,0),0)</f>
        <v>0</v>
      </c>
      <c r="S25" s="88">
        <f>+IFERROR(VLOOKUP($S$19,Sheet1!J21:M21,3,0),0)</f>
        <v>0</v>
      </c>
      <c r="T25" s="88">
        <f>+IFERROR(VLOOKUP($T$19,Sheet1!J21:M21,3,0),0)</f>
        <v>0</v>
      </c>
      <c r="U25" s="88">
        <f>+IFERROR(VLOOKUP($U$19,Sheet1!J21:M21,3,0),0)</f>
        <v>0</v>
      </c>
      <c r="V25" s="88">
        <f>+IFERROR(VLOOKUP($V$19,Sheet1!N21:Q21,3,0),0)</f>
        <v>0</v>
      </c>
      <c r="W25" s="88">
        <f>+IFERROR(VLOOKUP($W$19,Sheet1!N21:Q21,3,0),0)</f>
        <v>0</v>
      </c>
      <c r="X25" s="88">
        <f>+IFERROR(VLOOKUP($X$19,Sheet1!F21:I21,3,0),0)</f>
        <v>0</v>
      </c>
      <c r="Y25" s="88">
        <f>+IFERROR(VLOOKUP($Y$19,Sheet1!F21:I21,3,0),0)</f>
        <v>0</v>
      </c>
      <c r="Z25" s="88">
        <f>+IFERROR(VLOOKUP($Z$19,Sheet1!F21:I21,3,0),0)</f>
        <v>0</v>
      </c>
      <c r="AA25" s="88">
        <f>+IFERROR(VLOOKUP($AA$19,Sheet1!F21:I21,3,0),0)</f>
        <v>0</v>
      </c>
      <c r="AB25" s="166">
        <v>123</v>
      </c>
      <c r="AC25" s="88">
        <f>+IFERROR(VLOOKUP($AC$19,Sheet1!F21:I21,3,0),0)</f>
        <v>0</v>
      </c>
      <c r="AD25" s="88">
        <f>+IFERROR(VLOOKUP($AD$19,Sheet1!F21:I21,3,0),0)</f>
        <v>0</v>
      </c>
      <c r="AE25" s="88">
        <f>+IFERROR(VLOOKUP($AE$19,Sheet1!F21:I21,3,0),0)</f>
        <v>0</v>
      </c>
      <c r="AF25" s="166">
        <v>332</v>
      </c>
      <c r="AG25" s="87">
        <f>+IFERROR(VLOOKUP($AG$19,Sheet1!R21:U21,3,0),0)</f>
        <v>0</v>
      </c>
      <c r="AH25" s="166">
        <v>593</v>
      </c>
      <c r="AI25" s="87">
        <f>+IFERROR(VLOOKUP($AI$19,Sheet1!V21:Y21,3,0),0)</f>
        <v>0</v>
      </c>
      <c r="AJ25" s="87">
        <f>+IFERROR(VLOOKUP($AJ$19,Sheet1!V21:Y21,3,0),0)</f>
        <v>0</v>
      </c>
      <c r="AK25" s="87">
        <f>+IFERROR(VLOOKUP($AK$19,Sheet1!V21:Y21,3,0),0)</f>
        <v>0</v>
      </c>
      <c r="AL25" s="87">
        <f>+IFERROR(VLOOKUP($AL$19,Sheet1!V21:Y21,3,0),0)</f>
        <v>0</v>
      </c>
      <c r="AM25" s="87">
        <f>+IFERROR(VLOOKUP($AM$19,Sheet1!V21:Y21,3,0),0)</f>
        <v>0</v>
      </c>
      <c r="AN25" s="87">
        <f>+IFERROR(VLOOKUP($AN$19,Sheet1!V21:Y21,3,0),0)</f>
        <v>0</v>
      </c>
      <c r="AO25" s="87">
        <f>+IFERROR(VLOOKUP($AO$19,Sheet1!V21:Y21,3,0),0)</f>
        <v>0</v>
      </c>
      <c r="AP25" s="87">
        <f>+IFERROR(VLOOKUP($AP$19,Sheet1!V21:Y21,3,0),0)</f>
        <v>0</v>
      </c>
      <c r="AQ25" s="87">
        <f>+IFERROR(VLOOKUP($AQ$19,Sheet1!Z21:AB21,3,0),0)</f>
        <v>0</v>
      </c>
      <c r="AR25" s="87">
        <f>+IFERROR(VLOOKUP($AR$19,Sheet1!AD21:AG21,3,0),0)</f>
        <v>0</v>
      </c>
      <c r="AS25" s="87">
        <f>+IFERROR(VLOOKUP($AS$19,Sheet1!AD21:AG21,3,0),0)</f>
        <v>0</v>
      </c>
      <c r="AT25" s="87">
        <f>+IFERROR(VLOOKUP($AT$19,Sheet1!AD21:AG21,3,0),0)</f>
        <v>0</v>
      </c>
      <c r="AU25" s="87">
        <f>+IFERROR(VLOOKUP($AU$19,Sheet1!AD21:AG21,3,0),0)</f>
        <v>0</v>
      </c>
      <c r="AV25" s="87">
        <f>+IFERROR(VLOOKUP($AV$19,Sheet1!AD21:AG21,3,0),0)</f>
        <v>0</v>
      </c>
      <c r="AW25" s="87">
        <f>+IFERROR(VLOOKUP($AW$19,Sheet1!AD21:AG21,3,0),0)</f>
        <v>0</v>
      </c>
      <c r="AX25" s="167">
        <v>605</v>
      </c>
      <c r="AY25" s="87">
        <f>+IFERROR(VLOOKUP($AY$19,Sheet1!AD21:AG21,3,0),0)</f>
        <v>0</v>
      </c>
      <c r="AZ25" s="87"/>
      <c r="BA25" s="87">
        <f>+IFERROR(VLOOKUP($BA$19,Sheet1!AH21:AK21,3,0),0)</f>
        <v>0</v>
      </c>
      <c r="BB25" s="87">
        <f>+IFERROR(VLOOKUP($BB$19,Sheet1!AH21:AK21,3,0),0)</f>
        <v>0</v>
      </c>
      <c r="BC25" s="87">
        <f>+IFERROR(VLOOKUP($BC$19,Sheet1!AH21:AK21,3,0),0)</f>
        <v>0</v>
      </c>
      <c r="BD25" s="87">
        <f>+IFERROR(VLOOKUP($BD$19,Sheet1!AH21:AK21,3,0),0)</f>
        <v>0</v>
      </c>
      <c r="BE25" s="87">
        <f>+IFERROR(VLOOKUP($BE$19,Sheet1!AH21:AK21,3,0),0)</f>
        <v>0</v>
      </c>
      <c r="BF25" s="87">
        <f>+IFERROR(VLOOKUP($BF$19,Sheet1!AH21:AK21,3,0),0)</f>
        <v>0</v>
      </c>
      <c r="BG25" s="87">
        <f>+IFERROR(VLOOKUP($BG$19,Sheet1!AH21:AK21,3,0),0)</f>
        <v>0</v>
      </c>
      <c r="BH25" s="87">
        <f>+IFERROR(VLOOKUP($BH$19,Sheet1!AH21:AK21,3,0),0)</f>
        <v>0</v>
      </c>
      <c r="BI25" s="87">
        <f>+IFERROR(VLOOKUP($BI$19,Sheet1!AH21:AK21,3,0),0)</f>
        <v>0</v>
      </c>
      <c r="BJ25" s="167">
        <v>2485</v>
      </c>
      <c r="BK25" s="87">
        <f>+IFERROR(VLOOKUP($BK$19,Sheet1!AH21:AK21,3,0),0)</f>
        <v>0</v>
      </c>
      <c r="BL25" s="87">
        <f>+IFERROR(VLOOKUP($BL$19,Sheet1!AL21:AO21,3,0),0)</f>
        <v>0</v>
      </c>
      <c r="BM25" s="87">
        <f>+IFERROR(VLOOKUP($BM$19,Sheet1!AL21:AO21,3,0),0)</f>
        <v>0</v>
      </c>
      <c r="BN25" s="87">
        <f>+IFERROR(VLOOKUP($BN$19,Sheet1!AL21:AO21,3,0),0)</f>
        <v>0</v>
      </c>
      <c r="BO25" s="167">
        <v>726</v>
      </c>
      <c r="BP25" s="87">
        <f>+IFERROR(VLOOKUP($BP$19,Sheet1!AL21:AO21,3,0),0)</f>
        <v>0</v>
      </c>
      <c r="BQ25" s="87">
        <f>+IFERROR(VLOOKUP($BQ$19,Sheet1!AL21:AO21,3,0),0)</f>
        <v>0</v>
      </c>
      <c r="BR25" s="87">
        <f>+IFERROR(VLOOKUP($BR$19,Sheet1!AL21:AO21,3,0),0)</f>
        <v>0</v>
      </c>
      <c r="BS25" s="87">
        <f>+IFERROR(VLOOKUP($BS$19,Sheet1!AL21:AO21,3,0),0)</f>
        <v>0</v>
      </c>
      <c r="BT25" s="87">
        <f>+IFERROR(VLOOKUP($BT$19,Sheet1!AL21:AO21,3,0),0)</f>
        <v>0</v>
      </c>
      <c r="BU25" s="87">
        <f>+IFERROR(VLOOKUP($BU$19,Sheet1!AL21:AO21,3,0),0)</f>
        <v>0</v>
      </c>
      <c r="BV25" s="87">
        <f>+IFERROR(VLOOKUP($BV$19,Sheet1!AL21:AO21,3,0),0)</f>
        <v>0</v>
      </c>
      <c r="BW25" s="87">
        <f>+IFERROR(VLOOKUP($BW$19,Sheet1!AL21:AO21,3,0),0)</f>
        <v>0</v>
      </c>
      <c r="BX25" s="167">
        <v>503</v>
      </c>
      <c r="BY25" s="167">
        <v>17</v>
      </c>
      <c r="BZ25" s="87">
        <f>+IFERROR(VLOOKUP($BZ$19,Sheet1!AX21:BA21,3,0),0)</f>
        <v>0</v>
      </c>
      <c r="CA25" s="167">
        <v>62</v>
      </c>
      <c r="CB25" s="87">
        <f>+IFERROR(VLOOKUP($CB$19,Sheet1!BF21:BI21,3,0),0)</f>
        <v>0</v>
      </c>
      <c r="CC25" s="87">
        <f>+IFERROR(VLOOKUP($CC$19,Sheet1!BJ21:BM21,3,0),0)</f>
        <v>0</v>
      </c>
      <c r="CD25" s="87">
        <f>+IFERROR(VLOOKUP($CD$19,Sheet1!BN21:BQ21,3,0),0)</f>
        <v>0</v>
      </c>
      <c r="CE25" s="167">
        <v>42</v>
      </c>
      <c r="CF25" s="37">
        <f>+IFERROR(VLOOKUP($CF$19,Sheet1!BV21:BY21,3,0),0)</f>
        <v>0</v>
      </c>
      <c r="CG25" s="56" t="str">
        <f>Sheet1!E21</f>
        <v>STEEL</v>
      </c>
      <c r="CH25" s="57" t="s">
        <v>282</v>
      </c>
      <c r="CI25" s="57" t="s">
        <v>283</v>
      </c>
      <c r="CJ25" s="57">
        <f>Sheet1!CX21</f>
        <v>250</v>
      </c>
      <c r="CK25" s="23">
        <f>11700/0.25</f>
        <v>46800</v>
      </c>
      <c r="CL25" s="23">
        <f t="shared" si="5"/>
        <v>996625</v>
      </c>
      <c r="CM25" s="79">
        <v>0.01</v>
      </c>
      <c r="CN25" s="23">
        <f t="shared" si="6"/>
        <v>9966.25</v>
      </c>
      <c r="CO25" s="79">
        <v>0.18</v>
      </c>
      <c r="CP25" s="23">
        <f t="shared" si="7"/>
        <v>179392.5</v>
      </c>
      <c r="CQ25" s="79">
        <f>Sheet1!CF21</f>
        <v>0</v>
      </c>
      <c r="CR25" s="23">
        <f t="shared" si="8"/>
        <v>0</v>
      </c>
      <c r="CS25" s="23">
        <f t="shared" si="9"/>
        <v>1185983.75</v>
      </c>
      <c r="CT25" s="79">
        <v>0.02</v>
      </c>
      <c r="CU25" s="6">
        <f t="shared" si="10"/>
        <v>23719.674999999999</v>
      </c>
      <c r="CV25" s="79">
        <v>0.01</v>
      </c>
      <c r="CW25" s="6">
        <f t="shared" si="11"/>
        <v>11859.8375</v>
      </c>
      <c r="CX25" s="79">
        <f>Sheet1!CM21</f>
        <v>0</v>
      </c>
      <c r="CY25" s="6">
        <f t="shared" si="12"/>
        <v>0</v>
      </c>
    </row>
    <row r="26" spans="1:104" s="22" customFormat="1" ht="30" x14ac:dyDescent="0.25">
      <c r="A26" s="6" t="str">
        <f>Sheet1!A17</f>
        <v>ENQ-18390-25-26</v>
      </c>
      <c r="B26" s="71">
        <v>46357</v>
      </c>
      <c r="C26" s="6" t="str">
        <f>Sheet1!C17</f>
        <v>FA1300098</v>
      </c>
      <c r="D26" s="6" t="str">
        <f>Sheet1!D17</f>
        <v>3 CORE X 95 SQ. MM. AL/ARM - WIRE (XLPE) - 11 KV</v>
      </c>
      <c r="E26" s="23">
        <f t="shared" si="0"/>
        <v>1179376.7079000003</v>
      </c>
      <c r="F26" s="86">
        <f t="shared" si="13"/>
        <v>25589</v>
      </c>
      <c r="G26" s="28">
        <f t="shared" si="1"/>
        <v>1204965.7079000003</v>
      </c>
      <c r="H26" s="29">
        <f>Sheet1!CR17</f>
        <v>0.18</v>
      </c>
      <c r="I26" s="28">
        <f t="shared" si="2"/>
        <v>216893.82742200003</v>
      </c>
      <c r="J26" s="28">
        <f t="shared" si="3"/>
        <v>1421859.5353220003</v>
      </c>
      <c r="K26" s="63">
        <f>Sheet1!CU17</f>
        <v>25.5</v>
      </c>
      <c r="L26" s="60" t="str">
        <f>Sheet1!CV17</f>
        <v>KMS</v>
      </c>
      <c r="M26" s="23">
        <f t="shared" si="4"/>
        <v>36257418.150711007</v>
      </c>
      <c r="N26" s="166">
        <f>+IFERROR(VLOOKUP($N$19,Sheet1!J17:L17,3,0),0)</f>
        <v>770</v>
      </c>
      <c r="O26" s="88">
        <f>+IFERROR(VLOOKUP($O$19,Sheet1!J17:L17,3,0),0)</f>
        <v>0</v>
      </c>
      <c r="P26" s="88">
        <f>+IFERROR(VLOOKUP($P$19,Sheet1!J17:M17,3,0),0)</f>
        <v>0</v>
      </c>
      <c r="Q26" s="88">
        <f>+IFERROR(VLOOKUP($Q$19,Sheet1!J17:M17,3,0),0)</f>
        <v>0</v>
      </c>
      <c r="R26" s="88">
        <f>+IFERROR(VLOOKUP($R$19,Sheet1!J17:M17,3,0),0)</f>
        <v>0</v>
      </c>
      <c r="S26" s="88">
        <f>+IFERROR(VLOOKUP($S$19,Sheet1!J17:M17,3,0),0)</f>
        <v>0</v>
      </c>
      <c r="T26" s="88">
        <f>+IFERROR(VLOOKUP($T$19,Sheet1!J17:M17,3,0),0)</f>
        <v>0</v>
      </c>
      <c r="U26" s="88">
        <f>+IFERROR(VLOOKUP($U$19,Sheet1!J17:M17,3,0),0)</f>
        <v>0</v>
      </c>
      <c r="V26" s="88">
        <f>+IFERROR(VLOOKUP($V$19,Sheet1!N17:Q17,3,0),0)</f>
        <v>0</v>
      </c>
      <c r="W26" s="88">
        <f>+IFERROR(VLOOKUP($W$19,Sheet1!N17:Q17,3,0),0)</f>
        <v>0</v>
      </c>
      <c r="X26" s="88">
        <f>+IFERROR(VLOOKUP($X$19,Sheet1!F17:I17,3,0),0)</f>
        <v>0</v>
      </c>
      <c r="Y26" s="88">
        <f>+IFERROR(VLOOKUP($Y$19,Sheet1!F17:I17,3,0),0)</f>
        <v>0</v>
      </c>
      <c r="Z26" s="88">
        <f>+IFERROR(VLOOKUP($Z$19,Sheet1!F17:I17,3,0),0)</f>
        <v>0</v>
      </c>
      <c r="AA26" s="88">
        <f>+IFERROR(VLOOKUP($AA$19,Sheet1!F17:I17,3,0),0)</f>
        <v>0</v>
      </c>
      <c r="AB26" s="166">
        <v>115</v>
      </c>
      <c r="AC26" s="88">
        <f>+IFERROR(VLOOKUP($AC$19,Sheet1!F17:I17,3,0),0)</f>
        <v>0</v>
      </c>
      <c r="AD26" s="88">
        <f>+IFERROR(VLOOKUP($AD$19,Sheet1!F17:I17,3,0),0)</f>
        <v>0</v>
      </c>
      <c r="AE26" s="88">
        <f>+IFERROR(VLOOKUP($AE$19,Sheet1!F17:I17,3,0),0)</f>
        <v>0</v>
      </c>
      <c r="AF26" s="166">
        <v>304</v>
      </c>
      <c r="AG26" s="87">
        <f>+IFERROR(VLOOKUP($AG$19,Sheet1!R17:U17,3,0),0)</f>
        <v>0</v>
      </c>
      <c r="AH26" s="166">
        <v>542</v>
      </c>
      <c r="AI26" s="87">
        <f>+IFERROR(VLOOKUP($AI$19,Sheet1!V17:Y17,3,0),0)</f>
        <v>0</v>
      </c>
      <c r="AJ26" s="87">
        <f>+IFERROR(VLOOKUP($AJ$19,Sheet1!V17:Y17,3,0),0)</f>
        <v>0</v>
      </c>
      <c r="AK26" s="87">
        <f>+IFERROR(VLOOKUP($AK$19,Sheet1!V17:Y17,3,0),0)</f>
        <v>0</v>
      </c>
      <c r="AL26" s="87">
        <f>+IFERROR(VLOOKUP($AL$19,Sheet1!V17:Y17,3,0),0)</f>
        <v>0</v>
      </c>
      <c r="AM26" s="87">
        <f>+IFERROR(VLOOKUP($AM$19,Sheet1!V17:Y17,3,0),0)</f>
        <v>0</v>
      </c>
      <c r="AN26" s="87">
        <f>+IFERROR(VLOOKUP($AN$19,Sheet1!V17:Y17,3,0),0)</f>
        <v>0</v>
      </c>
      <c r="AO26" s="87">
        <f>+IFERROR(VLOOKUP($AO$19,Sheet1!V17:Y17,3,0),0)</f>
        <v>0</v>
      </c>
      <c r="AP26" s="87">
        <f>+IFERROR(VLOOKUP($AP$19,Sheet1!V17:Y17,3,0),0)</f>
        <v>0</v>
      </c>
      <c r="AQ26" s="87">
        <f>+IFERROR(VLOOKUP($AQ$19,Sheet1!Z17:AB17,3,0),0)</f>
        <v>0</v>
      </c>
      <c r="AR26" s="87">
        <f>+IFERROR(VLOOKUP($AR$19,Sheet1!AD17:AG17,3,0),0)</f>
        <v>0</v>
      </c>
      <c r="AS26" s="87">
        <f>+IFERROR(VLOOKUP($AS$19,Sheet1!AD17:AG17,3,0),0)</f>
        <v>0</v>
      </c>
      <c r="AT26" s="87">
        <f>+IFERROR(VLOOKUP($AT$19,Sheet1!AD17:AG17,3,0),0)</f>
        <v>0</v>
      </c>
      <c r="AU26" s="87">
        <f>+IFERROR(VLOOKUP($AU$19,Sheet1!AD17:AG17,3,0),0)</f>
        <v>0</v>
      </c>
      <c r="AV26" s="87">
        <f>+IFERROR(VLOOKUP($AV$19,Sheet1!AD17:AG17,3,0),0)</f>
        <v>0</v>
      </c>
      <c r="AW26" s="87">
        <f>+IFERROR(VLOOKUP($AW$19,Sheet1!AD17:AG17,3,0),0)</f>
        <v>0</v>
      </c>
      <c r="AX26" s="167">
        <v>576</v>
      </c>
      <c r="AY26" s="87">
        <f>+IFERROR(VLOOKUP($AY$19,Sheet1!AD17:AG17,3,0),0)</f>
        <v>0</v>
      </c>
      <c r="AZ26" s="87"/>
      <c r="BA26" s="87">
        <f>+IFERROR(VLOOKUP($BA$19,Sheet1!AH17:AK17,3,0),0)</f>
        <v>0</v>
      </c>
      <c r="BB26" s="87">
        <f>+IFERROR(VLOOKUP($BB$19,Sheet1!AH17:AK17,3,0),0)</f>
        <v>0</v>
      </c>
      <c r="BC26" s="87">
        <f>+IFERROR(VLOOKUP($BC$19,Sheet1!AH17:AK17,3,0),0)</f>
        <v>0</v>
      </c>
      <c r="BD26" s="87">
        <f>+IFERROR(VLOOKUP($BD$19,Sheet1!AH17:AK17,3,0),0)</f>
        <v>0</v>
      </c>
      <c r="BE26" s="87">
        <f>+IFERROR(VLOOKUP($BE$19,Sheet1!AH17:AK17,3,0),0)</f>
        <v>0</v>
      </c>
      <c r="BF26" s="87">
        <f>+IFERROR(VLOOKUP($BF$19,Sheet1!AH17:AK17,3,0),0)</f>
        <v>0</v>
      </c>
      <c r="BG26" s="87">
        <f>+IFERROR(VLOOKUP($BG$19,Sheet1!AH17:AK17,3,0),0)</f>
        <v>0</v>
      </c>
      <c r="BH26" s="87">
        <f>+IFERROR(VLOOKUP($BH$19,Sheet1!AH17:AK17,3,0),0)</f>
        <v>0</v>
      </c>
      <c r="BI26" s="87">
        <f>+IFERROR(VLOOKUP($BI$19,Sheet1!AH17:AK17,3,0),0)</f>
        <v>0</v>
      </c>
      <c r="BJ26" s="167">
        <v>2324</v>
      </c>
      <c r="BK26" s="87">
        <f>+IFERROR(VLOOKUP($BK$19,Sheet1!AH17:AK17,3,0),0)</f>
        <v>0</v>
      </c>
      <c r="BL26" s="87">
        <f>+IFERROR(VLOOKUP($BL$19,Sheet1!AL17:AO17,3,0),0)</f>
        <v>0</v>
      </c>
      <c r="BM26" s="87">
        <f>+IFERROR(VLOOKUP($BM$19,Sheet1!AL17:AO17,3,0),0)</f>
        <v>0</v>
      </c>
      <c r="BN26" s="87">
        <f>+IFERROR(VLOOKUP($BN$19,Sheet1!AL17:AO17,3,0),0)</f>
        <v>0</v>
      </c>
      <c r="BO26" s="167">
        <v>685</v>
      </c>
      <c r="BP26" s="87">
        <f>+IFERROR(VLOOKUP($BP$19,Sheet1!AL17:AO17,3,0),0)</f>
        <v>0</v>
      </c>
      <c r="BQ26" s="87">
        <f>+IFERROR(VLOOKUP($BQ$19,Sheet1!AL17:AO17,3,0),0)</f>
        <v>0</v>
      </c>
      <c r="BR26" s="87">
        <f>+IFERROR(VLOOKUP($BR$19,Sheet1!AL17:AO17,3,0),0)</f>
        <v>0</v>
      </c>
      <c r="BS26" s="87">
        <f>+IFERROR(VLOOKUP($BS$19,Sheet1!AL17:AO17,3,0),0)</f>
        <v>0</v>
      </c>
      <c r="BT26" s="87">
        <f>+IFERROR(VLOOKUP($BT$19,Sheet1!AL17:AO17,3,0),0)</f>
        <v>0</v>
      </c>
      <c r="BU26" s="87">
        <f>+IFERROR(VLOOKUP($BU$19,Sheet1!AL17:AO17,3,0),0)</f>
        <v>0</v>
      </c>
      <c r="BV26" s="87">
        <f>+IFERROR(VLOOKUP($BV$19,Sheet1!AL17:AO17,3,0),0)</f>
        <v>0</v>
      </c>
      <c r="BW26" s="87">
        <f>+IFERROR(VLOOKUP($BW$19,Sheet1!AL17:AO17,3,0),0)</f>
        <v>0</v>
      </c>
      <c r="BX26" s="167">
        <v>418</v>
      </c>
      <c r="BY26" s="167">
        <v>15</v>
      </c>
      <c r="BZ26" s="87">
        <f>+IFERROR(VLOOKUP($BZ$19,Sheet1!AX17:BA17,3,0),0)</f>
        <v>75</v>
      </c>
      <c r="CA26" s="167">
        <v>57</v>
      </c>
      <c r="CB26" s="87">
        <f>+IFERROR(VLOOKUP($CB$19,Sheet1!BF17:BI17,3,0),0)</f>
        <v>0</v>
      </c>
      <c r="CC26" s="87">
        <f>+IFERROR(VLOOKUP($CC$19,Sheet1!BJ17:BM17,3,0),0)</f>
        <v>0</v>
      </c>
      <c r="CD26" s="87">
        <f>+IFERROR(VLOOKUP($CD$19,Sheet1!BN17:BQ17,3,0),0)</f>
        <v>0</v>
      </c>
      <c r="CE26" s="167">
        <v>40</v>
      </c>
      <c r="CF26" s="37">
        <f>+IFERROR(VLOOKUP($CF$19,Sheet1!BV17:BY17,3,0),0)</f>
        <v>0</v>
      </c>
      <c r="CG26" s="56" t="str">
        <f>Sheet1!E17</f>
        <v>STEEL</v>
      </c>
      <c r="CH26" s="57" t="s">
        <v>238</v>
      </c>
      <c r="CI26" s="57" t="s">
        <v>239</v>
      </c>
      <c r="CJ26" s="57">
        <f>Sheet1!CX17</f>
        <v>250</v>
      </c>
      <c r="CK26" s="23">
        <f>11700/0.25</f>
        <v>46800</v>
      </c>
      <c r="CL26" s="23">
        <f t="shared" si="5"/>
        <v>887617</v>
      </c>
      <c r="CM26" s="79">
        <v>0.01</v>
      </c>
      <c r="CN26" s="23">
        <f t="shared" si="6"/>
        <v>8876.17</v>
      </c>
      <c r="CO26" s="79">
        <v>0.28000000000000003</v>
      </c>
      <c r="CP26" s="23">
        <f t="shared" si="7"/>
        <v>248532.76</v>
      </c>
      <c r="CQ26" s="79">
        <f>Sheet1!CF17</f>
        <v>0</v>
      </c>
      <c r="CR26" s="23">
        <f t="shared" si="8"/>
        <v>0</v>
      </c>
      <c r="CS26" s="23">
        <f t="shared" si="9"/>
        <v>1145025.9300000002</v>
      </c>
      <c r="CT26" s="79">
        <v>0.02</v>
      </c>
      <c r="CU26" s="6">
        <f t="shared" si="10"/>
        <v>22900.518600000003</v>
      </c>
      <c r="CV26" s="79">
        <v>0.01</v>
      </c>
      <c r="CW26" s="6">
        <f t="shared" si="11"/>
        <v>11450.259300000002</v>
      </c>
      <c r="CX26" s="79">
        <f>Sheet1!CM17</f>
        <v>0</v>
      </c>
      <c r="CY26" s="6">
        <f t="shared" si="12"/>
        <v>0</v>
      </c>
    </row>
    <row r="27" spans="1:104" s="22" customFormat="1" ht="30" x14ac:dyDescent="0.25">
      <c r="A27" s="6" t="str">
        <f>Sheet1!A16</f>
        <v>ENQ-18390-25-26</v>
      </c>
      <c r="B27" s="71">
        <v>46357</v>
      </c>
      <c r="C27" s="6" t="str">
        <f>Sheet1!C16</f>
        <v>FA1300097</v>
      </c>
      <c r="D27" s="6" t="str">
        <f>Sheet1!D16</f>
        <v>3 CORE X 70 SQ. MM. AL/ARM - WIRE (XLPE) - 11 KV</v>
      </c>
      <c r="E27" s="23">
        <f t="shared" si="0"/>
        <v>1034557.7087999999</v>
      </c>
      <c r="F27" s="86">
        <f t="shared" si="13"/>
        <v>26364</v>
      </c>
      <c r="G27" s="28">
        <f t="shared" si="1"/>
        <v>1060921.7087999999</v>
      </c>
      <c r="H27" s="29">
        <f>Sheet1!CR16</f>
        <v>0.18</v>
      </c>
      <c r="I27" s="28">
        <f t="shared" si="2"/>
        <v>190965.90758399997</v>
      </c>
      <c r="J27" s="28">
        <f t="shared" si="3"/>
        <v>1251887.6163839998</v>
      </c>
      <c r="K27" s="63">
        <f>Sheet1!CU16</f>
        <v>5.5</v>
      </c>
      <c r="L27" s="60" t="str">
        <f>Sheet1!CV16</f>
        <v>KMS</v>
      </c>
      <c r="M27" s="23">
        <f t="shared" si="4"/>
        <v>6885381.8901119987</v>
      </c>
      <c r="N27" s="166">
        <f>+IFERROR(VLOOKUP($N$19,Sheet1!J16:L16,3,0),0)</f>
        <v>567</v>
      </c>
      <c r="O27" s="88">
        <f>+IFERROR(VLOOKUP($O$19,Sheet1!J16:L16,3,0),0)</f>
        <v>0</v>
      </c>
      <c r="P27" s="88">
        <f>+IFERROR(VLOOKUP($P$19,Sheet1!J16:M16,3,0),0)</f>
        <v>0</v>
      </c>
      <c r="Q27" s="88">
        <f>+IFERROR(VLOOKUP($Q$19,Sheet1!J16:M16,3,0),0)</f>
        <v>0</v>
      </c>
      <c r="R27" s="88">
        <f>+IFERROR(VLOOKUP($R$19,Sheet1!J16:M16,3,0),0)</f>
        <v>0</v>
      </c>
      <c r="S27" s="88">
        <f>+IFERROR(VLOOKUP($S$19,Sheet1!J16:M16,3,0),0)</f>
        <v>0</v>
      </c>
      <c r="T27" s="88">
        <f>+IFERROR(VLOOKUP($T$19,Sheet1!J16:M16,3,0),0)</f>
        <v>0</v>
      </c>
      <c r="U27" s="88">
        <f>+IFERROR(VLOOKUP($U$19,Sheet1!J16:M16,3,0),0)</f>
        <v>0</v>
      </c>
      <c r="V27" s="88">
        <f>+IFERROR(VLOOKUP($V$19,Sheet1!N16:Q16,3,0),0)</f>
        <v>0</v>
      </c>
      <c r="W27" s="88">
        <f>+IFERROR(VLOOKUP($W$19,Sheet1!N16:Q16,3,0),0)</f>
        <v>0</v>
      </c>
      <c r="X27" s="88">
        <f>+IFERROR(VLOOKUP($X$19,Sheet1!F16:I16,3,0),0)</f>
        <v>0</v>
      </c>
      <c r="Y27" s="88">
        <f>+IFERROR(VLOOKUP($Y$19,Sheet1!F16:I16,3,0),0)</f>
        <v>0</v>
      </c>
      <c r="Z27" s="88">
        <f>+IFERROR(VLOOKUP($Z$19,Sheet1!F16:I16,3,0),0)</f>
        <v>0</v>
      </c>
      <c r="AA27" s="88">
        <f>+IFERROR(VLOOKUP($AA$19,Sheet1!F16:I16,3,0),0)</f>
        <v>0</v>
      </c>
      <c r="AB27" s="166">
        <v>107</v>
      </c>
      <c r="AC27" s="88">
        <f>+IFERROR(VLOOKUP($AC$19,Sheet1!F16:I16,3,0),0)</f>
        <v>0</v>
      </c>
      <c r="AD27" s="88">
        <f>+IFERROR(VLOOKUP($AD$19,Sheet1!F16:I16,3,0),0)</f>
        <v>0</v>
      </c>
      <c r="AE27" s="88">
        <f>+IFERROR(VLOOKUP($AE$19,Sheet1!F16:I16,3,0),0)</f>
        <v>0</v>
      </c>
      <c r="AF27" s="166">
        <v>268</v>
      </c>
      <c r="AG27" s="87">
        <f>+IFERROR(VLOOKUP($AG$19,Sheet1!R16:U16,3,0),0)</f>
        <v>0</v>
      </c>
      <c r="AH27" s="166">
        <v>497</v>
      </c>
      <c r="AI27" s="87">
        <f>+IFERROR(VLOOKUP($AI$19,Sheet1!V16:Y16,3,0),0)</f>
        <v>0</v>
      </c>
      <c r="AJ27" s="87">
        <f>+IFERROR(VLOOKUP($AJ$19,Sheet1!V16:Y16,3,0),0)</f>
        <v>0</v>
      </c>
      <c r="AK27" s="87">
        <f>+IFERROR(VLOOKUP($AK$19,Sheet1!V16:Y16,3,0),0)</f>
        <v>0</v>
      </c>
      <c r="AL27" s="87">
        <f>+IFERROR(VLOOKUP($AL$19,Sheet1!V16:Y16,3,0),0)</f>
        <v>0</v>
      </c>
      <c r="AM27" s="87">
        <f>+IFERROR(VLOOKUP($AM$19,Sheet1!V16:Y16,3,0),0)</f>
        <v>0</v>
      </c>
      <c r="AN27" s="87">
        <f>+IFERROR(VLOOKUP($AN$19,Sheet1!V16:Y16,3,0),0)</f>
        <v>0</v>
      </c>
      <c r="AO27" s="87">
        <f>+IFERROR(VLOOKUP($AO$19,Sheet1!V16:Y16,3,0),0)</f>
        <v>0</v>
      </c>
      <c r="AP27" s="87">
        <f>+IFERROR(VLOOKUP($AP$19,Sheet1!V16:Y16,3,0),0)</f>
        <v>0</v>
      </c>
      <c r="AQ27" s="87">
        <f>+IFERROR(VLOOKUP($AQ$19,Sheet1!Z16:AB16,3,0),0)</f>
        <v>0</v>
      </c>
      <c r="AR27" s="87">
        <f>+IFERROR(VLOOKUP($AR$19,Sheet1!AD16:AG16,3,0),0)</f>
        <v>0</v>
      </c>
      <c r="AS27" s="87">
        <f>+IFERROR(VLOOKUP($AS$19,Sheet1!AD16:AG16,3,0),0)</f>
        <v>0</v>
      </c>
      <c r="AT27" s="87">
        <f>+IFERROR(VLOOKUP($AT$19,Sheet1!AD16:AG16,3,0),0)</f>
        <v>0</v>
      </c>
      <c r="AU27" s="87">
        <f>+IFERROR(VLOOKUP($AU$19,Sheet1!AD16:AG16,3,0),0)</f>
        <v>0</v>
      </c>
      <c r="AV27" s="87">
        <f>+IFERROR(VLOOKUP($AV$19,Sheet1!AD16:AG16,3,0),0)</f>
        <v>0</v>
      </c>
      <c r="AW27" s="87">
        <f>+IFERROR(VLOOKUP($AW$19,Sheet1!AD16:AG16,3,0),0)</f>
        <v>0</v>
      </c>
      <c r="AX27" s="167">
        <v>477</v>
      </c>
      <c r="AY27" s="87">
        <f>+IFERROR(VLOOKUP($AY$19,Sheet1!AD16:AG16,3,0),0)</f>
        <v>0</v>
      </c>
      <c r="AZ27" s="87"/>
      <c r="BA27" s="87">
        <f>+IFERROR(VLOOKUP($BA$19,Sheet1!AH16:AK16,3,0),0)</f>
        <v>0</v>
      </c>
      <c r="BB27" s="87">
        <f>+IFERROR(VLOOKUP($BB$19,Sheet1!AH16:AK16,3,0),0)</f>
        <v>0</v>
      </c>
      <c r="BC27" s="87">
        <f>+IFERROR(VLOOKUP($BC$19,Sheet1!AH16:AK16,3,0),0)</f>
        <v>0</v>
      </c>
      <c r="BD27" s="87">
        <f>+IFERROR(VLOOKUP($BD$19,Sheet1!AH16:AK16,3,0),0)</f>
        <v>0</v>
      </c>
      <c r="BE27" s="87">
        <f>+IFERROR(VLOOKUP($BE$19,Sheet1!AH16:AK16,3,0),0)</f>
        <v>0</v>
      </c>
      <c r="BF27" s="87">
        <f>+IFERROR(VLOOKUP($BF$19,Sheet1!AH16:AK16,3,0),0)</f>
        <v>0</v>
      </c>
      <c r="BG27" s="87">
        <f>+IFERROR(VLOOKUP($BG$19,Sheet1!AH16:AK16,3,0),0)</f>
        <v>0</v>
      </c>
      <c r="BH27" s="87">
        <f>+IFERROR(VLOOKUP($BH$19,Sheet1!AH16:AK16,3,0),0)</f>
        <v>0</v>
      </c>
      <c r="BI27" s="87">
        <f>+IFERROR(VLOOKUP($BI$19,Sheet1!AH16:AK16,3,0),0)</f>
        <v>0</v>
      </c>
      <c r="BJ27" s="167">
        <v>2204</v>
      </c>
      <c r="BK27" s="87">
        <f>+IFERROR(VLOOKUP($BK$19,Sheet1!AH16:AK16,3,0),0)</f>
        <v>0</v>
      </c>
      <c r="BL27" s="87">
        <f>+IFERROR(VLOOKUP($BL$19,Sheet1!AL16:AO16,3,0),0)</f>
        <v>0</v>
      </c>
      <c r="BM27" s="87">
        <f>+IFERROR(VLOOKUP($BM$19,Sheet1!AL16:AO16,3,0),0)</f>
        <v>0</v>
      </c>
      <c r="BN27" s="87">
        <f>+IFERROR(VLOOKUP($BN$19,Sheet1!AL16:AO16,3,0),0)</f>
        <v>0</v>
      </c>
      <c r="BO27" s="167">
        <v>610</v>
      </c>
      <c r="BP27" s="87">
        <f>+IFERROR(VLOOKUP($BP$19,Sheet1!AL16:AO16,3,0),0)</f>
        <v>0</v>
      </c>
      <c r="BQ27" s="87">
        <f>+IFERROR(VLOOKUP($BQ$19,Sheet1!AL16:AO16,3,0),0)</f>
        <v>0</v>
      </c>
      <c r="BR27" s="87">
        <f>+IFERROR(VLOOKUP($BR$19,Sheet1!AL16:AO16,3,0),0)</f>
        <v>0</v>
      </c>
      <c r="BS27" s="87">
        <f>+IFERROR(VLOOKUP($BS$19,Sheet1!AL16:AO16,3,0),0)</f>
        <v>0</v>
      </c>
      <c r="BT27" s="87">
        <f>+IFERROR(VLOOKUP($BT$19,Sheet1!AL16:AO16,3,0),0)</f>
        <v>0</v>
      </c>
      <c r="BU27" s="87">
        <f>+IFERROR(VLOOKUP($BU$19,Sheet1!AL16:AO16,3,0),0)</f>
        <v>0</v>
      </c>
      <c r="BV27" s="87">
        <f>+IFERROR(VLOOKUP($BV$19,Sheet1!AL16:AO16,3,0),0)</f>
        <v>0</v>
      </c>
      <c r="BW27" s="87">
        <f>+IFERROR(VLOOKUP($BW$19,Sheet1!AL16:AO16,3,0),0)</f>
        <v>0</v>
      </c>
      <c r="BX27" s="167">
        <v>383</v>
      </c>
      <c r="BY27" s="167">
        <v>15</v>
      </c>
      <c r="BZ27" s="87">
        <f>+IFERROR(VLOOKUP($BZ$19,Sheet1!AX16:BA16,3,0),0)</f>
        <v>0</v>
      </c>
      <c r="CA27" s="167">
        <v>53</v>
      </c>
      <c r="CB27" s="87">
        <f>+IFERROR(VLOOKUP($CB$19,Sheet1!BF16:BI16,3,0),0)</f>
        <v>0</v>
      </c>
      <c r="CC27" s="87">
        <f>+IFERROR(VLOOKUP($CC$19,Sheet1!BJ16:BM16,3,0),0)</f>
        <v>0</v>
      </c>
      <c r="CD27" s="87">
        <f>+IFERROR(VLOOKUP($CD$19,Sheet1!BN16:BQ16,3,0),0)</f>
        <v>0</v>
      </c>
      <c r="CE27" s="167">
        <v>38</v>
      </c>
      <c r="CF27" s="37">
        <f>+IFERROR(VLOOKUP($CF$19,Sheet1!BV16:BY16,3,0),0)</f>
        <v>0</v>
      </c>
      <c r="CG27" s="56" t="str">
        <f>Sheet1!E16</f>
        <v>STEEL</v>
      </c>
      <c r="CH27" s="57" t="s">
        <v>249</v>
      </c>
      <c r="CI27" s="57" t="s">
        <v>250</v>
      </c>
      <c r="CJ27" s="57">
        <f>Sheet1!CX16</f>
        <v>250</v>
      </c>
      <c r="CK27" s="23">
        <f>11700/0.25</f>
        <v>46800</v>
      </c>
      <c r="CL27" s="23">
        <f t="shared" si="5"/>
        <v>778624</v>
      </c>
      <c r="CM27" s="79">
        <v>0.01</v>
      </c>
      <c r="CN27" s="23">
        <f t="shared" si="6"/>
        <v>7786.24</v>
      </c>
      <c r="CO27" s="79">
        <v>0.28000000000000003</v>
      </c>
      <c r="CP27" s="23">
        <f t="shared" si="7"/>
        <v>218014.72000000003</v>
      </c>
      <c r="CQ27" s="79">
        <f>Sheet1!CF16</f>
        <v>0</v>
      </c>
      <c r="CR27" s="23">
        <f t="shared" si="8"/>
        <v>0</v>
      </c>
      <c r="CS27" s="23">
        <f t="shared" si="9"/>
        <v>1004424.96</v>
      </c>
      <c r="CT27" s="79">
        <v>0.02</v>
      </c>
      <c r="CU27" s="6">
        <f t="shared" si="10"/>
        <v>20088.499199999998</v>
      </c>
      <c r="CV27" s="79">
        <v>0.01</v>
      </c>
      <c r="CW27" s="6">
        <f t="shared" si="11"/>
        <v>10044.249599999999</v>
      </c>
      <c r="CX27" s="79">
        <f>Sheet1!CM16</f>
        <v>0</v>
      </c>
      <c r="CY27" s="6">
        <f t="shared" si="12"/>
        <v>0</v>
      </c>
    </row>
    <row r="28" spans="1:104" s="22" customFormat="1" ht="30" x14ac:dyDescent="0.25">
      <c r="A28" s="6" t="str">
        <f>Sheet1!A24</f>
        <v>ENQ-18390-25-26</v>
      </c>
      <c r="B28" s="71">
        <v>46357</v>
      </c>
      <c r="C28" s="6" t="str">
        <f>Sheet1!C24</f>
        <v>FA1300313</v>
      </c>
      <c r="D28" s="6" t="str">
        <f>Sheet1!D24</f>
        <v>3 CORE X 50 SQ. MM. AL/ARD - WIRE (XLPE) - 11 KV</v>
      </c>
      <c r="E28" s="23">
        <f t="shared" si="0"/>
        <v>1009460.3374000001</v>
      </c>
      <c r="F28" s="86">
        <f t="shared" si="13"/>
        <v>27188</v>
      </c>
      <c r="G28" s="28">
        <f t="shared" si="1"/>
        <v>1036648.3374000001</v>
      </c>
      <c r="H28" s="29">
        <f>Sheet1!CR24</f>
        <v>0.18</v>
      </c>
      <c r="I28" s="28">
        <f t="shared" si="2"/>
        <v>186596.700732</v>
      </c>
      <c r="J28" s="28">
        <f t="shared" si="3"/>
        <v>1223245.038132</v>
      </c>
      <c r="K28" s="63">
        <f>Sheet1!CU24</f>
        <v>8</v>
      </c>
      <c r="L28" s="60" t="str">
        <f>Sheet1!CV24</f>
        <v>KMS</v>
      </c>
      <c r="M28" s="23">
        <f t="shared" si="4"/>
        <v>9785960.3050560001</v>
      </c>
      <c r="N28" s="166">
        <v>405</v>
      </c>
      <c r="O28" s="88">
        <f>+IFERROR(VLOOKUP($O$19,Sheet1!J24:L24,3,0),0)</f>
        <v>0</v>
      </c>
      <c r="P28" s="88">
        <f>+IFERROR(VLOOKUP($P$19,Sheet1!J24:M24,3,0),0)</f>
        <v>0</v>
      </c>
      <c r="Q28" s="88">
        <f>+IFERROR(VLOOKUP($Q$19,Sheet1!J24:M24,3,0),0)</f>
        <v>0</v>
      </c>
      <c r="R28" s="88">
        <f>+IFERROR(VLOOKUP($R$19,Sheet1!J24:M24,3,0),0)</f>
        <v>0</v>
      </c>
      <c r="S28" s="88">
        <f>+IFERROR(VLOOKUP($S$19,Sheet1!J24:M24,3,0),0)</f>
        <v>0</v>
      </c>
      <c r="T28" s="88">
        <f>+IFERROR(VLOOKUP($T$19,Sheet1!J24:M24,3,0),0)</f>
        <v>0</v>
      </c>
      <c r="U28" s="88">
        <f>+IFERROR(VLOOKUP($U$19,Sheet1!J24:M24,3,0),0)</f>
        <v>0</v>
      </c>
      <c r="V28" s="88">
        <f>+IFERROR(VLOOKUP($V$19,Sheet1!N24:Q24,3,0),0)</f>
        <v>0</v>
      </c>
      <c r="W28" s="88">
        <f>+IFERROR(VLOOKUP($W$19,Sheet1!N24:Q24,3,0),0)</f>
        <v>0</v>
      </c>
      <c r="X28" s="88">
        <f>+IFERROR(VLOOKUP($X$19,Sheet1!F24:I24,3,0),0)</f>
        <v>0</v>
      </c>
      <c r="Y28" s="88">
        <f>+IFERROR(VLOOKUP($Y$19,Sheet1!F24:I24,3,0),0)</f>
        <v>0</v>
      </c>
      <c r="Z28" s="88">
        <f>+IFERROR(VLOOKUP($Z$19,Sheet1!F24:I24,3,0),0)</f>
        <v>0</v>
      </c>
      <c r="AA28" s="88">
        <f>+IFERROR(VLOOKUP($AA$19,Sheet1!F24:I24,3,0),0)</f>
        <v>0</v>
      </c>
      <c r="AB28" s="166">
        <v>99</v>
      </c>
      <c r="AC28" s="88">
        <f>+IFERROR(VLOOKUP($AC$19,Sheet1!F24:I24,3,0),0)</f>
        <v>0</v>
      </c>
      <c r="AD28" s="88">
        <f>+IFERROR(VLOOKUP($AD$19,Sheet1!F24:I24,3,0),0)</f>
        <v>0</v>
      </c>
      <c r="AE28" s="88">
        <f>+IFERROR(VLOOKUP($AE$19,Sheet1!F24:I24,3,0),0)</f>
        <v>0</v>
      </c>
      <c r="AF28" s="166">
        <v>241</v>
      </c>
      <c r="AG28" s="87">
        <f>+IFERROR(VLOOKUP($AG$19,Sheet1!R24:U24,3,0),0)</f>
        <v>0</v>
      </c>
      <c r="AH28" s="166">
        <v>446</v>
      </c>
      <c r="AI28" s="87">
        <f>+IFERROR(VLOOKUP($AI$19,Sheet1!V24:Y24,3,0),0)</f>
        <v>0</v>
      </c>
      <c r="AJ28" s="87">
        <f>+IFERROR(VLOOKUP($AJ$19,Sheet1!V24:Y24,3,0),0)</f>
        <v>0</v>
      </c>
      <c r="AK28" s="87">
        <f>+IFERROR(VLOOKUP($AK$19,Sheet1!V24:Y24,3,0),0)</f>
        <v>0</v>
      </c>
      <c r="AL28" s="87">
        <f>+IFERROR(VLOOKUP($AL$19,Sheet1!V24:Y24,3,0),0)</f>
        <v>0</v>
      </c>
      <c r="AM28" s="87">
        <f>+IFERROR(VLOOKUP($AM$19,Sheet1!V24:Y24,3,0),0)</f>
        <v>0</v>
      </c>
      <c r="AN28" s="87">
        <f>+IFERROR(VLOOKUP($AN$19,Sheet1!V24:Y24,3,0),0)</f>
        <v>0</v>
      </c>
      <c r="AO28" s="87">
        <f>+IFERROR(VLOOKUP($AO$19,Sheet1!V24:Y24,3,0),0)</f>
        <v>0</v>
      </c>
      <c r="AP28" s="87">
        <f>+IFERROR(VLOOKUP($AP$19,Sheet1!V24:Y24,3,0),0)</f>
        <v>0</v>
      </c>
      <c r="AQ28" s="87">
        <f>+IFERROR(VLOOKUP($AQ$19,Sheet1!Z24:AB24,3,0),0)</f>
        <v>0</v>
      </c>
      <c r="AR28" s="87">
        <f>+IFERROR(VLOOKUP($AR$19,Sheet1!AD24:AG24,3,0),0)</f>
        <v>0</v>
      </c>
      <c r="AS28" s="87">
        <f>+IFERROR(VLOOKUP($AS$19,Sheet1!AD24:AG24,3,0),0)</f>
        <v>0</v>
      </c>
      <c r="AT28" s="87">
        <f>+IFERROR(VLOOKUP($AT$19,Sheet1!AD24:AG24,3,0),0)</f>
        <v>0</v>
      </c>
      <c r="AU28" s="87">
        <f>+IFERROR(VLOOKUP($AU$19,Sheet1!AD24:AG24,3,0),0)</f>
        <v>0</v>
      </c>
      <c r="AV28" s="87">
        <f>+IFERROR(VLOOKUP($AV$19,Sheet1!AD24:AG24,3,0),0)</f>
        <v>0</v>
      </c>
      <c r="AW28" s="87">
        <f>+IFERROR(VLOOKUP($AW$19,Sheet1!AD24:AG24,3,0),0)</f>
        <v>0</v>
      </c>
      <c r="AX28" s="167">
        <v>407</v>
      </c>
      <c r="AY28" s="87">
        <f>+IFERROR(VLOOKUP($AY$19,Sheet1!AD24:AG24,3,0),0)</f>
        <v>0</v>
      </c>
      <c r="AZ28" s="87">
        <f>+IFERROR(VLOOKUP($AZ$19,Sheet1!AD24:AG24,3,0),0)</f>
        <v>0</v>
      </c>
      <c r="BA28" s="87">
        <f>+IFERROR(VLOOKUP($BA$19,Sheet1!AH24:AK24,3,0),0)</f>
        <v>0</v>
      </c>
      <c r="BB28" s="87">
        <f>+IFERROR(VLOOKUP($BB$19,Sheet1!AH24:AK24,3,0),0)</f>
        <v>0</v>
      </c>
      <c r="BC28" s="87">
        <f>+IFERROR(VLOOKUP($BC$19,Sheet1!AH24:AK24,3,0),0)</f>
        <v>0</v>
      </c>
      <c r="BD28" s="87">
        <f>+IFERROR(VLOOKUP($BD$19,Sheet1!AH24:AK24,3,0),0)</f>
        <v>0</v>
      </c>
      <c r="BE28" s="87">
        <f>+IFERROR(VLOOKUP($BE$19,Sheet1!AH24:AK24,3,0),0)</f>
        <v>0</v>
      </c>
      <c r="BF28" s="87">
        <f>+IFERROR(VLOOKUP($BF$19,Sheet1!AH24:AK24,3,0),0)</f>
        <v>0</v>
      </c>
      <c r="BG28" s="87">
        <f>+IFERROR(VLOOKUP($BG$19,Sheet1!AH24:AK24,3,0),0)</f>
        <v>0</v>
      </c>
      <c r="BH28" s="87">
        <f>+IFERROR(VLOOKUP($BH$19,Sheet1!AH24:AK24,3,0),0)</f>
        <v>0</v>
      </c>
      <c r="BI28" s="87">
        <f>+IFERROR(VLOOKUP($BI$19,Sheet1!AH24:AK24,3,0),0)</f>
        <v>0</v>
      </c>
      <c r="BJ28" s="167">
        <v>2044</v>
      </c>
      <c r="BK28" s="87">
        <f>+IFERROR(VLOOKUP($BK$19,Sheet1!AH24:AK24,3,0),0)</f>
        <v>0</v>
      </c>
      <c r="BL28" s="87">
        <f>+IFERROR(VLOOKUP($BL$19,Sheet1!AL24:AO24,3,0),0)</f>
        <v>0</v>
      </c>
      <c r="BM28" s="87">
        <f>+IFERROR(VLOOKUP($BM$19,Sheet1!AL24:AO24,3,0),0)</f>
        <v>0</v>
      </c>
      <c r="BN28" s="87">
        <f>+IFERROR(VLOOKUP($BN$19,Sheet1!AL24:AO24,3,0),0)</f>
        <v>0</v>
      </c>
      <c r="BO28" s="167">
        <v>566</v>
      </c>
      <c r="BP28" s="87">
        <f>+IFERROR(VLOOKUP($BP$19,Sheet1!AL24:AO24,3,0),0)</f>
        <v>0</v>
      </c>
      <c r="BQ28" s="87">
        <f>+IFERROR(VLOOKUP($BQ$19,Sheet1!AL24:AO24,3,0),0)</f>
        <v>0</v>
      </c>
      <c r="BR28" s="87">
        <f>+IFERROR(VLOOKUP($BR$19,Sheet1!AL24:AO24,3,0),0)</f>
        <v>0</v>
      </c>
      <c r="BS28" s="87">
        <f>+IFERROR(VLOOKUP($BS$19,Sheet1!AL24:AO24,3,0),0)</f>
        <v>0</v>
      </c>
      <c r="BT28" s="87">
        <f>+IFERROR(VLOOKUP($BT$19,Sheet1!AL24:AO24,3,0),0)</f>
        <v>0</v>
      </c>
      <c r="BU28" s="87">
        <f>+IFERROR(VLOOKUP($BU$19,Sheet1!AL24:AO24,3,0),0)</f>
        <v>0</v>
      </c>
      <c r="BV28" s="87">
        <f>+IFERROR(VLOOKUP($BV$19,Sheet1!AL24:AO24,3,0),0)</f>
        <v>0</v>
      </c>
      <c r="BW28" s="87">
        <f>+IFERROR(VLOOKUP($BW$19,Sheet1!AL24:AO24,3,0),0)</f>
        <v>0</v>
      </c>
      <c r="BX28" s="167">
        <v>330</v>
      </c>
      <c r="BY28" s="167">
        <v>6</v>
      </c>
      <c r="BZ28" s="87">
        <f>+IFERROR(VLOOKUP($BZ$19,Sheet1!AX24:BA24,3,0),0)</f>
        <v>0</v>
      </c>
      <c r="CA28" s="167">
        <v>48</v>
      </c>
      <c r="CB28" s="87">
        <f>+IFERROR(VLOOKUP($CB$19,Sheet1!BF24:BI24,3,0),0)</f>
        <v>0</v>
      </c>
      <c r="CC28" s="87">
        <f>+IFERROR(VLOOKUP($CC$19,Sheet1!BJ24:BM24,3,0),0)</f>
        <v>0</v>
      </c>
      <c r="CD28" s="87">
        <f>+IFERROR(VLOOKUP($CD$19,Sheet1!BN24:BQ24,3,0),0)</f>
        <v>0</v>
      </c>
      <c r="CE28" s="167">
        <v>35</v>
      </c>
      <c r="CF28" s="37">
        <f>+IFERROR(VLOOKUP($CF$19,Sheet1!BV24:BY24,3,0),0)</f>
        <v>0</v>
      </c>
      <c r="CG28" s="56" t="str">
        <f>Sheet1!E24</f>
        <v>STEEL</v>
      </c>
      <c r="CH28" s="57" t="s">
        <v>226</v>
      </c>
      <c r="CI28" s="57" t="s">
        <v>227</v>
      </c>
      <c r="CJ28" s="57">
        <f>Sheet1!CX24</f>
        <v>250</v>
      </c>
      <c r="CK28" s="23">
        <f>9750/0.25</f>
        <v>39000</v>
      </c>
      <c r="CL28" s="23">
        <f t="shared" si="5"/>
        <v>671273</v>
      </c>
      <c r="CM28" s="79">
        <v>0.01</v>
      </c>
      <c r="CN28" s="23">
        <f t="shared" si="6"/>
        <v>6712.7300000000005</v>
      </c>
      <c r="CO28" s="79">
        <v>0.45</v>
      </c>
      <c r="CP28" s="23">
        <f t="shared" si="7"/>
        <v>302072.85000000003</v>
      </c>
      <c r="CQ28" s="79">
        <f>Sheet1!CF24</f>
        <v>0</v>
      </c>
      <c r="CR28" s="23">
        <f t="shared" si="8"/>
        <v>0</v>
      </c>
      <c r="CS28" s="23">
        <f t="shared" si="9"/>
        <v>980058.58000000007</v>
      </c>
      <c r="CT28" s="79">
        <v>0.02</v>
      </c>
      <c r="CU28" s="6">
        <f t="shared" si="10"/>
        <v>19601.171600000001</v>
      </c>
      <c r="CV28" s="79">
        <v>0.01</v>
      </c>
      <c r="CW28" s="6">
        <f t="shared" si="11"/>
        <v>9800.5858000000007</v>
      </c>
      <c r="CX28" s="79">
        <f>Sheet1!CM24</f>
        <v>0</v>
      </c>
      <c r="CY28" s="6">
        <f t="shared" si="12"/>
        <v>0</v>
      </c>
    </row>
    <row r="29" spans="1:104" s="22" customFormat="1" ht="30" x14ac:dyDescent="0.25">
      <c r="A29" s="6" t="str">
        <f>Sheet1!A18</f>
        <v>ENQ-18390-25-26</v>
      </c>
      <c r="B29" s="71">
        <v>46357</v>
      </c>
      <c r="C29" s="6" t="str">
        <f>Sheet1!C18</f>
        <v>FA1300114</v>
      </c>
      <c r="D29" s="6" t="str">
        <f>Sheet1!D18</f>
        <v>3 CORE X 35 SQ. MM. AL/ARM - WIRE (XLPE) - 11 KV</v>
      </c>
      <c r="E29" s="23">
        <f t="shared" si="0"/>
        <v>847155.2034</v>
      </c>
      <c r="F29" s="86">
        <f t="shared" si="13"/>
        <v>29000</v>
      </c>
      <c r="G29" s="28">
        <f t="shared" si="1"/>
        <v>876155.2034</v>
      </c>
      <c r="H29" s="29">
        <f>Sheet1!CR18</f>
        <v>0.18</v>
      </c>
      <c r="I29" s="28">
        <f t="shared" si="2"/>
        <v>157707.93661199999</v>
      </c>
      <c r="J29" s="28">
        <f t="shared" si="3"/>
        <v>1033863.140012</v>
      </c>
      <c r="K29" s="63">
        <f>Sheet1!CU18</f>
        <v>7.5</v>
      </c>
      <c r="L29" s="60" t="str">
        <f>Sheet1!CV18</f>
        <v>KMS</v>
      </c>
      <c r="M29" s="23">
        <f t="shared" si="4"/>
        <v>7753973.55009</v>
      </c>
      <c r="N29" s="166">
        <v>284</v>
      </c>
      <c r="O29" s="88">
        <f>+IFERROR(VLOOKUP($O$19,Sheet1!J18:L18,3,0),0)</f>
        <v>0</v>
      </c>
      <c r="P29" s="88">
        <f>+IFERROR(VLOOKUP($P$19,Sheet1!J18:M18,3,0),0)</f>
        <v>0</v>
      </c>
      <c r="Q29" s="88">
        <f>+IFERROR(VLOOKUP($Q$19,Sheet1!J18:M18,3,0),0)</f>
        <v>0</v>
      </c>
      <c r="R29" s="88">
        <f>+IFERROR(VLOOKUP($R$19,Sheet1!J18:M18,3,0),0)</f>
        <v>0</v>
      </c>
      <c r="S29" s="88">
        <f>+IFERROR(VLOOKUP($S$19,Sheet1!J18:M18,3,0),0)</f>
        <v>0</v>
      </c>
      <c r="T29" s="88">
        <f>+IFERROR(VLOOKUP($T$19,Sheet1!J18:M18,3,0),0)</f>
        <v>0</v>
      </c>
      <c r="U29" s="88">
        <f>+IFERROR(VLOOKUP($U$19,Sheet1!J18:M18,3,0),0)</f>
        <v>0</v>
      </c>
      <c r="V29" s="88">
        <f>+IFERROR(VLOOKUP($V$19,Sheet1!N18:Q18,3,0),0)</f>
        <v>0</v>
      </c>
      <c r="W29" s="88">
        <f>+IFERROR(VLOOKUP($W$19,Sheet1!N18:Q18,3,0),0)</f>
        <v>0</v>
      </c>
      <c r="X29" s="88">
        <f>+IFERROR(VLOOKUP($X$19,Sheet1!F18:I18,3,0),0)</f>
        <v>0</v>
      </c>
      <c r="Y29" s="88">
        <f>+IFERROR(VLOOKUP($Y$19,Sheet1!F18:I18,3,0),0)</f>
        <v>0</v>
      </c>
      <c r="Z29" s="88">
        <f>+IFERROR(VLOOKUP($Z$19,Sheet1!F18:I18,3,0),0)</f>
        <v>0</v>
      </c>
      <c r="AA29" s="88">
        <f>+IFERROR(VLOOKUP($AA$19,Sheet1!F18:I18,3,0),0)</f>
        <v>0</v>
      </c>
      <c r="AB29" s="166">
        <v>93</v>
      </c>
      <c r="AC29" s="88">
        <f>+IFERROR(VLOOKUP($AC$19,Sheet1!F18:I18,3,0),0)</f>
        <v>0</v>
      </c>
      <c r="AD29" s="88">
        <f>+IFERROR(VLOOKUP($AD$19,Sheet1!F18:I18,3,0),0)</f>
        <v>0</v>
      </c>
      <c r="AE29" s="88">
        <f>+IFERROR(VLOOKUP($AE$19,Sheet1!F18:I18,3,0),0)</f>
        <v>0</v>
      </c>
      <c r="AF29" s="166">
        <v>220</v>
      </c>
      <c r="AG29" s="87">
        <f>+IFERROR(VLOOKUP($AG$19,Sheet1!R18:U18,3,0),0)</f>
        <v>0</v>
      </c>
      <c r="AH29" s="166">
        <v>410</v>
      </c>
      <c r="AI29" s="87">
        <f>+IFERROR(VLOOKUP($AI$19,Sheet1!V18:Y18,3,0),0)</f>
        <v>0</v>
      </c>
      <c r="AJ29" s="87">
        <f>+IFERROR(VLOOKUP($AJ$19,Sheet1!V18:Y18,3,0),0)</f>
        <v>0</v>
      </c>
      <c r="AK29" s="87">
        <f>+IFERROR(VLOOKUP($AK$19,Sheet1!V18:Y18,3,0),0)</f>
        <v>0</v>
      </c>
      <c r="AL29" s="87">
        <f>+IFERROR(VLOOKUP($AL$19,Sheet1!V18:Y18,3,0),0)</f>
        <v>0</v>
      </c>
      <c r="AM29" s="87">
        <f>+IFERROR(VLOOKUP($AM$19,Sheet1!V18:Y18,3,0),0)</f>
        <v>0</v>
      </c>
      <c r="AN29" s="87">
        <f>+IFERROR(VLOOKUP($AN$19,Sheet1!V18:Y18,3,0),0)</f>
        <v>0</v>
      </c>
      <c r="AO29" s="87">
        <f>+IFERROR(VLOOKUP($AO$19,Sheet1!V18:Y18,3,0),0)</f>
        <v>0</v>
      </c>
      <c r="AP29" s="87">
        <f>+IFERROR(VLOOKUP($AP$19,Sheet1!V18:Y18,3,0),0)</f>
        <v>0</v>
      </c>
      <c r="AQ29" s="87">
        <f>+IFERROR(VLOOKUP($AQ$19,Sheet1!Z18:AB18,3,0),0)</f>
        <v>0</v>
      </c>
      <c r="AR29" s="87">
        <f>+IFERROR(VLOOKUP($AR$19,Sheet1!AD18:AG18,3,0),0)</f>
        <v>0</v>
      </c>
      <c r="AS29" s="87">
        <f>+IFERROR(VLOOKUP($AS$19,Sheet1!AD18:AG18,3,0),0)</f>
        <v>0</v>
      </c>
      <c r="AT29" s="87">
        <f>+IFERROR(VLOOKUP($AT$19,Sheet1!AD18:AG18,3,0),0)</f>
        <v>0</v>
      </c>
      <c r="AU29" s="87">
        <f>+IFERROR(VLOOKUP($AU$19,Sheet1!AD18:AG18,3,0),0)</f>
        <v>0</v>
      </c>
      <c r="AV29" s="87">
        <f>+IFERROR(VLOOKUP($AV$19,Sheet1!AD18:AG18,3,0),0)</f>
        <v>0</v>
      </c>
      <c r="AW29" s="87">
        <f>+IFERROR(VLOOKUP($AW$19,Sheet1!AD18:AG18,3,0),0)</f>
        <v>0</v>
      </c>
      <c r="AX29" s="167">
        <v>335</v>
      </c>
      <c r="AY29" s="87">
        <f>+IFERROR(VLOOKUP($AY$19,Sheet1!AD18:AG18,3,0),0)</f>
        <v>0</v>
      </c>
      <c r="AZ29" s="87">
        <f>+IFERROR(VLOOKUP($AZ$19,Sheet1!AD18:AG18,3,0),0)</f>
        <v>0</v>
      </c>
      <c r="BA29" s="87">
        <f>+IFERROR(VLOOKUP($BA$19,Sheet1!AH18:AK18,3,0),0)</f>
        <v>0</v>
      </c>
      <c r="BB29" s="87">
        <f>+IFERROR(VLOOKUP($BB$19,Sheet1!AH18:AK18,3,0),0)</f>
        <v>0</v>
      </c>
      <c r="BC29" s="87">
        <f>+IFERROR(VLOOKUP($BC$19,Sheet1!AH18:AK18,3,0),0)</f>
        <v>0</v>
      </c>
      <c r="BD29" s="87">
        <f>+IFERROR(VLOOKUP($BD$19,Sheet1!AH18:AK18,3,0),0)</f>
        <v>0</v>
      </c>
      <c r="BE29" s="87">
        <f>+IFERROR(VLOOKUP($BE$19,Sheet1!AH18:AK18,3,0),0)</f>
        <v>0</v>
      </c>
      <c r="BF29" s="87">
        <f>+IFERROR(VLOOKUP($BF$19,Sheet1!AH18:AK18,3,0),0)</f>
        <v>0</v>
      </c>
      <c r="BG29" s="87">
        <f>+IFERROR(VLOOKUP($BG$19,Sheet1!AH18:AK18,3,0),0)</f>
        <v>0</v>
      </c>
      <c r="BH29" s="87">
        <f>+IFERROR(VLOOKUP($BH$19,Sheet1!AH18:AK18,3,0),0)</f>
        <v>0</v>
      </c>
      <c r="BI29" s="87">
        <f>+IFERROR(VLOOKUP($BI$19,Sheet1!AH18:AK18,3,0),0)</f>
        <v>0</v>
      </c>
      <c r="BJ29" s="167">
        <v>1539</v>
      </c>
      <c r="BK29" s="87">
        <f>+IFERROR(VLOOKUP($BK$19,Sheet1!AH18:AK18,3,0),0)</f>
        <v>0</v>
      </c>
      <c r="BL29" s="87">
        <f>+IFERROR(VLOOKUP($BL$19,Sheet1!AL18:AO18,3,0),0)</f>
        <v>0</v>
      </c>
      <c r="BM29" s="87">
        <f>+IFERROR(VLOOKUP($BM$19,Sheet1!AL18:AO18,3,0),0)</f>
        <v>0</v>
      </c>
      <c r="BN29" s="87">
        <f>+IFERROR(VLOOKUP($BN$19,Sheet1!AL18:AO18,3,0),0)</f>
        <v>0</v>
      </c>
      <c r="BO29" s="167">
        <v>500</v>
      </c>
      <c r="BP29" s="87">
        <f>+IFERROR(VLOOKUP($BP$19,Sheet1!AL18:AO18,3,0),0)</f>
        <v>0</v>
      </c>
      <c r="BQ29" s="87">
        <f>+IFERROR(VLOOKUP($BQ$19,Sheet1!AL18:AO18,3,0),0)</f>
        <v>0</v>
      </c>
      <c r="BR29" s="87">
        <f>+IFERROR(VLOOKUP($BR$19,Sheet1!AL18:AO18,3,0),0)</f>
        <v>0</v>
      </c>
      <c r="BS29" s="87">
        <f>+IFERROR(VLOOKUP($BS$19,Sheet1!AL18:AO18,3,0),0)</f>
        <v>0</v>
      </c>
      <c r="BT29" s="87">
        <f>+IFERROR(VLOOKUP($BT$19,Sheet1!AL18:AO18,3,0),0)</f>
        <v>0</v>
      </c>
      <c r="BU29" s="87">
        <f>+IFERROR(VLOOKUP($BU$19,Sheet1!AL18:AO18,3,0),0)</f>
        <v>0</v>
      </c>
      <c r="BV29" s="87">
        <f>+IFERROR(VLOOKUP($BV$19,Sheet1!AL18:AO18,3,0),0)</f>
        <v>0</v>
      </c>
      <c r="BW29" s="87">
        <f>+IFERROR(VLOOKUP($BW$19,Sheet1!AL18:AO18,3,0),0)</f>
        <v>0</v>
      </c>
      <c r="BX29" s="167">
        <v>290</v>
      </c>
      <c r="BY29" s="167">
        <v>6</v>
      </c>
      <c r="BZ29" s="87">
        <f>+IFERROR(VLOOKUP($BZ$19,Sheet1!AX18:BA18,3,0),0)</f>
        <v>0</v>
      </c>
      <c r="CA29" s="167">
        <v>44</v>
      </c>
      <c r="CB29" s="87">
        <f>+IFERROR(VLOOKUP($CB$19,Sheet1!BF18:BI18,3,0),0)</f>
        <v>0</v>
      </c>
      <c r="CC29" s="87">
        <f>+IFERROR(VLOOKUP($CC$19,Sheet1!BJ18:BM18,3,0),0)</f>
        <v>0</v>
      </c>
      <c r="CD29" s="87">
        <f>+IFERROR(VLOOKUP($CD$19,Sheet1!BN18:BQ18,3,0),0)</f>
        <v>0</v>
      </c>
      <c r="CE29" s="167">
        <v>32</v>
      </c>
      <c r="CF29" s="37">
        <f>+IFERROR(VLOOKUP($CF$19,Sheet1!BV18:BY18,3,0),0)</f>
        <v>0</v>
      </c>
      <c r="CG29" s="56" t="s">
        <v>223</v>
      </c>
      <c r="CH29" s="57" t="s">
        <v>226</v>
      </c>
      <c r="CI29" s="57" t="s">
        <v>227</v>
      </c>
      <c r="CJ29" s="57">
        <f>Sheet1!CX18</f>
        <v>250</v>
      </c>
      <c r="CK29" s="23">
        <f>9750/0.25</f>
        <v>39000</v>
      </c>
      <c r="CL29" s="23">
        <f t="shared" si="5"/>
        <v>563343</v>
      </c>
      <c r="CM29" s="79">
        <v>0.01</v>
      </c>
      <c r="CN29" s="23">
        <f t="shared" si="6"/>
        <v>5633.43</v>
      </c>
      <c r="CO29" s="79">
        <v>0.45</v>
      </c>
      <c r="CP29" s="23">
        <f t="shared" si="7"/>
        <v>253504.35</v>
      </c>
      <c r="CQ29" s="79">
        <f>Sheet1!CF18</f>
        <v>0</v>
      </c>
      <c r="CR29" s="23">
        <f t="shared" si="8"/>
        <v>0</v>
      </c>
      <c r="CS29" s="23">
        <f t="shared" si="9"/>
        <v>822480.78</v>
      </c>
      <c r="CT29" s="79">
        <v>0.02</v>
      </c>
      <c r="CU29" s="6">
        <f t="shared" si="10"/>
        <v>16449.615600000001</v>
      </c>
      <c r="CV29" s="79">
        <v>0.01</v>
      </c>
      <c r="CW29" s="6">
        <f t="shared" si="11"/>
        <v>8224.8078000000005</v>
      </c>
      <c r="CX29" s="79">
        <f>Sheet1!CM18</f>
        <v>0</v>
      </c>
      <c r="CY29" s="6">
        <f t="shared" si="12"/>
        <v>0</v>
      </c>
    </row>
    <row r="30" spans="1:104" s="22" customFormat="1" ht="30" x14ac:dyDescent="0.25">
      <c r="A30" s="6" t="str">
        <f>Sheet1!A9</f>
        <v>ENQ-18390-25-26</v>
      </c>
      <c r="B30" s="71">
        <v>46357</v>
      </c>
      <c r="C30" s="6" t="str">
        <f>Sheet1!C9</f>
        <v>FA1300066</v>
      </c>
      <c r="D30" s="6" t="str">
        <f>Sheet1!D9</f>
        <v>1 CORE X 1000 SQ. MM. AL/ARM (XLPE) - 11 KV</v>
      </c>
      <c r="E30" s="23">
        <f t="shared" si="0"/>
        <v>1757602.3206</v>
      </c>
      <c r="F30" s="86">
        <f t="shared" si="13"/>
        <v>29000</v>
      </c>
      <c r="G30" s="28">
        <f t="shared" si="1"/>
        <v>1786602.3206</v>
      </c>
      <c r="H30" s="29">
        <f>Sheet1!CR9</f>
        <v>0.18</v>
      </c>
      <c r="I30" s="28">
        <f t="shared" si="2"/>
        <v>321588.41770799999</v>
      </c>
      <c r="J30" s="28">
        <f t="shared" si="3"/>
        <v>2108190.7383079999</v>
      </c>
      <c r="K30" s="63">
        <f>Sheet1!CU9</f>
        <v>7.5</v>
      </c>
      <c r="L30" s="60" t="str">
        <f>Sheet1!CV9</f>
        <v>KMS</v>
      </c>
      <c r="M30" s="23">
        <f t="shared" si="4"/>
        <v>15811430.537309999</v>
      </c>
      <c r="N30" s="166">
        <f>+IFERROR(VLOOKUP($N$19,Sheet1!J9:L9,3,0),0)</f>
        <v>2732</v>
      </c>
      <c r="O30" s="88">
        <f>+IFERROR(VLOOKUP($O$19,Sheet1!J9:L9,3,0),0)</f>
        <v>0</v>
      </c>
      <c r="P30" s="88">
        <f>+IFERROR(VLOOKUP($P$19,Sheet1!J9:M9,3,0),0)</f>
        <v>0</v>
      </c>
      <c r="Q30" s="88">
        <f>+IFERROR(VLOOKUP($Q$19,Sheet1!J9:M9,3,0),0)</f>
        <v>0</v>
      </c>
      <c r="R30" s="88">
        <f>+IFERROR(VLOOKUP($R$19,Sheet1!J9:M9,3,0),0)</f>
        <v>0</v>
      </c>
      <c r="S30" s="88">
        <f>+IFERROR(VLOOKUP($S$19,Sheet1!J9:M9,3,0),0)</f>
        <v>0</v>
      </c>
      <c r="T30" s="88">
        <f>+IFERROR(VLOOKUP($T$19,Sheet1!J9:M9,3,0),0)</f>
        <v>0</v>
      </c>
      <c r="U30" s="88">
        <f>+IFERROR(VLOOKUP($U$19,Sheet1!J9:M9,3,0),0)</f>
        <v>0</v>
      </c>
      <c r="V30" s="88">
        <f>+IFERROR(VLOOKUP($V$19,Sheet1!N9:Q9,3,0),0)</f>
        <v>0</v>
      </c>
      <c r="W30" s="88">
        <f>+IFERROR(VLOOKUP($W$19,Sheet1!N9:Q9,3,0),0)</f>
        <v>0</v>
      </c>
      <c r="X30" s="88">
        <f>+IFERROR(VLOOKUP($X$19,Sheet1!F9:I9,3,0),0)</f>
        <v>0</v>
      </c>
      <c r="Y30" s="88">
        <f>+IFERROR(VLOOKUP($Y$19,Sheet1!F9:I9,3,0),0)</f>
        <v>0</v>
      </c>
      <c r="Z30" s="88">
        <f>+IFERROR(VLOOKUP($Z$19,Sheet1!F9:I9,3,0),0)</f>
        <v>0</v>
      </c>
      <c r="AA30" s="88">
        <f>+IFERROR(VLOOKUP($AA$19,Sheet1!F9:I9,3,0),0)</f>
        <v>0</v>
      </c>
      <c r="AB30" s="166">
        <v>84</v>
      </c>
      <c r="AC30" s="88">
        <f>+IFERROR(VLOOKUP($AC$19,Sheet1!F9:I9,3,0),0)</f>
        <v>0</v>
      </c>
      <c r="AD30" s="88">
        <f>+IFERROR(VLOOKUP($AD$19,Sheet1!F9:I9,3,0),0)</f>
        <v>0</v>
      </c>
      <c r="AE30" s="88">
        <f>+IFERROR(VLOOKUP($AE$19,Sheet1!F9:I9,3,0),0)</f>
        <v>0</v>
      </c>
      <c r="AF30" s="166">
        <v>276</v>
      </c>
      <c r="AG30" s="87">
        <f>+IFERROR(VLOOKUP($AG$19,Sheet1!R9:U9,3,0),0)</f>
        <v>0</v>
      </c>
      <c r="AH30" s="166">
        <v>480</v>
      </c>
      <c r="AI30" s="87">
        <f>+IFERROR(VLOOKUP($AI$19,Sheet1!V9:Y9,3,0),0)</f>
        <v>0</v>
      </c>
      <c r="AJ30" s="87">
        <f>+IFERROR(VLOOKUP($AJ$19,Sheet1!V9:Y9,3,0),0)</f>
        <v>0</v>
      </c>
      <c r="AK30" s="87">
        <f>+IFERROR(VLOOKUP($AK$19,Sheet1!V9:Y9,3,0),0)</f>
        <v>0</v>
      </c>
      <c r="AL30" s="87">
        <f>+IFERROR(VLOOKUP($AL$19,Sheet1!V9:Y9,3,0),0)</f>
        <v>0</v>
      </c>
      <c r="AM30" s="87">
        <f>+IFERROR(VLOOKUP($AM$19,Sheet1!V9:Y9,3,0),0)</f>
        <v>0</v>
      </c>
      <c r="AN30" s="87">
        <f>+IFERROR(VLOOKUP($AN$19,Sheet1!V9:Y9,3,0),0)</f>
        <v>0</v>
      </c>
      <c r="AO30" s="87">
        <f>+IFERROR(VLOOKUP($AO$19,Sheet1!V9:Y9,3,0),0)</f>
        <v>0</v>
      </c>
      <c r="AP30" s="87">
        <f>+IFERROR(VLOOKUP($AP$19,Sheet1!V9:Y9,3,0),0)</f>
        <v>0</v>
      </c>
      <c r="AQ30" s="167">
        <v>35</v>
      </c>
      <c r="AR30" s="87">
        <f>+IFERROR(VLOOKUP($AR$19,Sheet1!AD9:AG9,3,0),0)</f>
        <v>0</v>
      </c>
      <c r="AS30" s="87">
        <f>+IFERROR(VLOOKUP($AS$19,Sheet1!AD9:AG9,3,0),0)</f>
        <v>0</v>
      </c>
      <c r="AT30" s="87">
        <f>+IFERROR(VLOOKUP($AT$19,Sheet1!AD9:AG9,3,0),0)</f>
        <v>0</v>
      </c>
      <c r="AU30" s="87">
        <f>+IFERROR(VLOOKUP($AU$19,Sheet1!AD9:AG9,3,0),0)</f>
        <v>0</v>
      </c>
      <c r="AV30" s="87">
        <f>+IFERROR(VLOOKUP($AV$19,Sheet1!AD9:AG9,3,0),0)</f>
        <v>0</v>
      </c>
      <c r="AW30" s="87">
        <f>+IFERROR(VLOOKUP($AW$19,Sheet1!AD9:AG9,3,0),0)</f>
        <v>0</v>
      </c>
      <c r="AX30" s="167">
        <v>218</v>
      </c>
      <c r="AY30" s="87">
        <f>+IFERROR(VLOOKUP($AY$19,Sheet1!AD9:AG9,3,0),0)</f>
        <v>0</v>
      </c>
      <c r="AZ30" s="87">
        <f>+IFERROR(VLOOKUP($AZ$19,Sheet1!AD9:AG9,3,0),0)</f>
        <v>0</v>
      </c>
      <c r="BA30" s="87">
        <f>+IFERROR(VLOOKUP($BA$19,Sheet1!AH9:AK9,3,0),0)</f>
        <v>0</v>
      </c>
      <c r="BB30" s="87">
        <f>+IFERROR(VLOOKUP($BB$19,Sheet1!AH9:AK9,3,0),0)</f>
        <v>0</v>
      </c>
      <c r="BC30" s="87">
        <f>+IFERROR(VLOOKUP($BC$19,Sheet1!AH9:AK9,3,0),0)</f>
        <v>0</v>
      </c>
      <c r="BD30" s="167">
        <v>814</v>
      </c>
      <c r="BE30" s="87">
        <f>+IFERROR(VLOOKUP($BE$19,Sheet1!AH9:AK9,3,0),0)</f>
        <v>0</v>
      </c>
      <c r="BF30" s="87">
        <f>+IFERROR(VLOOKUP($BF$19,Sheet1!AH9:AK9,3,0),0)</f>
        <v>0</v>
      </c>
      <c r="BG30" s="87">
        <f>+IFERROR(VLOOKUP($BG$19,Sheet1!AH9:AK9,3,0),0)</f>
        <v>0</v>
      </c>
      <c r="BH30" s="87">
        <f>+IFERROR(VLOOKUP($BH$19,Sheet1!AH9:AK9,3,0),0)</f>
        <v>0</v>
      </c>
      <c r="BI30" s="87">
        <f>+IFERROR(VLOOKUP($BI$19,Sheet1!AH9:AK9,3,0),0)</f>
        <v>0</v>
      </c>
      <c r="BJ30" s="87">
        <f>+IFERROR(VLOOKUP($BJ$19,Sheet1!AH9:AK9,3,0),0)</f>
        <v>0</v>
      </c>
      <c r="BK30" s="87">
        <f>+IFERROR(VLOOKUP($BK$19,Sheet1!AH9:AK9,3,0),0)</f>
        <v>0</v>
      </c>
      <c r="BL30" s="87">
        <f>+IFERROR(VLOOKUP($BL$19,Sheet1!AL9:AO9,3,0),0)</f>
        <v>0</v>
      </c>
      <c r="BM30" s="87">
        <f>+IFERROR(VLOOKUP($BM$19,Sheet1!AL9:AO9,3,0),0)</f>
        <v>0</v>
      </c>
      <c r="BN30" s="87">
        <f>+IFERROR(VLOOKUP($BN$19,Sheet1!AL9:AO9,3,0),0)</f>
        <v>0</v>
      </c>
      <c r="BO30" s="167">
        <v>706</v>
      </c>
      <c r="BP30" s="87">
        <f>+IFERROR(VLOOKUP($BP$19,Sheet1!AL9:AO9,3,0),0)</f>
        <v>0</v>
      </c>
      <c r="BQ30" s="87">
        <f>+IFERROR(VLOOKUP($BQ$19,Sheet1!AL9:AO9,3,0),0)</f>
        <v>0</v>
      </c>
      <c r="BR30" s="87">
        <f>+IFERROR(VLOOKUP($BR$19,Sheet1!AL9:AO9,3,0),0)</f>
        <v>0</v>
      </c>
      <c r="BS30" s="87">
        <f>+IFERROR(VLOOKUP($BS$19,Sheet1!AL9:AO9,3,0),0)</f>
        <v>0</v>
      </c>
      <c r="BT30" s="87">
        <f>+IFERROR(VLOOKUP($BT$19,Sheet1!AL9:AO9,3,0),0)</f>
        <v>0</v>
      </c>
      <c r="BU30" s="87">
        <f>+IFERROR(VLOOKUP($BU$19,Sheet1!AL9:AO9,3,0),0)</f>
        <v>0</v>
      </c>
      <c r="BV30" s="87">
        <f>+IFERROR(VLOOKUP($BV$19,Sheet1!AL9:AO9,3,0),0)</f>
        <v>0</v>
      </c>
      <c r="BW30" s="87">
        <f>+IFERROR(VLOOKUP($BW$19,Sheet1!AL9:AO9,3,0),0)</f>
        <v>0</v>
      </c>
      <c r="BX30" s="87">
        <f>+IFERROR(VLOOKUP($BX$19,Sheet1!AP9:AS9,3,0),0)</f>
        <v>0</v>
      </c>
      <c r="BY30" s="167">
        <v>39</v>
      </c>
      <c r="BZ30" s="87">
        <f>+IFERROR(VLOOKUP($BZ$19,Sheet1!AX9:BA9,3,0),0)</f>
        <v>0</v>
      </c>
      <c r="CA30" s="167">
        <v>49</v>
      </c>
      <c r="CB30" s="87">
        <f>+IFERROR(VLOOKUP($CB$19,Sheet1!BF9:BI9,3,0),0)</f>
        <v>0</v>
      </c>
      <c r="CC30" s="87">
        <f>+IFERROR(VLOOKUP($CC$19,Sheet1!BJ9:BM9,3,0),0)</f>
        <v>0</v>
      </c>
      <c r="CD30" s="87">
        <f>+IFERROR(VLOOKUP($CD$19,Sheet1!BN9:BQ9,3,0),0)</f>
        <v>0</v>
      </c>
      <c r="CE30" s="167">
        <v>42</v>
      </c>
      <c r="CF30" s="37">
        <f>+IFERROR(VLOOKUP($CF$19,Sheet1!BV9:BY9,3,0),0)</f>
        <v>0</v>
      </c>
      <c r="CG30" s="56" t="str">
        <f>Sheet1!E9</f>
        <v>STEEL</v>
      </c>
      <c r="CH30" s="57" t="s">
        <v>245</v>
      </c>
      <c r="CI30" s="57" t="s">
        <v>246</v>
      </c>
      <c r="CJ30" s="57">
        <f>Sheet1!CX9</f>
        <v>500</v>
      </c>
      <c r="CK30" s="23">
        <f>19500/0.5</f>
        <v>39000</v>
      </c>
      <c r="CL30" s="23">
        <f t="shared" si="5"/>
        <v>1433958</v>
      </c>
      <c r="CM30" s="79">
        <v>0.01</v>
      </c>
      <c r="CN30" s="23">
        <f t="shared" si="6"/>
        <v>14339.58</v>
      </c>
      <c r="CO30" s="79">
        <v>0.18</v>
      </c>
      <c r="CP30" s="23">
        <f t="shared" si="7"/>
        <v>258112.44</v>
      </c>
      <c r="CQ30" s="79">
        <f>Sheet1!CF9</f>
        <v>0</v>
      </c>
      <c r="CR30" s="23">
        <f t="shared" si="8"/>
        <v>0</v>
      </c>
      <c r="CS30" s="23">
        <f t="shared" si="9"/>
        <v>1706410.02</v>
      </c>
      <c r="CT30" s="79">
        <v>0.02</v>
      </c>
      <c r="CU30" s="6">
        <f t="shared" si="10"/>
        <v>34128.200400000002</v>
      </c>
      <c r="CV30" s="79">
        <v>0.01</v>
      </c>
      <c r="CW30" s="6">
        <f t="shared" si="11"/>
        <v>17064.100200000001</v>
      </c>
      <c r="CX30" s="79">
        <f>Sheet1!CM9</f>
        <v>0</v>
      </c>
      <c r="CY30" s="6">
        <f t="shared" si="12"/>
        <v>0</v>
      </c>
    </row>
    <row r="31" spans="1:104" s="22" customFormat="1" ht="30" x14ac:dyDescent="0.25">
      <c r="A31" s="6" t="str">
        <f>Sheet1!A3</f>
        <v>ENQ-18390-25-26</v>
      </c>
      <c r="B31" s="71">
        <v>46357</v>
      </c>
      <c r="C31" s="6" t="str">
        <f>Sheet1!C3</f>
        <v>FA1300016</v>
      </c>
      <c r="D31" s="6" t="str">
        <f>Sheet1!D3</f>
        <v>1 CORE X 630 SQ. MM. AL/ARM (XLPE)  - 11 KV</v>
      </c>
      <c r="E31" s="23">
        <f t="shared" si="0"/>
        <v>1178291.1497</v>
      </c>
      <c r="F31" s="86">
        <f t="shared" si="13"/>
        <v>16731</v>
      </c>
      <c r="G31" s="28">
        <f t="shared" si="1"/>
        <v>1195022.1497</v>
      </c>
      <c r="H31" s="29">
        <f>Sheet1!CR3</f>
        <v>0.18</v>
      </c>
      <c r="I31" s="28">
        <f t="shared" si="2"/>
        <v>215103.98694599999</v>
      </c>
      <c r="J31" s="28">
        <f t="shared" si="3"/>
        <v>1410126.136646</v>
      </c>
      <c r="K31" s="63">
        <f>Sheet1!CU3</f>
        <v>13</v>
      </c>
      <c r="L31" s="60" t="str">
        <f>Sheet1!CV3</f>
        <v>KMS</v>
      </c>
      <c r="M31" s="23">
        <f t="shared" si="4"/>
        <v>18331639.776397999</v>
      </c>
      <c r="N31" s="166">
        <f>+IFERROR(VLOOKUP($N$19,Sheet1!J3:L3,3,0),0)</f>
        <v>1701</v>
      </c>
      <c r="O31" s="88">
        <f>+IFERROR(VLOOKUP($O$19,Sheet1!J3:L3,3,0),0)</f>
        <v>0</v>
      </c>
      <c r="P31" s="88">
        <f>+IFERROR(VLOOKUP($P$19,Sheet1!J3:M3,3,0),0)</f>
        <v>0</v>
      </c>
      <c r="Q31" s="88">
        <f>+IFERROR(VLOOKUP($Q$19,Sheet1!J3:M3,3,0),0)</f>
        <v>0</v>
      </c>
      <c r="R31" s="88">
        <f>+IFERROR(VLOOKUP($R$19,Sheet1!J3:M3,3,0),0)</f>
        <v>0</v>
      </c>
      <c r="S31" s="88">
        <f>+IFERROR(VLOOKUP($S$19,Sheet1!J3:M3,3,0),0)</f>
        <v>0</v>
      </c>
      <c r="T31" s="88">
        <f>+IFERROR(VLOOKUP($T$19,Sheet1!J3:M3,3,0),0)</f>
        <v>0</v>
      </c>
      <c r="U31" s="88">
        <f>+IFERROR(VLOOKUP($U$19,Sheet1!J3:M3,3,0),0)</f>
        <v>0</v>
      </c>
      <c r="V31" s="88">
        <f>+IFERROR(VLOOKUP($V$19,Sheet1!N3:Q3,3,0),0)</f>
        <v>0</v>
      </c>
      <c r="W31" s="88">
        <f>+IFERROR(VLOOKUP($W$19,Sheet1!N3:Q3,3,0),0)</f>
        <v>0</v>
      </c>
      <c r="X31" s="88">
        <f>+IFERROR(VLOOKUP($X$19,Sheet1!F3:I3,3,0),0)</f>
        <v>0</v>
      </c>
      <c r="Y31" s="88">
        <f>+IFERROR(VLOOKUP($Y$19,Sheet1!F3:I3,3,0),0)</f>
        <v>0</v>
      </c>
      <c r="Z31" s="88">
        <f>+IFERROR(VLOOKUP($Z$19,Sheet1!F3:I3,3,0),0)</f>
        <v>0</v>
      </c>
      <c r="AA31" s="88">
        <f>+IFERROR(VLOOKUP($AA$19,Sheet1!F3:I3,3,0),0)</f>
        <v>0</v>
      </c>
      <c r="AB31" s="166">
        <v>69</v>
      </c>
      <c r="AC31" s="88">
        <f>+IFERROR(VLOOKUP($AC$19,Sheet1!F3:I3,3,0),0)</f>
        <v>0</v>
      </c>
      <c r="AD31" s="88">
        <f>+IFERROR(VLOOKUP($AD$19,Sheet1!F3:I3,3,0),0)</f>
        <v>0</v>
      </c>
      <c r="AE31" s="88">
        <f>+IFERROR(VLOOKUP($AE$19,Sheet1!F3:I3,3,0),0)</f>
        <v>0</v>
      </c>
      <c r="AF31" s="166">
        <v>213</v>
      </c>
      <c r="AG31" s="87">
        <f>+IFERROR(VLOOKUP($AG$19,Sheet1!R3:U3,3,0),0)</f>
        <v>0</v>
      </c>
      <c r="AH31" s="166">
        <v>380</v>
      </c>
      <c r="AI31" s="87">
        <f>+IFERROR(VLOOKUP($AI$19,Sheet1!V3:Y3,3,0),0)</f>
        <v>0</v>
      </c>
      <c r="AJ31" s="87">
        <f>+IFERROR(VLOOKUP($AJ$19,Sheet1!V3:Y3,3,0),0)</f>
        <v>0</v>
      </c>
      <c r="AK31" s="87">
        <f>+IFERROR(VLOOKUP($AK$19,Sheet1!V3:Y3,3,0),0)</f>
        <v>0</v>
      </c>
      <c r="AL31" s="87">
        <f>+IFERROR(VLOOKUP($AL$19,Sheet1!V3:Y3,3,0),0)</f>
        <v>0</v>
      </c>
      <c r="AM31" s="87">
        <f>+IFERROR(VLOOKUP($AM$19,Sheet1!V3:Y3,3,0),0)</f>
        <v>0</v>
      </c>
      <c r="AN31" s="87">
        <f>+IFERROR(VLOOKUP($AN$19,Sheet1!V3:Y3,3,0),0)</f>
        <v>0</v>
      </c>
      <c r="AO31" s="87">
        <f>+IFERROR(VLOOKUP($AO$19,Sheet1!V3:Y3,3,0),0)</f>
        <v>0</v>
      </c>
      <c r="AP31" s="87">
        <f>+IFERROR(VLOOKUP($AP$19,Sheet1!V3:Y3,3,0),0)</f>
        <v>0</v>
      </c>
      <c r="AQ31" s="167">
        <v>29</v>
      </c>
      <c r="AR31" s="87">
        <f>+IFERROR(VLOOKUP($AR$19,Sheet1!AD3:AG3,3,0),0)</f>
        <v>0</v>
      </c>
      <c r="AS31" s="87">
        <f>+IFERROR(VLOOKUP($AS$19,Sheet1!AD3:AG3,3,0),0)</f>
        <v>0</v>
      </c>
      <c r="AT31" s="87">
        <f>+IFERROR(VLOOKUP($AT$19,Sheet1!AD3:AG3,3,0),0)</f>
        <v>0</v>
      </c>
      <c r="AU31" s="87">
        <f>+IFERROR(VLOOKUP($AU$19,Sheet1!AD3:AG3,3,0),0)</f>
        <v>0</v>
      </c>
      <c r="AV31" s="87">
        <f>+IFERROR(VLOOKUP($AV$19,Sheet1!AD3:AG3,3,0),0)</f>
        <v>0</v>
      </c>
      <c r="AW31" s="87">
        <f>+IFERROR(VLOOKUP($AW$19,Sheet1!AD3:AG3,3,0),0)</f>
        <v>0</v>
      </c>
      <c r="AX31" s="167">
        <v>159</v>
      </c>
      <c r="AY31" s="87">
        <f>+IFERROR(VLOOKUP($AY$19,Sheet1!AD3:AG3,3,0),0)</f>
        <v>0</v>
      </c>
      <c r="AZ31" s="87">
        <f>+IFERROR(VLOOKUP($AZ$19,Sheet1!AD3:AG3,3,0),0)</f>
        <v>0</v>
      </c>
      <c r="BA31" s="87">
        <f>+IFERROR(VLOOKUP($BA$19,Sheet1!AH3:AK3,3,0),0)</f>
        <v>0</v>
      </c>
      <c r="BB31" s="87">
        <f>+IFERROR(VLOOKUP($BB$19,Sheet1!AH3:AK3,3,0),0)</f>
        <v>0</v>
      </c>
      <c r="BC31" s="87">
        <f>+IFERROR(VLOOKUP($BC$19,Sheet1!AH3:AK3,3,0),0)</f>
        <v>0</v>
      </c>
      <c r="BD31" s="167">
        <v>539</v>
      </c>
      <c r="BE31" s="87">
        <f>+IFERROR(VLOOKUP($BE$19,Sheet1!AH3:AK3,3,0),0)</f>
        <v>0</v>
      </c>
      <c r="BF31" s="87">
        <f>+IFERROR(VLOOKUP($BF$19,Sheet1!AH3:AK3,3,0),0)</f>
        <v>0</v>
      </c>
      <c r="BG31" s="87">
        <f>+IFERROR(VLOOKUP($BG$19,Sheet1!AH3:AK3,3,0),0)</f>
        <v>0</v>
      </c>
      <c r="BH31" s="87">
        <f>+IFERROR(VLOOKUP($BH$19,Sheet1!AH3:AK3,3,0),0)</f>
        <v>0</v>
      </c>
      <c r="BI31" s="87">
        <f>+IFERROR(VLOOKUP($BI$19,Sheet1!AH3:AK3,3,0),0)</f>
        <v>0</v>
      </c>
      <c r="BJ31" s="87">
        <f>+IFERROR(VLOOKUP($BJ$19,Sheet1!AH3:AK3,3,0),0)</f>
        <v>0</v>
      </c>
      <c r="BK31" s="87">
        <f>+IFERROR(VLOOKUP($BK$19,Sheet1!AH3:AK3,3,0),0)</f>
        <v>0</v>
      </c>
      <c r="BL31" s="87">
        <f>+IFERROR(VLOOKUP($BL$19,Sheet1!AL3:AO3,3,0),0)</f>
        <v>0</v>
      </c>
      <c r="BM31" s="87">
        <f>+IFERROR(VLOOKUP($BM$19,Sheet1!AL3:AO3,3,0),0)</f>
        <v>0</v>
      </c>
      <c r="BN31" s="87">
        <f>+IFERROR(VLOOKUP($BN$19,Sheet1!AL3:AO3,3,0),0)</f>
        <v>0</v>
      </c>
      <c r="BO31" s="167">
        <v>500</v>
      </c>
      <c r="BP31" s="87">
        <f>+IFERROR(VLOOKUP($BP$19,Sheet1!AL3:AO3,3,0),0)</f>
        <v>0</v>
      </c>
      <c r="BQ31" s="87">
        <f>+IFERROR(VLOOKUP($BQ$19,Sheet1!AL3:AO3,3,0),0)</f>
        <v>0</v>
      </c>
      <c r="BR31" s="87">
        <f>+IFERROR(VLOOKUP($BR$19,Sheet1!AL3:AO3,3,0),0)</f>
        <v>0</v>
      </c>
      <c r="BS31" s="87">
        <f>+IFERROR(VLOOKUP($BS$19,Sheet1!AL3:AO3,3,0),0)</f>
        <v>0</v>
      </c>
      <c r="BT31" s="87">
        <f>+IFERROR(VLOOKUP($BT$19,Sheet1!AL3:AO3,3,0),0)</f>
        <v>0</v>
      </c>
      <c r="BU31" s="87">
        <f>+IFERROR(VLOOKUP($BU$19,Sheet1!AL3:AO3,3,0),0)</f>
        <v>0</v>
      </c>
      <c r="BV31" s="87">
        <f>+IFERROR(VLOOKUP($BV$19,Sheet1!AL3:AO3,3,0),0)</f>
        <v>0</v>
      </c>
      <c r="BW31" s="87">
        <f>+IFERROR(VLOOKUP($BW$19,Sheet1!AL3:AO3,3,0),0)</f>
        <v>0</v>
      </c>
      <c r="BX31" s="87">
        <f>+IFERROR(VLOOKUP($BX$19,Sheet1!AP3:AS3,3,0),0)</f>
        <v>0</v>
      </c>
      <c r="BY31" s="167">
        <v>26</v>
      </c>
      <c r="BZ31" s="87">
        <f>+IFERROR(VLOOKUP($BZ$19,Sheet1!AX3:BA3,3,0),0)</f>
        <v>0</v>
      </c>
      <c r="CA31" s="167">
        <v>39</v>
      </c>
      <c r="CB31" s="87">
        <f>+IFERROR(VLOOKUP($CB$19,Sheet1!BF3:BI3,3,0),0)</f>
        <v>0</v>
      </c>
      <c r="CC31" s="87">
        <f>+IFERROR(VLOOKUP($CC$19,Sheet1!BJ3:BM3,3,0),0)</f>
        <v>0</v>
      </c>
      <c r="CD31" s="87">
        <f>+IFERROR(VLOOKUP($CD$19,Sheet1!BN3:BQ3,3,0),0)</f>
        <v>0</v>
      </c>
      <c r="CE31" s="167">
        <v>33</v>
      </c>
      <c r="CF31" s="37">
        <f>+IFERROR(VLOOKUP($CF$19,Sheet1!BV3:BY3,3,0),0)</f>
        <v>0</v>
      </c>
      <c r="CG31" s="56" t="str">
        <f>Sheet1!E3</f>
        <v>STEEL</v>
      </c>
      <c r="CH31" s="57" t="s">
        <v>230</v>
      </c>
      <c r="CI31" s="57" t="s">
        <v>231</v>
      </c>
      <c r="CJ31" s="57">
        <f>Sheet1!CX3</f>
        <v>500</v>
      </c>
      <c r="CK31" s="23">
        <f>16250/0.5</f>
        <v>32500</v>
      </c>
      <c r="CL31" s="23">
        <f t="shared" si="5"/>
        <v>961321</v>
      </c>
      <c r="CM31" s="79">
        <v>0.01</v>
      </c>
      <c r="CN31" s="23">
        <f t="shared" si="6"/>
        <v>9613.2100000000009</v>
      </c>
      <c r="CO31" s="79">
        <v>0.18</v>
      </c>
      <c r="CP31" s="23">
        <f t="shared" si="7"/>
        <v>173037.78</v>
      </c>
      <c r="CQ31" s="79">
        <f>Sheet1!CF3</f>
        <v>0</v>
      </c>
      <c r="CR31" s="23">
        <f t="shared" si="8"/>
        <v>0</v>
      </c>
      <c r="CS31" s="23">
        <f t="shared" si="9"/>
        <v>1143971.99</v>
      </c>
      <c r="CT31" s="79">
        <v>0.02</v>
      </c>
      <c r="CU31" s="6">
        <f t="shared" si="10"/>
        <v>22879.4398</v>
      </c>
      <c r="CV31" s="79">
        <v>0.01</v>
      </c>
      <c r="CW31" s="6">
        <f t="shared" si="11"/>
        <v>11439.7199</v>
      </c>
      <c r="CX31" s="79">
        <f>Sheet1!CM3</f>
        <v>0</v>
      </c>
      <c r="CY31" s="6">
        <f t="shared" si="12"/>
        <v>0</v>
      </c>
    </row>
    <row r="32" spans="1:104" s="22" customFormat="1" ht="30" x14ac:dyDescent="0.25">
      <c r="A32" s="6" t="str">
        <f>Sheet1!A8</f>
        <v>ENQ-18390-25-26</v>
      </c>
      <c r="B32" s="71">
        <v>46357</v>
      </c>
      <c r="C32" s="6" t="str">
        <f>Sheet1!C8</f>
        <v>FA1300047</v>
      </c>
      <c r="D32" s="6" t="str">
        <f>Sheet1!D8</f>
        <v>1 CORE X 400 SQ. MM. AL/ARM (XLPE) - 11 KV</v>
      </c>
      <c r="E32" s="23">
        <f t="shared" si="0"/>
        <v>854705.12399999995</v>
      </c>
      <c r="F32" s="86">
        <f t="shared" si="13"/>
        <v>11154</v>
      </c>
      <c r="G32" s="28">
        <f t="shared" si="1"/>
        <v>865859.12399999995</v>
      </c>
      <c r="H32" s="29">
        <f>Sheet1!CR8</f>
        <v>0.18</v>
      </c>
      <c r="I32" s="28">
        <f t="shared" si="2"/>
        <v>155854.64231999998</v>
      </c>
      <c r="J32" s="28">
        <f t="shared" si="3"/>
        <v>1021713.7663199999</v>
      </c>
      <c r="K32" s="63">
        <f>Sheet1!CU8</f>
        <v>6.5</v>
      </c>
      <c r="L32" s="60" t="str">
        <f>Sheet1!CV8</f>
        <v>KMS</v>
      </c>
      <c r="M32" s="23">
        <f t="shared" si="4"/>
        <v>6641139.4810799994</v>
      </c>
      <c r="N32" s="166">
        <f>+IFERROR(VLOOKUP($N$19,Sheet1!J8:L8,3,0),0)</f>
        <v>1080</v>
      </c>
      <c r="O32" s="88">
        <f>+IFERROR(VLOOKUP($O$19,Sheet1!J8:L8,3,0),0)</f>
        <v>0</v>
      </c>
      <c r="P32" s="88">
        <f>+IFERROR(VLOOKUP($P$19,Sheet1!J8:M8,3,0),0)</f>
        <v>0</v>
      </c>
      <c r="Q32" s="88">
        <f>+IFERROR(VLOOKUP($Q$19,Sheet1!J8:M8,3,0),0)</f>
        <v>0</v>
      </c>
      <c r="R32" s="88">
        <f>+IFERROR(VLOOKUP($R$19,Sheet1!J8:M8,3,0),0)</f>
        <v>0</v>
      </c>
      <c r="S32" s="88">
        <f>+IFERROR(VLOOKUP($S$19,Sheet1!J8:M8,3,0),0)</f>
        <v>0</v>
      </c>
      <c r="T32" s="88">
        <f>+IFERROR(VLOOKUP($T$19,Sheet1!J8:M8,3,0),0)</f>
        <v>0</v>
      </c>
      <c r="U32" s="88">
        <f>+IFERROR(VLOOKUP($U$19,Sheet1!J8:M8,3,0),0)</f>
        <v>0</v>
      </c>
      <c r="V32" s="88">
        <f>+IFERROR(VLOOKUP($V$19,Sheet1!N8:Q8,3,0),0)</f>
        <v>0</v>
      </c>
      <c r="W32" s="88">
        <f>+IFERROR(VLOOKUP($W$19,Sheet1!N8:Q8,3,0),0)</f>
        <v>0</v>
      </c>
      <c r="X32" s="88">
        <f>+IFERROR(VLOOKUP($X$19,Sheet1!F8:I8,3,0),0)</f>
        <v>0</v>
      </c>
      <c r="Y32" s="88">
        <f>+IFERROR(VLOOKUP($Y$19,Sheet1!F8:I8,3,0),0)</f>
        <v>0</v>
      </c>
      <c r="Z32" s="88">
        <f>+IFERROR(VLOOKUP($Z$19,Sheet1!F8:I8,3,0),0)</f>
        <v>0</v>
      </c>
      <c r="AA32" s="88">
        <f>+IFERROR(VLOOKUP($AA$19,Sheet1!F8:I8,3,0),0)</f>
        <v>0</v>
      </c>
      <c r="AB32" s="166">
        <v>59</v>
      </c>
      <c r="AC32" s="88">
        <f>+IFERROR(VLOOKUP($AC$19,Sheet1!F8:I8,3,0),0)</f>
        <v>0</v>
      </c>
      <c r="AD32" s="88">
        <f>+IFERROR(VLOOKUP($AD$19,Sheet1!F8:I8,3,0),0)</f>
        <v>0</v>
      </c>
      <c r="AE32" s="88">
        <f>+IFERROR(VLOOKUP($AE$19,Sheet1!F8:I8,3,0),0)</f>
        <v>0</v>
      </c>
      <c r="AF32" s="166">
        <v>172</v>
      </c>
      <c r="AG32" s="87">
        <f>+IFERROR(VLOOKUP($AG$19,Sheet1!R8:U8,3,0),0)</f>
        <v>0</v>
      </c>
      <c r="AH32" s="166">
        <v>310</v>
      </c>
      <c r="AI32" s="87">
        <f>+IFERROR(VLOOKUP($AI$19,Sheet1!V8:Y8,3,0),0)</f>
        <v>0</v>
      </c>
      <c r="AJ32" s="87">
        <f>+IFERROR(VLOOKUP($AJ$19,Sheet1!V8:Y8,3,0),0)</f>
        <v>0</v>
      </c>
      <c r="AK32" s="87">
        <f>+IFERROR(VLOOKUP($AK$19,Sheet1!V8:Y8,3,0),0)</f>
        <v>0</v>
      </c>
      <c r="AL32" s="87">
        <f>+IFERROR(VLOOKUP($AL$19,Sheet1!V8:Y8,3,0),0)</f>
        <v>0</v>
      </c>
      <c r="AM32" s="87">
        <f>+IFERROR(VLOOKUP($AM$19,Sheet1!V8:Y8,3,0),0)</f>
        <v>0</v>
      </c>
      <c r="AN32" s="87">
        <f>+IFERROR(VLOOKUP($AN$19,Sheet1!V8:Y8,3,0),0)</f>
        <v>0</v>
      </c>
      <c r="AO32" s="87">
        <f>+IFERROR(VLOOKUP($AO$19,Sheet1!V8:Y8,3,0),0)</f>
        <v>0</v>
      </c>
      <c r="AP32" s="87">
        <f>+IFERROR(VLOOKUP($AP$19,Sheet1!V8:Y8,3,0),0)</f>
        <v>0</v>
      </c>
      <c r="AQ32" s="167">
        <v>24</v>
      </c>
      <c r="AR32" s="87">
        <f>+IFERROR(VLOOKUP($AR$19,Sheet1!AD8:AG8,3,0),0)</f>
        <v>0</v>
      </c>
      <c r="AS32" s="87">
        <f>+IFERROR(VLOOKUP($AS$19,Sheet1!AD8:AG8,3,0),0)</f>
        <v>0</v>
      </c>
      <c r="AT32" s="87">
        <f>+IFERROR(VLOOKUP($AT$19,Sheet1!AD8:AG8,3,0),0)</f>
        <v>0</v>
      </c>
      <c r="AU32" s="87">
        <f>+IFERROR(VLOOKUP($AU$19,Sheet1!AD8:AG8,3,0),0)</f>
        <v>0</v>
      </c>
      <c r="AV32" s="87">
        <f>+IFERROR(VLOOKUP($AV$19,Sheet1!AD8:AG8,3,0),0)</f>
        <v>0</v>
      </c>
      <c r="AW32" s="87">
        <f>+IFERROR(VLOOKUP($AW$19,Sheet1!AD8:AG8,3,0),0)</f>
        <v>0</v>
      </c>
      <c r="AX32" s="167">
        <v>115</v>
      </c>
      <c r="AY32" s="87">
        <f>+IFERROR(VLOOKUP($AY$19,Sheet1!AD8:AG8,3,0),0)</f>
        <v>0</v>
      </c>
      <c r="AZ32" s="87">
        <f>+IFERROR(VLOOKUP($AZ$19,Sheet1!AD8:AG8,3,0),0)</f>
        <v>0</v>
      </c>
      <c r="BA32" s="87">
        <f>+IFERROR(VLOOKUP($BA$19,Sheet1!AH8:AK8,3,0),0)</f>
        <v>0</v>
      </c>
      <c r="BB32" s="87">
        <f>+IFERROR(VLOOKUP($BB$19,Sheet1!AH8:AK8,3,0),0)</f>
        <v>0</v>
      </c>
      <c r="BC32" s="87">
        <f>+IFERROR(VLOOKUP($BC$19,Sheet1!AH8:AK8,3,0),0)</f>
        <v>0</v>
      </c>
      <c r="BD32" s="167">
        <v>460</v>
      </c>
      <c r="BE32" s="87">
        <f>+IFERROR(VLOOKUP($BE$19,Sheet1!AH8:AK8,3,0),0)</f>
        <v>0</v>
      </c>
      <c r="BF32" s="87">
        <f>+IFERROR(VLOOKUP($BF$19,Sheet1!AH8:AK8,3,0),0)</f>
        <v>0</v>
      </c>
      <c r="BG32" s="87">
        <f>+IFERROR(VLOOKUP($BG$19,Sheet1!AH8:AK8,3,0),0)</f>
        <v>0</v>
      </c>
      <c r="BH32" s="87">
        <f>+IFERROR(VLOOKUP($BH$19,Sheet1!AH8:AK8,3,0),0)</f>
        <v>0</v>
      </c>
      <c r="BI32" s="87">
        <f>+IFERROR(VLOOKUP($BI$19,Sheet1!AH8:AK8,3,0),0)</f>
        <v>0</v>
      </c>
      <c r="BJ32" s="87">
        <f>+IFERROR(VLOOKUP($BJ$19,Sheet1!AH8:AK8,3,0),0)</f>
        <v>0</v>
      </c>
      <c r="BK32" s="87">
        <f>+IFERROR(VLOOKUP($BK$19,Sheet1!AH8:AK8,3,0),0)</f>
        <v>0</v>
      </c>
      <c r="BL32" s="87">
        <f>+IFERROR(VLOOKUP($BL$19,Sheet1!AL8:AO8,3,0),0)</f>
        <v>0</v>
      </c>
      <c r="BM32" s="87">
        <f>+IFERROR(VLOOKUP($BM$19,Sheet1!AL8:AO8,3,0),0)</f>
        <v>0</v>
      </c>
      <c r="BN32" s="87">
        <f>+IFERROR(VLOOKUP($BN$19,Sheet1!AL8:AO8,3,0),0)</f>
        <v>0</v>
      </c>
      <c r="BO32" s="167">
        <v>400</v>
      </c>
      <c r="BP32" s="87">
        <f>+IFERROR(VLOOKUP($BP$19,Sheet1!AL8:AO8,3,0),0)</f>
        <v>0</v>
      </c>
      <c r="BQ32" s="87">
        <f>+IFERROR(VLOOKUP($BQ$19,Sheet1!AL8:AO8,3,0),0)</f>
        <v>0</v>
      </c>
      <c r="BR32" s="87">
        <f>+IFERROR(VLOOKUP($BR$19,Sheet1!AL8:AO8,3,0),0)</f>
        <v>0</v>
      </c>
      <c r="BS32" s="87">
        <f>+IFERROR(VLOOKUP($BS$19,Sheet1!AL8:AO8,3,0),0)</f>
        <v>0</v>
      </c>
      <c r="BT32" s="87">
        <f>+IFERROR(VLOOKUP($BT$19,Sheet1!AL8:AO8,3,0),0)</f>
        <v>0</v>
      </c>
      <c r="BU32" s="87">
        <f>+IFERROR(VLOOKUP($BU$19,Sheet1!AL8:AO8,3,0),0)</f>
        <v>0</v>
      </c>
      <c r="BV32" s="87">
        <f>+IFERROR(VLOOKUP($BV$19,Sheet1!AL8:AO8,3,0),0)</f>
        <v>0</v>
      </c>
      <c r="BW32" s="87">
        <f>+IFERROR(VLOOKUP($BW$19,Sheet1!AL8:AO8,3,0),0)</f>
        <v>0</v>
      </c>
      <c r="BX32" s="87">
        <f>+IFERROR(VLOOKUP($BX$19,Sheet1!AP8:AS8,3,0),0)</f>
        <v>0</v>
      </c>
      <c r="BY32" s="167">
        <v>20</v>
      </c>
      <c r="BZ32" s="87">
        <f>+IFERROR(VLOOKUP($BZ$19,Sheet1!AX8:BA8,3,0),0)</f>
        <v>0</v>
      </c>
      <c r="CA32" s="167">
        <v>32</v>
      </c>
      <c r="CB32" s="87">
        <f>+IFERROR(VLOOKUP($CB$19,Sheet1!BF8:BI8,3,0),0)</f>
        <v>0</v>
      </c>
      <c r="CC32" s="87">
        <f>+IFERROR(VLOOKUP($CC$19,Sheet1!BJ8:BM8,3,0),0)</f>
        <v>0</v>
      </c>
      <c r="CD32" s="87">
        <f>+IFERROR(VLOOKUP($CD$19,Sheet1!BN8:BQ8,3,0),0)</f>
        <v>0</v>
      </c>
      <c r="CE32" s="167">
        <v>30</v>
      </c>
      <c r="CF32" s="37">
        <f>+IFERROR(VLOOKUP($CF$19,Sheet1!BV8:BY8,3,0),0)</f>
        <v>0</v>
      </c>
      <c r="CG32" s="56" t="str">
        <f>Sheet1!E8</f>
        <v>STEEL</v>
      </c>
      <c r="CH32" s="57" t="s">
        <v>249</v>
      </c>
      <c r="CI32" s="57" t="s">
        <v>250</v>
      </c>
      <c r="CJ32" s="57">
        <f>Sheet1!CX8</f>
        <v>500</v>
      </c>
      <c r="CK32" s="23">
        <f>11700/0.5</f>
        <v>23400</v>
      </c>
      <c r="CL32" s="23">
        <f t="shared" si="5"/>
        <v>697320</v>
      </c>
      <c r="CM32" s="79">
        <v>0.01</v>
      </c>
      <c r="CN32" s="23">
        <f t="shared" si="6"/>
        <v>6973.2</v>
      </c>
      <c r="CO32" s="79">
        <v>0.18</v>
      </c>
      <c r="CP32" s="23">
        <f t="shared" si="7"/>
        <v>125517.59999999999</v>
      </c>
      <c r="CQ32" s="79">
        <f>Sheet1!CF8</f>
        <v>0</v>
      </c>
      <c r="CR32" s="23">
        <f t="shared" si="8"/>
        <v>0</v>
      </c>
      <c r="CS32" s="23">
        <f t="shared" si="9"/>
        <v>829810.79999999993</v>
      </c>
      <c r="CT32" s="79">
        <v>0.02</v>
      </c>
      <c r="CU32" s="6">
        <f t="shared" si="10"/>
        <v>16596.216</v>
      </c>
      <c r="CV32" s="79">
        <v>0.01</v>
      </c>
      <c r="CW32" s="6">
        <f t="shared" si="11"/>
        <v>8298.1080000000002</v>
      </c>
      <c r="CX32" s="79">
        <f>Sheet1!CM8</f>
        <v>0</v>
      </c>
      <c r="CY32" s="6">
        <f t="shared" si="12"/>
        <v>0</v>
      </c>
    </row>
    <row r="33" spans="1:103" ht="30" x14ac:dyDescent="0.25">
      <c r="A33" s="6" t="str">
        <f>Sheet1!A2</f>
        <v>ENQ-18390-25-26</v>
      </c>
      <c r="B33" s="71">
        <v>46357</v>
      </c>
      <c r="C33" s="6" t="str">
        <f>Sheet1!C2</f>
        <v>FA1300009</v>
      </c>
      <c r="D33" s="6" t="str">
        <f>Sheet1!D2</f>
        <v>1 CORE X 300 SQ. MM. AL./ARM (XLPE)  - 11 KV</v>
      </c>
      <c r="E33" s="23">
        <f t="shared" si="0"/>
        <v>709362.84369999997</v>
      </c>
      <c r="F33" s="86">
        <f t="shared" si="13"/>
        <v>24167</v>
      </c>
      <c r="G33" s="28">
        <f t="shared" si="1"/>
        <v>733529.84369999997</v>
      </c>
      <c r="H33" s="29">
        <f>Sheet1!CR2</f>
        <v>0.18</v>
      </c>
      <c r="I33" s="28">
        <f t="shared" si="2"/>
        <v>132035.371866</v>
      </c>
      <c r="J33" s="28">
        <f t="shared" si="3"/>
        <v>865565.21556599997</v>
      </c>
      <c r="K33" s="63">
        <f>Sheet1!CU2</f>
        <v>3</v>
      </c>
      <c r="L33" s="60" t="str">
        <f>Sheet1!CV2</f>
        <v>KMS</v>
      </c>
      <c r="M33" s="23">
        <f t="shared" si="4"/>
        <v>2596695.6466979999</v>
      </c>
      <c r="N33" s="166">
        <f>+IFERROR(VLOOKUP($N$19,Sheet1!J2:L2,3,0),0)</f>
        <v>810</v>
      </c>
      <c r="O33" s="88">
        <f>+IFERROR(VLOOKUP($O$19,Sheet1!J2:L2,3,0),0)</f>
        <v>0</v>
      </c>
      <c r="P33" s="88">
        <f>+IFERROR(VLOOKUP($P$19,Sheet1!J2:M2,3,0),0)</f>
        <v>0</v>
      </c>
      <c r="Q33" s="88">
        <f>+IFERROR(VLOOKUP($Q$19,Sheet1!J2:M2,3,0),0)</f>
        <v>0</v>
      </c>
      <c r="R33" s="88">
        <f>+IFERROR(VLOOKUP($R$19,Sheet1!J2:M2,3,0),0)</f>
        <v>0</v>
      </c>
      <c r="S33" s="88">
        <f>+IFERROR(VLOOKUP($S$19,Sheet1!J2:M2,3,0),0)</f>
        <v>0</v>
      </c>
      <c r="T33" s="88">
        <f>+IFERROR(VLOOKUP($T$19,Sheet1!J2:M2,3,0),0)</f>
        <v>0</v>
      </c>
      <c r="U33" s="88">
        <f>+IFERROR(VLOOKUP($U$19,Sheet1!J2:M2,3,0),0)</f>
        <v>0</v>
      </c>
      <c r="V33" s="88">
        <f>+IFERROR(VLOOKUP($V$19,Sheet1!N2:Q2,3,0),0)</f>
        <v>0</v>
      </c>
      <c r="W33" s="88">
        <f>+IFERROR(VLOOKUP($W$19,Sheet1!N2:Q2,3,0),0)</f>
        <v>0</v>
      </c>
      <c r="X33" s="88">
        <f>+IFERROR(VLOOKUP($X$19,Sheet1!F2:I2,3,0),0)</f>
        <v>0</v>
      </c>
      <c r="Y33" s="88">
        <f>+IFERROR(VLOOKUP($Y$19,Sheet1!F2:I2,3,0),0)</f>
        <v>0</v>
      </c>
      <c r="Z33" s="88">
        <f>+IFERROR(VLOOKUP($Z$19,Sheet1!F2:I2,3,0),0)</f>
        <v>0</v>
      </c>
      <c r="AA33" s="88">
        <f>+IFERROR(VLOOKUP($AA$19,Sheet1!F2:I2,3,0),0)</f>
        <v>0</v>
      </c>
      <c r="AB33" s="166">
        <v>54</v>
      </c>
      <c r="AC33" s="88">
        <f>+IFERROR(VLOOKUP($AC$19,Sheet1!F2:I2,3,0),0)</f>
        <v>0</v>
      </c>
      <c r="AD33" s="88">
        <f>+IFERROR(VLOOKUP($AD$19,Sheet1!F2:I2,3,0),0)</f>
        <v>0</v>
      </c>
      <c r="AE33" s="88">
        <f>+IFERROR(VLOOKUP($AE$19,Sheet1!F2:I2,3,0),0)</f>
        <v>0</v>
      </c>
      <c r="AF33" s="166">
        <v>155</v>
      </c>
      <c r="AG33" s="87">
        <f>+IFERROR(VLOOKUP($AG$19,Sheet1!R2:U2,3,0),0)</f>
        <v>0</v>
      </c>
      <c r="AH33" s="166">
        <v>278</v>
      </c>
      <c r="AI33" s="87">
        <f>+IFERROR(VLOOKUP($AI$19,Sheet1!V2:Y2,3,0),0)</f>
        <v>0</v>
      </c>
      <c r="AJ33" s="87">
        <f>+IFERROR(VLOOKUP($AJ$19,Sheet1!V2:Y2,3,0),0)</f>
        <v>0</v>
      </c>
      <c r="AK33" s="87">
        <f>+IFERROR(VLOOKUP($AK$19,Sheet1!V2:Y2,3,0),0)</f>
        <v>0</v>
      </c>
      <c r="AL33" s="87">
        <f>+IFERROR(VLOOKUP($AL$19,Sheet1!V2:Y2,3,0),0)</f>
        <v>0</v>
      </c>
      <c r="AM33" s="87">
        <f>+IFERROR(VLOOKUP($AM$19,Sheet1!V2:Y2,3,0),0)</f>
        <v>0</v>
      </c>
      <c r="AN33" s="87">
        <f>+IFERROR(VLOOKUP($AN$19,Sheet1!V2:Y2,3,0),0)</f>
        <v>0</v>
      </c>
      <c r="AO33" s="87">
        <f>+IFERROR(VLOOKUP($AO$19,Sheet1!V2:Y2,3,0),0)</f>
        <v>0</v>
      </c>
      <c r="AP33" s="87">
        <f>+IFERROR(VLOOKUP($AP$19,Sheet1!V2:Y2,3,0),0)</f>
        <v>0</v>
      </c>
      <c r="AQ33" s="167">
        <v>22</v>
      </c>
      <c r="AR33" s="87">
        <f>+IFERROR(VLOOKUP($AR$19,Sheet1!AD2:AG2,3,0),0)</f>
        <v>0</v>
      </c>
      <c r="AS33" s="87">
        <f>+IFERROR(VLOOKUP($AS$19,Sheet1!AD2:AG2,3,0),0)</f>
        <v>0</v>
      </c>
      <c r="AT33" s="87">
        <f>+IFERROR(VLOOKUP($AT$19,Sheet1!AD2:AG2,3,0),0)</f>
        <v>0</v>
      </c>
      <c r="AU33" s="87">
        <f>+IFERROR(VLOOKUP($AU$19,Sheet1!AD2:AG2,3,0),0)</f>
        <v>0</v>
      </c>
      <c r="AV33" s="87">
        <f>+IFERROR(VLOOKUP($AV$19,Sheet1!AD2:AG2,3,0),0)</f>
        <v>0</v>
      </c>
      <c r="AW33" s="87">
        <f>+IFERROR(VLOOKUP($AW$19,Sheet1!AD2:AG2,3,0),0)</f>
        <v>0</v>
      </c>
      <c r="AX33" s="167">
        <v>105</v>
      </c>
      <c r="AY33" s="87">
        <f>+IFERROR(VLOOKUP($AY$19,Sheet1!AD2:AG2,3,0),0)</f>
        <v>0</v>
      </c>
      <c r="AZ33" s="87">
        <f>+IFERROR(VLOOKUP($AZ$19,Sheet1!AD2:AG2,3,0),0)</f>
        <v>0</v>
      </c>
      <c r="BA33" s="87">
        <f>+IFERROR(VLOOKUP($BA$19,Sheet1!AH2:AK2,3,0),0)</f>
        <v>0</v>
      </c>
      <c r="BB33" s="87">
        <f>+IFERROR(VLOOKUP($BB$19,Sheet1!AH2:AK2,3,0),0)</f>
        <v>0</v>
      </c>
      <c r="BC33" s="87">
        <f>+IFERROR(VLOOKUP($BC$19,Sheet1!AH2:AK2,3,0),0)</f>
        <v>0</v>
      </c>
      <c r="BD33" s="167">
        <v>424</v>
      </c>
      <c r="BE33" s="87">
        <f>+IFERROR(VLOOKUP($BE$19,Sheet1!AH2:AK2,3,0),0)</f>
        <v>0</v>
      </c>
      <c r="BF33" s="87">
        <f>+IFERROR(VLOOKUP($BF$19,Sheet1!AH2:AK2,3,0),0)</f>
        <v>0</v>
      </c>
      <c r="BG33" s="87">
        <f>+IFERROR(VLOOKUP($BG$19,Sheet1!AH2:AK2,3,0),0)</f>
        <v>0</v>
      </c>
      <c r="BH33" s="87">
        <f>+IFERROR(VLOOKUP($BH$19,Sheet1!AH2:AK2,3,0),0)</f>
        <v>0</v>
      </c>
      <c r="BI33" s="87">
        <f>+IFERROR(VLOOKUP($BI$19,Sheet1!AH2:AK2,3,0),0)</f>
        <v>0</v>
      </c>
      <c r="BJ33" s="87">
        <f>+IFERROR(VLOOKUP($BJ$19,Sheet1!AH2:AK2,3,0),0)</f>
        <v>0</v>
      </c>
      <c r="BK33" s="87">
        <f>+IFERROR(VLOOKUP($BK$19,Sheet1!AH2:AK2,3,0),0)</f>
        <v>0</v>
      </c>
      <c r="BL33" s="87">
        <f>+IFERROR(VLOOKUP($BL$19,Sheet1!AL2:AO2,3,0),0)</f>
        <v>0</v>
      </c>
      <c r="BM33" s="87">
        <f>+IFERROR(VLOOKUP($BM$19,Sheet1!AL2:AO2,3,0),0)</f>
        <v>0</v>
      </c>
      <c r="BN33" s="87">
        <f>+IFERROR(VLOOKUP($BN$19,Sheet1!AL2:AO2,3,0),0)</f>
        <v>0</v>
      </c>
      <c r="BO33" s="167">
        <v>343</v>
      </c>
      <c r="BP33" s="87">
        <f>+IFERROR(VLOOKUP($BP$19,Sheet1!AL2:AO2,3,0),0)</f>
        <v>0</v>
      </c>
      <c r="BQ33" s="87">
        <f>+IFERROR(VLOOKUP($BQ$19,Sheet1!AL2:AO2,3,0),0)</f>
        <v>0</v>
      </c>
      <c r="BR33" s="87">
        <f>+IFERROR(VLOOKUP($BR$19,Sheet1!AL2:AO2,3,0),0)</f>
        <v>0</v>
      </c>
      <c r="BS33" s="87">
        <f>+IFERROR(VLOOKUP($BS$19,Sheet1!AL2:AO2,3,0),0)</f>
        <v>0</v>
      </c>
      <c r="BT33" s="87">
        <f>+IFERROR(VLOOKUP($BT$19,Sheet1!AL2:AO2,3,0),0)</f>
        <v>0</v>
      </c>
      <c r="BU33" s="87">
        <f>+IFERROR(VLOOKUP($BU$19,Sheet1!AL2:AO2,3,0),0)</f>
        <v>0</v>
      </c>
      <c r="BV33" s="87">
        <f>+IFERROR(VLOOKUP($BV$19,Sheet1!AL2:AO2,3,0),0)</f>
        <v>0</v>
      </c>
      <c r="BW33" s="87">
        <f>+IFERROR(VLOOKUP($BW$19,Sheet1!AL2:AO2,3,0),0)</f>
        <v>0</v>
      </c>
      <c r="BX33" s="87">
        <f>+IFERROR(VLOOKUP($BX$19,Sheet1!AP2:AS2,3,0),0)</f>
        <v>0</v>
      </c>
      <c r="BY33" s="167">
        <v>13</v>
      </c>
      <c r="BZ33" s="87">
        <f>+IFERROR(VLOOKUP($BZ$19,Sheet1!AX2:BA2,3,0),0)</f>
        <v>0</v>
      </c>
      <c r="CA33" s="167">
        <v>29</v>
      </c>
      <c r="CB33" s="87">
        <f>+IFERROR(VLOOKUP($CB$19,Sheet1!BF2:BI2,3,0),0)</f>
        <v>0</v>
      </c>
      <c r="CC33" s="87">
        <f>+IFERROR(VLOOKUP($CC$19,Sheet1!BJ2:BM2,3,0),0)</f>
        <v>0</v>
      </c>
      <c r="CD33" s="87">
        <f>+IFERROR(VLOOKUP($CD$19,Sheet1!BN2:BQ2,3,0),0)</f>
        <v>0</v>
      </c>
      <c r="CE33" s="87">
        <v>27</v>
      </c>
      <c r="CF33" s="37">
        <f>+IFERROR(VLOOKUP($CF$19,Sheet1!BV2:BY2,3,0),0)</f>
        <v>0</v>
      </c>
      <c r="CG33" s="56" t="str">
        <f>Sheet1!E2</f>
        <v>STEEL</v>
      </c>
      <c r="CH33" s="57" t="s">
        <v>226</v>
      </c>
      <c r="CI33" s="57" t="s">
        <v>227</v>
      </c>
      <c r="CJ33" s="57">
        <f>Sheet1!CX2</f>
        <v>500</v>
      </c>
      <c r="CK33" s="23">
        <f>9750/0.5</f>
        <v>19500</v>
      </c>
      <c r="CL33" s="23">
        <f t="shared" si="5"/>
        <v>578741</v>
      </c>
      <c r="CM33" s="79">
        <v>0.01</v>
      </c>
      <c r="CN33" s="23">
        <f t="shared" si="6"/>
        <v>5787.41</v>
      </c>
      <c r="CO33" s="79">
        <v>0.18</v>
      </c>
      <c r="CP33" s="23">
        <f t="shared" si="7"/>
        <v>104173.37999999999</v>
      </c>
      <c r="CQ33" s="79">
        <f>Sheet1!CF2</f>
        <v>0</v>
      </c>
      <c r="CR33" s="23">
        <f t="shared" si="8"/>
        <v>0</v>
      </c>
      <c r="CS33" s="23">
        <f t="shared" si="9"/>
        <v>688701.79</v>
      </c>
      <c r="CT33" s="79">
        <v>0.02</v>
      </c>
      <c r="CU33" s="6">
        <f t="shared" si="10"/>
        <v>13774.035800000001</v>
      </c>
      <c r="CV33" s="79">
        <v>0.01</v>
      </c>
      <c r="CW33" s="6">
        <f t="shared" si="11"/>
        <v>6887.0179000000007</v>
      </c>
      <c r="CX33" s="79">
        <f>Sheet1!CM2</f>
        <v>0</v>
      </c>
      <c r="CY33" s="6">
        <f t="shared" si="12"/>
        <v>0</v>
      </c>
    </row>
    <row r="34" spans="1:103" ht="30" x14ac:dyDescent="0.25">
      <c r="A34" s="6" t="str">
        <f>Sheet1!A11</f>
        <v>ENQ-18390-25-26</v>
      </c>
      <c r="B34" s="71">
        <v>46357</v>
      </c>
      <c r="C34" s="6" t="str">
        <f>Sheet1!C11</f>
        <v>FA1300080</v>
      </c>
      <c r="D34" s="6" t="str">
        <f>Sheet1!D11</f>
        <v>3 CORE X 400 SQ. MM AL/ARM - WIRE (XLPE) - 33 KV</v>
      </c>
      <c r="E34" s="23">
        <f t="shared" si="0"/>
        <v>3548343.8920999998</v>
      </c>
      <c r="F34" s="86">
        <f t="shared" si="13"/>
        <v>72613</v>
      </c>
      <c r="G34" s="28">
        <f t="shared" si="1"/>
        <v>3620956.8920999998</v>
      </c>
      <c r="H34" s="29">
        <f>Sheet1!CR11</f>
        <v>0.18</v>
      </c>
      <c r="I34" s="28">
        <f t="shared" si="2"/>
        <v>651772.24057799997</v>
      </c>
      <c r="J34" s="28">
        <f t="shared" si="3"/>
        <v>4272729.1326780003</v>
      </c>
      <c r="K34" s="63">
        <f>Sheet1!CU11</f>
        <v>321.5</v>
      </c>
      <c r="L34" s="60" t="str">
        <f>Sheet1!CV11</f>
        <v>KMS</v>
      </c>
      <c r="M34" s="23">
        <f t="shared" si="4"/>
        <v>1373682416.155977</v>
      </c>
      <c r="N34" s="166">
        <f>+IFERROR(VLOOKUP($N$19,Sheet1!J11:L11,3,0),0)</f>
        <v>3240</v>
      </c>
      <c r="O34" s="88">
        <f>+IFERROR(VLOOKUP($O$19,Sheet1!J11:L11,3,0),0)</f>
        <v>0</v>
      </c>
      <c r="P34" s="88">
        <f>+IFERROR(VLOOKUP($P$19,Sheet1!J11:M11,3,0),0)</f>
        <v>0</v>
      </c>
      <c r="Q34" s="88">
        <f>+IFERROR(VLOOKUP($Q$19,Sheet1!J11:M11,3,0),0)</f>
        <v>0</v>
      </c>
      <c r="R34" s="88">
        <f>+IFERROR(VLOOKUP($R$19,Sheet1!J11:M11,3,0),0)</f>
        <v>0</v>
      </c>
      <c r="S34" s="88">
        <f>+IFERROR(VLOOKUP($S$19,Sheet1!J11:M11,3,0),0)</f>
        <v>0</v>
      </c>
      <c r="T34" s="88">
        <f>+IFERROR(VLOOKUP($T$19,Sheet1!J11:M11,3,0),0)</f>
        <v>0</v>
      </c>
      <c r="U34" s="88">
        <f>+IFERROR(VLOOKUP($U$19,Sheet1!J11:M11,3,0),0)</f>
        <v>0</v>
      </c>
      <c r="V34" s="88">
        <f>+IFERROR(VLOOKUP($V$19,Sheet1!N11:Q11,3,0),0)</f>
        <v>0</v>
      </c>
      <c r="W34" s="88">
        <f>+IFERROR(VLOOKUP($W$19,Sheet1!N11:Q11,3,0),0)</f>
        <v>0</v>
      </c>
      <c r="X34" s="88">
        <f>+IFERROR(VLOOKUP($X$19,Sheet1!F11:I11,3,0),0)</f>
        <v>0</v>
      </c>
      <c r="Y34" s="88">
        <f>+IFERROR(VLOOKUP($Y$19,Sheet1!F11:I11,3,0),0)</f>
        <v>0</v>
      </c>
      <c r="Z34" s="88">
        <f>+IFERROR(VLOOKUP($Z$19,Sheet1!F11:I11,3,0),0)</f>
        <v>0</v>
      </c>
      <c r="AA34" s="88">
        <f>+IFERROR(VLOOKUP($AA$19,Sheet1!F11:I11,3,0),0)</f>
        <v>0</v>
      </c>
      <c r="AB34" s="166">
        <v>229</v>
      </c>
      <c r="AC34" s="88">
        <f>+IFERROR(VLOOKUP($AC$19,Sheet1!F11:I11,3,0),0)</f>
        <v>0</v>
      </c>
      <c r="AD34" s="88">
        <f>+IFERROR(VLOOKUP($AD$19,Sheet1!F11:I11,3,0),0)</f>
        <v>0</v>
      </c>
      <c r="AE34" s="88">
        <f>+IFERROR(VLOOKUP($AE$19,Sheet1!F11:I11,3,0),0)</f>
        <v>0</v>
      </c>
      <c r="AF34" s="166">
        <v>618</v>
      </c>
      <c r="AG34" s="87">
        <f>+IFERROR(VLOOKUP($AG$19,Sheet1!R11:U11,3,0),0)</f>
        <v>0</v>
      </c>
      <c r="AH34" s="166">
        <v>2674</v>
      </c>
      <c r="AI34" s="87">
        <f>+IFERROR(VLOOKUP($AI$19,Sheet1!V11:Y11,3,0),0)</f>
        <v>0</v>
      </c>
      <c r="AJ34" s="87">
        <f>+IFERROR(VLOOKUP($AJ$19,Sheet1!V11:Y11,3,0),0)</f>
        <v>0</v>
      </c>
      <c r="AK34" s="87">
        <f>+IFERROR(VLOOKUP($AK$19,Sheet1!V11:Y11,3,0),0)</f>
        <v>0</v>
      </c>
      <c r="AL34" s="87">
        <f>+IFERROR(VLOOKUP($AL$19,Sheet1!V11:Y11,3,0),0)</f>
        <v>0</v>
      </c>
      <c r="AM34" s="87">
        <f>+IFERROR(VLOOKUP($AM$19,Sheet1!V11:Y11,3,0),0)</f>
        <v>0</v>
      </c>
      <c r="AN34" s="87">
        <f>+IFERROR(VLOOKUP($AN$19,Sheet1!V11:Y11,3,0),0)</f>
        <v>0</v>
      </c>
      <c r="AO34" s="87">
        <f>+IFERROR(VLOOKUP($AO$19,Sheet1!V11:Y11,3,0),0)</f>
        <v>0</v>
      </c>
      <c r="AP34" s="87">
        <f>+IFERROR(VLOOKUP($AP$19,Sheet1!V11:Y11,3,0),0)</f>
        <v>0</v>
      </c>
      <c r="AQ34" s="87">
        <f>+IFERROR(VLOOKUP($AQ$19,Sheet1!Z11:AB11,3,0),0)</f>
        <v>0</v>
      </c>
      <c r="AR34" s="87">
        <f>+IFERROR(VLOOKUP($AR$19,Sheet1!AD11:AG11,3,0),0)</f>
        <v>0</v>
      </c>
      <c r="AS34" s="87">
        <f>+IFERROR(VLOOKUP($AS$19,Sheet1!AD11:AG11,3,0),0)</f>
        <v>0</v>
      </c>
      <c r="AT34" s="87">
        <f>+IFERROR(VLOOKUP($AT$19,Sheet1!AD11:AG11,3,0),0)</f>
        <v>0</v>
      </c>
      <c r="AU34" s="87">
        <f>+IFERROR(VLOOKUP($AU$19,Sheet1!AD11:AG11,3,0),0)</f>
        <v>0</v>
      </c>
      <c r="AV34" s="87">
        <f>+IFERROR(VLOOKUP($AV$19,Sheet1!AD11:AG11,3,0),0)</f>
        <v>0</v>
      </c>
      <c r="AW34" s="87">
        <f>+IFERROR(VLOOKUP($AW$19,Sheet1!AD11:AG11,3,0),0)</f>
        <v>0</v>
      </c>
      <c r="AX34" s="167">
        <v>1792</v>
      </c>
      <c r="AY34" s="87">
        <f>+IFERROR(VLOOKUP($AY$19,Sheet1!AD11:AG11,3,0),0)</f>
        <v>0</v>
      </c>
      <c r="AZ34" s="87"/>
      <c r="BA34" s="87">
        <f>+IFERROR(VLOOKUP($BA$19,Sheet1!AH11:AK11,3,0),0)</f>
        <v>0</v>
      </c>
      <c r="BB34" s="87">
        <f>+IFERROR(VLOOKUP($BB$19,Sheet1!AH11:AK11,3,0),0)</f>
        <v>0</v>
      </c>
      <c r="BC34" s="87">
        <f>+IFERROR(VLOOKUP($BC$19,Sheet1!AH11:AK11,3,0),0)</f>
        <v>0</v>
      </c>
      <c r="BD34" s="87">
        <f>+IFERROR(VLOOKUP($BD$19,Sheet1!AH11:AK11,3,0),0)</f>
        <v>0</v>
      </c>
      <c r="BE34" s="87">
        <f>+IFERROR(VLOOKUP($BE$19,Sheet1!AH11:AK11,3,0),0)</f>
        <v>0</v>
      </c>
      <c r="BF34" s="87">
        <f>+IFERROR(VLOOKUP($BF$19,Sheet1!AH11:AK11,3,0),0)</f>
        <v>0</v>
      </c>
      <c r="BG34" s="87">
        <f>+IFERROR(VLOOKUP($BG$19,Sheet1!AH11:AK11,3,0),0)</f>
        <v>0</v>
      </c>
      <c r="BH34" s="87">
        <f>+IFERROR(VLOOKUP($BH$19,Sheet1!AH11:AK11,3,0),0)</f>
        <v>0</v>
      </c>
      <c r="BI34" s="87">
        <f>+IFERROR(VLOOKUP($BI$19,Sheet1!AH11:AK11,3,0),0)</f>
        <v>0</v>
      </c>
      <c r="BJ34" s="167">
        <v>7284</v>
      </c>
      <c r="BK34" s="87">
        <f>+IFERROR(VLOOKUP($BK$19,Sheet1!AH11:AK11,3,0),0)</f>
        <v>0</v>
      </c>
      <c r="BL34" s="87">
        <f>+IFERROR(VLOOKUP($BL$19,Sheet1!AL11:AO11,3,0),0)</f>
        <v>0</v>
      </c>
      <c r="BM34" s="87">
        <f>+IFERROR(VLOOKUP($BM$19,Sheet1!AL11:AO11,3,0),0)</f>
        <v>0</v>
      </c>
      <c r="BN34" s="87">
        <f>+IFERROR(VLOOKUP($BN$19,Sheet1!AL11:AO11,3,0),0)</f>
        <v>0</v>
      </c>
      <c r="BO34" s="167">
        <v>1760</v>
      </c>
      <c r="BP34" s="87">
        <f>+IFERROR(VLOOKUP($BP$19,Sheet1!AL11:AO11,3,0),0)</f>
        <v>0</v>
      </c>
      <c r="BQ34" s="87">
        <f>+IFERROR(VLOOKUP($BQ$19,Sheet1!AL11:AO11,3,0),0)</f>
        <v>0</v>
      </c>
      <c r="BR34" s="87">
        <f>+IFERROR(VLOOKUP($BR$19,Sheet1!AL11:AO11,3,0),0)</f>
        <v>0</v>
      </c>
      <c r="BS34" s="87">
        <f>+IFERROR(VLOOKUP($BS$19,Sheet1!AL11:AO11,3,0),0)</f>
        <v>0</v>
      </c>
      <c r="BT34" s="87">
        <f>+IFERROR(VLOOKUP($BT$19,Sheet1!AL11:AO11,3,0),0)</f>
        <v>0</v>
      </c>
      <c r="BU34" s="87">
        <f>+IFERROR(VLOOKUP($BU$19,Sheet1!AL11:AO11,3,0),0)</f>
        <v>0</v>
      </c>
      <c r="BV34" s="87">
        <f>+IFERROR(VLOOKUP($BV$19,Sheet1!AL11:AO11,3,0),0)</f>
        <v>0</v>
      </c>
      <c r="BW34" s="87">
        <f>+IFERROR(VLOOKUP($BW$19,Sheet1!AL11:AO11,3,0),0)</f>
        <v>0</v>
      </c>
      <c r="BX34" s="167">
        <v>1750</v>
      </c>
      <c r="BY34" s="167">
        <v>58</v>
      </c>
      <c r="BZ34" s="87">
        <f>+IFERROR(VLOOKUP($BZ$19,Sheet1!AX11:BA11,3,0),0)</f>
        <v>120</v>
      </c>
      <c r="CA34" s="167">
        <v>114</v>
      </c>
      <c r="CB34" s="87">
        <f>+IFERROR(VLOOKUP($CB$19,Sheet1!BF11:BI11,3,0),0)</f>
        <v>0</v>
      </c>
      <c r="CC34" s="87">
        <f>+IFERROR(VLOOKUP($CC$19,Sheet1!BJ11:BM11,3,0),0)</f>
        <v>0</v>
      </c>
      <c r="CD34" s="87">
        <f>+IFERROR(VLOOKUP($CD$19,Sheet1!BN11:BQ11,3,0),0)</f>
        <v>0</v>
      </c>
      <c r="CE34" s="167">
        <v>76</v>
      </c>
      <c r="CF34" s="37">
        <f>+IFERROR(VLOOKUP($CF$19,Sheet1!BV11:BY11,3,0),0)</f>
        <v>0</v>
      </c>
      <c r="CG34" s="56" t="str">
        <f>Sheet1!E11</f>
        <v>STEEL</v>
      </c>
      <c r="CH34" s="57" t="s">
        <v>261</v>
      </c>
      <c r="CI34" s="57" t="s">
        <v>262</v>
      </c>
      <c r="CJ34" s="57">
        <f>Sheet1!CX11</f>
        <v>250</v>
      </c>
      <c r="CK34" s="23">
        <f>35750/0.25</f>
        <v>143000</v>
      </c>
      <c r="CL34" s="23">
        <f t="shared" si="5"/>
        <v>2894953</v>
      </c>
      <c r="CM34" s="79">
        <v>0.01</v>
      </c>
      <c r="CN34" s="23">
        <f t="shared" si="6"/>
        <v>28949.53</v>
      </c>
      <c r="CO34" s="79">
        <v>0.18</v>
      </c>
      <c r="CP34" s="23">
        <f t="shared" si="7"/>
        <v>521091.54</v>
      </c>
      <c r="CQ34" s="79">
        <f>Sheet1!CF11</f>
        <v>0</v>
      </c>
      <c r="CR34" s="23">
        <f t="shared" si="8"/>
        <v>0</v>
      </c>
      <c r="CS34" s="23">
        <f t="shared" si="9"/>
        <v>3444994.07</v>
      </c>
      <c r="CT34" s="79">
        <v>0.02</v>
      </c>
      <c r="CU34" s="6">
        <f t="shared" si="10"/>
        <v>68899.881399999998</v>
      </c>
      <c r="CV34" s="79">
        <v>0.01</v>
      </c>
      <c r="CW34" s="6">
        <f t="shared" si="11"/>
        <v>34449.940699999999</v>
      </c>
      <c r="CX34" s="79">
        <f>Sheet1!CM11</f>
        <v>0</v>
      </c>
      <c r="CY34" s="6">
        <f t="shared" si="12"/>
        <v>0</v>
      </c>
    </row>
    <row r="35" spans="1:103" ht="30" x14ac:dyDescent="0.25">
      <c r="A35" s="6" t="str">
        <f>Sheet1!A12</f>
        <v>ENQ-18390-25-26</v>
      </c>
      <c r="B35" s="71">
        <v>46357</v>
      </c>
      <c r="C35" s="6" t="str">
        <f>Sheet1!C12</f>
        <v>FA1300081</v>
      </c>
      <c r="D35" s="6" t="str">
        <f>Sheet1!D12</f>
        <v>3 CORE X 300 SQ. MM. AL/ARM - WIRE (XLPE) - 33 KV</v>
      </c>
      <c r="E35" s="23">
        <f t="shared" si="0"/>
        <v>3068370.8034000001</v>
      </c>
      <c r="F35" s="86">
        <f t="shared" si="13"/>
        <v>72500</v>
      </c>
      <c r="G35" s="28">
        <f t="shared" si="1"/>
        <v>3140870.8034000001</v>
      </c>
      <c r="H35" s="29">
        <f>Sheet1!CR12</f>
        <v>0.18</v>
      </c>
      <c r="I35" s="28">
        <f t="shared" si="2"/>
        <v>565356.74461199995</v>
      </c>
      <c r="J35" s="28">
        <f t="shared" si="3"/>
        <v>3706227.548012</v>
      </c>
      <c r="K35" s="63">
        <f>Sheet1!CU12</f>
        <v>45</v>
      </c>
      <c r="L35" s="60" t="str">
        <f>Sheet1!CV12</f>
        <v>KMS</v>
      </c>
      <c r="M35" s="23">
        <f t="shared" si="4"/>
        <v>166780239.66054001</v>
      </c>
      <c r="N35" s="166">
        <f>+IFERROR(VLOOKUP($N$19,Sheet1!J12:L12,3,0),0)</f>
        <v>2430</v>
      </c>
      <c r="O35" s="88">
        <f>+IFERROR(VLOOKUP($O$19,Sheet1!J12:L12,3,0),0)</f>
        <v>0</v>
      </c>
      <c r="P35" s="88">
        <f>+IFERROR(VLOOKUP($P$19,Sheet1!J12:M12,3,0),0)</f>
        <v>0</v>
      </c>
      <c r="Q35" s="88">
        <f>+IFERROR(VLOOKUP($Q$19,Sheet1!J12:M12,3,0),0)</f>
        <v>0</v>
      </c>
      <c r="R35" s="88">
        <f>+IFERROR(VLOOKUP($R$19,Sheet1!J12:M12,3,0),0)</f>
        <v>0</v>
      </c>
      <c r="S35" s="88">
        <f>+IFERROR(VLOOKUP($S$19,Sheet1!J12:M12,3,0),0)</f>
        <v>0</v>
      </c>
      <c r="T35" s="88">
        <f>+IFERROR(VLOOKUP($T$19,Sheet1!J12:M12,3,0),0)</f>
        <v>0</v>
      </c>
      <c r="U35" s="88">
        <f>+IFERROR(VLOOKUP($U$19,Sheet1!J12:M12,3,0),0)</f>
        <v>0</v>
      </c>
      <c r="V35" s="88">
        <f>+IFERROR(VLOOKUP($V$19,Sheet1!N12:Q12,3,0),0)</f>
        <v>0</v>
      </c>
      <c r="W35" s="88">
        <f>+IFERROR(VLOOKUP($W$19,Sheet1!N12:Q12,3,0),0)</f>
        <v>0</v>
      </c>
      <c r="X35" s="88">
        <f>+IFERROR(VLOOKUP($X$19,Sheet1!F12:I12,3,0),0)</f>
        <v>0</v>
      </c>
      <c r="Y35" s="88">
        <f>+IFERROR(VLOOKUP($Y$19,Sheet1!F12:I12,3,0),0)</f>
        <v>0</v>
      </c>
      <c r="Z35" s="88">
        <f>+IFERROR(VLOOKUP($Z$19,Sheet1!F12:I12,3,0),0)</f>
        <v>0</v>
      </c>
      <c r="AA35" s="88">
        <f>+IFERROR(VLOOKUP($AA$19,Sheet1!F12:I12,3,0),0)</f>
        <v>0</v>
      </c>
      <c r="AB35" s="166">
        <v>214</v>
      </c>
      <c r="AC35" s="88">
        <f>+IFERROR(VLOOKUP($AC$19,Sheet1!F12:I12,3,0),0)</f>
        <v>0</v>
      </c>
      <c r="AD35" s="88">
        <f>+IFERROR(VLOOKUP($AD$19,Sheet1!F12:I12,3,0),0)</f>
        <v>0</v>
      </c>
      <c r="AE35" s="88">
        <f>+IFERROR(VLOOKUP($AE$19,Sheet1!F12:I12,3,0),0)</f>
        <v>0</v>
      </c>
      <c r="AF35" s="166">
        <v>564</v>
      </c>
      <c r="AG35" s="87">
        <f>+IFERROR(VLOOKUP($AG$19,Sheet1!R12:U12,3,0),0)</f>
        <v>0</v>
      </c>
      <c r="AH35" s="166">
        <v>2438</v>
      </c>
      <c r="AI35" s="87">
        <f>+IFERROR(VLOOKUP($AI$19,Sheet1!V12:Y12,3,0),0)</f>
        <v>0</v>
      </c>
      <c r="AJ35" s="87">
        <f>+IFERROR(VLOOKUP($AJ$19,Sheet1!V12:Y12,3,0),0)</f>
        <v>0</v>
      </c>
      <c r="AK35" s="87">
        <f>+IFERROR(VLOOKUP($AK$19,Sheet1!V12:Y12,3,0),0)</f>
        <v>0</v>
      </c>
      <c r="AL35" s="87">
        <f>+IFERROR(VLOOKUP($AL$19,Sheet1!V12:Y12,3,0),0)</f>
        <v>0</v>
      </c>
      <c r="AM35" s="87">
        <f>+IFERROR(VLOOKUP($AM$19,Sheet1!V12:Y12,3,0),0)</f>
        <v>0</v>
      </c>
      <c r="AN35" s="87">
        <f>+IFERROR(VLOOKUP($AN$19,Sheet1!V12:Y12,3,0),0)</f>
        <v>0</v>
      </c>
      <c r="AO35" s="87">
        <f>+IFERROR(VLOOKUP($AO$19,Sheet1!V12:Y12,3,0),0)</f>
        <v>0</v>
      </c>
      <c r="AP35" s="87">
        <f>+IFERROR(VLOOKUP($AP$19,Sheet1!V12:Y12,3,0),0)</f>
        <v>0</v>
      </c>
      <c r="AQ35" s="87">
        <f>+IFERROR(VLOOKUP($AQ$19,Sheet1!Z12:AB12,3,0),0)</f>
        <v>0</v>
      </c>
      <c r="AR35" s="87">
        <f>+IFERROR(VLOOKUP($AR$19,Sheet1!AD12:AG12,3,0),0)</f>
        <v>0</v>
      </c>
      <c r="AS35" s="87">
        <f>+IFERROR(VLOOKUP($AS$19,Sheet1!AD12:AG12,3,0),0)</f>
        <v>0</v>
      </c>
      <c r="AT35" s="87">
        <f>+IFERROR(VLOOKUP($AT$19,Sheet1!AD12:AG12,3,0),0)</f>
        <v>0</v>
      </c>
      <c r="AU35" s="87">
        <f>+IFERROR(VLOOKUP($AU$19,Sheet1!AD12:AG12,3,0),0)</f>
        <v>0</v>
      </c>
      <c r="AV35" s="87">
        <f>+IFERROR(VLOOKUP($AV$19,Sheet1!AD12:AG12,3,0),0)</f>
        <v>0</v>
      </c>
      <c r="AW35" s="87">
        <f>+IFERROR(VLOOKUP($AW$19,Sheet1!AD12:AG12,3,0),0)</f>
        <v>0</v>
      </c>
      <c r="AX35" s="167">
        <v>1594</v>
      </c>
      <c r="AY35" s="87">
        <f>+IFERROR(VLOOKUP($AY$19,Sheet1!AD12:AG12,3,0),0)</f>
        <v>0</v>
      </c>
      <c r="AZ35" s="87"/>
      <c r="BA35" s="87">
        <f>+IFERROR(VLOOKUP($BA$19,Sheet1!AH12:AK12,3,0),0)</f>
        <v>0</v>
      </c>
      <c r="BB35" s="87">
        <f>+IFERROR(VLOOKUP($BB$19,Sheet1!AH12:AK12,3,0),0)</f>
        <v>0</v>
      </c>
      <c r="BC35" s="87">
        <f>+IFERROR(VLOOKUP($BC$19,Sheet1!AH12:AK12,3,0),0)</f>
        <v>0</v>
      </c>
      <c r="BD35" s="87">
        <f>+IFERROR(VLOOKUP($BD$19,Sheet1!AH12:AK12,3,0),0)</f>
        <v>0</v>
      </c>
      <c r="BE35" s="87">
        <f>+IFERROR(VLOOKUP($BE$19,Sheet1!AH12:AK12,3,0),0)</f>
        <v>0</v>
      </c>
      <c r="BF35" s="87">
        <f>+IFERROR(VLOOKUP($BF$19,Sheet1!AH12:AK12,3,0),0)</f>
        <v>0</v>
      </c>
      <c r="BG35" s="87">
        <f>+IFERROR(VLOOKUP($BG$19,Sheet1!AH12:AK12,3,0),0)</f>
        <v>0</v>
      </c>
      <c r="BH35" s="87">
        <f>+IFERROR(VLOOKUP($BH$19,Sheet1!AH12:AK12,3,0),0)</f>
        <v>0</v>
      </c>
      <c r="BI35" s="87">
        <f>+IFERROR(VLOOKUP($BI$19,Sheet1!AH12:AK12,3,0),0)</f>
        <v>0</v>
      </c>
      <c r="BJ35" s="167">
        <v>6874</v>
      </c>
      <c r="BK35" s="87">
        <f>+IFERROR(VLOOKUP($BK$19,Sheet1!AH12:AK12,3,0),0)</f>
        <v>0</v>
      </c>
      <c r="BL35" s="87">
        <f>+IFERROR(VLOOKUP($BL$19,Sheet1!AL12:AO12,3,0),0)</f>
        <v>0</v>
      </c>
      <c r="BM35" s="87">
        <f>+IFERROR(VLOOKUP($BM$19,Sheet1!AL12:AO12,3,0),0)</f>
        <v>0</v>
      </c>
      <c r="BN35" s="87">
        <f>+IFERROR(VLOOKUP($BN$19,Sheet1!AL12:AO12,3,0),0)</f>
        <v>0</v>
      </c>
      <c r="BO35" s="167">
        <v>1655</v>
      </c>
      <c r="BP35" s="87">
        <f>+IFERROR(VLOOKUP($BP$19,Sheet1!AL12:AO12,3,0),0)</f>
        <v>0</v>
      </c>
      <c r="BQ35" s="87">
        <f>+IFERROR(VLOOKUP($BQ$19,Sheet1!AL12:AO12,3,0),0)</f>
        <v>0</v>
      </c>
      <c r="BR35" s="87">
        <f>+IFERROR(VLOOKUP($BR$19,Sheet1!AL12:AO12,3,0),0)</f>
        <v>0</v>
      </c>
      <c r="BS35" s="87">
        <f>+IFERROR(VLOOKUP($BS$19,Sheet1!AL12:AO12,3,0),0)</f>
        <v>0</v>
      </c>
      <c r="BT35" s="87">
        <f>+IFERROR(VLOOKUP($BT$19,Sheet1!AL12:AO12,3,0),0)</f>
        <v>0</v>
      </c>
      <c r="BU35" s="87">
        <f>+IFERROR(VLOOKUP($BU$19,Sheet1!AL12:AO12,3,0),0)</f>
        <v>0</v>
      </c>
      <c r="BV35" s="87">
        <f>+IFERROR(VLOOKUP($BV$19,Sheet1!AL12:AO12,3,0),0)</f>
        <v>0</v>
      </c>
      <c r="BW35" s="87">
        <f>+IFERROR(VLOOKUP($BW$19,Sheet1!AL12:AO12,3,0),0)</f>
        <v>0</v>
      </c>
      <c r="BX35" s="167">
        <v>1525</v>
      </c>
      <c r="BY35" s="167">
        <v>38</v>
      </c>
      <c r="BZ35" s="87">
        <f>+IFERROR(VLOOKUP($BZ$19,Sheet1!AX12:BA12,3,0),0)</f>
        <v>0</v>
      </c>
      <c r="CA35" s="167">
        <v>104</v>
      </c>
      <c r="CB35" s="87">
        <f>+IFERROR(VLOOKUP($CB$19,Sheet1!BF12:BI12,3,0),0)</f>
        <v>0</v>
      </c>
      <c r="CC35" s="87">
        <f>+IFERROR(VLOOKUP($CC$19,Sheet1!BJ12:BM12,3,0),0)</f>
        <v>0</v>
      </c>
      <c r="CD35" s="87">
        <f>+IFERROR(VLOOKUP($CD$19,Sheet1!BN12:BQ12,3,0),0)</f>
        <v>0</v>
      </c>
      <c r="CE35" s="167">
        <v>72</v>
      </c>
      <c r="CF35" s="37">
        <f>+IFERROR(VLOOKUP($CF$19,Sheet1!BV12:BY12,3,0),0)</f>
        <v>0</v>
      </c>
      <c r="CG35" s="56" t="str">
        <f>Sheet1!E12</f>
        <v>STEEL</v>
      </c>
      <c r="CH35" s="57" t="s">
        <v>268</v>
      </c>
      <c r="CI35" s="57" t="s">
        <v>269</v>
      </c>
      <c r="CJ35" s="57">
        <f>Sheet1!CX12</f>
        <v>250</v>
      </c>
      <c r="CK35" s="23">
        <f>33150/0.25</f>
        <v>132600</v>
      </c>
      <c r="CL35" s="23">
        <f t="shared" si="5"/>
        <v>2503362</v>
      </c>
      <c r="CM35" s="79">
        <v>0.01</v>
      </c>
      <c r="CN35" s="23">
        <f t="shared" si="6"/>
        <v>25033.62</v>
      </c>
      <c r="CO35" s="79">
        <v>0.18</v>
      </c>
      <c r="CP35" s="23">
        <f t="shared" si="7"/>
        <v>450605.16</v>
      </c>
      <c r="CQ35" s="79">
        <f>Sheet1!CF12</f>
        <v>0</v>
      </c>
      <c r="CR35" s="23">
        <f t="shared" si="8"/>
        <v>0</v>
      </c>
      <c r="CS35" s="23">
        <f t="shared" si="9"/>
        <v>2979000.7800000003</v>
      </c>
      <c r="CT35" s="79">
        <v>0.02</v>
      </c>
      <c r="CU35" s="6">
        <f t="shared" si="10"/>
        <v>59580.015600000006</v>
      </c>
      <c r="CV35" s="79">
        <v>0.01</v>
      </c>
      <c r="CW35" s="6">
        <f t="shared" si="11"/>
        <v>29790.007800000003</v>
      </c>
      <c r="CX35" s="79">
        <f>Sheet1!CM12</f>
        <v>0</v>
      </c>
      <c r="CY35" s="6">
        <f t="shared" si="12"/>
        <v>0</v>
      </c>
    </row>
    <row r="36" spans="1:103" ht="30" x14ac:dyDescent="0.25">
      <c r="A36" s="6" t="str">
        <f>Sheet1!A10</f>
        <v>ENQ-18390-25-26</v>
      </c>
      <c r="B36" s="71">
        <v>46357</v>
      </c>
      <c r="C36" s="6" t="str">
        <f>Sheet1!C10</f>
        <v>FA1300079</v>
      </c>
      <c r="D36" s="6" t="str">
        <f>Sheet1!D10</f>
        <v>3 CORE X 185 SQ. MM AL/ARM - WIRE (XLPE) - 33 KV</v>
      </c>
      <c r="E36" s="23">
        <f t="shared" si="0"/>
        <v>2439533.9982999996</v>
      </c>
      <c r="F36" s="86">
        <f t="shared" si="13"/>
        <v>58509</v>
      </c>
      <c r="G36" s="28">
        <f t="shared" si="1"/>
        <v>2498042.9982999996</v>
      </c>
      <c r="H36" s="29">
        <f>Sheet1!CR10</f>
        <v>0.18</v>
      </c>
      <c r="I36" s="28">
        <f t="shared" si="2"/>
        <v>449647.73969399993</v>
      </c>
      <c r="J36" s="28">
        <f t="shared" si="3"/>
        <v>2947690.7379939994</v>
      </c>
      <c r="K36" s="63">
        <f>Sheet1!CU10</f>
        <v>28.5</v>
      </c>
      <c r="L36" s="60" t="str">
        <f>Sheet1!CV10</f>
        <v>KMS</v>
      </c>
      <c r="M36" s="23">
        <f t="shared" si="4"/>
        <v>84009186.032828987</v>
      </c>
      <c r="N36" s="166">
        <f>+IFERROR(VLOOKUP($N$19,Sheet1!J10:L10,3,0),0)</f>
        <v>1499</v>
      </c>
      <c r="O36" s="88">
        <f>+IFERROR(VLOOKUP($O$19,Sheet1!J10:L10,3,0),0)</f>
        <v>0</v>
      </c>
      <c r="P36" s="88">
        <f>+IFERROR(VLOOKUP($P$19,Sheet1!J10:M10,3,0),0)</f>
        <v>0</v>
      </c>
      <c r="Q36" s="88">
        <f>+IFERROR(VLOOKUP($Q$19,Sheet1!J10:M10,3,0),0)</f>
        <v>0</v>
      </c>
      <c r="R36" s="88">
        <f>+IFERROR(VLOOKUP($R$19,Sheet1!J10:M10,3,0),0)</f>
        <v>0</v>
      </c>
      <c r="S36" s="88">
        <f>+IFERROR(VLOOKUP($S$19,Sheet1!J10:M10,3,0),0)</f>
        <v>0</v>
      </c>
      <c r="T36" s="88">
        <f>+IFERROR(VLOOKUP($T$19,Sheet1!J10:M10,3,0),0)</f>
        <v>0</v>
      </c>
      <c r="U36" s="88">
        <f>+IFERROR(VLOOKUP($U$19,Sheet1!J10:M10,3,0),0)</f>
        <v>0</v>
      </c>
      <c r="V36" s="88">
        <f>+IFERROR(VLOOKUP($V$19,Sheet1!N10:Q10,3,0),0)</f>
        <v>0</v>
      </c>
      <c r="W36" s="88">
        <f>+IFERROR(VLOOKUP($W$19,Sheet1!N10:Q10,3,0),0)</f>
        <v>0</v>
      </c>
      <c r="X36" s="88">
        <f>+IFERROR(VLOOKUP($X$19,Sheet1!F10:I10,3,0),0)</f>
        <v>0</v>
      </c>
      <c r="Y36" s="88">
        <f>+IFERROR(VLOOKUP($Y$19,Sheet1!F10:I10,3,0),0)</f>
        <v>0</v>
      </c>
      <c r="Z36" s="88">
        <f>+IFERROR(VLOOKUP($Z$19,Sheet1!F10:I10,3,0),0)</f>
        <v>0</v>
      </c>
      <c r="AA36" s="88">
        <f>+IFERROR(VLOOKUP($AA$19,Sheet1!F10:I10,3,0),0)</f>
        <v>0</v>
      </c>
      <c r="AB36" s="166">
        <v>191</v>
      </c>
      <c r="AC36" s="88">
        <f>+IFERROR(VLOOKUP($AC$19,Sheet1!F10:I10,3,0),0)</f>
        <v>0</v>
      </c>
      <c r="AD36" s="88">
        <f>+IFERROR(VLOOKUP($AD$19,Sheet1!F10:I10,3,0),0)</f>
        <v>0</v>
      </c>
      <c r="AE36" s="88">
        <f>+IFERROR(VLOOKUP($AE$19,Sheet1!F10:I10,3,0),0)</f>
        <v>0</v>
      </c>
      <c r="AF36" s="166">
        <v>486</v>
      </c>
      <c r="AG36" s="87">
        <f>+IFERROR(VLOOKUP($AG$19,Sheet1!R10:U10,3,0),0)</f>
        <v>0</v>
      </c>
      <c r="AH36" s="166">
        <v>2091</v>
      </c>
      <c r="AI36" s="87">
        <f>+IFERROR(VLOOKUP($AI$19,Sheet1!V10:Y10,3,0),0)</f>
        <v>0</v>
      </c>
      <c r="AJ36" s="87">
        <f>+IFERROR(VLOOKUP($AJ$19,Sheet1!V10:Y10,3,0),0)</f>
        <v>0</v>
      </c>
      <c r="AK36" s="87">
        <f>+IFERROR(VLOOKUP($AK$19,Sheet1!V10:Y10,3,0),0)</f>
        <v>0</v>
      </c>
      <c r="AL36" s="87">
        <f>+IFERROR(VLOOKUP($AL$19,Sheet1!V10:Y10,3,0),0)</f>
        <v>0</v>
      </c>
      <c r="AM36" s="87">
        <f>+IFERROR(VLOOKUP($AM$19,Sheet1!V10:Y10,3,0),0)</f>
        <v>0</v>
      </c>
      <c r="AN36" s="87">
        <f>+IFERROR(VLOOKUP($AN$19,Sheet1!V10:Y10,3,0),0)</f>
        <v>0</v>
      </c>
      <c r="AO36" s="87">
        <f>+IFERROR(VLOOKUP($AO$19,Sheet1!V10:Y10,3,0),0)</f>
        <v>0</v>
      </c>
      <c r="AP36" s="87">
        <f>+IFERROR(VLOOKUP($AP$19,Sheet1!V10:Y10,3,0),0)</f>
        <v>0</v>
      </c>
      <c r="AQ36" s="87">
        <f>+IFERROR(VLOOKUP($AQ$19,Sheet1!Z10:AB10,3,0),0)</f>
        <v>0</v>
      </c>
      <c r="AR36" s="87">
        <f>+IFERROR(VLOOKUP($AR$19,Sheet1!AD10:AG10,3,0),0)</f>
        <v>0</v>
      </c>
      <c r="AS36" s="87">
        <f>+IFERROR(VLOOKUP($AS$19,Sheet1!AD10:AG10,3,0),0)</f>
        <v>0</v>
      </c>
      <c r="AT36" s="87">
        <f>+IFERROR(VLOOKUP($AT$19,Sheet1!AD10:AG10,3,0),0)</f>
        <v>0</v>
      </c>
      <c r="AU36" s="87">
        <f>+IFERROR(VLOOKUP($AU$19,Sheet1!AD10:AG10,3,0),0)</f>
        <v>0</v>
      </c>
      <c r="AV36" s="87">
        <f>+IFERROR(VLOOKUP($AV$19,Sheet1!AD10:AG10,3,0),0)</f>
        <v>0</v>
      </c>
      <c r="AW36" s="87">
        <f>+IFERROR(VLOOKUP($AW$19,Sheet1!AD10:AG10,3,0),0)</f>
        <v>0</v>
      </c>
      <c r="AX36" s="167">
        <v>1305</v>
      </c>
      <c r="AY36" s="87">
        <f>+IFERROR(VLOOKUP($AY$19,Sheet1!AD10:AG10,3,0),0)</f>
        <v>0</v>
      </c>
      <c r="AZ36" s="87"/>
      <c r="BA36" s="87">
        <f>+IFERROR(VLOOKUP($BA$19,Sheet1!AH10:AK10,3,0),0)</f>
        <v>0</v>
      </c>
      <c r="BB36" s="87">
        <f>+IFERROR(VLOOKUP($BB$19,Sheet1!AH10:AK10,3,0),0)</f>
        <v>0</v>
      </c>
      <c r="BC36" s="87">
        <f>+IFERROR(VLOOKUP($BC$19,Sheet1!AH10:AK10,3,0),0)</f>
        <v>0</v>
      </c>
      <c r="BD36" s="87">
        <f>+IFERROR(VLOOKUP($BD$19,Sheet1!AH10:AK10,3,0),0)</f>
        <v>0</v>
      </c>
      <c r="BE36" s="87">
        <f>+IFERROR(VLOOKUP($BE$19,Sheet1!AH10:AK10,3,0),0)</f>
        <v>0</v>
      </c>
      <c r="BF36" s="87">
        <f>+IFERROR(VLOOKUP($BF$19,Sheet1!AH10:AK10,3,0),0)</f>
        <v>0</v>
      </c>
      <c r="BG36" s="87">
        <f>+IFERROR(VLOOKUP($BG$19,Sheet1!AH10:AK10,3,0),0)</f>
        <v>0</v>
      </c>
      <c r="BH36" s="87">
        <f>+IFERROR(VLOOKUP($BH$19,Sheet1!AH10:AK10,3,0),0)</f>
        <v>0</v>
      </c>
      <c r="BI36" s="87">
        <f>+IFERROR(VLOOKUP($BI$19,Sheet1!AH10:AK10,3,0),0)</f>
        <v>0</v>
      </c>
      <c r="BJ36" s="167">
        <v>6155</v>
      </c>
      <c r="BK36" s="87">
        <f>+IFERROR(VLOOKUP($BK$19,Sheet1!AH10:AK10,3,0),0)</f>
        <v>0</v>
      </c>
      <c r="BL36" s="87">
        <f>+IFERROR(VLOOKUP($BL$19,Sheet1!AL10:AO10,3,0),0)</f>
        <v>0</v>
      </c>
      <c r="BM36" s="87">
        <f>+IFERROR(VLOOKUP($BM$19,Sheet1!AL10:AO10,3,0),0)</f>
        <v>0</v>
      </c>
      <c r="BN36" s="87">
        <f>+IFERROR(VLOOKUP($BN$19,Sheet1!AL10:AO10,3,0),0)</f>
        <v>0</v>
      </c>
      <c r="BO36" s="167">
        <v>1480</v>
      </c>
      <c r="BP36" s="87">
        <f>+IFERROR(VLOOKUP($BP$19,Sheet1!AL10:AO10,3,0),0)</f>
        <v>0</v>
      </c>
      <c r="BQ36" s="87">
        <f>+IFERROR(VLOOKUP($BQ$19,Sheet1!AL10:AO10,3,0),0)</f>
        <v>0</v>
      </c>
      <c r="BR36" s="87">
        <f>+IFERROR(VLOOKUP($BR$19,Sheet1!AL10:AO10,3,0),0)</f>
        <v>0</v>
      </c>
      <c r="BS36" s="87">
        <f>+IFERROR(VLOOKUP($BS$19,Sheet1!AL10:AO10,3,0),0)</f>
        <v>0</v>
      </c>
      <c r="BT36" s="87">
        <f>+IFERROR(VLOOKUP($BT$19,Sheet1!AL10:AO10,3,0),0)</f>
        <v>0</v>
      </c>
      <c r="BU36" s="87">
        <f>+IFERROR(VLOOKUP($BU$19,Sheet1!AL10:AO10,3,0),0)</f>
        <v>0</v>
      </c>
      <c r="BV36" s="87">
        <f>+IFERROR(VLOOKUP($BV$19,Sheet1!AL10:AO10,3,0),0)</f>
        <v>0</v>
      </c>
      <c r="BW36" s="87">
        <f>+IFERROR(VLOOKUP($BW$19,Sheet1!AL10:AO10,3,0),0)</f>
        <v>0</v>
      </c>
      <c r="BX36" s="167">
        <v>1224</v>
      </c>
      <c r="BY36" s="167">
        <v>35</v>
      </c>
      <c r="BZ36" s="87">
        <f>+IFERROR(VLOOKUP($BZ$19,Sheet1!AX10:BA10,3,0),0)</f>
        <v>0</v>
      </c>
      <c r="CA36" s="167">
        <v>90</v>
      </c>
      <c r="CB36" s="87">
        <f>+IFERROR(VLOOKUP($CB$19,Sheet1!BF10:BI10,3,0),0)</f>
        <v>0</v>
      </c>
      <c r="CC36" s="87">
        <f>+IFERROR(VLOOKUP($CC$19,Sheet1!BJ10:BM10,3,0),0)</f>
        <v>0</v>
      </c>
      <c r="CD36" s="87">
        <f>+IFERROR(VLOOKUP($CD$19,Sheet1!BN10:BQ10,3,0),0)</f>
        <v>0</v>
      </c>
      <c r="CE36" s="87">
        <v>65</v>
      </c>
      <c r="CF36" s="37">
        <f>+IFERROR(VLOOKUP($CF$19,Sheet1!BV10:BY10,3,0),0)</f>
        <v>0</v>
      </c>
      <c r="CG36" s="56" t="str">
        <f>Sheet1!E10</f>
        <v>STEEL</v>
      </c>
      <c r="CH36" s="57" t="s">
        <v>302</v>
      </c>
      <c r="CI36" s="57" t="s">
        <v>303</v>
      </c>
      <c r="CJ36" s="57">
        <f>Sheet1!CX10</f>
        <v>250</v>
      </c>
      <c r="CK36" s="23">
        <f>26000/0.25</f>
        <v>104000</v>
      </c>
      <c r="CL36" s="23">
        <f t="shared" si="5"/>
        <v>1990319</v>
      </c>
      <c r="CM36" s="79">
        <v>0.01</v>
      </c>
      <c r="CN36" s="23">
        <f t="shared" si="6"/>
        <v>19903.189999999999</v>
      </c>
      <c r="CO36" s="79">
        <v>0.18</v>
      </c>
      <c r="CP36" s="23">
        <f t="shared" si="7"/>
        <v>358257.42</v>
      </c>
      <c r="CQ36" s="79">
        <f>Sheet1!CF10</f>
        <v>0</v>
      </c>
      <c r="CR36" s="23">
        <f t="shared" si="8"/>
        <v>0</v>
      </c>
      <c r="CS36" s="23">
        <f t="shared" si="9"/>
        <v>2368479.61</v>
      </c>
      <c r="CT36" s="79">
        <v>0.02</v>
      </c>
      <c r="CU36" s="6">
        <f t="shared" si="10"/>
        <v>47369.592199999999</v>
      </c>
      <c r="CV36" s="79">
        <v>0.01</v>
      </c>
      <c r="CW36" s="6">
        <f t="shared" si="11"/>
        <v>23684.7961</v>
      </c>
      <c r="CX36" s="79">
        <f>Sheet1!CM10</f>
        <v>0</v>
      </c>
      <c r="CY36" s="6">
        <f t="shared" si="12"/>
        <v>0</v>
      </c>
    </row>
    <row r="37" spans="1:103" ht="30" x14ac:dyDescent="0.25">
      <c r="A37" s="6" t="str">
        <f>Sheet1!A22</f>
        <v>ENQ-18390-25-26</v>
      </c>
      <c r="B37" s="71">
        <v>46357</v>
      </c>
      <c r="C37" s="6" t="str">
        <f>Sheet1!C22</f>
        <v>FA1300200</v>
      </c>
      <c r="D37" s="6" t="str">
        <f>Sheet1!D22</f>
        <v>3 CORE X 95 SQ. MM. AL/ARM  WIRE (XLPE) - 33 KV</v>
      </c>
      <c r="E37" s="23">
        <f t="shared" si="0"/>
        <v>1943727.3273000002</v>
      </c>
      <c r="F37" s="86">
        <f t="shared" si="13"/>
        <v>41429</v>
      </c>
      <c r="G37" s="28">
        <f t="shared" si="1"/>
        <v>1985156.3273000002</v>
      </c>
      <c r="H37" s="29">
        <f>Sheet1!CR22</f>
        <v>0.18</v>
      </c>
      <c r="I37" s="28">
        <f t="shared" si="2"/>
        <v>357328.13891400001</v>
      </c>
      <c r="J37" s="28">
        <f t="shared" si="3"/>
        <v>2342484.4662140002</v>
      </c>
      <c r="K37" s="63">
        <f>Sheet1!CU22</f>
        <v>10.5</v>
      </c>
      <c r="L37" s="60" t="str">
        <f>Sheet1!CV22</f>
        <v>KMS</v>
      </c>
      <c r="M37" s="23">
        <f t="shared" si="4"/>
        <v>24596086.895247001</v>
      </c>
      <c r="N37" s="166">
        <f>+IFERROR(VLOOKUP($N$19,Sheet1!J22:L22,3,0),0)</f>
        <v>770</v>
      </c>
      <c r="O37" s="88">
        <f>+IFERROR(VLOOKUP($O$19,Sheet1!J22:L22,3,0),0)</f>
        <v>0</v>
      </c>
      <c r="P37" s="88">
        <f>+IFERROR(VLOOKUP($P$19,Sheet1!J22:M22,3,0),0)</f>
        <v>0</v>
      </c>
      <c r="Q37" s="88">
        <f>+IFERROR(VLOOKUP($Q$19,Sheet1!J22:M22,3,0),0)</f>
        <v>0</v>
      </c>
      <c r="R37" s="88">
        <f>+IFERROR(VLOOKUP($R$19,Sheet1!J22:M22,3,0),0)</f>
        <v>0</v>
      </c>
      <c r="S37" s="88">
        <f>+IFERROR(VLOOKUP($S$19,Sheet1!J22:M22,3,0),0)</f>
        <v>0</v>
      </c>
      <c r="T37" s="88">
        <f>+IFERROR(VLOOKUP($T$19,Sheet1!J22:M22,3,0),0)</f>
        <v>0</v>
      </c>
      <c r="U37" s="88">
        <f>+IFERROR(VLOOKUP($U$19,Sheet1!J22:M22,3,0),0)</f>
        <v>0</v>
      </c>
      <c r="V37" s="88">
        <f>+IFERROR(VLOOKUP($V$19,Sheet1!N22:Q22,3,0),0)</f>
        <v>0</v>
      </c>
      <c r="W37" s="88">
        <f>+IFERROR(VLOOKUP($W$19,Sheet1!N22:Q22,3,0),0)</f>
        <v>0</v>
      </c>
      <c r="X37" s="88">
        <f>+IFERROR(VLOOKUP($X$19,Sheet1!F22:I22,3,0),0)</f>
        <v>0</v>
      </c>
      <c r="Y37" s="88">
        <f>+IFERROR(VLOOKUP($Y$19,Sheet1!F22:I22,3,0),0)</f>
        <v>0</v>
      </c>
      <c r="Z37" s="88">
        <f>+IFERROR(VLOOKUP($Z$19,Sheet1!F22:I22,3,0),0)</f>
        <v>0</v>
      </c>
      <c r="AA37" s="88">
        <f>+IFERROR(VLOOKUP($AA$19,Sheet1!F22:I22,3,0),0)</f>
        <v>0</v>
      </c>
      <c r="AB37" s="166">
        <v>167</v>
      </c>
      <c r="AC37" s="88">
        <f>+IFERROR(VLOOKUP($AC$19,Sheet1!F22:I22,3,0),0)</f>
        <v>0</v>
      </c>
      <c r="AD37" s="88">
        <f>+IFERROR(VLOOKUP($AD$19,Sheet1!F22:I22,3,0),0)</f>
        <v>0</v>
      </c>
      <c r="AE37" s="88">
        <f>+IFERROR(VLOOKUP($AE$19,Sheet1!F22:I22,3,0),0)</f>
        <v>0</v>
      </c>
      <c r="AF37" s="166">
        <v>403</v>
      </c>
      <c r="AG37" s="87">
        <f>+IFERROR(VLOOKUP($AG$19,Sheet1!R22:U22,3,0),0)</f>
        <v>0</v>
      </c>
      <c r="AH37" s="166">
        <v>1724</v>
      </c>
      <c r="AI37" s="87">
        <f>+IFERROR(VLOOKUP($AI$19,Sheet1!V22:Y22,3,0),0)</f>
        <v>0</v>
      </c>
      <c r="AJ37" s="87">
        <f>+IFERROR(VLOOKUP($AJ$19,Sheet1!V22:Y22,3,0),0)</f>
        <v>0</v>
      </c>
      <c r="AK37" s="87">
        <f>+IFERROR(VLOOKUP($AK$19,Sheet1!V22:Y22,3,0),0)</f>
        <v>0</v>
      </c>
      <c r="AL37" s="87">
        <f>+IFERROR(VLOOKUP($AL$19,Sheet1!V22:Y22,3,0),0)</f>
        <v>0</v>
      </c>
      <c r="AM37" s="87">
        <f>+IFERROR(VLOOKUP($AM$19,Sheet1!V22:Y22,3,0),0)</f>
        <v>0</v>
      </c>
      <c r="AN37" s="87">
        <f>+IFERROR(VLOOKUP($AN$19,Sheet1!V22:Y22,3,0),0)</f>
        <v>0</v>
      </c>
      <c r="AO37" s="87">
        <f>+IFERROR(VLOOKUP($AO$19,Sheet1!V22:Y22,3,0),0)</f>
        <v>0</v>
      </c>
      <c r="AP37" s="87">
        <f>+IFERROR(VLOOKUP($AP$19,Sheet1!V22:Y22,3,0),0)</f>
        <v>0</v>
      </c>
      <c r="AQ37" s="87">
        <f>+IFERROR(VLOOKUP($AQ$19,Sheet1!Z22:AB22,3,0),0)</f>
        <v>0</v>
      </c>
      <c r="AR37" s="87">
        <f>+IFERROR(VLOOKUP($AR$19,Sheet1!AD22:AG22,3,0),0)</f>
        <v>0</v>
      </c>
      <c r="AS37" s="87">
        <f>+IFERROR(VLOOKUP($AS$19,Sheet1!AD22:AG22,3,0),0)</f>
        <v>0</v>
      </c>
      <c r="AT37" s="87">
        <f>+IFERROR(VLOOKUP($AT$19,Sheet1!AD22:AG22,3,0),0)</f>
        <v>0</v>
      </c>
      <c r="AU37" s="87">
        <f>+IFERROR(VLOOKUP($AU$19,Sheet1!AD22:AG22,3,0),0)</f>
        <v>0</v>
      </c>
      <c r="AV37" s="87">
        <f>+IFERROR(VLOOKUP($AV$19,Sheet1!AD22:AG22,3,0),0)</f>
        <v>0</v>
      </c>
      <c r="AW37" s="87">
        <f>+IFERROR(VLOOKUP($AW$19,Sheet1!AD22:AG22,3,0),0)</f>
        <v>0</v>
      </c>
      <c r="AX37" s="167">
        <v>1045</v>
      </c>
      <c r="AY37" s="87">
        <f>+IFERROR(VLOOKUP($AY$19,Sheet1!AD22:AG22,3,0),0)</f>
        <v>0</v>
      </c>
      <c r="AZ37" s="87"/>
      <c r="BA37" s="87">
        <f>+IFERROR(VLOOKUP($BA$19,Sheet1!AH22:AK22,3,0),0)</f>
        <v>0</v>
      </c>
      <c r="BB37" s="87">
        <f>+IFERROR(VLOOKUP($BB$19,Sheet1!AH22:AK22,3,0),0)</f>
        <v>0</v>
      </c>
      <c r="BC37" s="87">
        <f>+IFERROR(VLOOKUP($BC$19,Sheet1!AH22:AK22,3,0),0)</f>
        <v>0</v>
      </c>
      <c r="BD37" s="87">
        <f>+IFERROR(VLOOKUP($BD$19,Sheet1!AH22:AK22,3,0),0)</f>
        <v>0</v>
      </c>
      <c r="BE37" s="87">
        <f>+IFERROR(VLOOKUP($BE$19,Sheet1!AH22:AK22,3,0),0)</f>
        <v>0</v>
      </c>
      <c r="BF37" s="87">
        <f>+IFERROR(VLOOKUP($BF$19,Sheet1!AH22:AK22,3,0),0)</f>
        <v>0</v>
      </c>
      <c r="BG37" s="87">
        <f>+IFERROR(VLOOKUP($BG$19,Sheet1!AH22:AK22,3,0),0)</f>
        <v>0</v>
      </c>
      <c r="BH37" s="87">
        <f>+IFERROR(VLOOKUP($BH$19,Sheet1!AH22:AK22,3,0),0)</f>
        <v>0</v>
      </c>
      <c r="BI37" s="87">
        <f>+IFERROR(VLOOKUP($BI$19,Sheet1!AH22:AK22,3,0),0)</f>
        <v>0</v>
      </c>
      <c r="BJ37" s="167">
        <v>4262</v>
      </c>
      <c r="BK37" s="87">
        <f>+IFERROR(VLOOKUP($BK$19,Sheet1!AH22:AK22,3,0),0)</f>
        <v>0</v>
      </c>
      <c r="BL37" s="87">
        <f>+IFERROR(VLOOKUP($BL$19,Sheet1!AL22:AO22,3,0),0)</f>
        <v>0</v>
      </c>
      <c r="BM37" s="87">
        <f>+IFERROR(VLOOKUP($BM$19,Sheet1!AL22:AO22,3,0),0)</f>
        <v>0</v>
      </c>
      <c r="BN37" s="87">
        <f>+IFERROR(VLOOKUP($BN$19,Sheet1!AL22:AO22,3,0),0)</f>
        <v>0</v>
      </c>
      <c r="BO37" s="167">
        <v>1296</v>
      </c>
      <c r="BP37" s="87">
        <f>+IFERROR(VLOOKUP($BP$19,Sheet1!AL22:AO22,3,0),0)</f>
        <v>0</v>
      </c>
      <c r="BQ37" s="87">
        <f>+IFERROR(VLOOKUP($BQ$19,Sheet1!AL22:AO22,3,0),0)</f>
        <v>0</v>
      </c>
      <c r="BR37" s="87">
        <f>+IFERROR(VLOOKUP($BR$19,Sheet1!AL22:AO22,3,0),0)</f>
        <v>0</v>
      </c>
      <c r="BS37" s="87">
        <f>+IFERROR(VLOOKUP($BS$19,Sheet1!AL22:AO22,3,0),0)</f>
        <v>0</v>
      </c>
      <c r="BT37" s="87">
        <f>+IFERROR(VLOOKUP($BT$19,Sheet1!AL22:AO22,3,0),0)</f>
        <v>0</v>
      </c>
      <c r="BU37" s="87">
        <f>+IFERROR(VLOOKUP($BU$19,Sheet1!AL22:AO22,3,0),0)</f>
        <v>0</v>
      </c>
      <c r="BV37" s="87">
        <f>+IFERROR(VLOOKUP($BV$19,Sheet1!AL22:AO22,3,0),0)</f>
        <v>0</v>
      </c>
      <c r="BW37" s="87">
        <f>+IFERROR(VLOOKUP($BW$19,Sheet1!AL22:AO22,3,0),0)</f>
        <v>0</v>
      </c>
      <c r="BX37" s="167">
        <v>940</v>
      </c>
      <c r="BY37" s="167">
        <v>15</v>
      </c>
      <c r="BZ37" s="87">
        <f>+IFERROR(VLOOKUP($BZ$19,Sheet1!AX22:BA22,3,0),0)</f>
        <v>0</v>
      </c>
      <c r="CA37" s="167">
        <v>75</v>
      </c>
      <c r="CB37" s="87">
        <f>+IFERROR(VLOOKUP($CB$19,Sheet1!BF22:BI22,3,0),0)</f>
        <v>0</v>
      </c>
      <c r="CC37" s="87">
        <f>+IFERROR(VLOOKUP($CC$19,Sheet1!BJ22:BM22,3,0),0)</f>
        <v>0</v>
      </c>
      <c r="CD37" s="87">
        <f>+IFERROR(VLOOKUP($CD$19,Sheet1!BN22:BQ22,3,0),0)</f>
        <v>0</v>
      </c>
      <c r="CE37" s="167">
        <v>57</v>
      </c>
      <c r="CF37" s="37">
        <f>+IFERROR(VLOOKUP($CF$19,Sheet1!BV22:BY22,3,0),0)</f>
        <v>0</v>
      </c>
      <c r="CG37" s="56" t="str">
        <f>Sheet1!E22</f>
        <v>STEEL</v>
      </c>
      <c r="CH37" s="57" t="s">
        <v>276</v>
      </c>
      <c r="CI37" s="57" t="s">
        <v>277</v>
      </c>
      <c r="CJ37" s="57">
        <f>Sheet1!CX22</f>
        <v>250</v>
      </c>
      <c r="CK37" s="23">
        <f>26000/0.25</f>
        <v>104000</v>
      </c>
      <c r="CL37" s="23">
        <f t="shared" si="5"/>
        <v>1462879</v>
      </c>
      <c r="CM37" s="79">
        <v>0.01</v>
      </c>
      <c r="CN37" s="23">
        <f t="shared" si="6"/>
        <v>14628.79</v>
      </c>
      <c r="CO37" s="79">
        <v>0.28000000000000003</v>
      </c>
      <c r="CP37" s="23">
        <f t="shared" si="7"/>
        <v>409606.12000000005</v>
      </c>
      <c r="CQ37" s="79">
        <f>Sheet1!CF22</f>
        <v>0</v>
      </c>
      <c r="CR37" s="23">
        <f t="shared" si="8"/>
        <v>0</v>
      </c>
      <c r="CS37" s="23">
        <f t="shared" si="9"/>
        <v>1887113.9100000001</v>
      </c>
      <c r="CT37" s="79">
        <v>0.02</v>
      </c>
      <c r="CU37" s="6">
        <f t="shared" si="10"/>
        <v>37742.278200000001</v>
      </c>
      <c r="CV37" s="79">
        <v>0.01</v>
      </c>
      <c r="CW37" s="6">
        <f t="shared" si="11"/>
        <v>18871.1391</v>
      </c>
      <c r="CX37" s="79">
        <f>Sheet1!CM22</f>
        <v>0</v>
      </c>
      <c r="CY37" s="6">
        <f t="shared" si="12"/>
        <v>0</v>
      </c>
    </row>
    <row r="38" spans="1:103" ht="30" x14ac:dyDescent="0.25">
      <c r="A38" s="6" t="str">
        <f>Sheet1!A19</f>
        <v>ENQ-18390-25-26</v>
      </c>
      <c r="B38" s="71">
        <v>46357</v>
      </c>
      <c r="C38" s="6" t="str">
        <f>Sheet1!C19</f>
        <v>FA1300120</v>
      </c>
      <c r="D38" s="6" t="str">
        <f>Sheet1!D19</f>
        <v>3 CORE X 70 SQ. MM. AL/ARM - WIRE (XLPE) - 33 KV</v>
      </c>
      <c r="E38" s="23">
        <f t="shared" si="0"/>
        <v>1780637.3745000002</v>
      </c>
      <c r="F38" s="86">
        <f t="shared" si="13"/>
        <v>36250</v>
      </c>
      <c r="G38" s="28">
        <f t="shared" si="1"/>
        <v>1816887.3745000002</v>
      </c>
      <c r="H38" s="29">
        <f>Sheet1!CR19</f>
        <v>0.18</v>
      </c>
      <c r="I38" s="28">
        <f t="shared" si="2"/>
        <v>327039.72740999999</v>
      </c>
      <c r="J38" s="28">
        <f t="shared" si="3"/>
        <v>2143927.1019100002</v>
      </c>
      <c r="K38" s="63">
        <f>Sheet1!CU19</f>
        <v>2</v>
      </c>
      <c r="L38" s="60" t="str">
        <f>Sheet1!CV19</f>
        <v>KMS</v>
      </c>
      <c r="M38" s="23">
        <f t="shared" si="4"/>
        <v>4287854.2038200004</v>
      </c>
      <c r="N38" s="166">
        <f>+IFERROR(VLOOKUP($N$19,Sheet1!J19:L19,3,0),0)</f>
        <v>567</v>
      </c>
      <c r="O38" s="88">
        <f>+IFERROR(VLOOKUP($O$19,Sheet1!J19:L19,3,0),0)</f>
        <v>0</v>
      </c>
      <c r="P38" s="88">
        <f>+IFERROR(VLOOKUP($P$19,Sheet1!J19:M19,3,0),0)</f>
        <v>0</v>
      </c>
      <c r="Q38" s="88">
        <f>+IFERROR(VLOOKUP($Q$19,Sheet1!J19:M19,3,0),0)</f>
        <v>0</v>
      </c>
      <c r="R38" s="88">
        <f>+IFERROR(VLOOKUP($R$19,Sheet1!J19:M19,3,0),0)</f>
        <v>0</v>
      </c>
      <c r="S38" s="88">
        <f>+IFERROR(VLOOKUP($S$19,Sheet1!J19:M19,3,0),0)</f>
        <v>0</v>
      </c>
      <c r="T38" s="88">
        <f>+IFERROR(VLOOKUP($T$19,Sheet1!J19:M19,3,0),0)</f>
        <v>0</v>
      </c>
      <c r="U38" s="88">
        <f>+IFERROR(VLOOKUP($U$19,Sheet1!J19:M19,3,0),0)</f>
        <v>0</v>
      </c>
      <c r="V38" s="88">
        <f>+IFERROR(VLOOKUP($V$19,Sheet1!N19:Q19,3,0),0)</f>
        <v>0</v>
      </c>
      <c r="W38" s="88">
        <f>+IFERROR(VLOOKUP($W$19,Sheet1!N19:Q19,3,0),0)</f>
        <v>0</v>
      </c>
      <c r="X38" s="88">
        <f>+IFERROR(VLOOKUP($X$19,Sheet1!F19:I19,3,0),0)</f>
        <v>0</v>
      </c>
      <c r="Y38" s="88">
        <f>+IFERROR(VLOOKUP($Y$19,Sheet1!F19:I19,3,0),0)</f>
        <v>0</v>
      </c>
      <c r="Z38" s="88">
        <f>+IFERROR(VLOOKUP($Z$19,Sheet1!F19:I19,3,0),0)</f>
        <v>0</v>
      </c>
      <c r="AA38" s="88">
        <f>+IFERROR(VLOOKUP($AA$19,Sheet1!F19:I19,3,0),0)</f>
        <v>0</v>
      </c>
      <c r="AB38" s="166">
        <v>161</v>
      </c>
      <c r="AC38" s="88">
        <f>+IFERROR(VLOOKUP($AC$19,Sheet1!F19:I19,3,0),0)</f>
        <v>0</v>
      </c>
      <c r="AD38" s="88">
        <f>+IFERROR(VLOOKUP($AD$19,Sheet1!F19:I19,3,0),0)</f>
        <v>0</v>
      </c>
      <c r="AE38" s="88">
        <f>+IFERROR(VLOOKUP($AE$19,Sheet1!F19:I19,3,0),0)</f>
        <v>0</v>
      </c>
      <c r="AF38" s="166">
        <v>378</v>
      </c>
      <c r="AG38" s="87">
        <f>+IFERROR(VLOOKUP($AG$19,Sheet1!R19:U19,3,0),0)</f>
        <v>0</v>
      </c>
      <c r="AH38" s="166">
        <v>1615</v>
      </c>
      <c r="AI38" s="87">
        <f>+IFERROR(VLOOKUP($AI$19,Sheet1!V19:Y19,3,0),0)</f>
        <v>0</v>
      </c>
      <c r="AJ38" s="87">
        <f>+IFERROR(VLOOKUP($AJ$19,Sheet1!V19:Y19,3,0),0)</f>
        <v>0</v>
      </c>
      <c r="AK38" s="87">
        <f>+IFERROR(VLOOKUP($AK$19,Sheet1!V19:Y19,3,0),0)</f>
        <v>0</v>
      </c>
      <c r="AL38" s="87">
        <f>+IFERROR(VLOOKUP($AL$19,Sheet1!V19:Y19,3,0),0)</f>
        <v>0</v>
      </c>
      <c r="AM38" s="87">
        <f>+IFERROR(VLOOKUP($AM$19,Sheet1!V19:Y19,3,0),0)</f>
        <v>0</v>
      </c>
      <c r="AN38" s="87">
        <f>+IFERROR(VLOOKUP($AN$19,Sheet1!V19:Y19,3,0),0)</f>
        <v>0</v>
      </c>
      <c r="AO38" s="87">
        <f>+IFERROR(VLOOKUP($AO$19,Sheet1!V19:Y19,3,0),0)</f>
        <v>0</v>
      </c>
      <c r="AP38" s="87">
        <f>+IFERROR(VLOOKUP($AP$19,Sheet1!V19:Y19,3,0),0)</f>
        <v>0</v>
      </c>
      <c r="AQ38" s="87">
        <f>+IFERROR(VLOOKUP($AQ$19,Sheet1!Z19:AB19,3,0),0)</f>
        <v>0</v>
      </c>
      <c r="AR38" s="87">
        <f>+IFERROR(VLOOKUP($AR$19,Sheet1!AD19:AG19,3,0),0)</f>
        <v>0</v>
      </c>
      <c r="AS38" s="87">
        <f>+IFERROR(VLOOKUP($AS$19,Sheet1!AD19:AG19,3,0),0)</f>
        <v>0</v>
      </c>
      <c r="AT38" s="87">
        <f>+IFERROR(VLOOKUP($AT$19,Sheet1!AD19:AG19,3,0),0)</f>
        <v>0</v>
      </c>
      <c r="AU38" s="87">
        <f>+IFERROR(VLOOKUP($AU$19,Sheet1!AD19:AG19,3,0),0)</f>
        <v>0</v>
      </c>
      <c r="AV38" s="87">
        <f>+IFERROR(VLOOKUP($AV$19,Sheet1!AD19:AG19,3,0),0)</f>
        <v>0</v>
      </c>
      <c r="AW38" s="87">
        <f>+IFERROR(VLOOKUP($AW$19,Sheet1!AD19:AG19,3,0),0)</f>
        <v>0</v>
      </c>
      <c r="AX38" s="167">
        <v>974</v>
      </c>
      <c r="AY38" s="87">
        <f>+IFERROR(VLOOKUP($AY$19,Sheet1!AD19:AG19,3,0),0)</f>
        <v>0</v>
      </c>
      <c r="AZ38" s="87"/>
      <c r="BA38" s="87">
        <f>+IFERROR(VLOOKUP($BA$19,Sheet1!AH19:AK19,3,0),0)</f>
        <v>0</v>
      </c>
      <c r="BB38" s="87">
        <f>+IFERROR(VLOOKUP($BB$19,Sheet1!AH19:AK19,3,0),0)</f>
        <v>0</v>
      </c>
      <c r="BC38" s="87">
        <f>+IFERROR(VLOOKUP($BC$19,Sheet1!AH19:AK19,3,0),0)</f>
        <v>0</v>
      </c>
      <c r="BD38" s="87">
        <f>+IFERROR(VLOOKUP($BD$19,Sheet1!AH19:AK19,3,0),0)</f>
        <v>0</v>
      </c>
      <c r="BE38" s="87">
        <f>+IFERROR(VLOOKUP($BE$19,Sheet1!AH19:AK19,3,0),0)</f>
        <v>0</v>
      </c>
      <c r="BF38" s="87">
        <f>+IFERROR(VLOOKUP($BF$19,Sheet1!AH19:AK19,3,0),0)</f>
        <v>0</v>
      </c>
      <c r="BG38" s="87">
        <f>+IFERROR(VLOOKUP($BG$19,Sheet1!AH19:AK19,3,0),0)</f>
        <v>0</v>
      </c>
      <c r="BH38" s="87">
        <f>+IFERROR(VLOOKUP($BH$19,Sheet1!AH19:AK19,3,0),0)</f>
        <v>0</v>
      </c>
      <c r="BI38" s="87">
        <f>+IFERROR(VLOOKUP($BI$19,Sheet1!AH19:AK19,3,0),0)</f>
        <v>0</v>
      </c>
      <c r="BJ38" s="167">
        <v>4072</v>
      </c>
      <c r="BK38" s="87">
        <f>+IFERROR(VLOOKUP($BK$19,Sheet1!AH19:AK19,3,0),0)</f>
        <v>0</v>
      </c>
      <c r="BL38" s="87">
        <f>+IFERROR(VLOOKUP($BL$19,Sheet1!AL19:AO19,3,0),0)</f>
        <v>0</v>
      </c>
      <c r="BM38" s="87">
        <f>+IFERROR(VLOOKUP($BM$19,Sheet1!AL19:AO19,3,0),0)</f>
        <v>0</v>
      </c>
      <c r="BN38" s="87">
        <f>+IFERROR(VLOOKUP($BN$19,Sheet1!AL19:AO19,3,0),0)</f>
        <v>0</v>
      </c>
      <c r="BO38" s="167">
        <v>1190</v>
      </c>
      <c r="BP38" s="87">
        <f>+IFERROR(VLOOKUP($BP$19,Sheet1!AL19:AO19,3,0),0)</f>
        <v>0</v>
      </c>
      <c r="BQ38" s="87">
        <f>+IFERROR(VLOOKUP($BQ$19,Sheet1!AL19:AO19,3,0),0)</f>
        <v>0</v>
      </c>
      <c r="BR38" s="87">
        <f>+IFERROR(VLOOKUP($BR$19,Sheet1!AL19:AO19,3,0),0)</f>
        <v>0</v>
      </c>
      <c r="BS38" s="87">
        <f>+IFERROR(VLOOKUP($BS$19,Sheet1!AL19:AO19,3,0),0)</f>
        <v>0</v>
      </c>
      <c r="BT38" s="87">
        <f>+IFERROR(VLOOKUP($BT$19,Sheet1!AL19:AO19,3,0),0)</f>
        <v>0</v>
      </c>
      <c r="BU38" s="87">
        <f>+IFERROR(VLOOKUP($BU$19,Sheet1!AL19:AO19,3,0),0)</f>
        <v>0</v>
      </c>
      <c r="BV38" s="87">
        <f>+IFERROR(VLOOKUP($BV$19,Sheet1!AL19:AO19,3,0),0)</f>
        <v>0</v>
      </c>
      <c r="BW38" s="87">
        <f>+IFERROR(VLOOKUP($BW$19,Sheet1!AL19:AO19,3,0),0)</f>
        <v>0</v>
      </c>
      <c r="BX38" s="167">
        <v>862</v>
      </c>
      <c r="BY38" s="167">
        <v>15</v>
      </c>
      <c r="BZ38" s="87">
        <f>+IFERROR(VLOOKUP($BZ$19,Sheet1!AX19:BA19,3,0),0)</f>
        <v>0</v>
      </c>
      <c r="CA38" s="167">
        <v>72</v>
      </c>
      <c r="CB38" s="87">
        <f>+IFERROR(VLOOKUP($CB$19,Sheet1!BF19:BI19,3,0),0)</f>
        <v>0</v>
      </c>
      <c r="CC38" s="87">
        <f>+IFERROR(VLOOKUP($CC$19,Sheet1!BJ19:BM19,3,0),0)</f>
        <v>0</v>
      </c>
      <c r="CD38" s="87">
        <f>+IFERROR(VLOOKUP($CD$19,Sheet1!BN19:BQ19,3,0),0)</f>
        <v>0</v>
      </c>
      <c r="CE38" s="167">
        <v>54</v>
      </c>
      <c r="CF38" s="37">
        <f>+IFERROR(VLOOKUP($CF$19,Sheet1!BV19:BY19,3,0),0)</f>
        <v>0</v>
      </c>
      <c r="CG38" s="56" t="str">
        <f>Sheet1!E19</f>
        <v>STEEL</v>
      </c>
      <c r="CH38" s="57" t="s">
        <v>276</v>
      </c>
      <c r="CI38" s="57" t="s">
        <v>277</v>
      </c>
      <c r="CJ38" s="57">
        <f>Sheet1!CX19</f>
        <v>250</v>
      </c>
      <c r="CK38" s="23">
        <f>26000/0.25</f>
        <v>104000</v>
      </c>
      <c r="CL38" s="23">
        <f t="shared" si="5"/>
        <v>1340135</v>
      </c>
      <c r="CM38" s="79">
        <v>0.01</v>
      </c>
      <c r="CN38" s="23">
        <f t="shared" si="6"/>
        <v>13401.35</v>
      </c>
      <c r="CO38" s="79">
        <v>0.28000000000000003</v>
      </c>
      <c r="CP38" s="23">
        <f t="shared" si="7"/>
        <v>375237.80000000005</v>
      </c>
      <c r="CQ38" s="79">
        <f>Sheet1!CF19</f>
        <v>0</v>
      </c>
      <c r="CR38" s="23">
        <f t="shared" si="8"/>
        <v>0</v>
      </c>
      <c r="CS38" s="23">
        <f t="shared" si="9"/>
        <v>1728774.1500000001</v>
      </c>
      <c r="CT38" s="79">
        <v>0.02</v>
      </c>
      <c r="CU38" s="6">
        <f t="shared" si="10"/>
        <v>34575.483</v>
      </c>
      <c r="CV38" s="79">
        <v>0.01</v>
      </c>
      <c r="CW38" s="6">
        <f t="shared" si="11"/>
        <v>17287.7415</v>
      </c>
      <c r="CX38" s="79">
        <f>Sheet1!CM19</f>
        <v>0</v>
      </c>
      <c r="CY38" s="6">
        <f t="shared" si="12"/>
        <v>0</v>
      </c>
    </row>
    <row r="39" spans="1:103" ht="30" x14ac:dyDescent="0.25">
      <c r="A39" s="6" t="str">
        <f>Sheet1!A6</f>
        <v>ENQ-18390-25-26</v>
      </c>
      <c r="B39" s="71">
        <v>46357</v>
      </c>
      <c r="C39" s="6" t="str">
        <f>Sheet1!C6</f>
        <v>FA1300022</v>
      </c>
      <c r="D39" s="6" t="str">
        <f>Sheet1!D6</f>
        <v>3 CORE X 50 SQ. MM. AL/ARD - WIRE (XLPE) - 33 KV (E)</v>
      </c>
      <c r="E39" s="23">
        <f t="shared" si="0"/>
        <v>1785742.9505999999</v>
      </c>
      <c r="F39" s="86">
        <f t="shared" si="13"/>
        <v>58000</v>
      </c>
      <c r="G39" s="28">
        <f t="shared" si="1"/>
        <v>1843742.9505999999</v>
      </c>
      <c r="H39" s="29">
        <f>Sheet1!CR6</f>
        <v>0.18</v>
      </c>
      <c r="I39" s="28">
        <f t="shared" si="2"/>
        <v>331873.73110799998</v>
      </c>
      <c r="J39" s="28">
        <f t="shared" si="3"/>
        <v>2175616.6817079997</v>
      </c>
      <c r="K39" s="63">
        <f>Sheet1!CU6</f>
        <v>2.5</v>
      </c>
      <c r="L39" s="60" t="str">
        <f>Sheet1!CV6</f>
        <v>KMS</v>
      </c>
      <c r="M39" s="23">
        <f t="shared" si="4"/>
        <v>5439041.7042699996</v>
      </c>
      <c r="N39" s="166">
        <v>405</v>
      </c>
      <c r="O39" s="88">
        <f>+IFERROR(VLOOKUP($O$19,Sheet1!J6:L6,3,0),0)</f>
        <v>0</v>
      </c>
      <c r="P39" s="88">
        <f>+IFERROR(VLOOKUP($P$19,Sheet1!J6:M6,3,0),0)</f>
        <v>0</v>
      </c>
      <c r="Q39" s="88">
        <f>+IFERROR(VLOOKUP($Q$19,Sheet1!J6:M6,3,0),0)</f>
        <v>0</v>
      </c>
      <c r="R39" s="88">
        <f>+IFERROR(VLOOKUP($R$19,Sheet1!J6:M6,3,0),0)</f>
        <v>0</v>
      </c>
      <c r="S39" s="88">
        <f>+IFERROR(VLOOKUP($S$19,Sheet1!J6:M6,3,0),0)</f>
        <v>0</v>
      </c>
      <c r="T39" s="88">
        <f>+IFERROR(VLOOKUP($T$19,Sheet1!J6:M6,3,0),0)</f>
        <v>0</v>
      </c>
      <c r="U39" s="88">
        <f>+IFERROR(VLOOKUP($U$19,Sheet1!J6:M6,3,0),0)</f>
        <v>0</v>
      </c>
      <c r="V39" s="88">
        <f>+IFERROR(VLOOKUP($V$19,Sheet1!N6:Q6,3,0),0)</f>
        <v>0</v>
      </c>
      <c r="W39" s="88">
        <f>+IFERROR(VLOOKUP($W$19,Sheet1!N6:Q6,3,0),0)</f>
        <v>0</v>
      </c>
      <c r="X39" s="88">
        <f>+IFERROR(VLOOKUP($X$19,Sheet1!F6:I6,3,0),0)</f>
        <v>0</v>
      </c>
      <c r="Y39" s="88">
        <f>+IFERROR(VLOOKUP($Y$19,Sheet1!F6:I6,3,0),0)</f>
        <v>0</v>
      </c>
      <c r="Z39" s="88">
        <f>+IFERROR(VLOOKUP($Z$19,Sheet1!F6:I6,3,0),0)</f>
        <v>0</v>
      </c>
      <c r="AA39" s="88">
        <f>+IFERROR(VLOOKUP($AA$19,Sheet1!F6:I6,3,0),0)</f>
        <v>0</v>
      </c>
      <c r="AB39" s="166">
        <v>153</v>
      </c>
      <c r="AC39" s="88">
        <f>+IFERROR(VLOOKUP($AC$19,Sheet1!F6:I6,3,0),0)</f>
        <v>0</v>
      </c>
      <c r="AD39" s="88">
        <f>+IFERROR(VLOOKUP($AD$19,Sheet1!F6:I6,3,0),0)</f>
        <v>0</v>
      </c>
      <c r="AE39" s="88">
        <f>+IFERROR(VLOOKUP($AE$19,Sheet1!F6:I6,3,0),0)</f>
        <v>0</v>
      </c>
      <c r="AF39" s="166">
        <v>350</v>
      </c>
      <c r="AG39" s="87">
        <f>+IFERROR(VLOOKUP($AG$19,Sheet1!R6:U6,3,0),0)</f>
        <v>0</v>
      </c>
      <c r="AH39" s="166">
        <v>1490</v>
      </c>
      <c r="AI39" s="87">
        <f>+IFERROR(VLOOKUP($AI$19,Sheet1!V6:Y6,3,0),0)</f>
        <v>0</v>
      </c>
      <c r="AJ39" s="87">
        <f>+IFERROR(VLOOKUP($AJ$19,Sheet1!V6:Y6,3,0),0)</f>
        <v>0</v>
      </c>
      <c r="AK39" s="87">
        <f>+IFERROR(VLOOKUP($AK$19,Sheet1!V6:Y6,3,0),0)</f>
        <v>0</v>
      </c>
      <c r="AL39" s="87">
        <f>+IFERROR(VLOOKUP($AL$19,Sheet1!V6:Y6,3,0),0)</f>
        <v>0</v>
      </c>
      <c r="AM39" s="87">
        <f>+IFERROR(VLOOKUP($AM$19,Sheet1!V6:Y6,3,0),0)</f>
        <v>0</v>
      </c>
      <c r="AN39" s="87">
        <f>+IFERROR(VLOOKUP($AN$19,Sheet1!V6:Y6,3,0),0)</f>
        <v>0</v>
      </c>
      <c r="AO39" s="87">
        <f>+IFERROR(VLOOKUP($AO$19,Sheet1!V6:Y6,3,0),0)</f>
        <v>0</v>
      </c>
      <c r="AP39" s="87">
        <f>+IFERROR(VLOOKUP($AP$19,Sheet1!V6:Y6,3,0),0)</f>
        <v>0</v>
      </c>
      <c r="AQ39" s="87">
        <f>+IFERROR(VLOOKUP($AQ$19,Sheet1!Z6:AB6,3,0),0)</f>
        <v>0</v>
      </c>
      <c r="AR39" s="87">
        <f>+IFERROR(VLOOKUP($AR$19,Sheet1!AD6:AG6,3,0),0)</f>
        <v>0</v>
      </c>
      <c r="AS39" s="87">
        <f>+IFERROR(VLOOKUP($AS$19,Sheet1!AD6:AG6,3,0),0)</f>
        <v>0</v>
      </c>
      <c r="AT39" s="87">
        <f>+IFERROR(VLOOKUP($AT$19,Sheet1!AD6:AG6,3,0),0)</f>
        <v>0</v>
      </c>
      <c r="AU39" s="87">
        <f>+IFERROR(VLOOKUP($AU$19,Sheet1!AD6:AG6,3,0),0)</f>
        <v>0</v>
      </c>
      <c r="AV39" s="87">
        <f>+IFERROR(VLOOKUP($AV$19,Sheet1!AD6:AG6,3,0),0)</f>
        <v>0</v>
      </c>
      <c r="AW39" s="87">
        <f>+IFERROR(VLOOKUP($AW$19,Sheet1!AD6:AG6,3,0),0)</f>
        <v>0</v>
      </c>
      <c r="AX39" s="167">
        <v>878</v>
      </c>
      <c r="AY39" s="87">
        <f>+IFERROR(VLOOKUP($AY$19,Sheet1!AD6:AG6,3,0),0)</f>
        <v>0</v>
      </c>
      <c r="AZ39" s="87">
        <f>+IFERROR(VLOOKUP($AZ$19,Sheet1!AD6:AG6,3,0),0)</f>
        <v>0</v>
      </c>
      <c r="BA39" s="87">
        <f>+IFERROR(VLOOKUP($BA$19,Sheet1!AH6:AK6,3,0),0)</f>
        <v>0</v>
      </c>
      <c r="BB39" s="87">
        <f>+IFERROR(VLOOKUP($BB$19,Sheet1!AH6:AK6,3,0),0)</f>
        <v>0</v>
      </c>
      <c r="BC39" s="87">
        <f>+IFERROR(VLOOKUP($BC$19,Sheet1!AH6:AK6,3,0),0)</f>
        <v>0</v>
      </c>
      <c r="BD39" s="87">
        <f>+IFERROR(VLOOKUP($BD$19,Sheet1!AH6:AK6,3,0),0)</f>
        <v>0</v>
      </c>
      <c r="BE39" s="87">
        <f>+IFERROR(VLOOKUP($BE$19,Sheet1!AH6:AK6,3,0),0)</f>
        <v>0</v>
      </c>
      <c r="BF39" s="87">
        <f>+IFERROR(VLOOKUP($BF$19,Sheet1!AH6:AK6,3,0),0)</f>
        <v>0</v>
      </c>
      <c r="BG39" s="87">
        <f>+IFERROR(VLOOKUP($BG$19,Sheet1!AH6:AK6,3,0),0)</f>
        <v>0</v>
      </c>
      <c r="BH39" s="87">
        <f>+IFERROR(VLOOKUP($BH$19,Sheet1!AH6:AK6,3,0),0)</f>
        <v>0</v>
      </c>
      <c r="BI39" s="87">
        <f>+IFERROR(VLOOKUP($BI$19,Sheet1!AH6:AK6,3,0),0)</f>
        <v>0</v>
      </c>
      <c r="BJ39" s="167">
        <v>3881</v>
      </c>
      <c r="BK39" s="87">
        <f>+IFERROR(VLOOKUP($BK$19,Sheet1!AH6:AK6,3,0),0)</f>
        <v>0</v>
      </c>
      <c r="BL39" s="87">
        <f>+IFERROR(VLOOKUP($BL$19,Sheet1!AL6:AO6,3,0),0)</f>
        <v>0</v>
      </c>
      <c r="BM39" s="87">
        <f>+IFERROR(VLOOKUP($BM$19,Sheet1!AL6:AO6,3,0),0)</f>
        <v>0</v>
      </c>
      <c r="BN39" s="87">
        <f>+IFERROR(VLOOKUP($BN$19,Sheet1!AL6:AO6,3,0),0)</f>
        <v>0</v>
      </c>
      <c r="BO39" s="167">
        <v>1080</v>
      </c>
      <c r="BP39" s="87">
        <f>+IFERROR(VLOOKUP($BP$19,Sheet1!AL6:AO6,3,0),0)</f>
        <v>0</v>
      </c>
      <c r="BQ39" s="87">
        <f>+IFERROR(VLOOKUP($BQ$19,Sheet1!AL6:AO6,3,0),0)</f>
        <v>0</v>
      </c>
      <c r="BR39" s="87">
        <f>+IFERROR(VLOOKUP($BR$19,Sheet1!AL6:AO6,3,0),0)</f>
        <v>0</v>
      </c>
      <c r="BS39" s="87">
        <f>+IFERROR(VLOOKUP($BS$19,Sheet1!AL6:AO6,3,0),0)</f>
        <v>0</v>
      </c>
      <c r="BT39" s="87">
        <f>+IFERROR(VLOOKUP($BT$19,Sheet1!AL6:AO6,3,0),0)</f>
        <v>0</v>
      </c>
      <c r="BU39" s="87">
        <f>+IFERROR(VLOOKUP($BU$19,Sheet1!AL6:AO6,3,0),0)</f>
        <v>0</v>
      </c>
      <c r="BV39" s="87">
        <f>+IFERROR(VLOOKUP($BV$19,Sheet1!AL6:AO6,3,0),0)</f>
        <v>0</v>
      </c>
      <c r="BW39" s="87">
        <f>+IFERROR(VLOOKUP($BW$19,Sheet1!AL6:AO6,3,0),0)</f>
        <v>0</v>
      </c>
      <c r="BX39" s="167">
        <v>778</v>
      </c>
      <c r="BY39" s="167">
        <v>6</v>
      </c>
      <c r="BZ39" s="87">
        <f>+IFERROR(VLOOKUP($BZ$19,Sheet1!AX6:BA6,3,0),0)</f>
        <v>0</v>
      </c>
      <c r="CA39" s="167">
        <v>66</v>
      </c>
      <c r="CB39" s="87">
        <f>+IFERROR(VLOOKUP($CB$19,Sheet1!BF6:BI6,3,0),0)</f>
        <v>0</v>
      </c>
      <c r="CC39" s="87">
        <f>+IFERROR(VLOOKUP($CC$19,Sheet1!BJ6:BM6,3,0),0)</f>
        <v>0</v>
      </c>
      <c r="CD39" s="87">
        <f>+IFERROR(VLOOKUP($CD$19,Sheet1!BN6:BQ6,3,0),0)</f>
        <v>0</v>
      </c>
      <c r="CE39" s="167">
        <v>52</v>
      </c>
      <c r="CF39" s="37">
        <f>+IFERROR(VLOOKUP($CF$19,Sheet1!BV6:BY6,3,0),0)</f>
        <v>0</v>
      </c>
      <c r="CG39" s="56" t="str">
        <f>Sheet1!E6</f>
        <v>STEEL</v>
      </c>
      <c r="CH39" s="57" t="s">
        <v>234</v>
      </c>
      <c r="CI39" s="57" t="s">
        <v>235</v>
      </c>
      <c r="CJ39" s="57">
        <f>Sheet1!CX6</f>
        <v>250</v>
      </c>
      <c r="CK39" s="23">
        <f>18200/0.25</f>
        <v>72800</v>
      </c>
      <c r="CL39" s="23">
        <f t="shared" si="5"/>
        <v>1187487</v>
      </c>
      <c r="CM39" s="79">
        <v>0.01</v>
      </c>
      <c r="CN39" s="23">
        <f t="shared" si="6"/>
        <v>11874.87</v>
      </c>
      <c r="CO39" s="79">
        <v>0.45</v>
      </c>
      <c r="CP39" s="23">
        <f t="shared" si="7"/>
        <v>534369.15</v>
      </c>
      <c r="CQ39" s="79">
        <f>Sheet1!CF6</f>
        <v>0</v>
      </c>
      <c r="CR39" s="23">
        <f t="shared" si="8"/>
        <v>0</v>
      </c>
      <c r="CS39" s="23">
        <f t="shared" si="9"/>
        <v>1733731.02</v>
      </c>
      <c r="CT39" s="79">
        <v>0.02</v>
      </c>
      <c r="CU39" s="6">
        <f t="shared" si="10"/>
        <v>34674.6204</v>
      </c>
      <c r="CV39" s="79">
        <v>0.01</v>
      </c>
      <c r="CW39" s="6">
        <f t="shared" si="11"/>
        <v>17337.3102</v>
      </c>
      <c r="CX39" s="79">
        <f>Sheet1!CM6</f>
        <v>0</v>
      </c>
      <c r="CY39" s="6">
        <f t="shared" si="12"/>
        <v>0</v>
      </c>
    </row>
    <row r="40" spans="1:103" ht="30" x14ac:dyDescent="0.25">
      <c r="A40" s="6" t="str">
        <f>Sheet1!A23</f>
        <v>ENQ-18390-25-26</v>
      </c>
      <c r="B40" s="71">
        <v>46357</v>
      </c>
      <c r="C40" s="6" t="str">
        <f>Sheet1!C23</f>
        <v>FA1300297</v>
      </c>
      <c r="D40" s="6" t="str">
        <f>Sheet1!D23</f>
        <v>3 CORE X 35 SQ. MM. AL/ARM - WIRE (XLPE) - 33 KV (E)</v>
      </c>
      <c r="E40" s="23">
        <f t="shared" si="0"/>
        <v>1785742.9505999999</v>
      </c>
      <c r="F40" s="86">
        <f t="shared" si="13"/>
        <v>58000</v>
      </c>
      <c r="G40" s="28">
        <f t="shared" si="1"/>
        <v>1843742.9505999999</v>
      </c>
      <c r="H40" s="29">
        <f>Sheet1!CR23</f>
        <v>0.18</v>
      </c>
      <c r="I40" s="28">
        <f t="shared" si="2"/>
        <v>331873.73110799998</v>
      </c>
      <c r="J40" s="28">
        <f t="shared" si="3"/>
        <v>2175616.6817079997</v>
      </c>
      <c r="K40" s="63">
        <f>Sheet1!CU23</f>
        <v>2.5</v>
      </c>
      <c r="L40" s="60" t="str">
        <f>Sheet1!CV23</f>
        <v>KMS</v>
      </c>
      <c r="M40" s="23">
        <f t="shared" si="4"/>
        <v>5439041.7042699996</v>
      </c>
      <c r="N40" s="166">
        <v>405</v>
      </c>
      <c r="O40" s="88">
        <f>+IFERROR(VLOOKUP($O$19,Sheet1!J23:L23,3,0),0)</f>
        <v>0</v>
      </c>
      <c r="P40" s="88">
        <f>+IFERROR(VLOOKUP($P$19,Sheet1!J23:M23,3,0),0)</f>
        <v>0</v>
      </c>
      <c r="Q40" s="88">
        <f>+IFERROR(VLOOKUP($Q$19,Sheet1!J23:M23,3,0),0)</f>
        <v>0</v>
      </c>
      <c r="R40" s="88">
        <f>+IFERROR(VLOOKUP($R$19,Sheet1!J23:M23,3,0),0)</f>
        <v>0</v>
      </c>
      <c r="S40" s="88">
        <f>+IFERROR(VLOOKUP($S$19,Sheet1!J23:M23,3,0),0)</f>
        <v>0</v>
      </c>
      <c r="T40" s="88">
        <f>+IFERROR(VLOOKUP($T$19,Sheet1!J23:M23,3,0),0)</f>
        <v>0</v>
      </c>
      <c r="U40" s="88">
        <f>+IFERROR(VLOOKUP($U$19,Sheet1!J23:M23,3,0),0)</f>
        <v>0</v>
      </c>
      <c r="V40" s="88">
        <f>+IFERROR(VLOOKUP($V$19,Sheet1!N23:Q23,3,0),0)</f>
        <v>0</v>
      </c>
      <c r="W40" s="88">
        <f>+IFERROR(VLOOKUP($W$19,Sheet1!N23:Q23,3,0),0)</f>
        <v>0</v>
      </c>
      <c r="X40" s="88">
        <f>+IFERROR(VLOOKUP($X$19,Sheet1!F23:I23,3,0),0)</f>
        <v>0</v>
      </c>
      <c r="Y40" s="88">
        <f>+IFERROR(VLOOKUP($Y$19,Sheet1!F23:I23,3,0),0)</f>
        <v>0</v>
      </c>
      <c r="Z40" s="88">
        <f>+IFERROR(VLOOKUP($Z$19,Sheet1!F23:I23,3,0),0)</f>
        <v>0</v>
      </c>
      <c r="AA40" s="88">
        <f>+IFERROR(VLOOKUP($AA$19,Sheet1!F23:I23,3,0),0)</f>
        <v>0</v>
      </c>
      <c r="AB40" s="166">
        <v>153</v>
      </c>
      <c r="AC40" s="88">
        <f>+IFERROR(VLOOKUP($AC$19,Sheet1!F23:I23,3,0),0)</f>
        <v>0</v>
      </c>
      <c r="AD40" s="88">
        <f>+IFERROR(VLOOKUP($AD$19,Sheet1!F23:I23,3,0),0)</f>
        <v>0</v>
      </c>
      <c r="AE40" s="88">
        <f>+IFERROR(VLOOKUP($AE$19,Sheet1!F23:I23,3,0),0)</f>
        <v>0</v>
      </c>
      <c r="AF40" s="166">
        <v>350</v>
      </c>
      <c r="AG40" s="87">
        <f>+IFERROR(VLOOKUP($AG$19,Sheet1!R23:U23,3,0),0)</f>
        <v>0</v>
      </c>
      <c r="AH40" s="166">
        <v>1490</v>
      </c>
      <c r="AI40" s="87">
        <f>+IFERROR(VLOOKUP($AI$19,Sheet1!V23:Y23,3,0),0)</f>
        <v>0</v>
      </c>
      <c r="AJ40" s="87">
        <f>+IFERROR(VLOOKUP($AJ$19,Sheet1!V23:Y23,3,0),0)</f>
        <v>0</v>
      </c>
      <c r="AK40" s="87">
        <f>+IFERROR(VLOOKUP($AK$19,Sheet1!V23:Y23,3,0),0)</f>
        <v>0</v>
      </c>
      <c r="AL40" s="87">
        <f>+IFERROR(VLOOKUP($AL$19,Sheet1!V23:Y23,3,0),0)</f>
        <v>0</v>
      </c>
      <c r="AM40" s="87">
        <f>+IFERROR(VLOOKUP($AM$19,Sheet1!V23:Y23,3,0),0)</f>
        <v>0</v>
      </c>
      <c r="AN40" s="87">
        <f>+IFERROR(VLOOKUP($AN$19,Sheet1!V23:Y23,3,0),0)</f>
        <v>0</v>
      </c>
      <c r="AO40" s="87">
        <f>+IFERROR(VLOOKUP($AO$19,Sheet1!V23:Y23,3,0),0)</f>
        <v>0</v>
      </c>
      <c r="AP40" s="87">
        <f>+IFERROR(VLOOKUP($AP$19,Sheet1!V23:Y23,3,0),0)</f>
        <v>0</v>
      </c>
      <c r="AQ40" s="87">
        <f>+IFERROR(VLOOKUP($AQ$19,Sheet1!Z23:AB23,3,0),0)</f>
        <v>0</v>
      </c>
      <c r="AR40" s="87">
        <f>+IFERROR(VLOOKUP($AR$19,Sheet1!AD23:AG23,3,0),0)</f>
        <v>0</v>
      </c>
      <c r="AS40" s="87">
        <f>+IFERROR(VLOOKUP($AS$19,Sheet1!AD23:AG23,3,0),0)</f>
        <v>0</v>
      </c>
      <c r="AT40" s="87">
        <f>+IFERROR(VLOOKUP($AT$19,Sheet1!AD23:AG23,3,0),0)</f>
        <v>0</v>
      </c>
      <c r="AU40" s="87">
        <f>+IFERROR(VLOOKUP($AU$19,Sheet1!AD23:AG23,3,0),0)</f>
        <v>0</v>
      </c>
      <c r="AV40" s="87">
        <f>+IFERROR(VLOOKUP($AV$19,Sheet1!AD23:AG23,3,0),0)</f>
        <v>0</v>
      </c>
      <c r="AW40" s="87">
        <f>+IFERROR(VLOOKUP($AW$19,Sheet1!AD23:AG23,3,0),0)</f>
        <v>0</v>
      </c>
      <c r="AX40" s="167">
        <v>878</v>
      </c>
      <c r="AY40" s="87">
        <f>+IFERROR(VLOOKUP($AY$19,Sheet1!AD23:AG23,3,0),0)</f>
        <v>0</v>
      </c>
      <c r="AZ40" s="87">
        <f>+IFERROR(VLOOKUP($AZ$19,Sheet1!AD23:AG23,3,0),0)</f>
        <v>0</v>
      </c>
      <c r="BA40" s="87">
        <f>+IFERROR(VLOOKUP($BA$19,Sheet1!AH23:AK23,3,0),0)</f>
        <v>0</v>
      </c>
      <c r="BB40" s="87">
        <f>+IFERROR(VLOOKUP($BB$19,Sheet1!AH23:AK23,3,0),0)</f>
        <v>0</v>
      </c>
      <c r="BC40" s="87">
        <f>+IFERROR(VLOOKUP($BC$19,Sheet1!AH23:AK23,3,0),0)</f>
        <v>0</v>
      </c>
      <c r="BD40" s="87">
        <f>+IFERROR(VLOOKUP($BD$19,Sheet1!AH23:AK23,3,0),0)</f>
        <v>0</v>
      </c>
      <c r="BE40" s="87">
        <f>+IFERROR(VLOOKUP($BE$19,Sheet1!AH23:AK23,3,0),0)</f>
        <v>0</v>
      </c>
      <c r="BF40" s="87">
        <f>+IFERROR(VLOOKUP($BF$19,Sheet1!AH23:AK23,3,0),0)</f>
        <v>0</v>
      </c>
      <c r="BG40" s="87">
        <f>+IFERROR(VLOOKUP($BG$19,Sheet1!AH23:AK23,3,0),0)</f>
        <v>0</v>
      </c>
      <c r="BH40" s="87">
        <f>+IFERROR(VLOOKUP($BH$19,Sheet1!AH23:AK23,3,0),0)</f>
        <v>0</v>
      </c>
      <c r="BI40" s="87">
        <f>+IFERROR(VLOOKUP($BI$19,Sheet1!AH23:AK23,3,0),0)</f>
        <v>0</v>
      </c>
      <c r="BJ40" s="167">
        <v>3881</v>
      </c>
      <c r="BK40" s="87">
        <f>+IFERROR(VLOOKUP($BK$19,Sheet1!AH23:AK23,3,0),0)</f>
        <v>0</v>
      </c>
      <c r="BL40" s="87">
        <f>+IFERROR(VLOOKUP($BL$19,Sheet1!AL23:AO23,3,0),0)</f>
        <v>0</v>
      </c>
      <c r="BM40" s="87">
        <f>+IFERROR(VLOOKUP($BM$19,Sheet1!AL23:AO23,3,0),0)</f>
        <v>0</v>
      </c>
      <c r="BN40" s="87">
        <f>+IFERROR(VLOOKUP($BN$19,Sheet1!AL23:AO23,3,0),0)</f>
        <v>0</v>
      </c>
      <c r="BO40" s="167">
        <v>1080</v>
      </c>
      <c r="BP40" s="87">
        <f>+IFERROR(VLOOKUP($BP$19,Sheet1!AL23:AO23,3,0),0)</f>
        <v>0</v>
      </c>
      <c r="BQ40" s="87">
        <f>+IFERROR(VLOOKUP($BQ$19,Sheet1!AL23:AO23,3,0),0)</f>
        <v>0</v>
      </c>
      <c r="BR40" s="87">
        <f>+IFERROR(VLOOKUP($BR$19,Sheet1!AL23:AO23,3,0),0)</f>
        <v>0</v>
      </c>
      <c r="BS40" s="87">
        <f>+IFERROR(VLOOKUP($BS$19,Sheet1!AL23:AO23,3,0),0)</f>
        <v>0</v>
      </c>
      <c r="BT40" s="87">
        <f>+IFERROR(VLOOKUP($BT$19,Sheet1!AL23:AO23,3,0),0)</f>
        <v>0</v>
      </c>
      <c r="BU40" s="87">
        <f>+IFERROR(VLOOKUP($BU$19,Sheet1!AL23:AO23,3,0),0)</f>
        <v>0</v>
      </c>
      <c r="BV40" s="87">
        <f>+IFERROR(VLOOKUP($BV$19,Sheet1!AL23:AO23,3,0),0)</f>
        <v>0</v>
      </c>
      <c r="BW40" s="87">
        <f>+IFERROR(VLOOKUP($BW$19,Sheet1!AL23:AO23,3,0),0)</f>
        <v>0</v>
      </c>
      <c r="BX40" s="167">
        <v>778</v>
      </c>
      <c r="BY40" s="167">
        <v>6</v>
      </c>
      <c r="BZ40" s="87">
        <f>+IFERROR(VLOOKUP($BZ$19,Sheet1!AX23:BA23,3,0),0)</f>
        <v>0</v>
      </c>
      <c r="CA40" s="167">
        <v>66</v>
      </c>
      <c r="CB40" s="87">
        <f>+IFERROR(VLOOKUP($CB$19,Sheet1!BF23:BI23,3,0),0)</f>
        <v>0</v>
      </c>
      <c r="CC40" s="87">
        <f>+IFERROR(VLOOKUP($CC$19,Sheet1!BJ23:BM23,3,0),0)</f>
        <v>0</v>
      </c>
      <c r="CD40" s="87">
        <f>+IFERROR(VLOOKUP($CD$19,Sheet1!BN23:BQ23,3,0),0)</f>
        <v>0</v>
      </c>
      <c r="CE40" s="167">
        <v>52</v>
      </c>
      <c r="CF40" s="37">
        <f>+IFERROR(VLOOKUP($CF$19,Sheet1!BV23:BY23,3,0),0)</f>
        <v>0</v>
      </c>
      <c r="CG40" s="56" t="str">
        <f>Sheet1!E23</f>
        <v>STEEL</v>
      </c>
      <c r="CH40" s="57" t="s">
        <v>234</v>
      </c>
      <c r="CI40" s="57" t="s">
        <v>235</v>
      </c>
      <c r="CJ40" s="57">
        <f>Sheet1!CX23</f>
        <v>250</v>
      </c>
      <c r="CK40" s="23">
        <f>18200/0.25</f>
        <v>72800</v>
      </c>
      <c r="CL40" s="23">
        <f t="shared" si="5"/>
        <v>1187487</v>
      </c>
      <c r="CM40" s="79">
        <v>0.01</v>
      </c>
      <c r="CN40" s="23">
        <f t="shared" si="6"/>
        <v>11874.87</v>
      </c>
      <c r="CO40" s="79">
        <v>0.45</v>
      </c>
      <c r="CP40" s="23">
        <f t="shared" si="7"/>
        <v>534369.15</v>
      </c>
      <c r="CQ40" s="79">
        <f>Sheet1!CF23</f>
        <v>0</v>
      </c>
      <c r="CR40" s="23">
        <f t="shared" si="8"/>
        <v>0</v>
      </c>
      <c r="CS40" s="23">
        <f t="shared" si="9"/>
        <v>1733731.02</v>
      </c>
      <c r="CT40" s="79">
        <v>0.02</v>
      </c>
      <c r="CU40" s="6">
        <f t="shared" si="10"/>
        <v>34674.6204</v>
      </c>
      <c r="CV40" s="79">
        <v>0.01</v>
      </c>
      <c r="CW40" s="6">
        <f t="shared" si="11"/>
        <v>17337.3102</v>
      </c>
      <c r="CX40" s="79">
        <f>Sheet1!CM23</f>
        <v>0</v>
      </c>
      <c r="CY40" s="6">
        <f t="shared" si="12"/>
        <v>0</v>
      </c>
    </row>
    <row r="41" spans="1:103" ht="30" x14ac:dyDescent="0.25">
      <c r="A41" s="6" t="str">
        <f>Sheet1!A7</f>
        <v>ENQ-18390-25-26</v>
      </c>
      <c r="B41" s="71">
        <v>46357</v>
      </c>
      <c r="C41" s="6" t="str">
        <f>Sheet1!C7</f>
        <v>FA1300027</v>
      </c>
      <c r="D41" s="6" t="str">
        <f>Sheet1!D7</f>
        <v>1 CORE X 630 SQ. MM. AL/ARM (XLPE)  - 33 KV</v>
      </c>
      <c r="E41" s="23">
        <f t="shared" si="0"/>
        <v>1477550.7075</v>
      </c>
      <c r="F41" s="86">
        <f t="shared" si="13"/>
        <v>18643</v>
      </c>
      <c r="G41" s="28">
        <f t="shared" si="1"/>
        <v>1496193.7075</v>
      </c>
      <c r="H41" s="29">
        <f>Sheet1!CR7</f>
        <v>0.18</v>
      </c>
      <c r="I41" s="28">
        <f t="shared" si="2"/>
        <v>269314.86735000001</v>
      </c>
      <c r="J41" s="28">
        <f t="shared" si="3"/>
        <v>1765508.57485</v>
      </c>
      <c r="K41" s="63">
        <f>Sheet1!CU7</f>
        <v>105</v>
      </c>
      <c r="L41" s="60" t="str">
        <f>Sheet1!CV7</f>
        <v>KMS</v>
      </c>
      <c r="M41" s="23">
        <f t="shared" si="4"/>
        <v>185378400.35925001</v>
      </c>
      <c r="N41" s="166">
        <f>+IFERROR(VLOOKUP($N$19,Sheet1!J7:L7,3,0),0)</f>
        <v>1701</v>
      </c>
      <c r="O41" s="88">
        <f>+IFERROR(VLOOKUP($O$19,Sheet1!J7:L7,3,0),0)</f>
        <v>0</v>
      </c>
      <c r="P41" s="88">
        <f>+IFERROR(VLOOKUP($P$19,Sheet1!J7:M7,3,0),0)</f>
        <v>0</v>
      </c>
      <c r="Q41" s="88">
        <f>+IFERROR(VLOOKUP($Q$19,Sheet1!J7:M7,3,0),0)</f>
        <v>0</v>
      </c>
      <c r="R41" s="88">
        <f>+IFERROR(VLOOKUP($R$19,Sheet1!J7:M7,3,0),0)</f>
        <v>0</v>
      </c>
      <c r="S41" s="88">
        <f>+IFERROR(VLOOKUP($S$19,Sheet1!J7:M7,3,0),0)</f>
        <v>0</v>
      </c>
      <c r="T41" s="88">
        <f>+IFERROR(VLOOKUP($T$19,Sheet1!J7:M7,3,0),0)</f>
        <v>0</v>
      </c>
      <c r="U41" s="88">
        <f>+IFERROR(VLOOKUP($U$19,Sheet1!J7:M7,3,0),0)</f>
        <v>0</v>
      </c>
      <c r="V41" s="88">
        <f>+IFERROR(VLOOKUP($V$19,Sheet1!N7:Q7,3,0),0)</f>
        <v>0</v>
      </c>
      <c r="W41" s="88">
        <f>+IFERROR(VLOOKUP($W$19,Sheet1!N7:Q7,3,0),0)</f>
        <v>0</v>
      </c>
      <c r="X41" s="88">
        <f>+IFERROR(VLOOKUP($X$19,Sheet1!F7:I7,3,0),0)</f>
        <v>0</v>
      </c>
      <c r="Y41" s="88">
        <f>+IFERROR(VLOOKUP($Y$19,Sheet1!F7:I7,3,0),0)</f>
        <v>0</v>
      </c>
      <c r="Z41" s="88">
        <f>+IFERROR(VLOOKUP($Z$19,Sheet1!F7:I7,3,0),0)</f>
        <v>0</v>
      </c>
      <c r="AA41" s="88">
        <f>+IFERROR(VLOOKUP($AA$19,Sheet1!F7:I7,3,0),0)</f>
        <v>0</v>
      </c>
      <c r="AB41" s="166">
        <v>87</v>
      </c>
      <c r="AC41" s="88">
        <f>+IFERROR(VLOOKUP($AC$19,Sheet1!F7:I7,3,0),0)</f>
        <v>0</v>
      </c>
      <c r="AD41" s="88">
        <f>+IFERROR(VLOOKUP($AD$19,Sheet1!F7:I7,3,0),0)</f>
        <v>0</v>
      </c>
      <c r="AE41" s="88">
        <f>+IFERROR(VLOOKUP($AE$19,Sheet1!F7:I7,3,0),0)</f>
        <v>0</v>
      </c>
      <c r="AF41" s="166">
        <v>243</v>
      </c>
      <c r="AG41" s="87">
        <f>+IFERROR(VLOOKUP($AG$19,Sheet1!R7:U7,3,0),0)</f>
        <v>0</v>
      </c>
      <c r="AH41" s="166">
        <v>1056</v>
      </c>
      <c r="AI41" s="87">
        <f>+IFERROR(VLOOKUP($AI$19,Sheet1!V7:Y7,3,0),0)</f>
        <v>0</v>
      </c>
      <c r="AJ41" s="87">
        <f>+IFERROR(VLOOKUP($AJ$19,Sheet1!V7:Y7,3,0),0)</f>
        <v>0</v>
      </c>
      <c r="AK41" s="87">
        <f>+IFERROR(VLOOKUP($AK$19,Sheet1!V7:Y7,3,0),0)</f>
        <v>0</v>
      </c>
      <c r="AL41" s="87">
        <f>+IFERROR(VLOOKUP($AL$19,Sheet1!V7:Y7,3,0),0)</f>
        <v>0</v>
      </c>
      <c r="AM41" s="87">
        <f>+IFERROR(VLOOKUP($AM$19,Sheet1!V7:Y7,3,0),0)</f>
        <v>0</v>
      </c>
      <c r="AN41" s="87">
        <f>+IFERROR(VLOOKUP($AN$19,Sheet1!V7:Y7,3,0),0)</f>
        <v>0</v>
      </c>
      <c r="AO41" s="87">
        <f>+IFERROR(VLOOKUP($AO$19,Sheet1!V7:Y7,3,0),0)</f>
        <v>0</v>
      </c>
      <c r="AP41" s="87">
        <f>+IFERROR(VLOOKUP($AP$19,Sheet1!V7:Y7,3,0),0)</f>
        <v>0</v>
      </c>
      <c r="AQ41" s="167">
        <v>36</v>
      </c>
      <c r="AR41" s="87">
        <f>+IFERROR(VLOOKUP($AR$19,Sheet1!AD7:AG7,3,0),0)</f>
        <v>0</v>
      </c>
      <c r="AS41" s="87">
        <f>+IFERROR(VLOOKUP($AS$19,Sheet1!AD7:AG7,3,0),0)</f>
        <v>0</v>
      </c>
      <c r="AT41" s="87">
        <f>+IFERROR(VLOOKUP($AT$19,Sheet1!AD7:AG7,3,0),0)</f>
        <v>0</v>
      </c>
      <c r="AU41" s="87">
        <f>+IFERROR(VLOOKUP($AU$19,Sheet1!AD7:AG7,3,0),0)</f>
        <v>0</v>
      </c>
      <c r="AV41" s="87">
        <f>+IFERROR(VLOOKUP($AV$19,Sheet1!AD7:AG7,3,0),0)</f>
        <v>0</v>
      </c>
      <c r="AW41" s="87">
        <f>+IFERROR(VLOOKUP($AW$19,Sheet1!AD7:AG7,3,0),0)</f>
        <v>0</v>
      </c>
      <c r="AX41" s="167">
        <v>224</v>
      </c>
      <c r="AY41" s="87">
        <f>+IFERROR(VLOOKUP($AY$19,Sheet1!AD7:AG7,3,0),0)</f>
        <v>0</v>
      </c>
      <c r="AZ41" s="87">
        <f>+IFERROR(VLOOKUP($AZ$19,Sheet1!AD7:AG7,3,0),0)</f>
        <v>0</v>
      </c>
      <c r="BA41" s="87">
        <f>+IFERROR(VLOOKUP($BA$19,Sheet1!AH7:AK7,3,0),0)</f>
        <v>0</v>
      </c>
      <c r="BB41" s="87">
        <f>+IFERROR(VLOOKUP($BB$19,Sheet1!AH7:AK7,3,0),0)</f>
        <v>0</v>
      </c>
      <c r="BC41" s="87">
        <f>+IFERROR(VLOOKUP($BC$19,Sheet1!AH7:AK7,3,0),0)</f>
        <v>0</v>
      </c>
      <c r="BD41" s="167">
        <v>842</v>
      </c>
      <c r="BE41" s="87">
        <f>+IFERROR(VLOOKUP($BE$19,Sheet1!AH7:AK7,3,0),0)</f>
        <v>0</v>
      </c>
      <c r="BF41" s="87">
        <f>+IFERROR(VLOOKUP($BF$19,Sheet1!AH7:AK7,3,0),0)</f>
        <v>0</v>
      </c>
      <c r="BG41" s="87">
        <f>+IFERROR(VLOOKUP($BG$19,Sheet1!AH7:AK7,3,0),0)</f>
        <v>0</v>
      </c>
      <c r="BH41" s="87">
        <f>+IFERROR(VLOOKUP($BH$19,Sheet1!AH7:AK7,3,0),0)</f>
        <v>0</v>
      </c>
      <c r="BI41" s="87">
        <f>+IFERROR(VLOOKUP($BI$19,Sheet1!AH7:AK7,3,0),0)</f>
        <v>0</v>
      </c>
      <c r="BJ41" s="87">
        <f>+IFERROR(VLOOKUP($BJ$19,Sheet1!AH7:AK7,3,0),0)</f>
        <v>0</v>
      </c>
      <c r="BK41" s="87">
        <f>+IFERROR(VLOOKUP($BK$19,Sheet1!AH7:AK7,3,0),0)</f>
        <v>0</v>
      </c>
      <c r="BL41" s="87">
        <f>+IFERROR(VLOOKUP($BL$19,Sheet1!AL7:AO7,3,0),0)</f>
        <v>0</v>
      </c>
      <c r="BM41" s="87">
        <f>+IFERROR(VLOOKUP($BM$19,Sheet1!AL7:AO7,3,0),0)</f>
        <v>0</v>
      </c>
      <c r="BN41" s="87">
        <f>+IFERROR(VLOOKUP($BN$19,Sheet1!AL7:AO7,3,0),0)</f>
        <v>0</v>
      </c>
      <c r="BO41" s="167">
        <v>769</v>
      </c>
      <c r="BP41" s="87">
        <f>+IFERROR(VLOOKUP($BP$19,Sheet1!AL7:AO7,3,0),0)</f>
        <v>0</v>
      </c>
      <c r="BQ41" s="87">
        <f>+IFERROR(VLOOKUP($BQ$19,Sheet1!AL7:AO7,3,0),0)</f>
        <v>0</v>
      </c>
      <c r="BR41" s="87">
        <f>+IFERROR(VLOOKUP($BR$19,Sheet1!AL7:AO7,3,0),0)</f>
        <v>0</v>
      </c>
      <c r="BS41" s="87">
        <f>+IFERROR(VLOOKUP($BS$19,Sheet1!AL7:AO7,3,0),0)</f>
        <v>0</v>
      </c>
      <c r="BT41" s="87">
        <f>+IFERROR(VLOOKUP($BT$19,Sheet1!AL7:AO7,3,0),0)</f>
        <v>0</v>
      </c>
      <c r="BU41" s="87">
        <f>+IFERROR(VLOOKUP($BU$19,Sheet1!AL7:AO7,3,0),0)</f>
        <v>0</v>
      </c>
      <c r="BV41" s="87">
        <f>+IFERROR(VLOOKUP($BV$19,Sheet1!AL7:AO7,3,0),0)</f>
        <v>0</v>
      </c>
      <c r="BW41" s="87">
        <f>+IFERROR(VLOOKUP($BW$19,Sheet1!AL7:AO7,3,0),0)</f>
        <v>0</v>
      </c>
      <c r="BX41" s="87">
        <f>+IFERROR(VLOOKUP($BX$19,Sheet1!AP7:AS7,3,0),0)</f>
        <v>0</v>
      </c>
      <c r="BY41" s="167">
        <v>26</v>
      </c>
      <c r="BZ41" s="87">
        <f>+IFERROR(VLOOKUP($BZ$19,Sheet1!AX7:BA7,3,0),0)</f>
        <v>0</v>
      </c>
      <c r="CA41" s="167">
        <v>46</v>
      </c>
      <c r="CB41" s="87">
        <f>+IFERROR(VLOOKUP($CB$19,Sheet1!BF7:BI7,3,0),0)</f>
        <v>0</v>
      </c>
      <c r="CC41" s="87">
        <f>+IFERROR(VLOOKUP($CC$19,Sheet1!BJ7:BM7,3,0),0)</f>
        <v>0</v>
      </c>
      <c r="CD41" s="87">
        <f>+IFERROR(VLOOKUP($CD$19,Sheet1!BN7:BQ7,3,0),0)</f>
        <v>0</v>
      </c>
      <c r="CE41" s="167">
        <v>42</v>
      </c>
      <c r="CF41" s="37">
        <f>+IFERROR(VLOOKUP($CF$19,Sheet1!BV7:BY7,3,0),0)</f>
        <v>0</v>
      </c>
      <c r="CG41" s="56" t="str">
        <f>Sheet1!E7</f>
        <v>STEEL</v>
      </c>
      <c r="CH41" s="57" t="s">
        <v>245</v>
      </c>
      <c r="CI41" s="57" t="s">
        <v>246</v>
      </c>
      <c r="CJ41" s="57">
        <f>Sheet1!CX7</f>
        <v>500</v>
      </c>
      <c r="CK41" s="23">
        <f>19500/0.5</f>
        <v>39000</v>
      </c>
      <c r="CL41" s="23">
        <f t="shared" si="5"/>
        <v>1205475</v>
      </c>
      <c r="CM41" s="79">
        <v>0.01</v>
      </c>
      <c r="CN41" s="23">
        <f t="shared" si="6"/>
        <v>12054.75</v>
      </c>
      <c r="CO41" s="79">
        <v>0.18</v>
      </c>
      <c r="CP41" s="23">
        <f t="shared" si="7"/>
        <v>216985.5</v>
      </c>
      <c r="CQ41" s="79">
        <f>Sheet1!CF7</f>
        <v>0</v>
      </c>
      <c r="CR41" s="23">
        <f t="shared" si="8"/>
        <v>0</v>
      </c>
      <c r="CS41" s="23">
        <f t="shared" si="9"/>
        <v>1434515.25</v>
      </c>
      <c r="CT41" s="79">
        <v>0.02</v>
      </c>
      <c r="CU41" s="6">
        <f t="shared" si="10"/>
        <v>28690.305</v>
      </c>
      <c r="CV41" s="79">
        <v>0.01</v>
      </c>
      <c r="CW41" s="6">
        <f t="shared" si="11"/>
        <v>14345.1525</v>
      </c>
      <c r="CX41" s="79">
        <f>Sheet1!CM7</f>
        <v>0</v>
      </c>
      <c r="CY41" s="6">
        <f t="shared" si="12"/>
        <v>0</v>
      </c>
    </row>
    <row r="42" spans="1:103" ht="30" x14ac:dyDescent="0.25">
      <c r="A42" s="6" t="str">
        <f>Sheet1!A4</f>
        <v>ENQ-18390-25-26</v>
      </c>
      <c r="B42" s="71">
        <v>46357</v>
      </c>
      <c r="C42" s="6" t="str">
        <f>Sheet1!C4</f>
        <v>FA1300018</v>
      </c>
      <c r="D42" s="6" t="str">
        <f>Sheet1!D4</f>
        <v>1 CORE X 400 SQ. MM. AL/ARM (XLPE) - 33 KV</v>
      </c>
      <c r="E42" s="23">
        <f t="shared" si="0"/>
        <v>1125356.8437999999</v>
      </c>
      <c r="F42" s="86">
        <f t="shared" si="13"/>
        <v>18125</v>
      </c>
      <c r="G42" s="28">
        <f t="shared" si="1"/>
        <v>1143481.8437999999</v>
      </c>
      <c r="H42" s="29">
        <f>Sheet1!CR4</f>
        <v>0.18</v>
      </c>
      <c r="I42" s="28">
        <f t="shared" si="2"/>
        <v>205826.73188399998</v>
      </c>
      <c r="J42" s="28">
        <f t="shared" si="3"/>
        <v>1349308.5756839998</v>
      </c>
      <c r="K42" s="63">
        <f>Sheet1!CU4</f>
        <v>16</v>
      </c>
      <c r="L42" s="60" t="str">
        <f>Sheet1!CV4</f>
        <v>KMS</v>
      </c>
      <c r="M42" s="23">
        <f t="shared" si="4"/>
        <v>21588937.210943997</v>
      </c>
      <c r="N42" s="166">
        <f>+IFERROR(VLOOKUP($N$19,Sheet1!J4:L4,3,0),0)</f>
        <v>1080</v>
      </c>
      <c r="O42" s="88">
        <f>+IFERROR(VLOOKUP($O$19,Sheet1!J4:L4,3,0),0)</f>
        <v>0</v>
      </c>
      <c r="P42" s="88">
        <f>+IFERROR(VLOOKUP($P$19,Sheet1!J4:M4,3,0),0)</f>
        <v>0</v>
      </c>
      <c r="Q42" s="88">
        <f>+IFERROR(VLOOKUP($Q$19,Sheet1!J4:M4,3,0),0)</f>
        <v>0</v>
      </c>
      <c r="R42" s="88">
        <f>+IFERROR(VLOOKUP($R$19,Sheet1!J4:M4,3,0),0)</f>
        <v>0</v>
      </c>
      <c r="S42" s="88">
        <f>+IFERROR(VLOOKUP($S$19,Sheet1!J4:M4,3,0),0)</f>
        <v>0</v>
      </c>
      <c r="T42" s="88">
        <f>+IFERROR(VLOOKUP($T$19,Sheet1!J4:M4,3,0),0)</f>
        <v>0</v>
      </c>
      <c r="U42" s="88">
        <f>+IFERROR(VLOOKUP($U$19,Sheet1!J4:M4,3,0),0)</f>
        <v>0</v>
      </c>
      <c r="V42" s="88">
        <f>+IFERROR(VLOOKUP($V$19,Sheet1!N4:Q4,3,0),0)</f>
        <v>0</v>
      </c>
      <c r="W42" s="88">
        <f>+IFERROR(VLOOKUP($W$19,Sheet1!N4:Q4,3,0),0)</f>
        <v>0</v>
      </c>
      <c r="X42" s="88">
        <f>+IFERROR(VLOOKUP($X$19,Sheet1!F4:I4,3,0),0)</f>
        <v>0</v>
      </c>
      <c r="Y42" s="88">
        <f>+IFERROR(VLOOKUP($Y$19,Sheet1!F4:I4,3,0),0)</f>
        <v>0</v>
      </c>
      <c r="Z42" s="88">
        <f>+IFERROR(VLOOKUP($Z$19,Sheet1!F4:I4,3,0),0)</f>
        <v>0</v>
      </c>
      <c r="AA42" s="88">
        <f>+IFERROR(VLOOKUP($AA$19,Sheet1!F4:I4,3,0),0)</f>
        <v>0</v>
      </c>
      <c r="AB42" s="166">
        <v>76</v>
      </c>
      <c r="AC42" s="88">
        <f>+IFERROR(VLOOKUP($AC$19,Sheet1!F4:I4,3,0),0)</f>
        <v>0</v>
      </c>
      <c r="AD42" s="88">
        <f>+IFERROR(VLOOKUP($AD$19,Sheet1!F4:I4,3,0),0)</f>
        <v>0</v>
      </c>
      <c r="AE42" s="88">
        <f>+IFERROR(VLOOKUP($AE$19,Sheet1!F4:I4,3,0),0)</f>
        <v>0</v>
      </c>
      <c r="AF42" s="166">
        <v>206</v>
      </c>
      <c r="AG42" s="87">
        <f>+IFERROR(VLOOKUP($AG$19,Sheet1!R4:U4,3,0),0)</f>
        <v>0</v>
      </c>
      <c r="AH42" s="166">
        <v>890</v>
      </c>
      <c r="AI42" s="87">
        <f>+IFERROR(VLOOKUP($AI$19,Sheet1!V4:Y4,3,0),0)</f>
        <v>0</v>
      </c>
      <c r="AJ42" s="87">
        <f>+IFERROR(VLOOKUP($AJ$19,Sheet1!V4:Y4,3,0),0)</f>
        <v>0</v>
      </c>
      <c r="AK42" s="87">
        <f>+IFERROR(VLOOKUP($AK$19,Sheet1!V4:Y4,3,0),0)</f>
        <v>0</v>
      </c>
      <c r="AL42" s="87">
        <f>+IFERROR(VLOOKUP($AL$19,Sheet1!V4:Y4,3,0),0)</f>
        <v>0</v>
      </c>
      <c r="AM42" s="87">
        <f>+IFERROR(VLOOKUP($AM$19,Sheet1!V4:Y4,3,0),0)</f>
        <v>0</v>
      </c>
      <c r="AN42" s="87">
        <f>+IFERROR(VLOOKUP($AN$19,Sheet1!V4:Y4,3,0),0)</f>
        <v>0</v>
      </c>
      <c r="AO42" s="87">
        <f>+IFERROR(VLOOKUP($AO$19,Sheet1!V4:Y4,3,0),0)</f>
        <v>0</v>
      </c>
      <c r="AP42" s="87">
        <f>+IFERROR(VLOOKUP($AP$19,Sheet1!V4:Y4,3,0),0)</f>
        <v>0</v>
      </c>
      <c r="AQ42" s="167">
        <v>32</v>
      </c>
      <c r="AR42" s="87">
        <f>+IFERROR(VLOOKUP($AR$19,Sheet1!AD4:AG4,3,0),0)</f>
        <v>0</v>
      </c>
      <c r="AS42" s="87">
        <f>+IFERROR(VLOOKUP($AS$19,Sheet1!AD4:AG4,3,0),0)</f>
        <v>0</v>
      </c>
      <c r="AT42" s="87">
        <f>+IFERROR(VLOOKUP($AT$19,Sheet1!AD4:AG4,3,0),0)</f>
        <v>0</v>
      </c>
      <c r="AU42" s="87">
        <f>+IFERROR(VLOOKUP($AU$19,Sheet1!AD4:AG4,3,0),0)</f>
        <v>0</v>
      </c>
      <c r="AV42" s="87">
        <f>+IFERROR(VLOOKUP($AV$19,Sheet1!AD4:AG4,3,0),0)</f>
        <v>0</v>
      </c>
      <c r="AW42" s="87">
        <f>+IFERROR(VLOOKUP($AW$19,Sheet1!AD4:AG4,3,0),0)</f>
        <v>0</v>
      </c>
      <c r="AX42" s="167">
        <v>172</v>
      </c>
      <c r="AY42" s="87">
        <f>+IFERROR(VLOOKUP($AY$19,Sheet1!AD4:AG4,3,0),0)</f>
        <v>0</v>
      </c>
      <c r="AZ42" s="87">
        <f>+IFERROR(VLOOKUP($AZ$19,Sheet1!AD4:AG4,3,0),0)</f>
        <v>0</v>
      </c>
      <c r="BA42" s="87">
        <f>+IFERROR(VLOOKUP($BA$19,Sheet1!AH4:AK4,3,0),0)</f>
        <v>0</v>
      </c>
      <c r="BB42" s="87">
        <f>+IFERROR(VLOOKUP($BB$19,Sheet1!AH4:AK4,3,0),0)</f>
        <v>0</v>
      </c>
      <c r="BC42" s="87">
        <f>+IFERROR(VLOOKUP($BC$19,Sheet1!AH4:AK4,3,0),0)</f>
        <v>0</v>
      </c>
      <c r="BD42" s="167">
        <v>731</v>
      </c>
      <c r="BE42" s="87">
        <f>+IFERROR(VLOOKUP($BE$19,Sheet1!AH4:AK4,3,0),0)</f>
        <v>0</v>
      </c>
      <c r="BF42" s="87">
        <f>+IFERROR(VLOOKUP($BF$19,Sheet1!AH4:AK4,3,0),0)</f>
        <v>0</v>
      </c>
      <c r="BG42" s="87">
        <f>+IFERROR(VLOOKUP($BG$19,Sheet1!AH4:AK4,3,0),0)</f>
        <v>0</v>
      </c>
      <c r="BH42" s="87">
        <f>+IFERROR(VLOOKUP($BH$19,Sheet1!AH4:AK4,3,0),0)</f>
        <v>0</v>
      </c>
      <c r="BI42" s="87">
        <f>+IFERROR(VLOOKUP($BI$19,Sheet1!AH4:AK4,3,0),0)</f>
        <v>0</v>
      </c>
      <c r="BJ42" s="87">
        <f>+IFERROR(VLOOKUP($BJ$19,Sheet1!AH4:AK4,3,0),0)</f>
        <v>0</v>
      </c>
      <c r="BK42" s="87">
        <f>+IFERROR(VLOOKUP($BK$19,Sheet1!AH4:AK4,3,0),0)</f>
        <v>0</v>
      </c>
      <c r="BL42" s="87">
        <f>+IFERROR(VLOOKUP($BL$19,Sheet1!AL4:AO4,3,0),0)</f>
        <v>0</v>
      </c>
      <c r="BM42" s="87">
        <f>+IFERROR(VLOOKUP($BM$19,Sheet1!AL4:AO4,3,0),0)</f>
        <v>0</v>
      </c>
      <c r="BN42" s="87">
        <f>+IFERROR(VLOOKUP($BN$19,Sheet1!AL4:AO4,3,0),0)</f>
        <v>0</v>
      </c>
      <c r="BO42" s="167">
        <v>604</v>
      </c>
      <c r="BP42" s="87">
        <f>+IFERROR(VLOOKUP($BP$19,Sheet1!AL4:AO4,3,0),0)</f>
        <v>0</v>
      </c>
      <c r="BQ42" s="87">
        <f>+IFERROR(VLOOKUP($BQ$19,Sheet1!AL4:AO4,3,0),0)</f>
        <v>0</v>
      </c>
      <c r="BR42" s="87">
        <f>+IFERROR(VLOOKUP($BR$19,Sheet1!AL4:AO4,3,0),0)</f>
        <v>0</v>
      </c>
      <c r="BS42" s="87">
        <f>+IFERROR(VLOOKUP($BS$19,Sheet1!AL4:AO4,3,0),0)</f>
        <v>0</v>
      </c>
      <c r="BT42" s="87">
        <f>+IFERROR(VLOOKUP($BT$19,Sheet1!AL4:AO4,3,0),0)</f>
        <v>0</v>
      </c>
      <c r="BU42" s="87">
        <f>+IFERROR(VLOOKUP($BU$19,Sheet1!AL4:AO4,3,0),0)</f>
        <v>0</v>
      </c>
      <c r="BV42" s="87">
        <f>+IFERROR(VLOOKUP($BV$19,Sheet1!AL4:AO4,3,0),0)</f>
        <v>0</v>
      </c>
      <c r="BW42" s="87">
        <f>+IFERROR(VLOOKUP($BW$19,Sheet1!AL4:AO4,3,0),0)</f>
        <v>0</v>
      </c>
      <c r="BX42" s="87">
        <f>+IFERROR(VLOOKUP($BX$19,Sheet1!AP4:AS4,3,0),0)</f>
        <v>0</v>
      </c>
      <c r="BY42" s="167">
        <v>19</v>
      </c>
      <c r="BZ42" s="87">
        <f>+IFERROR(VLOOKUP($BZ$19,Sheet1!AX4:BA4,3,0),0)</f>
        <v>54</v>
      </c>
      <c r="CA42" s="167">
        <v>38</v>
      </c>
      <c r="CB42" s="87">
        <f>+IFERROR(VLOOKUP($CB$19,Sheet1!BF4:BI4,3,0),0)</f>
        <v>0</v>
      </c>
      <c r="CC42" s="87">
        <f>+IFERROR(VLOOKUP($CC$19,Sheet1!BJ4:BM4,3,0),0)</f>
        <v>0</v>
      </c>
      <c r="CD42" s="87">
        <f>+IFERROR(VLOOKUP($CD$19,Sheet1!BN4:BQ4,3,0),0)</f>
        <v>0</v>
      </c>
      <c r="CE42" s="167">
        <v>37</v>
      </c>
      <c r="CF42" s="37">
        <f>+IFERROR(VLOOKUP($CF$19,Sheet1!BV4:BY4,3,0),0)</f>
        <v>0</v>
      </c>
      <c r="CG42" s="56" t="str">
        <f>Sheet1!E4</f>
        <v>STEEL</v>
      </c>
      <c r="CH42" s="57" t="s">
        <v>234</v>
      </c>
      <c r="CI42" s="57" t="s">
        <v>235</v>
      </c>
      <c r="CJ42" s="57">
        <f>Sheet1!CX4</f>
        <v>500</v>
      </c>
      <c r="CK42" s="23">
        <f>18200/0.5</f>
        <v>36400</v>
      </c>
      <c r="CL42" s="23">
        <f t="shared" si="5"/>
        <v>918134</v>
      </c>
      <c r="CM42" s="79">
        <v>0.01</v>
      </c>
      <c r="CN42" s="23">
        <f t="shared" si="6"/>
        <v>9181.34</v>
      </c>
      <c r="CO42" s="79">
        <v>0.18</v>
      </c>
      <c r="CP42" s="23">
        <f t="shared" si="7"/>
        <v>165264.12</v>
      </c>
      <c r="CQ42" s="79">
        <f>Sheet1!CF4</f>
        <v>0</v>
      </c>
      <c r="CR42" s="23">
        <f t="shared" si="8"/>
        <v>0</v>
      </c>
      <c r="CS42" s="23">
        <f t="shared" si="9"/>
        <v>1092579.46</v>
      </c>
      <c r="CT42" s="79">
        <v>0.02</v>
      </c>
      <c r="CU42" s="6">
        <f t="shared" si="10"/>
        <v>21851.589199999999</v>
      </c>
      <c r="CV42" s="79">
        <v>0.01</v>
      </c>
      <c r="CW42" s="6">
        <f t="shared" si="11"/>
        <v>10925.794599999999</v>
      </c>
      <c r="CX42" s="79">
        <f>Sheet1!CM4</f>
        <v>0</v>
      </c>
      <c r="CY42" s="6">
        <f t="shared" si="12"/>
        <v>0</v>
      </c>
    </row>
    <row r="43" spans="1:103" ht="30" x14ac:dyDescent="0.25">
      <c r="A43" s="6" t="str">
        <f>Sheet1!A5</f>
        <v>ENQ-18390-25-26</v>
      </c>
      <c r="B43" s="71">
        <v>46357</v>
      </c>
      <c r="C43" s="6" t="str">
        <f>Sheet1!C5</f>
        <v>FA1300019</v>
      </c>
      <c r="D43" s="6" t="str">
        <f>Sheet1!D5</f>
        <v>1 CORE X 300 SQ. MM. AL/ARM (XLPE)  - 33 KV</v>
      </c>
      <c r="E43" s="23">
        <f t="shared" si="0"/>
        <v>975214.72230000002</v>
      </c>
      <c r="F43" s="86">
        <f t="shared" si="13"/>
        <v>24167</v>
      </c>
      <c r="G43" s="28">
        <f t="shared" si="1"/>
        <v>999381.72230000002</v>
      </c>
      <c r="H43" s="29">
        <f>Sheet1!CR5</f>
        <v>0.18</v>
      </c>
      <c r="I43" s="28">
        <f t="shared" si="2"/>
        <v>179888.71001400001</v>
      </c>
      <c r="J43" s="28">
        <f t="shared" si="3"/>
        <v>1179270.4323140001</v>
      </c>
      <c r="K43" s="63">
        <f>Sheet1!CU5</f>
        <v>3</v>
      </c>
      <c r="L43" s="60" t="str">
        <f>Sheet1!CV5</f>
        <v>KMS</v>
      </c>
      <c r="M43" s="23">
        <f t="shared" si="4"/>
        <v>3537811.2969420003</v>
      </c>
      <c r="N43" s="166">
        <f>+IFERROR(VLOOKUP($N$19,Sheet1!J5:L5,3,0),0)</f>
        <v>810</v>
      </c>
      <c r="O43" s="88">
        <f>+IFERROR(VLOOKUP($O$19,Sheet1!J5:L5,3,0),0)</f>
        <v>0</v>
      </c>
      <c r="P43" s="88">
        <f>+IFERROR(VLOOKUP($P$19,Sheet1!J5:M5,3,0),0)</f>
        <v>0</v>
      </c>
      <c r="Q43" s="88">
        <f>+IFERROR(VLOOKUP($Q$19,Sheet1!J5:M5,3,0),0)</f>
        <v>0</v>
      </c>
      <c r="R43" s="88">
        <f>+IFERROR(VLOOKUP($R$19,Sheet1!J5:M5,3,0),0)</f>
        <v>0</v>
      </c>
      <c r="S43" s="88">
        <f>+IFERROR(VLOOKUP($S$19,Sheet1!J5:M5,3,0),0)</f>
        <v>0</v>
      </c>
      <c r="T43" s="88">
        <f>+IFERROR(VLOOKUP($T$19,Sheet1!J5:M5,3,0),0)</f>
        <v>0</v>
      </c>
      <c r="U43" s="88">
        <f>+IFERROR(VLOOKUP($U$19,Sheet1!J5:M5,3,0),0)</f>
        <v>0</v>
      </c>
      <c r="V43" s="88">
        <f>+IFERROR(VLOOKUP($V$19,Sheet1!N5:Q5,3,0),0)</f>
        <v>0</v>
      </c>
      <c r="W43" s="88">
        <f>+IFERROR(VLOOKUP($W$19,Sheet1!N5:Q5,3,0),0)</f>
        <v>0</v>
      </c>
      <c r="X43" s="88">
        <f>+IFERROR(VLOOKUP($X$19,Sheet1!F5:I5,3,0),0)</f>
        <v>0</v>
      </c>
      <c r="Y43" s="88">
        <f>+IFERROR(VLOOKUP($Y$19,Sheet1!F5:I5,3,0),0)</f>
        <v>0</v>
      </c>
      <c r="Z43" s="88">
        <f>+IFERROR(VLOOKUP($Z$19,Sheet1!F5:I5,3,0),0)</f>
        <v>0</v>
      </c>
      <c r="AA43" s="88">
        <f>+IFERROR(VLOOKUP($AA$19,Sheet1!F5:I5,3,0),0)</f>
        <v>0</v>
      </c>
      <c r="AB43" s="166">
        <v>71</v>
      </c>
      <c r="AC43" s="88">
        <f>+IFERROR(VLOOKUP($AC$19,Sheet1!F5:I5,3,0),0)</f>
        <v>0</v>
      </c>
      <c r="AD43" s="88">
        <f>+IFERROR(VLOOKUP($AD$19,Sheet1!F5:I5,3,0),0)</f>
        <v>0</v>
      </c>
      <c r="AE43" s="88">
        <f>+IFERROR(VLOOKUP($AE$19,Sheet1!F5:I5,3,0),0)</f>
        <v>0</v>
      </c>
      <c r="AF43" s="166">
        <v>187</v>
      </c>
      <c r="AG43" s="87">
        <f>+IFERROR(VLOOKUP($AG$19,Sheet1!R5:U5,3,0),0)</f>
        <v>0</v>
      </c>
      <c r="AH43" s="166">
        <v>810</v>
      </c>
      <c r="AI43" s="87">
        <f>+IFERROR(VLOOKUP($AI$19,Sheet1!V5:Y5,3,0),0)</f>
        <v>0</v>
      </c>
      <c r="AJ43" s="87">
        <f>+IFERROR(VLOOKUP($AJ$19,Sheet1!V5:Y5,3,0),0)</f>
        <v>0</v>
      </c>
      <c r="AK43" s="87">
        <f>+IFERROR(VLOOKUP($AK$19,Sheet1!V5:Y5,3,0),0)</f>
        <v>0</v>
      </c>
      <c r="AL43" s="87">
        <f>+IFERROR(VLOOKUP($AL$19,Sheet1!V5:Y5,3,0),0)</f>
        <v>0</v>
      </c>
      <c r="AM43" s="87">
        <f>+IFERROR(VLOOKUP($AM$19,Sheet1!V5:Y5,3,0),0)</f>
        <v>0</v>
      </c>
      <c r="AN43" s="87">
        <f>+IFERROR(VLOOKUP($AN$19,Sheet1!V5:Y5,3,0),0)</f>
        <v>0</v>
      </c>
      <c r="AO43" s="87">
        <f>+IFERROR(VLOOKUP($AO$19,Sheet1!V5:Y5,3,0),0)</f>
        <v>0</v>
      </c>
      <c r="AP43" s="87">
        <f>+IFERROR(VLOOKUP($AP$19,Sheet1!V5:Y5,3,0),0)</f>
        <v>0</v>
      </c>
      <c r="AQ43" s="167">
        <v>30</v>
      </c>
      <c r="AR43" s="87">
        <f>+IFERROR(VLOOKUP($AR$19,Sheet1!AD5:AG5,3,0),0)</f>
        <v>0</v>
      </c>
      <c r="AS43" s="87">
        <f>+IFERROR(VLOOKUP($AS$19,Sheet1!AD5:AG5,3,0),0)</f>
        <v>0</v>
      </c>
      <c r="AT43" s="87">
        <f>+IFERROR(VLOOKUP($AT$19,Sheet1!AD5:AG5,3,0),0)</f>
        <v>0</v>
      </c>
      <c r="AU43" s="87">
        <f>+IFERROR(VLOOKUP($AU$19,Sheet1!AD5:AG5,3,0),0)</f>
        <v>0</v>
      </c>
      <c r="AV43" s="87">
        <f>+IFERROR(VLOOKUP($AV$19,Sheet1!AD5:AG5,3,0),0)</f>
        <v>0</v>
      </c>
      <c r="AW43" s="87">
        <f>+IFERROR(VLOOKUP($AW$19,Sheet1!AD5:AG5,3,0),0)</f>
        <v>0</v>
      </c>
      <c r="AX43" s="167">
        <v>161</v>
      </c>
      <c r="AY43" s="87">
        <f>+IFERROR(VLOOKUP($AY$19,Sheet1!AD5:AG5,3,0),0)</f>
        <v>0</v>
      </c>
      <c r="AZ43" s="87">
        <f>+IFERROR(VLOOKUP($AZ$19,Sheet1!AD5:AG5,3,0),0)</f>
        <v>0</v>
      </c>
      <c r="BA43" s="87">
        <f>+IFERROR(VLOOKUP($BA$19,Sheet1!AH5:AK5,3,0),0)</f>
        <v>0</v>
      </c>
      <c r="BB43" s="87">
        <f>+IFERROR(VLOOKUP($BB$19,Sheet1!AH5:AK5,3,0),0)</f>
        <v>0</v>
      </c>
      <c r="BC43" s="87">
        <f>+IFERROR(VLOOKUP($BC$19,Sheet1!AH5:AK5,3,0),0)</f>
        <v>0</v>
      </c>
      <c r="BD43" s="167">
        <v>690</v>
      </c>
      <c r="BE43" s="87">
        <f>+IFERROR(VLOOKUP($BE$19,Sheet1!AH5:AK5,3,0),0)</f>
        <v>0</v>
      </c>
      <c r="BF43" s="87">
        <f>+IFERROR(VLOOKUP($BF$19,Sheet1!AH5:AK5,3,0),0)</f>
        <v>0</v>
      </c>
      <c r="BG43" s="87">
        <f>+IFERROR(VLOOKUP($BG$19,Sheet1!AH5:AK5,3,0),0)</f>
        <v>0</v>
      </c>
      <c r="BH43" s="87">
        <f>+IFERROR(VLOOKUP($BH$19,Sheet1!AH5:AK5,3,0),0)</f>
        <v>0</v>
      </c>
      <c r="BI43" s="87">
        <f>+IFERROR(VLOOKUP($BI$19,Sheet1!AH5:AK5,3,0),0)</f>
        <v>0</v>
      </c>
      <c r="BJ43" s="87">
        <f>+IFERROR(VLOOKUP($BJ$19,Sheet1!AH5:AK5,3,0),0)</f>
        <v>0</v>
      </c>
      <c r="BK43" s="87">
        <f>+IFERROR(VLOOKUP($BK$19,Sheet1!AH5:AK5,3,0),0)</f>
        <v>0</v>
      </c>
      <c r="BL43" s="87">
        <f>+IFERROR(VLOOKUP($BL$19,Sheet1!AL5:AO5,3,0),0)</f>
        <v>0</v>
      </c>
      <c r="BM43" s="87">
        <f>+IFERROR(VLOOKUP($BM$19,Sheet1!AL5:AO5,3,0),0)</f>
        <v>0</v>
      </c>
      <c r="BN43" s="87">
        <f>+IFERROR(VLOOKUP($BN$19,Sheet1!AL5:AO5,3,0),0)</f>
        <v>0</v>
      </c>
      <c r="BO43" s="167">
        <v>570</v>
      </c>
      <c r="BP43" s="87">
        <f>+IFERROR(VLOOKUP($BP$19,Sheet1!AL5:AO5,3,0),0)</f>
        <v>0</v>
      </c>
      <c r="BQ43" s="87">
        <f>+IFERROR(VLOOKUP($BQ$19,Sheet1!AL5:AO5,3,0),0)</f>
        <v>0</v>
      </c>
      <c r="BR43" s="87">
        <f>+IFERROR(VLOOKUP($BR$19,Sheet1!AL5:AO5,3,0),0)</f>
        <v>0</v>
      </c>
      <c r="BS43" s="87">
        <f>+IFERROR(VLOOKUP($BS$19,Sheet1!AL5:AO5,3,0),0)</f>
        <v>0</v>
      </c>
      <c r="BT43" s="87">
        <f>+IFERROR(VLOOKUP($BT$19,Sheet1!AL5:AO5,3,0),0)</f>
        <v>0</v>
      </c>
      <c r="BU43" s="87">
        <f>+IFERROR(VLOOKUP($BU$19,Sheet1!AL5:AO5,3,0),0)</f>
        <v>0</v>
      </c>
      <c r="BV43" s="87">
        <f>+IFERROR(VLOOKUP($BV$19,Sheet1!AL5:AO5,3,0),0)</f>
        <v>0</v>
      </c>
      <c r="BW43" s="87">
        <f>+IFERROR(VLOOKUP($BW$19,Sheet1!AL5:AO5,3,0),0)</f>
        <v>0</v>
      </c>
      <c r="BX43" s="87">
        <f>+IFERROR(VLOOKUP($BX$19,Sheet1!AP5:AS5,3,0),0)</f>
        <v>0</v>
      </c>
      <c r="BY43" s="167">
        <v>13</v>
      </c>
      <c r="BZ43" s="87">
        <f>+IFERROR(VLOOKUP($BZ$19,Sheet1!AX5:BA5,3,0),0)</f>
        <v>0</v>
      </c>
      <c r="CA43" s="167">
        <v>35</v>
      </c>
      <c r="CB43" s="87">
        <f>+IFERROR(VLOOKUP($CB$19,Sheet1!BF5:BI5,3,0),0)</f>
        <v>0</v>
      </c>
      <c r="CC43" s="87">
        <f>+IFERROR(VLOOKUP($CC$19,Sheet1!BJ5:BM5,3,0),0)</f>
        <v>0</v>
      </c>
      <c r="CD43" s="87">
        <f>+IFERROR(VLOOKUP($CD$19,Sheet1!BN5:BQ5,3,0),0)</f>
        <v>0</v>
      </c>
      <c r="CE43" s="167">
        <v>35</v>
      </c>
      <c r="CF43" s="37">
        <f>+IFERROR(VLOOKUP($CF$19,Sheet1!BV5:BY5,3,0),0)</f>
        <v>0</v>
      </c>
      <c r="CG43" s="56" t="str">
        <f>Sheet1!E5</f>
        <v>STEEL</v>
      </c>
      <c r="CH43" s="57" t="s">
        <v>304</v>
      </c>
      <c r="CI43" s="57" t="s">
        <v>305</v>
      </c>
      <c r="CJ43" s="57">
        <f>Sheet1!CX5</f>
        <v>500</v>
      </c>
      <c r="CK43" s="23">
        <f>16900/0.5</f>
        <v>33800</v>
      </c>
      <c r="CL43" s="23">
        <f t="shared" si="5"/>
        <v>795639</v>
      </c>
      <c r="CM43" s="79">
        <v>0.01</v>
      </c>
      <c r="CN43" s="23">
        <f t="shared" si="6"/>
        <v>7956.39</v>
      </c>
      <c r="CO43" s="79">
        <v>0.18</v>
      </c>
      <c r="CP43" s="23">
        <f t="shared" si="7"/>
        <v>143215.01999999999</v>
      </c>
      <c r="CQ43" s="79">
        <f>Sheet1!CF5</f>
        <v>0</v>
      </c>
      <c r="CR43" s="23">
        <f t="shared" si="8"/>
        <v>0</v>
      </c>
      <c r="CS43" s="23">
        <f t="shared" si="9"/>
        <v>946810.41</v>
      </c>
      <c r="CT43" s="79">
        <v>0.02</v>
      </c>
      <c r="CU43" s="6">
        <f t="shared" si="10"/>
        <v>18936.208200000001</v>
      </c>
      <c r="CV43" s="79">
        <v>0.01</v>
      </c>
      <c r="CW43" s="6">
        <f t="shared" si="11"/>
        <v>9468.1041000000005</v>
      </c>
      <c r="CX43" s="79">
        <f>Sheet1!CM5</f>
        <v>0</v>
      </c>
      <c r="CY43" s="6">
        <f t="shared" si="12"/>
        <v>0</v>
      </c>
    </row>
    <row r="44" spans="1:103" x14ac:dyDescent="0.25">
      <c r="M44" s="83">
        <f>SUM(M21:M43)</f>
        <v>3145425743.0589085</v>
      </c>
    </row>
    <row r="48" spans="1:103" ht="60" x14ac:dyDescent="0.25">
      <c r="E48" s="1" t="s">
        <v>127</v>
      </c>
      <c r="F48" s="1" t="s">
        <v>128</v>
      </c>
      <c r="G48" s="74" t="s">
        <v>129</v>
      </c>
      <c r="H48" s="1" t="s">
        <v>130</v>
      </c>
      <c r="I48" s="1" t="s">
        <v>131</v>
      </c>
      <c r="J48" s="1" t="s">
        <v>132</v>
      </c>
      <c r="K48" s="1" t="s">
        <v>133</v>
      </c>
      <c r="L48" s="1" t="s">
        <v>134</v>
      </c>
      <c r="M48" s="75" t="s">
        <v>135</v>
      </c>
      <c r="AB48" s="15" t="s">
        <v>306</v>
      </c>
      <c r="AF48" s="15" t="s">
        <v>307</v>
      </c>
      <c r="AH48" s="15" t="s">
        <v>308</v>
      </c>
      <c r="AQ48" s="15" t="s">
        <v>309</v>
      </c>
    </row>
    <row r="49" spans="1:43" ht="30" x14ac:dyDescent="0.25">
      <c r="B49" t="s">
        <v>312</v>
      </c>
      <c r="D49" s="15" t="str">
        <f>D21</f>
        <v>3 CORE X 400 SQ. MM. AL/ARM - WIRE (XLPE) - 11 KV</v>
      </c>
      <c r="E49" s="76">
        <f>K21</f>
        <v>209</v>
      </c>
      <c r="F49" s="77">
        <f>CJ21/1000</f>
        <v>0.25</v>
      </c>
      <c r="G49" s="74" t="s">
        <v>310</v>
      </c>
      <c r="H49" s="78">
        <v>72500</v>
      </c>
      <c r="I49" s="77">
        <v>5</v>
      </c>
      <c r="J49" s="74">
        <f>F49*I49</f>
        <v>1.25</v>
      </c>
      <c r="K49" s="74">
        <f>ROUNDUP((E49/J49),0)</f>
        <v>168</v>
      </c>
      <c r="L49" s="74">
        <f>H49*K49</f>
        <v>12180000</v>
      </c>
      <c r="M49" s="80">
        <f>L49/E49</f>
        <v>58277.511961722485</v>
      </c>
      <c r="N49" s="84" t="str">
        <f>CH21</f>
        <v>SP0400136</v>
      </c>
      <c r="AB49" s="15">
        <f>SUM(N21:CE21)</f>
        <v>14259</v>
      </c>
      <c r="AF49" s="15">
        <v>400</v>
      </c>
      <c r="AH49" s="15">
        <f>((AB49*F49)+AF49)</f>
        <v>3964.75</v>
      </c>
      <c r="AQ49" s="15">
        <f>AH49*I49</f>
        <v>19823.75</v>
      </c>
    </row>
    <row r="50" spans="1:43" ht="30" x14ac:dyDescent="0.25">
      <c r="B50" s="89" t="s">
        <v>313</v>
      </c>
      <c r="D50" s="15" t="str">
        <f t="shared" ref="D50:D71" si="14">D22</f>
        <v>3 CORE X 300 SQ. MM. AL/ARM - WIRE (XLPE) - 11 KV</v>
      </c>
      <c r="E50" s="76">
        <f t="shared" ref="E50:E71" si="15">K22</f>
        <v>151</v>
      </c>
      <c r="F50" s="77">
        <f t="shared" ref="F50:F71" si="16">CJ22/1000</f>
        <v>0.25</v>
      </c>
      <c r="G50" s="74" t="s">
        <v>310</v>
      </c>
      <c r="H50" s="78">
        <v>72500</v>
      </c>
      <c r="I50" s="77">
        <v>5</v>
      </c>
      <c r="J50" s="74">
        <f t="shared" ref="J50:J71" si="17">F50*I50</f>
        <v>1.25</v>
      </c>
      <c r="K50" s="74">
        <f t="shared" ref="K50:K71" si="18">ROUNDUP((E50/J50),0)</f>
        <v>121</v>
      </c>
      <c r="L50" s="74">
        <f t="shared" ref="L50:L71" si="19">H50*K50</f>
        <v>8772500</v>
      </c>
      <c r="M50" s="80">
        <f t="shared" ref="M50:M71" si="20">L50/E50</f>
        <v>58096.026490066222</v>
      </c>
      <c r="N50" s="84" t="str">
        <f t="shared" ref="N50:N71" si="21">CH22</f>
        <v>SP0400136</v>
      </c>
      <c r="AB50" s="15">
        <f t="shared" ref="AB50:AB71" si="22">SUM(N22:CE22)</f>
        <v>11167</v>
      </c>
      <c r="AF50" s="15">
        <v>400</v>
      </c>
      <c r="AH50" s="15">
        <f t="shared" ref="AH50:AH71" si="23">((AB50*F50)+AF50)</f>
        <v>3191.75</v>
      </c>
      <c r="AQ50" s="15">
        <f t="shared" ref="AQ50:AQ71" si="24">AH50*I50</f>
        <v>15958.75</v>
      </c>
    </row>
    <row r="51" spans="1:43" ht="30" x14ac:dyDescent="0.25">
      <c r="A51" s="90" t="s">
        <v>314</v>
      </c>
      <c r="B51" s="2">
        <v>65000</v>
      </c>
      <c r="D51" s="15" t="str">
        <f t="shared" si="14"/>
        <v>3 CORE X 185 SQ. MM AL/ARM - WIRE (XLPE) - 11 KV</v>
      </c>
      <c r="E51" s="76">
        <f t="shared" si="15"/>
        <v>17</v>
      </c>
      <c r="F51" s="77">
        <f t="shared" si="16"/>
        <v>0.25</v>
      </c>
      <c r="G51" s="74" t="s">
        <v>310</v>
      </c>
      <c r="H51" s="78">
        <v>72500</v>
      </c>
      <c r="I51" s="77">
        <v>9</v>
      </c>
      <c r="J51" s="74">
        <f t="shared" si="17"/>
        <v>2.25</v>
      </c>
      <c r="K51" s="74">
        <f t="shared" si="18"/>
        <v>8</v>
      </c>
      <c r="L51" s="74">
        <f t="shared" si="19"/>
        <v>580000</v>
      </c>
      <c r="M51" s="80">
        <f t="shared" si="20"/>
        <v>34117.647058823532</v>
      </c>
      <c r="N51" s="84" t="str">
        <f t="shared" si="21"/>
        <v>SP0400111</v>
      </c>
      <c r="AB51" s="15">
        <f t="shared" si="22"/>
        <v>8741</v>
      </c>
      <c r="AF51" s="15">
        <v>260</v>
      </c>
      <c r="AH51" s="15">
        <f t="shared" si="23"/>
        <v>2445.25</v>
      </c>
      <c r="AQ51" s="15">
        <f t="shared" si="24"/>
        <v>22007.25</v>
      </c>
    </row>
    <row r="52" spans="1:43" ht="30" x14ac:dyDescent="0.25">
      <c r="A52" s="90" t="s">
        <v>315</v>
      </c>
      <c r="B52" s="2">
        <v>70000</v>
      </c>
      <c r="D52" s="15" t="str">
        <f t="shared" si="14"/>
        <v>3 CORE X 150 SQ. MM. AL/ARM - WIRE (XLPE) - 11 KV</v>
      </c>
      <c r="E52" s="76">
        <f t="shared" si="15"/>
        <v>4</v>
      </c>
      <c r="F52" s="77">
        <f t="shared" si="16"/>
        <v>0.25</v>
      </c>
      <c r="G52" s="74" t="s">
        <v>310</v>
      </c>
      <c r="H52" s="78">
        <v>72500</v>
      </c>
      <c r="I52" s="77">
        <v>9</v>
      </c>
      <c r="J52" s="74">
        <f t="shared" si="17"/>
        <v>2.25</v>
      </c>
      <c r="K52" s="74">
        <f t="shared" si="18"/>
        <v>2</v>
      </c>
      <c r="L52" s="74">
        <f t="shared" si="19"/>
        <v>145000</v>
      </c>
      <c r="M52" s="80">
        <f t="shared" si="20"/>
        <v>36250</v>
      </c>
      <c r="N52" s="84" t="str">
        <f t="shared" si="21"/>
        <v>SP0400118</v>
      </c>
      <c r="AB52" s="15">
        <f t="shared" si="22"/>
        <v>7125</v>
      </c>
      <c r="AF52" s="15">
        <v>180</v>
      </c>
      <c r="AH52" s="15">
        <f t="shared" si="23"/>
        <v>1961.25</v>
      </c>
      <c r="AQ52" s="15">
        <f t="shared" si="24"/>
        <v>17651.25</v>
      </c>
    </row>
    <row r="53" spans="1:43" ht="30" x14ac:dyDescent="0.25">
      <c r="A53" s="90" t="s">
        <v>316</v>
      </c>
      <c r="B53" s="2">
        <v>80000</v>
      </c>
      <c r="D53" s="15" t="str">
        <f t="shared" si="14"/>
        <v>3 CORE X 120 SQ. MM. AL/ARM - WIRE (XLPE) - 11 KV</v>
      </c>
      <c r="E53" s="76">
        <f t="shared" si="15"/>
        <v>8</v>
      </c>
      <c r="F53" s="77">
        <f t="shared" si="16"/>
        <v>0.25</v>
      </c>
      <c r="G53" s="74" t="s">
        <v>310</v>
      </c>
      <c r="H53" s="78">
        <v>72500</v>
      </c>
      <c r="I53" s="77">
        <v>9</v>
      </c>
      <c r="J53" s="74">
        <f t="shared" si="17"/>
        <v>2.25</v>
      </c>
      <c r="K53" s="74">
        <f t="shared" si="18"/>
        <v>4</v>
      </c>
      <c r="L53" s="74">
        <f t="shared" si="19"/>
        <v>290000</v>
      </c>
      <c r="M53" s="80">
        <f t="shared" si="20"/>
        <v>36250</v>
      </c>
      <c r="N53" s="84" t="str">
        <f t="shared" si="21"/>
        <v>SP0400118</v>
      </c>
      <c r="AB53" s="15">
        <f t="shared" si="22"/>
        <v>6460</v>
      </c>
      <c r="AF53" s="15">
        <v>180</v>
      </c>
      <c r="AH53" s="15">
        <f t="shared" si="23"/>
        <v>1795</v>
      </c>
      <c r="AQ53" s="15">
        <f t="shared" si="24"/>
        <v>16155</v>
      </c>
    </row>
    <row r="54" spans="1:43" ht="30" x14ac:dyDescent="0.25">
      <c r="A54" s="90" t="s">
        <v>317</v>
      </c>
      <c r="B54" s="2">
        <v>75000</v>
      </c>
      <c r="D54" s="15" t="str">
        <f t="shared" si="14"/>
        <v>3 CORE X 95 SQ. MM. AL/ARM - WIRE (XLPE) - 11 KV</v>
      </c>
      <c r="E54" s="76">
        <f t="shared" si="15"/>
        <v>25.5</v>
      </c>
      <c r="F54" s="77">
        <f t="shared" si="16"/>
        <v>0.25</v>
      </c>
      <c r="G54" s="74" t="s">
        <v>310</v>
      </c>
      <c r="H54" s="78">
        <v>72500</v>
      </c>
      <c r="I54" s="77">
        <v>12</v>
      </c>
      <c r="J54" s="74">
        <f t="shared" si="17"/>
        <v>3</v>
      </c>
      <c r="K54" s="74">
        <f t="shared" si="18"/>
        <v>9</v>
      </c>
      <c r="L54" s="74">
        <f t="shared" si="19"/>
        <v>652500</v>
      </c>
      <c r="M54" s="80">
        <f t="shared" si="20"/>
        <v>25588.235294117647</v>
      </c>
      <c r="N54" s="84" t="str">
        <f t="shared" si="21"/>
        <v>SP0400110</v>
      </c>
      <c r="AB54" s="15">
        <f t="shared" si="22"/>
        <v>5921</v>
      </c>
      <c r="AF54" s="15">
        <v>180</v>
      </c>
      <c r="AH54" s="15">
        <f t="shared" si="23"/>
        <v>1660.25</v>
      </c>
      <c r="AQ54" s="15">
        <f t="shared" si="24"/>
        <v>19923</v>
      </c>
    </row>
    <row r="55" spans="1:43" ht="30" x14ac:dyDescent="0.25">
      <c r="A55" s="91" t="s">
        <v>318</v>
      </c>
      <c r="B55" s="92">
        <f>AVERAGE(B51:B54)</f>
        <v>72500</v>
      </c>
      <c r="D55" s="15" t="str">
        <f t="shared" si="14"/>
        <v>3 CORE X 70 SQ. MM. AL/ARM - WIRE (XLPE) - 11 KV</v>
      </c>
      <c r="E55" s="76">
        <f t="shared" si="15"/>
        <v>5.5</v>
      </c>
      <c r="F55" s="77">
        <f t="shared" si="16"/>
        <v>0.25</v>
      </c>
      <c r="G55" s="74" t="s">
        <v>310</v>
      </c>
      <c r="H55" s="78">
        <v>72500</v>
      </c>
      <c r="I55" s="77">
        <v>14</v>
      </c>
      <c r="J55" s="74">
        <f t="shared" si="17"/>
        <v>3.5</v>
      </c>
      <c r="K55" s="74">
        <f t="shared" si="18"/>
        <v>2</v>
      </c>
      <c r="L55" s="74">
        <f t="shared" si="19"/>
        <v>145000</v>
      </c>
      <c r="M55" s="80">
        <f t="shared" si="20"/>
        <v>26363.636363636364</v>
      </c>
      <c r="N55" s="84" t="str">
        <f t="shared" si="21"/>
        <v>SP0400125</v>
      </c>
      <c r="AB55" s="15">
        <f t="shared" si="22"/>
        <v>5219</v>
      </c>
      <c r="AF55" s="15">
        <v>180</v>
      </c>
      <c r="AH55" s="15">
        <f t="shared" si="23"/>
        <v>1484.75</v>
      </c>
      <c r="AQ55" s="15">
        <f t="shared" si="24"/>
        <v>20786.5</v>
      </c>
    </row>
    <row r="56" spans="1:43" ht="30" x14ac:dyDescent="0.25">
      <c r="D56" s="15" t="str">
        <f t="shared" si="14"/>
        <v>3 CORE X 50 SQ. MM. AL/ARD - WIRE (XLPE) - 11 KV</v>
      </c>
      <c r="E56" s="76">
        <f t="shared" si="15"/>
        <v>8</v>
      </c>
      <c r="F56" s="77">
        <f t="shared" si="16"/>
        <v>0.25</v>
      </c>
      <c r="G56" s="74" t="s">
        <v>310</v>
      </c>
      <c r="H56" s="78">
        <v>72500</v>
      </c>
      <c r="I56" s="77">
        <v>14</v>
      </c>
      <c r="J56" s="74">
        <f t="shared" si="17"/>
        <v>3.5</v>
      </c>
      <c r="K56" s="74">
        <f t="shared" si="18"/>
        <v>3</v>
      </c>
      <c r="L56" s="74">
        <f t="shared" si="19"/>
        <v>217500</v>
      </c>
      <c r="M56" s="80">
        <f t="shared" si="20"/>
        <v>27187.5</v>
      </c>
      <c r="N56" s="84" t="str">
        <f t="shared" si="21"/>
        <v>SP0400152</v>
      </c>
      <c r="AB56" s="15">
        <f t="shared" si="22"/>
        <v>4627</v>
      </c>
      <c r="AF56" s="15">
        <v>150</v>
      </c>
      <c r="AH56" s="15">
        <f t="shared" si="23"/>
        <v>1306.75</v>
      </c>
      <c r="AQ56" s="15">
        <f t="shared" si="24"/>
        <v>18294.5</v>
      </c>
    </row>
    <row r="57" spans="1:43" ht="30" x14ac:dyDescent="0.25">
      <c r="D57" s="15" t="str">
        <f t="shared" si="14"/>
        <v>3 CORE X 35 SQ. MM. AL/ARM - WIRE (XLPE) - 11 KV</v>
      </c>
      <c r="E57" s="76">
        <f t="shared" si="15"/>
        <v>7.5</v>
      </c>
      <c r="F57" s="77">
        <f t="shared" si="16"/>
        <v>0.25</v>
      </c>
      <c r="G57" s="74" t="s">
        <v>310</v>
      </c>
      <c r="H57" s="78">
        <v>72500</v>
      </c>
      <c r="I57" s="77">
        <v>14</v>
      </c>
      <c r="J57" s="74">
        <f t="shared" si="17"/>
        <v>3.5</v>
      </c>
      <c r="K57" s="74">
        <f t="shared" si="18"/>
        <v>3</v>
      </c>
      <c r="L57" s="74">
        <f t="shared" si="19"/>
        <v>217500</v>
      </c>
      <c r="M57" s="80">
        <f t="shared" si="20"/>
        <v>29000</v>
      </c>
      <c r="N57" s="84" t="str">
        <f t="shared" si="21"/>
        <v>SP0400152</v>
      </c>
      <c r="AB57" s="15">
        <f t="shared" si="22"/>
        <v>3753</v>
      </c>
      <c r="AF57" s="15">
        <v>150</v>
      </c>
      <c r="AH57" s="15">
        <f t="shared" si="23"/>
        <v>1088.25</v>
      </c>
      <c r="AQ57" s="15">
        <f t="shared" si="24"/>
        <v>15235.5</v>
      </c>
    </row>
    <row r="58" spans="1:43" ht="30" x14ac:dyDescent="0.25">
      <c r="D58" s="15" t="str">
        <f t="shared" si="14"/>
        <v>1 CORE X 1000 SQ. MM. AL/ARM (XLPE) - 11 KV</v>
      </c>
      <c r="E58" s="76">
        <f t="shared" si="15"/>
        <v>7.5</v>
      </c>
      <c r="F58" s="77">
        <f t="shared" si="16"/>
        <v>0.5</v>
      </c>
      <c r="G58" s="74" t="s">
        <v>310</v>
      </c>
      <c r="H58" s="78">
        <v>72500</v>
      </c>
      <c r="I58" s="77">
        <v>6</v>
      </c>
      <c r="J58" s="74">
        <f t="shared" si="17"/>
        <v>3</v>
      </c>
      <c r="K58" s="74">
        <f t="shared" si="18"/>
        <v>3</v>
      </c>
      <c r="L58" s="74">
        <f t="shared" si="19"/>
        <v>217500</v>
      </c>
      <c r="M58" s="80">
        <f t="shared" si="20"/>
        <v>29000</v>
      </c>
      <c r="N58" s="84" t="str">
        <f t="shared" si="21"/>
        <v>SP0400123</v>
      </c>
      <c r="AB58" s="15">
        <f t="shared" si="22"/>
        <v>5475</v>
      </c>
      <c r="AF58" s="15">
        <v>300</v>
      </c>
      <c r="AH58" s="15">
        <f t="shared" si="23"/>
        <v>3037.5</v>
      </c>
      <c r="AQ58" s="15">
        <f t="shared" si="24"/>
        <v>18225</v>
      </c>
    </row>
    <row r="59" spans="1:43" ht="30" x14ac:dyDescent="0.25">
      <c r="D59" s="15" t="str">
        <f t="shared" si="14"/>
        <v>1 CORE X 630 SQ. MM. AL/ARM (XLPE)  - 11 KV</v>
      </c>
      <c r="E59" s="76">
        <f t="shared" si="15"/>
        <v>13</v>
      </c>
      <c r="F59" s="77">
        <f t="shared" si="16"/>
        <v>0.5</v>
      </c>
      <c r="G59" s="74" t="s">
        <v>310</v>
      </c>
      <c r="H59" s="78">
        <v>72500</v>
      </c>
      <c r="I59" s="77">
        <v>10</v>
      </c>
      <c r="J59" s="74">
        <f t="shared" si="17"/>
        <v>5</v>
      </c>
      <c r="K59" s="74">
        <f t="shared" si="18"/>
        <v>3</v>
      </c>
      <c r="L59" s="74">
        <f t="shared" si="19"/>
        <v>217500</v>
      </c>
      <c r="M59" s="80">
        <f t="shared" si="20"/>
        <v>16730.76923076923</v>
      </c>
      <c r="N59" s="84" t="str">
        <f t="shared" si="21"/>
        <v>SP0400091</v>
      </c>
      <c r="AB59" s="15">
        <f t="shared" si="22"/>
        <v>3688</v>
      </c>
      <c r="AF59" s="15">
        <v>250</v>
      </c>
      <c r="AH59" s="15">
        <f t="shared" si="23"/>
        <v>2094</v>
      </c>
      <c r="AQ59" s="15">
        <f t="shared" si="24"/>
        <v>20940</v>
      </c>
    </row>
    <row r="60" spans="1:43" ht="30" x14ac:dyDescent="0.25">
      <c r="D60" s="15" t="str">
        <f t="shared" si="14"/>
        <v>1 CORE X 400 SQ. MM. AL/ARM (XLPE) - 11 KV</v>
      </c>
      <c r="E60" s="76">
        <f t="shared" si="15"/>
        <v>6.5</v>
      </c>
      <c r="F60" s="77">
        <f t="shared" si="16"/>
        <v>0.5</v>
      </c>
      <c r="G60" s="74" t="s">
        <v>310</v>
      </c>
      <c r="H60" s="78">
        <v>72500</v>
      </c>
      <c r="I60" s="77">
        <v>14</v>
      </c>
      <c r="J60" s="74">
        <f t="shared" si="17"/>
        <v>7</v>
      </c>
      <c r="K60" s="74">
        <f t="shared" si="18"/>
        <v>1</v>
      </c>
      <c r="L60" s="74">
        <f t="shared" si="19"/>
        <v>72500</v>
      </c>
      <c r="M60" s="80">
        <f t="shared" si="20"/>
        <v>11153.846153846154</v>
      </c>
      <c r="N60" s="84" t="str">
        <f t="shared" si="21"/>
        <v>SP0400125</v>
      </c>
      <c r="AB60" s="15">
        <f t="shared" si="22"/>
        <v>2702</v>
      </c>
      <c r="AF60" s="15">
        <v>180</v>
      </c>
      <c r="AH60" s="15">
        <f t="shared" si="23"/>
        <v>1531</v>
      </c>
      <c r="AQ60" s="15">
        <f t="shared" si="24"/>
        <v>21434</v>
      </c>
    </row>
    <row r="61" spans="1:43" ht="30" x14ac:dyDescent="0.25">
      <c r="D61" s="15" t="str">
        <f t="shared" si="14"/>
        <v>1 CORE X 300 SQ. MM. AL./ARM (XLPE)  - 11 KV</v>
      </c>
      <c r="E61" s="76">
        <f t="shared" si="15"/>
        <v>3</v>
      </c>
      <c r="F61" s="77">
        <f t="shared" si="16"/>
        <v>0.5</v>
      </c>
      <c r="G61" s="74" t="s">
        <v>310</v>
      </c>
      <c r="H61" s="78">
        <v>72500</v>
      </c>
      <c r="I61" s="77">
        <v>14</v>
      </c>
      <c r="J61" s="74">
        <f t="shared" si="17"/>
        <v>7</v>
      </c>
      <c r="K61" s="74">
        <f t="shared" si="18"/>
        <v>1</v>
      </c>
      <c r="L61" s="74">
        <f t="shared" si="19"/>
        <v>72500</v>
      </c>
      <c r="M61" s="80">
        <f t="shared" si="20"/>
        <v>24166.666666666668</v>
      </c>
      <c r="N61" s="84" t="str">
        <f t="shared" si="21"/>
        <v>SP0400152</v>
      </c>
      <c r="AB61" s="15">
        <f t="shared" si="22"/>
        <v>2260</v>
      </c>
      <c r="AF61" s="15">
        <v>150</v>
      </c>
      <c r="AH61" s="15">
        <f t="shared" si="23"/>
        <v>1280</v>
      </c>
      <c r="AQ61" s="15">
        <f t="shared" si="24"/>
        <v>17920</v>
      </c>
    </row>
    <row r="62" spans="1:43" ht="30" x14ac:dyDescent="0.25">
      <c r="D62" s="15" t="str">
        <f t="shared" si="14"/>
        <v>3 CORE X 400 SQ. MM AL/ARM - WIRE (XLPE) - 33 KV</v>
      </c>
      <c r="E62" s="76">
        <f t="shared" si="15"/>
        <v>321.5</v>
      </c>
      <c r="F62" s="77">
        <f t="shared" si="16"/>
        <v>0.25</v>
      </c>
      <c r="G62" s="74" t="s">
        <v>310</v>
      </c>
      <c r="H62" s="78">
        <v>72500</v>
      </c>
      <c r="I62" s="77">
        <v>4</v>
      </c>
      <c r="J62" s="74">
        <f t="shared" si="17"/>
        <v>1</v>
      </c>
      <c r="K62" s="74">
        <f t="shared" si="18"/>
        <v>322</v>
      </c>
      <c r="L62" s="74">
        <f t="shared" si="19"/>
        <v>23345000</v>
      </c>
      <c r="M62" s="80">
        <f t="shared" si="20"/>
        <v>72612.75272161742</v>
      </c>
      <c r="N62" s="84" t="str">
        <f t="shared" si="21"/>
        <v>SP0400137</v>
      </c>
      <c r="AB62" s="15">
        <f t="shared" si="22"/>
        <v>19715</v>
      </c>
      <c r="AF62" s="15">
        <v>550</v>
      </c>
      <c r="AH62" s="15">
        <f t="shared" si="23"/>
        <v>5478.75</v>
      </c>
      <c r="AQ62" s="15">
        <f t="shared" si="24"/>
        <v>21915</v>
      </c>
    </row>
    <row r="63" spans="1:43" ht="30" x14ac:dyDescent="0.25">
      <c r="D63" s="15" t="str">
        <f t="shared" si="14"/>
        <v>3 CORE X 300 SQ. MM. AL/ARM - WIRE (XLPE) - 33 KV</v>
      </c>
      <c r="E63" s="76">
        <f t="shared" si="15"/>
        <v>45</v>
      </c>
      <c r="F63" s="77">
        <f t="shared" si="16"/>
        <v>0.25</v>
      </c>
      <c r="G63" s="74" t="s">
        <v>310</v>
      </c>
      <c r="H63" s="78">
        <v>72500</v>
      </c>
      <c r="I63" s="77">
        <v>4</v>
      </c>
      <c r="J63" s="74">
        <f t="shared" si="17"/>
        <v>1</v>
      </c>
      <c r="K63" s="74">
        <f t="shared" si="18"/>
        <v>45</v>
      </c>
      <c r="L63" s="74">
        <f t="shared" si="19"/>
        <v>3262500</v>
      </c>
      <c r="M63" s="80">
        <f t="shared" si="20"/>
        <v>72500</v>
      </c>
      <c r="N63" s="84" t="str">
        <f t="shared" si="21"/>
        <v>SP0400105</v>
      </c>
      <c r="AB63" s="15">
        <f t="shared" si="22"/>
        <v>17508</v>
      </c>
      <c r="AF63" s="15">
        <v>510</v>
      </c>
      <c r="AH63" s="15">
        <f t="shared" si="23"/>
        <v>4887</v>
      </c>
      <c r="AQ63" s="15">
        <f t="shared" si="24"/>
        <v>19548</v>
      </c>
    </row>
    <row r="64" spans="1:43" ht="30" x14ac:dyDescent="0.25">
      <c r="D64" s="15" t="str">
        <f t="shared" si="14"/>
        <v>3 CORE X 185 SQ. MM AL/ARM - WIRE (XLPE) - 33 KV</v>
      </c>
      <c r="E64" s="76">
        <f t="shared" si="15"/>
        <v>28.5</v>
      </c>
      <c r="F64" s="77">
        <f t="shared" si="16"/>
        <v>0.25</v>
      </c>
      <c r="G64" s="74" t="s">
        <v>310</v>
      </c>
      <c r="H64" s="78">
        <v>72500</v>
      </c>
      <c r="I64" s="77">
        <v>5</v>
      </c>
      <c r="J64" s="74">
        <f t="shared" si="17"/>
        <v>1.25</v>
      </c>
      <c r="K64" s="74">
        <f t="shared" si="18"/>
        <v>23</v>
      </c>
      <c r="L64" s="74">
        <f t="shared" si="19"/>
        <v>1667500</v>
      </c>
      <c r="M64" s="80">
        <f t="shared" si="20"/>
        <v>58508.771929824565</v>
      </c>
      <c r="N64" s="84" t="str">
        <f t="shared" si="21"/>
        <v>SP0400108</v>
      </c>
      <c r="AB64" s="15">
        <f t="shared" si="22"/>
        <v>14621</v>
      </c>
      <c r="AF64" s="15">
        <v>400</v>
      </c>
      <c r="AH64" s="15">
        <f t="shared" si="23"/>
        <v>4055.25</v>
      </c>
      <c r="AQ64" s="15">
        <f t="shared" si="24"/>
        <v>20276.25</v>
      </c>
    </row>
    <row r="65" spans="1:43" ht="30" x14ac:dyDescent="0.25">
      <c r="D65" s="15" t="str">
        <f t="shared" si="14"/>
        <v>3 CORE X 95 SQ. MM. AL/ARM  WIRE (XLPE) - 33 KV</v>
      </c>
      <c r="E65" s="76">
        <f t="shared" si="15"/>
        <v>10.5</v>
      </c>
      <c r="F65" s="77">
        <f t="shared" si="16"/>
        <v>0.25</v>
      </c>
      <c r="G65" s="74" t="s">
        <v>310</v>
      </c>
      <c r="H65" s="78">
        <v>72500</v>
      </c>
      <c r="I65" s="77">
        <v>7</v>
      </c>
      <c r="J65" s="74">
        <f t="shared" si="17"/>
        <v>1.75</v>
      </c>
      <c r="K65" s="74">
        <f t="shared" si="18"/>
        <v>6</v>
      </c>
      <c r="L65" s="74">
        <f t="shared" si="19"/>
        <v>435000</v>
      </c>
      <c r="M65" s="80">
        <f t="shared" si="20"/>
        <v>41428.571428571428</v>
      </c>
      <c r="N65" s="84" t="str">
        <f t="shared" si="21"/>
        <v>SP0400136</v>
      </c>
      <c r="AB65" s="15">
        <f t="shared" si="22"/>
        <v>10754</v>
      </c>
      <c r="AF65" s="15">
        <v>400</v>
      </c>
      <c r="AH65" s="15">
        <f t="shared" si="23"/>
        <v>3088.5</v>
      </c>
      <c r="AQ65" s="15">
        <f t="shared" si="24"/>
        <v>21619.5</v>
      </c>
    </row>
    <row r="66" spans="1:43" ht="30" x14ac:dyDescent="0.25">
      <c r="D66" s="15" t="str">
        <f t="shared" si="14"/>
        <v>3 CORE X 70 SQ. MM. AL/ARM - WIRE (XLPE) - 33 KV</v>
      </c>
      <c r="E66" s="76">
        <f t="shared" si="15"/>
        <v>2</v>
      </c>
      <c r="F66" s="77">
        <f t="shared" si="16"/>
        <v>0.25</v>
      </c>
      <c r="G66" s="74" t="s">
        <v>310</v>
      </c>
      <c r="H66" s="78">
        <v>72500</v>
      </c>
      <c r="I66" s="77">
        <v>8</v>
      </c>
      <c r="J66" s="74">
        <f t="shared" si="17"/>
        <v>2</v>
      </c>
      <c r="K66" s="74">
        <f t="shared" si="18"/>
        <v>1</v>
      </c>
      <c r="L66" s="74">
        <f t="shared" si="19"/>
        <v>72500</v>
      </c>
      <c r="M66" s="80">
        <f t="shared" si="20"/>
        <v>36250</v>
      </c>
      <c r="N66" s="84" t="str">
        <f t="shared" si="21"/>
        <v>SP0400136</v>
      </c>
      <c r="AB66" s="15">
        <f t="shared" si="22"/>
        <v>9960</v>
      </c>
      <c r="AF66" s="15">
        <v>400</v>
      </c>
      <c r="AH66" s="15">
        <f t="shared" si="23"/>
        <v>2890</v>
      </c>
      <c r="AQ66" s="15">
        <f t="shared" si="24"/>
        <v>23120</v>
      </c>
    </row>
    <row r="67" spans="1:43" ht="30" x14ac:dyDescent="0.25">
      <c r="D67" s="15" t="str">
        <f t="shared" si="14"/>
        <v>3 CORE X 50 SQ. MM. AL/ARD - WIRE (XLPE) - 33 KV (E)</v>
      </c>
      <c r="E67" s="76">
        <f t="shared" si="15"/>
        <v>2.5</v>
      </c>
      <c r="F67" s="77">
        <f t="shared" si="16"/>
        <v>0.25</v>
      </c>
      <c r="G67" s="74" t="s">
        <v>310</v>
      </c>
      <c r="H67" s="78">
        <v>72500</v>
      </c>
      <c r="I67" s="77">
        <v>9</v>
      </c>
      <c r="J67" s="74">
        <f t="shared" si="17"/>
        <v>2.25</v>
      </c>
      <c r="K67" s="74">
        <f t="shared" si="18"/>
        <v>2</v>
      </c>
      <c r="L67" s="74">
        <f t="shared" si="19"/>
        <v>145000</v>
      </c>
      <c r="M67" s="80">
        <f t="shared" si="20"/>
        <v>58000</v>
      </c>
      <c r="N67" s="84" t="str">
        <f t="shared" si="21"/>
        <v>SP0400112</v>
      </c>
      <c r="AB67" s="15">
        <f t="shared" si="22"/>
        <v>9139</v>
      </c>
      <c r="AF67" s="15">
        <v>280</v>
      </c>
      <c r="AH67" s="15">
        <f t="shared" si="23"/>
        <v>2564.75</v>
      </c>
      <c r="AQ67" s="15">
        <f t="shared" si="24"/>
        <v>23082.75</v>
      </c>
    </row>
    <row r="68" spans="1:43" ht="30" x14ac:dyDescent="0.25">
      <c r="D68" s="15" t="str">
        <f t="shared" si="14"/>
        <v>3 CORE X 35 SQ. MM. AL/ARM - WIRE (XLPE) - 33 KV (E)</v>
      </c>
      <c r="E68" s="76">
        <f t="shared" si="15"/>
        <v>2.5</v>
      </c>
      <c r="F68" s="77">
        <f t="shared" si="16"/>
        <v>0.25</v>
      </c>
      <c r="G68" s="74" t="s">
        <v>310</v>
      </c>
      <c r="H68" s="78">
        <v>72500</v>
      </c>
      <c r="I68" s="77">
        <v>9</v>
      </c>
      <c r="J68" s="74">
        <f t="shared" si="17"/>
        <v>2.25</v>
      </c>
      <c r="K68" s="74">
        <f t="shared" si="18"/>
        <v>2</v>
      </c>
      <c r="L68" s="74">
        <f t="shared" si="19"/>
        <v>145000</v>
      </c>
      <c r="M68" s="80">
        <f t="shared" si="20"/>
        <v>58000</v>
      </c>
      <c r="N68" s="84" t="str">
        <f t="shared" si="21"/>
        <v>SP0400112</v>
      </c>
      <c r="AB68" s="15">
        <f t="shared" si="22"/>
        <v>9139</v>
      </c>
      <c r="AF68" s="15">
        <v>280</v>
      </c>
      <c r="AH68" s="15">
        <f t="shared" si="23"/>
        <v>2564.75</v>
      </c>
      <c r="AQ68" s="15">
        <f t="shared" si="24"/>
        <v>23082.75</v>
      </c>
    </row>
    <row r="69" spans="1:43" ht="30" x14ac:dyDescent="0.25">
      <c r="D69" s="15" t="str">
        <f t="shared" si="14"/>
        <v>1 CORE X 630 SQ. MM. AL/ARM (XLPE)  - 33 KV</v>
      </c>
      <c r="E69" s="76">
        <f t="shared" si="15"/>
        <v>105</v>
      </c>
      <c r="F69" s="77">
        <f t="shared" si="16"/>
        <v>0.5</v>
      </c>
      <c r="G69" s="74" t="s">
        <v>310</v>
      </c>
      <c r="H69" s="78">
        <v>72500</v>
      </c>
      <c r="I69" s="77">
        <v>8</v>
      </c>
      <c r="J69" s="74">
        <f t="shared" si="17"/>
        <v>4</v>
      </c>
      <c r="K69" s="74">
        <f t="shared" si="18"/>
        <v>27</v>
      </c>
      <c r="L69" s="74">
        <f t="shared" si="19"/>
        <v>1957500</v>
      </c>
      <c r="M69" s="80">
        <f t="shared" si="20"/>
        <v>18642.857142857141</v>
      </c>
      <c r="N69" s="84" t="str">
        <f t="shared" si="21"/>
        <v>SP0400123</v>
      </c>
      <c r="AB69" s="15">
        <f t="shared" si="22"/>
        <v>5072</v>
      </c>
      <c r="AF69" s="15">
        <v>300</v>
      </c>
      <c r="AH69" s="15">
        <f t="shared" si="23"/>
        <v>2836</v>
      </c>
      <c r="AQ69" s="15">
        <f t="shared" si="24"/>
        <v>22688</v>
      </c>
    </row>
    <row r="70" spans="1:43" ht="30" x14ac:dyDescent="0.25">
      <c r="D70" s="15" t="str">
        <f t="shared" si="14"/>
        <v>1 CORE X 400 SQ. MM. AL/ARM (XLPE) - 33 KV</v>
      </c>
      <c r="E70" s="76">
        <f t="shared" si="15"/>
        <v>16</v>
      </c>
      <c r="F70" s="77">
        <f t="shared" si="16"/>
        <v>0.5</v>
      </c>
      <c r="G70" s="74" t="s">
        <v>310</v>
      </c>
      <c r="H70" s="78">
        <v>72500</v>
      </c>
      <c r="I70" s="77">
        <v>10</v>
      </c>
      <c r="J70" s="74">
        <f t="shared" si="17"/>
        <v>5</v>
      </c>
      <c r="K70" s="74">
        <f t="shared" si="18"/>
        <v>4</v>
      </c>
      <c r="L70" s="74">
        <f t="shared" si="19"/>
        <v>290000</v>
      </c>
      <c r="M70" s="80">
        <f t="shared" si="20"/>
        <v>18125</v>
      </c>
      <c r="N70" s="84" t="str">
        <f t="shared" si="21"/>
        <v>SP0400112</v>
      </c>
      <c r="AB70" s="15">
        <f t="shared" si="22"/>
        <v>3939</v>
      </c>
      <c r="AF70" s="15">
        <v>280</v>
      </c>
      <c r="AH70" s="15">
        <f t="shared" si="23"/>
        <v>2249.5</v>
      </c>
      <c r="AQ70" s="15">
        <f t="shared" si="24"/>
        <v>22495</v>
      </c>
    </row>
    <row r="71" spans="1:43" ht="30" x14ac:dyDescent="0.25">
      <c r="D71" s="15" t="str">
        <f t="shared" si="14"/>
        <v>1 CORE X 300 SQ. MM. AL/ARM (XLPE)  - 33 KV</v>
      </c>
      <c r="E71" s="76">
        <f t="shared" si="15"/>
        <v>3</v>
      </c>
      <c r="F71" s="77">
        <f t="shared" si="16"/>
        <v>0.5</v>
      </c>
      <c r="G71" s="74" t="s">
        <v>310</v>
      </c>
      <c r="H71" s="78">
        <v>72500</v>
      </c>
      <c r="I71" s="77">
        <v>11</v>
      </c>
      <c r="J71" s="74">
        <f t="shared" si="17"/>
        <v>5.5</v>
      </c>
      <c r="K71" s="74">
        <f t="shared" si="18"/>
        <v>1</v>
      </c>
      <c r="L71" s="74">
        <f t="shared" si="19"/>
        <v>72500</v>
      </c>
      <c r="M71" s="80">
        <f t="shared" si="20"/>
        <v>24166.666666666668</v>
      </c>
      <c r="N71" s="84" t="str">
        <f t="shared" si="21"/>
        <v>SP0400126</v>
      </c>
      <c r="AB71" s="15">
        <f t="shared" si="22"/>
        <v>3412</v>
      </c>
      <c r="AF71" s="15">
        <v>260</v>
      </c>
      <c r="AH71" s="15">
        <f t="shared" si="23"/>
        <v>1966</v>
      </c>
      <c r="AQ71" s="15">
        <f t="shared" si="24"/>
        <v>21626</v>
      </c>
    </row>
    <row r="72" spans="1:43" x14ac:dyDescent="0.25">
      <c r="M72" s="81"/>
    </row>
    <row r="73" spans="1:43" x14ac:dyDescent="0.25">
      <c r="M73" s="81"/>
    </row>
    <row r="76" spans="1:43" ht="51" x14ac:dyDescent="0.25">
      <c r="A76" s="64" t="s">
        <v>0</v>
      </c>
      <c r="B76" s="65" t="s">
        <v>85</v>
      </c>
      <c r="C76" s="64" t="s">
        <v>1</v>
      </c>
      <c r="D76" s="64" t="s">
        <v>2</v>
      </c>
      <c r="E76" s="3" t="s">
        <v>391</v>
      </c>
      <c r="F76" s="9" t="s">
        <v>392</v>
      </c>
      <c r="G76" s="9" t="s">
        <v>393</v>
      </c>
      <c r="H76" s="4" t="s">
        <v>34</v>
      </c>
      <c r="I76" s="9" t="s">
        <v>35</v>
      </c>
      <c r="J76" s="9" t="s">
        <v>394</v>
      </c>
      <c r="K76" s="9" t="s">
        <v>37</v>
      </c>
      <c r="L76" s="9" t="s">
        <v>38</v>
      </c>
      <c r="M76" s="9" t="s">
        <v>39</v>
      </c>
    </row>
    <row r="77" spans="1:43" x14ac:dyDescent="0.25">
      <c r="A77" s="16"/>
      <c r="B77" s="50"/>
      <c r="C77" s="16"/>
      <c r="D77" s="16"/>
      <c r="E77" s="3"/>
      <c r="F77" s="61"/>
      <c r="G77" s="53"/>
      <c r="H77" s="3"/>
      <c r="I77" s="3"/>
      <c r="J77" s="3"/>
      <c r="K77" s="62"/>
      <c r="L77" s="3"/>
      <c r="M77" s="3"/>
    </row>
    <row r="78" spans="1:43" ht="30" x14ac:dyDescent="0.25">
      <c r="A78" s="6" t="str">
        <f>A21</f>
        <v>ENQ-18390-25-26</v>
      </c>
      <c r="B78" s="71">
        <f>B21</f>
        <v>46357</v>
      </c>
      <c r="C78" s="6" t="str">
        <f>C21</f>
        <v>FA1300083</v>
      </c>
      <c r="D78" s="6" t="str">
        <f>D21</f>
        <v>3 CORE X 400 SQ. MM. AL/ARM - WIRE (XLPE) - 11 KV</v>
      </c>
      <c r="E78" s="23">
        <f>ROUNDUP(E21/1000,2)</f>
        <v>2800.5800000000004</v>
      </c>
      <c r="F78" s="86">
        <f>ROUNDUP(F21/1000,2)</f>
        <v>58.28</v>
      </c>
      <c r="G78" s="173">
        <f t="shared" ref="G78:G100" si="25">E78+F78</f>
        <v>2858.8600000000006</v>
      </c>
      <c r="H78" s="29">
        <f>H21</f>
        <v>0.18</v>
      </c>
      <c r="I78" s="28">
        <f t="shared" ref="I78:I100" si="26">G78*H78</f>
        <v>514.59480000000008</v>
      </c>
      <c r="J78" s="28">
        <f t="shared" ref="J78:J100" si="27">G78+I78</f>
        <v>3373.4548000000004</v>
      </c>
      <c r="K78" s="63">
        <f>K21*1000</f>
        <v>209000</v>
      </c>
      <c r="L78" s="60" t="s">
        <v>395</v>
      </c>
      <c r="M78" s="23">
        <f t="shared" ref="M78:M100" si="28">J78*K78</f>
        <v>705052053.20000005</v>
      </c>
    </row>
    <row r="79" spans="1:43" ht="30" x14ac:dyDescent="0.25">
      <c r="A79" s="6" t="str">
        <f t="shared" ref="A79:D100" si="29">A22</f>
        <v>ENQ-18390-25-26</v>
      </c>
      <c r="B79" s="71">
        <f t="shared" si="29"/>
        <v>46357</v>
      </c>
      <c r="C79" s="6" t="str">
        <f t="shared" si="29"/>
        <v>FA1300091</v>
      </c>
      <c r="D79" s="6" t="str">
        <f t="shared" si="29"/>
        <v>3 CORE X 300 SQ. MM. AL/ARM - WIRE (XLPE) - 11 KV</v>
      </c>
      <c r="E79" s="23">
        <f t="shared" ref="E79:F100" si="30">ROUNDUP(E22/1000,2)</f>
        <v>2238.6200000000003</v>
      </c>
      <c r="F79" s="86">
        <f t="shared" si="30"/>
        <v>58.1</v>
      </c>
      <c r="G79" s="173">
        <f t="shared" si="25"/>
        <v>2296.7200000000003</v>
      </c>
      <c r="H79" s="29">
        <f t="shared" ref="H79:H100" si="31">H22</f>
        <v>0.18</v>
      </c>
      <c r="I79" s="28">
        <f t="shared" si="26"/>
        <v>413.40960000000001</v>
      </c>
      <c r="J79" s="28">
        <f t="shared" si="27"/>
        <v>2710.1296000000002</v>
      </c>
      <c r="K79" s="63">
        <f t="shared" ref="K79:K100" si="32">K22*1000</f>
        <v>151000</v>
      </c>
      <c r="L79" s="60" t="s">
        <v>395</v>
      </c>
      <c r="M79" s="23">
        <f t="shared" si="28"/>
        <v>409229569.60000002</v>
      </c>
    </row>
    <row r="80" spans="1:43" ht="30" x14ac:dyDescent="0.25">
      <c r="A80" s="6" t="str">
        <f t="shared" si="29"/>
        <v>ENQ-18390-25-26</v>
      </c>
      <c r="B80" s="71">
        <f t="shared" si="29"/>
        <v>46357</v>
      </c>
      <c r="C80" s="6" t="str">
        <f t="shared" si="29"/>
        <v>FA1300090</v>
      </c>
      <c r="D80" s="6" t="str">
        <f t="shared" si="29"/>
        <v>3 CORE X 185 SQ. MM AL/ARM - WIRE (XLPE) - 11 KV</v>
      </c>
      <c r="E80" s="23">
        <f t="shared" si="30"/>
        <v>1652.7</v>
      </c>
      <c r="F80" s="86">
        <f t="shared" si="30"/>
        <v>34.119999999999997</v>
      </c>
      <c r="G80" s="173">
        <f t="shared" si="25"/>
        <v>1686.82</v>
      </c>
      <c r="H80" s="29">
        <f t="shared" si="31"/>
        <v>0.18</v>
      </c>
      <c r="I80" s="28">
        <f t="shared" si="26"/>
        <v>303.62759999999997</v>
      </c>
      <c r="J80" s="28">
        <f t="shared" si="27"/>
        <v>1990.4476</v>
      </c>
      <c r="K80" s="63">
        <f t="shared" si="32"/>
        <v>17000</v>
      </c>
      <c r="L80" s="60" t="s">
        <v>395</v>
      </c>
      <c r="M80" s="23">
        <f t="shared" si="28"/>
        <v>33837609.200000003</v>
      </c>
    </row>
    <row r="81" spans="1:13" ht="30" x14ac:dyDescent="0.25">
      <c r="A81" s="6" t="str">
        <f t="shared" si="29"/>
        <v>ENQ-18390-25-26</v>
      </c>
      <c r="B81" s="71">
        <f t="shared" si="29"/>
        <v>46357</v>
      </c>
      <c r="C81" s="6" t="str">
        <f t="shared" si="29"/>
        <v>FA1300176</v>
      </c>
      <c r="D81" s="6" t="str">
        <f t="shared" si="29"/>
        <v>3 CORE X 150 SQ. MM. AL/ARM - WIRE (XLPE) - 11 KV</v>
      </c>
      <c r="E81" s="23">
        <f t="shared" si="30"/>
        <v>1369.17</v>
      </c>
      <c r="F81" s="86">
        <f t="shared" si="30"/>
        <v>36.25</v>
      </c>
      <c r="G81" s="173">
        <f t="shared" si="25"/>
        <v>1405.42</v>
      </c>
      <c r="H81" s="29">
        <f t="shared" si="31"/>
        <v>0.18</v>
      </c>
      <c r="I81" s="28">
        <f t="shared" si="26"/>
        <v>252.97560000000001</v>
      </c>
      <c r="J81" s="28">
        <f t="shared" si="27"/>
        <v>1658.3956000000001</v>
      </c>
      <c r="K81" s="63">
        <f t="shared" si="32"/>
        <v>4000</v>
      </c>
      <c r="L81" s="60" t="s">
        <v>395</v>
      </c>
      <c r="M81" s="23">
        <f t="shared" si="28"/>
        <v>6633582.4000000004</v>
      </c>
    </row>
    <row r="82" spans="1:13" ht="30" x14ac:dyDescent="0.25">
      <c r="A82" s="6" t="str">
        <f t="shared" si="29"/>
        <v>ENQ-18390-25-26</v>
      </c>
      <c r="B82" s="71">
        <f t="shared" si="29"/>
        <v>46357</v>
      </c>
      <c r="C82" s="6" t="str">
        <f t="shared" si="29"/>
        <v>FA1300197</v>
      </c>
      <c r="D82" s="6" t="str">
        <f t="shared" si="29"/>
        <v>3 CORE X 120 SQ. MM. AL/ARM - WIRE (XLPE) - 11 KV</v>
      </c>
      <c r="E82" s="23">
        <f t="shared" si="30"/>
        <v>1221.57</v>
      </c>
      <c r="F82" s="86">
        <f t="shared" si="30"/>
        <v>36.25</v>
      </c>
      <c r="G82" s="173">
        <f t="shared" si="25"/>
        <v>1257.82</v>
      </c>
      <c r="H82" s="29">
        <f t="shared" si="31"/>
        <v>0.18</v>
      </c>
      <c r="I82" s="28">
        <f t="shared" si="26"/>
        <v>226.40759999999997</v>
      </c>
      <c r="J82" s="28">
        <f t="shared" si="27"/>
        <v>1484.2275999999999</v>
      </c>
      <c r="K82" s="63">
        <f t="shared" si="32"/>
        <v>8000</v>
      </c>
      <c r="L82" s="60" t="s">
        <v>395</v>
      </c>
      <c r="M82" s="23">
        <f t="shared" si="28"/>
        <v>11873820.799999999</v>
      </c>
    </row>
    <row r="83" spans="1:13" ht="30" x14ac:dyDescent="0.25">
      <c r="A83" s="6" t="str">
        <f t="shared" si="29"/>
        <v>ENQ-18390-25-26</v>
      </c>
      <c r="B83" s="71">
        <f t="shared" si="29"/>
        <v>46357</v>
      </c>
      <c r="C83" s="6" t="str">
        <f t="shared" si="29"/>
        <v>FA1300098</v>
      </c>
      <c r="D83" s="6" t="str">
        <f t="shared" si="29"/>
        <v>3 CORE X 95 SQ. MM. AL/ARM - WIRE (XLPE) - 11 KV</v>
      </c>
      <c r="E83" s="23">
        <f t="shared" si="30"/>
        <v>1179.3799999999999</v>
      </c>
      <c r="F83" s="86">
        <f t="shared" si="30"/>
        <v>25.59</v>
      </c>
      <c r="G83" s="173">
        <f t="shared" si="25"/>
        <v>1204.9699999999998</v>
      </c>
      <c r="H83" s="29">
        <f t="shared" si="31"/>
        <v>0.18</v>
      </c>
      <c r="I83" s="28">
        <f t="shared" si="26"/>
        <v>216.89459999999997</v>
      </c>
      <c r="J83" s="28">
        <f t="shared" si="27"/>
        <v>1421.8645999999999</v>
      </c>
      <c r="K83" s="63">
        <f t="shared" si="32"/>
        <v>25500</v>
      </c>
      <c r="L83" s="60" t="s">
        <v>395</v>
      </c>
      <c r="M83" s="23">
        <f t="shared" si="28"/>
        <v>36257547.299999997</v>
      </c>
    </row>
    <row r="84" spans="1:13" ht="30" x14ac:dyDescent="0.25">
      <c r="A84" s="6" t="str">
        <f t="shared" si="29"/>
        <v>ENQ-18390-25-26</v>
      </c>
      <c r="B84" s="71">
        <f t="shared" si="29"/>
        <v>46357</v>
      </c>
      <c r="C84" s="6" t="str">
        <f t="shared" si="29"/>
        <v>FA1300097</v>
      </c>
      <c r="D84" s="6" t="str">
        <f t="shared" si="29"/>
        <v>3 CORE X 70 SQ. MM. AL/ARM - WIRE (XLPE) - 11 KV</v>
      </c>
      <c r="E84" s="23">
        <f t="shared" si="30"/>
        <v>1034.56</v>
      </c>
      <c r="F84" s="86">
        <f t="shared" si="30"/>
        <v>26.37</v>
      </c>
      <c r="G84" s="173">
        <f t="shared" si="25"/>
        <v>1060.9299999999998</v>
      </c>
      <c r="H84" s="29">
        <f t="shared" si="31"/>
        <v>0.18</v>
      </c>
      <c r="I84" s="28">
        <f t="shared" si="26"/>
        <v>190.96739999999997</v>
      </c>
      <c r="J84" s="28">
        <f t="shared" si="27"/>
        <v>1251.8973999999998</v>
      </c>
      <c r="K84" s="63">
        <f t="shared" si="32"/>
        <v>5500</v>
      </c>
      <c r="L84" s="60" t="s">
        <v>395</v>
      </c>
      <c r="M84" s="23">
        <f t="shared" si="28"/>
        <v>6885435.6999999993</v>
      </c>
    </row>
    <row r="85" spans="1:13" ht="30" x14ac:dyDescent="0.25">
      <c r="A85" s="6" t="str">
        <f t="shared" si="29"/>
        <v>ENQ-18390-25-26</v>
      </c>
      <c r="B85" s="71">
        <f t="shared" si="29"/>
        <v>46357</v>
      </c>
      <c r="C85" s="6" t="str">
        <f t="shared" si="29"/>
        <v>FA1300313</v>
      </c>
      <c r="D85" s="6" t="str">
        <f t="shared" si="29"/>
        <v>3 CORE X 50 SQ. MM. AL/ARD - WIRE (XLPE) - 11 KV</v>
      </c>
      <c r="E85" s="23">
        <f t="shared" si="30"/>
        <v>1009.47</v>
      </c>
      <c r="F85" s="86">
        <f t="shared" si="30"/>
        <v>27.19</v>
      </c>
      <c r="G85" s="173">
        <f t="shared" si="25"/>
        <v>1036.6600000000001</v>
      </c>
      <c r="H85" s="29">
        <f t="shared" si="31"/>
        <v>0.18</v>
      </c>
      <c r="I85" s="28">
        <f t="shared" si="26"/>
        <v>186.59880000000001</v>
      </c>
      <c r="J85" s="28">
        <f t="shared" si="27"/>
        <v>1223.2588000000001</v>
      </c>
      <c r="K85" s="63">
        <f t="shared" si="32"/>
        <v>8000</v>
      </c>
      <c r="L85" s="60" t="s">
        <v>395</v>
      </c>
      <c r="M85" s="23">
        <f t="shared" si="28"/>
        <v>9786070.4000000004</v>
      </c>
    </row>
    <row r="86" spans="1:13" ht="30" x14ac:dyDescent="0.25">
      <c r="A86" s="6" t="str">
        <f t="shared" si="29"/>
        <v>ENQ-18390-25-26</v>
      </c>
      <c r="B86" s="71">
        <f t="shared" si="29"/>
        <v>46357</v>
      </c>
      <c r="C86" s="6" t="str">
        <f t="shared" si="29"/>
        <v>FA1300114</v>
      </c>
      <c r="D86" s="6" t="str">
        <f t="shared" si="29"/>
        <v>3 CORE X 35 SQ. MM. AL/ARM - WIRE (XLPE) - 11 KV</v>
      </c>
      <c r="E86" s="23">
        <f t="shared" si="30"/>
        <v>847.16</v>
      </c>
      <c r="F86" s="86">
        <f t="shared" si="30"/>
        <v>29</v>
      </c>
      <c r="G86" s="173">
        <f t="shared" si="25"/>
        <v>876.16</v>
      </c>
      <c r="H86" s="29">
        <f t="shared" si="31"/>
        <v>0.18</v>
      </c>
      <c r="I86" s="28">
        <f t="shared" si="26"/>
        <v>157.7088</v>
      </c>
      <c r="J86" s="28">
        <f t="shared" si="27"/>
        <v>1033.8688</v>
      </c>
      <c r="K86" s="63">
        <f t="shared" si="32"/>
        <v>7500</v>
      </c>
      <c r="L86" s="60" t="s">
        <v>395</v>
      </c>
      <c r="M86" s="23">
        <f t="shared" si="28"/>
        <v>7754016</v>
      </c>
    </row>
    <row r="87" spans="1:13" ht="30" x14ac:dyDescent="0.25">
      <c r="A87" s="6" t="str">
        <f t="shared" si="29"/>
        <v>ENQ-18390-25-26</v>
      </c>
      <c r="B87" s="71">
        <f t="shared" si="29"/>
        <v>46357</v>
      </c>
      <c r="C87" s="6" t="str">
        <f t="shared" si="29"/>
        <v>FA1300066</v>
      </c>
      <c r="D87" s="6" t="str">
        <f t="shared" si="29"/>
        <v>1 CORE X 1000 SQ. MM. AL/ARM (XLPE) - 11 KV</v>
      </c>
      <c r="E87" s="23">
        <f t="shared" si="30"/>
        <v>1757.61</v>
      </c>
      <c r="F87" s="86">
        <f t="shared" si="30"/>
        <v>29</v>
      </c>
      <c r="G87" s="173">
        <f t="shared" si="25"/>
        <v>1786.61</v>
      </c>
      <c r="H87" s="29">
        <f t="shared" si="31"/>
        <v>0.18</v>
      </c>
      <c r="I87" s="28">
        <f t="shared" si="26"/>
        <v>321.58979999999997</v>
      </c>
      <c r="J87" s="28">
        <f t="shared" si="27"/>
        <v>2108.1997999999999</v>
      </c>
      <c r="K87" s="63">
        <f t="shared" si="32"/>
        <v>7500</v>
      </c>
      <c r="L87" s="60" t="s">
        <v>395</v>
      </c>
      <c r="M87" s="23">
        <f t="shared" si="28"/>
        <v>15811498.499999998</v>
      </c>
    </row>
    <row r="88" spans="1:13" ht="30" x14ac:dyDescent="0.25">
      <c r="A88" s="6" t="str">
        <f t="shared" si="29"/>
        <v>ENQ-18390-25-26</v>
      </c>
      <c r="B88" s="71">
        <f t="shared" si="29"/>
        <v>46357</v>
      </c>
      <c r="C88" s="6" t="str">
        <f t="shared" si="29"/>
        <v>FA1300016</v>
      </c>
      <c r="D88" s="6" t="str">
        <f t="shared" si="29"/>
        <v>1 CORE X 630 SQ. MM. AL/ARM (XLPE)  - 11 KV</v>
      </c>
      <c r="E88" s="23">
        <f t="shared" si="30"/>
        <v>1178.3</v>
      </c>
      <c r="F88" s="86">
        <f t="shared" si="30"/>
        <v>16.740000000000002</v>
      </c>
      <c r="G88" s="173">
        <f t="shared" si="25"/>
        <v>1195.04</v>
      </c>
      <c r="H88" s="29">
        <f t="shared" si="31"/>
        <v>0.18</v>
      </c>
      <c r="I88" s="28">
        <f t="shared" si="26"/>
        <v>215.10719999999998</v>
      </c>
      <c r="J88" s="28">
        <f t="shared" si="27"/>
        <v>1410.1471999999999</v>
      </c>
      <c r="K88" s="63">
        <f t="shared" si="32"/>
        <v>13000</v>
      </c>
      <c r="L88" s="60" t="s">
        <v>395</v>
      </c>
      <c r="M88" s="23">
        <f t="shared" si="28"/>
        <v>18331913.599999998</v>
      </c>
    </row>
    <row r="89" spans="1:13" ht="30" x14ac:dyDescent="0.25">
      <c r="A89" s="6" t="str">
        <f t="shared" si="29"/>
        <v>ENQ-18390-25-26</v>
      </c>
      <c r="B89" s="71">
        <f t="shared" si="29"/>
        <v>46357</v>
      </c>
      <c r="C89" s="6" t="str">
        <f t="shared" si="29"/>
        <v>FA1300047</v>
      </c>
      <c r="D89" s="6" t="str">
        <f t="shared" si="29"/>
        <v>1 CORE X 400 SQ. MM. AL/ARM (XLPE) - 11 KV</v>
      </c>
      <c r="E89" s="23">
        <f t="shared" si="30"/>
        <v>854.71</v>
      </c>
      <c r="F89" s="86">
        <f t="shared" si="30"/>
        <v>11.16</v>
      </c>
      <c r="G89" s="173">
        <f t="shared" si="25"/>
        <v>865.87</v>
      </c>
      <c r="H89" s="29">
        <f t="shared" si="31"/>
        <v>0.18</v>
      </c>
      <c r="I89" s="28">
        <f t="shared" si="26"/>
        <v>155.85659999999999</v>
      </c>
      <c r="J89" s="28">
        <f t="shared" si="27"/>
        <v>1021.7266</v>
      </c>
      <c r="K89" s="63">
        <f t="shared" si="32"/>
        <v>6500</v>
      </c>
      <c r="L89" s="60" t="s">
        <v>395</v>
      </c>
      <c r="M89" s="23">
        <f t="shared" si="28"/>
        <v>6641222.8999999994</v>
      </c>
    </row>
    <row r="90" spans="1:13" ht="30" x14ac:dyDescent="0.25">
      <c r="A90" s="6" t="str">
        <f t="shared" si="29"/>
        <v>ENQ-18390-25-26</v>
      </c>
      <c r="B90" s="71">
        <f t="shared" si="29"/>
        <v>46357</v>
      </c>
      <c r="C90" s="6" t="str">
        <f t="shared" si="29"/>
        <v>FA1300009</v>
      </c>
      <c r="D90" s="6" t="str">
        <f t="shared" si="29"/>
        <v>1 CORE X 300 SQ. MM. AL./ARM (XLPE)  - 11 KV</v>
      </c>
      <c r="E90" s="23">
        <f t="shared" si="30"/>
        <v>709.37</v>
      </c>
      <c r="F90" s="86">
        <f t="shared" si="30"/>
        <v>24.17</v>
      </c>
      <c r="G90" s="173">
        <f t="shared" si="25"/>
        <v>733.54</v>
      </c>
      <c r="H90" s="29">
        <f t="shared" si="31"/>
        <v>0.18</v>
      </c>
      <c r="I90" s="28">
        <f t="shared" si="26"/>
        <v>132.03719999999998</v>
      </c>
      <c r="J90" s="28">
        <f t="shared" si="27"/>
        <v>865.57719999999995</v>
      </c>
      <c r="K90" s="63">
        <f t="shared" si="32"/>
        <v>3000</v>
      </c>
      <c r="L90" s="60" t="s">
        <v>395</v>
      </c>
      <c r="M90" s="23">
        <f t="shared" si="28"/>
        <v>2596731.5999999996</v>
      </c>
    </row>
    <row r="91" spans="1:13" ht="30" x14ac:dyDescent="0.25">
      <c r="A91" s="6" t="str">
        <f t="shared" si="29"/>
        <v>ENQ-18390-25-26</v>
      </c>
      <c r="B91" s="71">
        <f t="shared" si="29"/>
        <v>46357</v>
      </c>
      <c r="C91" s="6" t="str">
        <f t="shared" si="29"/>
        <v>FA1300080</v>
      </c>
      <c r="D91" s="6" t="str">
        <f t="shared" si="29"/>
        <v>3 CORE X 400 SQ. MM AL/ARM - WIRE (XLPE) - 33 KV</v>
      </c>
      <c r="E91" s="23">
        <f t="shared" si="30"/>
        <v>3548.3500000000004</v>
      </c>
      <c r="F91" s="86">
        <f t="shared" si="30"/>
        <v>72.62</v>
      </c>
      <c r="G91" s="173">
        <f t="shared" si="25"/>
        <v>3620.9700000000003</v>
      </c>
      <c r="H91" s="29">
        <f t="shared" si="31"/>
        <v>0.18</v>
      </c>
      <c r="I91" s="28">
        <f t="shared" si="26"/>
        <v>651.77460000000008</v>
      </c>
      <c r="J91" s="28">
        <f t="shared" si="27"/>
        <v>4272.7446</v>
      </c>
      <c r="K91" s="63">
        <f t="shared" si="32"/>
        <v>321500</v>
      </c>
      <c r="L91" s="60" t="s">
        <v>395</v>
      </c>
      <c r="M91" s="23">
        <f t="shared" si="28"/>
        <v>1373687388.9000001</v>
      </c>
    </row>
    <row r="92" spans="1:13" ht="30" x14ac:dyDescent="0.25">
      <c r="A92" s="6" t="str">
        <f t="shared" si="29"/>
        <v>ENQ-18390-25-26</v>
      </c>
      <c r="B92" s="71">
        <f t="shared" si="29"/>
        <v>46357</v>
      </c>
      <c r="C92" s="6" t="str">
        <f t="shared" si="29"/>
        <v>FA1300081</v>
      </c>
      <c r="D92" s="6" t="str">
        <f t="shared" si="29"/>
        <v>3 CORE X 300 SQ. MM. AL/ARM - WIRE (XLPE) - 33 KV</v>
      </c>
      <c r="E92" s="23">
        <f t="shared" si="30"/>
        <v>3068.38</v>
      </c>
      <c r="F92" s="86">
        <f t="shared" si="30"/>
        <v>72.5</v>
      </c>
      <c r="G92" s="173">
        <f t="shared" si="25"/>
        <v>3140.88</v>
      </c>
      <c r="H92" s="29">
        <f t="shared" si="31"/>
        <v>0.18</v>
      </c>
      <c r="I92" s="28">
        <f t="shared" si="26"/>
        <v>565.35839999999996</v>
      </c>
      <c r="J92" s="28">
        <f t="shared" si="27"/>
        <v>3706.2384000000002</v>
      </c>
      <c r="K92" s="63">
        <f t="shared" si="32"/>
        <v>45000</v>
      </c>
      <c r="L92" s="60" t="s">
        <v>395</v>
      </c>
      <c r="M92" s="23">
        <f t="shared" si="28"/>
        <v>166780728</v>
      </c>
    </row>
    <row r="93" spans="1:13" ht="30" x14ac:dyDescent="0.25">
      <c r="A93" s="6" t="str">
        <f t="shared" si="29"/>
        <v>ENQ-18390-25-26</v>
      </c>
      <c r="B93" s="71">
        <f t="shared" si="29"/>
        <v>46357</v>
      </c>
      <c r="C93" s="6" t="str">
        <f t="shared" si="29"/>
        <v>FA1300079</v>
      </c>
      <c r="D93" s="6" t="str">
        <f t="shared" si="29"/>
        <v>3 CORE X 185 SQ. MM AL/ARM - WIRE (XLPE) - 33 KV</v>
      </c>
      <c r="E93" s="23">
        <f t="shared" si="30"/>
        <v>2439.5400000000004</v>
      </c>
      <c r="F93" s="86">
        <f t="shared" si="30"/>
        <v>58.51</v>
      </c>
      <c r="G93" s="173">
        <f t="shared" si="25"/>
        <v>2498.0500000000006</v>
      </c>
      <c r="H93" s="29">
        <f t="shared" si="31"/>
        <v>0.18</v>
      </c>
      <c r="I93" s="28">
        <f t="shared" si="26"/>
        <v>449.64900000000011</v>
      </c>
      <c r="J93" s="28">
        <f t="shared" si="27"/>
        <v>2947.6990000000005</v>
      </c>
      <c r="K93" s="63">
        <f t="shared" si="32"/>
        <v>28500</v>
      </c>
      <c r="L93" s="60" t="s">
        <v>395</v>
      </c>
      <c r="M93" s="23">
        <f t="shared" si="28"/>
        <v>84009421.500000015</v>
      </c>
    </row>
    <row r="94" spans="1:13" ht="30" x14ac:dyDescent="0.25">
      <c r="A94" s="6" t="str">
        <f t="shared" si="29"/>
        <v>ENQ-18390-25-26</v>
      </c>
      <c r="B94" s="71">
        <f t="shared" si="29"/>
        <v>46357</v>
      </c>
      <c r="C94" s="6" t="str">
        <f t="shared" si="29"/>
        <v>FA1300200</v>
      </c>
      <c r="D94" s="6" t="str">
        <f t="shared" si="29"/>
        <v>3 CORE X 95 SQ. MM. AL/ARM  WIRE (XLPE) - 33 KV</v>
      </c>
      <c r="E94" s="23">
        <f t="shared" si="30"/>
        <v>1943.73</v>
      </c>
      <c r="F94" s="86">
        <f t="shared" si="30"/>
        <v>41.43</v>
      </c>
      <c r="G94" s="173">
        <f t="shared" si="25"/>
        <v>1985.16</v>
      </c>
      <c r="H94" s="29">
        <f t="shared" si="31"/>
        <v>0.18</v>
      </c>
      <c r="I94" s="28">
        <f t="shared" si="26"/>
        <v>357.3288</v>
      </c>
      <c r="J94" s="28">
        <f t="shared" si="27"/>
        <v>2342.4888000000001</v>
      </c>
      <c r="K94" s="63">
        <f t="shared" si="32"/>
        <v>10500</v>
      </c>
      <c r="L94" s="60" t="s">
        <v>395</v>
      </c>
      <c r="M94" s="23">
        <f t="shared" si="28"/>
        <v>24596132.400000002</v>
      </c>
    </row>
    <row r="95" spans="1:13" ht="30" x14ac:dyDescent="0.25">
      <c r="A95" s="6" t="str">
        <f t="shared" si="29"/>
        <v>ENQ-18390-25-26</v>
      </c>
      <c r="B95" s="71">
        <f t="shared" si="29"/>
        <v>46357</v>
      </c>
      <c r="C95" s="6" t="str">
        <f t="shared" si="29"/>
        <v>FA1300120</v>
      </c>
      <c r="D95" s="6" t="str">
        <f t="shared" si="29"/>
        <v>3 CORE X 70 SQ. MM. AL/ARM - WIRE (XLPE) - 33 KV</v>
      </c>
      <c r="E95" s="23">
        <f t="shared" si="30"/>
        <v>1780.64</v>
      </c>
      <c r="F95" s="86">
        <f t="shared" si="30"/>
        <v>36.25</v>
      </c>
      <c r="G95" s="173">
        <f t="shared" si="25"/>
        <v>1816.89</v>
      </c>
      <c r="H95" s="29">
        <f t="shared" si="31"/>
        <v>0.18</v>
      </c>
      <c r="I95" s="28">
        <f t="shared" si="26"/>
        <v>327.04020000000003</v>
      </c>
      <c r="J95" s="28">
        <f t="shared" si="27"/>
        <v>2143.9302000000002</v>
      </c>
      <c r="K95" s="63">
        <f t="shared" si="32"/>
        <v>2000</v>
      </c>
      <c r="L95" s="60" t="s">
        <v>395</v>
      </c>
      <c r="M95" s="23">
        <f t="shared" si="28"/>
        <v>4287860.4000000004</v>
      </c>
    </row>
    <row r="96" spans="1:13" ht="30" x14ac:dyDescent="0.25">
      <c r="A96" s="6" t="str">
        <f t="shared" si="29"/>
        <v>ENQ-18390-25-26</v>
      </c>
      <c r="B96" s="71">
        <f t="shared" si="29"/>
        <v>46357</v>
      </c>
      <c r="C96" s="6" t="str">
        <f t="shared" si="29"/>
        <v>FA1300022</v>
      </c>
      <c r="D96" s="6" t="str">
        <f t="shared" si="29"/>
        <v>3 CORE X 50 SQ. MM. AL/ARD - WIRE (XLPE) - 33 KV (E)</v>
      </c>
      <c r="E96" s="23">
        <f t="shared" si="30"/>
        <v>1785.75</v>
      </c>
      <c r="F96" s="86">
        <f t="shared" si="30"/>
        <v>58</v>
      </c>
      <c r="G96" s="173">
        <f t="shared" si="25"/>
        <v>1843.75</v>
      </c>
      <c r="H96" s="29">
        <f t="shared" si="31"/>
        <v>0.18</v>
      </c>
      <c r="I96" s="28">
        <f t="shared" si="26"/>
        <v>331.875</v>
      </c>
      <c r="J96" s="28">
        <f t="shared" si="27"/>
        <v>2175.625</v>
      </c>
      <c r="K96" s="63">
        <f t="shared" si="32"/>
        <v>2500</v>
      </c>
      <c r="L96" s="60" t="s">
        <v>395</v>
      </c>
      <c r="M96" s="23">
        <f t="shared" si="28"/>
        <v>5439062.5</v>
      </c>
    </row>
    <row r="97" spans="1:13" ht="30" x14ac:dyDescent="0.25">
      <c r="A97" s="6" t="str">
        <f t="shared" si="29"/>
        <v>ENQ-18390-25-26</v>
      </c>
      <c r="B97" s="71">
        <f t="shared" si="29"/>
        <v>46357</v>
      </c>
      <c r="C97" s="6" t="str">
        <f t="shared" si="29"/>
        <v>FA1300297</v>
      </c>
      <c r="D97" s="6" t="str">
        <f t="shared" si="29"/>
        <v>3 CORE X 35 SQ. MM. AL/ARM - WIRE (XLPE) - 33 KV (E)</v>
      </c>
      <c r="E97" s="23">
        <f t="shared" si="30"/>
        <v>1785.75</v>
      </c>
      <c r="F97" s="86">
        <f t="shared" si="30"/>
        <v>58</v>
      </c>
      <c r="G97" s="173">
        <f t="shared" si="25"/>
        <v>1843.75</v>
      </c>
      <c r="H97" s="29">
        <f t="shared" si="31"/>
        <v>0.18</v>
      </c>
      <c r="I97" s="28">
        <f t="shared" si="26"/>
        <v>331.875</v>
      </c>
      <c r="J97" s="28">
        <f t="shared" si="27"/>
        <v>2175.625</v>
      </c>
      <c r="K97" s="63">
        <f t="shared" si="32"/>
        <v>2500</v>
      </c>
      <c r="L97" s="60" t="s">
        <v>395</v>
      </c>
      <c r="M97" s="23">
        <f t="shared" si="28"/>
        <v>5439062.5</v>
      </c>
    </row>
    <row r="98" spans="1:13" ht="30" x14ac:dyDescent="0.25">
      <c r="A98" s="6" t="str">
        <f t="shared" si="29"/>
        <v>ENQ-18390-25-26</v>
      </c>
      <c r="B98" s="71">
        <f t="shared" si="29"/>
        <v>46357</v>
      </c>
      <c r="C98" s="6" t="str">
        <f t="shared" si="29"/>
        <v>FA1300027</v>
      </c>
      <c r="D98" s="6" t="str">
        <f t="shared" si="29"/>
        <v>1 CORE X 630 SQ. MM. AL/ARM (XLPE)  - 33 KV</v>
      </c>
      <c r="E98" s="23">
        <f t="shared" si="30"/>
        <v>1477.56</v>
      </c>
      <c r="F98" s="86">
        <f t="shared" si="30"/>
        <v>18.650000000000002</v>
      </c>
      <c r="G98" s="173">
        <f t="shared" si="25"/>
        <v>1496.21</v>
      </c>
      <c r="H98" s="29">
        <f t="shared" si="31"/>
        <v>0.18</v>
      </c>
      <c r="I98" s="28">
        <f t="shared" si="26"/>
        <v>269.31779999999998</v>
      </c>
      <c r="J98" s="28">
        <f t="shared" si="27"/>
        <v>1765.5278000000001</v>
      </c>
      <c r="K98" s="63">
        <f t="shared" si="32"/>
        <v>105000</v>
      </c>
      <c r="L98" s="60" t="s">
        <v>395</v>
      </c>
      <c r="M98" s="23">
        <f t="shared" si="28"/>
        <v>185380419</v>
      </c>
    </row>
    <row r="99" spans="1:13" ht="30" x14ac:dyDescent="0.25">
      <c r="A99" s="6" t="str">
        <f t="shared" si="29"/>
        <v>ENQ-18390-25-26</v>
      </c>
      <c r="B99" s="71">
        <f t="shared" si="29"/>
        <v>46357</v>
      </c>
      <c r="C99" s="6" t="str">
        <f t="shared" si="29"/>
        <v>FA1300018</v>
      </c>
      <c r="D99" s="6" t="str">
        <f t="shared" si="29"/>
        <v>1 CORE X 400 SQ. MM. AL/ARM (XLPE) - 33 KV</v>
      </c>
      <c r="E99" s="23">
        <f t="shared" si="30"/>
        <v>1125.3599999999999</v>
      </c>
      <c r="F99" s="86">
        <f t="shared" si="30"/>
        <v>18.130000000000003</v>
      </c>
      <c r="G99" s="173">
        <f t="shared" si="25"/>
        <v>1143.49</v>
      </c>
      <c r="H99" s="29">
        <f t="shared" si="31"/>
        <v>0.18</v>
      </c>
      <c r="I99" s="28">
        <f t="shared" si="26"/>
        <v>205.82819999999998</v>
      </c>
      <c r="J99" s="28">
        <f t="shared" si="27"/>
        <v>1349.3181999999999</v>
      </c>
      <c r="K99" s="63">
        <f t="shared" si="32"/>
        <v>16000</v>
      </c>
      <c r="L99" s="60" t="s">
        <v>395</v>
      </c>
      <c r="M99" s="23">
        <f t="shared" si="28"/>
        <v>21589091.199999999</v>
      </c>
    </row>
    <row r="100" spans="1:13" ht="30" x14ac:dyDescent="0.25">
      <c r="A100" s="6" t="str">
        <f t="shared" si="29"/>
        <v>ENQ-18390-25-26</v>
      </c>
      <c r="B100" s="71">
        <f t="shared" si="29"/>
        <v>46357</v>
      </c>
      <c r="C100" s="6" t="str">
        <f t="shared" si="29"/>
        <v>FA1300019</v>
      </c>
      <c r="D100" s="6" t="str">
        <f t="shared" si="29"/>
        <v>1 CORE X 300 SQ. MM. AL/ARM (XLPE)  - 33 KV</v>
      </c>
      <c r="E100" s="23">
        <f t="shared" si="30"/>
        <v>975.22</v>
      </c>
      <c r="F100" s="86">
        <f t="shared" si="30"/>
        <v>24.17</v>
      </c>
      <c r="G100" s="173">
        <f t="shared" si="25"/>
        <v>999.39</v>
      </c>
      <c r="H100" s="29">
        <f t="shared" si="31"/>
        <v>0.18</v>
      </c>
      <c r="I100" s="28">
        <f t="shared" si="26"/>
        <v>179.89019999999999</v>
      </c>
      <c r="J100" s="28">
        <f t="shared" si="27"/>
        <v>1179.2801999999999</v>
      </c>
      <c r="K100" s="63">
        <f t="shared" si="32"/>
        <v>3000</v>
      </c>
      <c r="L100" s="60" t="s">
        <v>395</v>
      </c>
      <c r="M100" s="23">
        <f t="shared" si="28"/>
        <v>3537840.5999999996</v>
      </c>
    </row>
    <row r="101" spans="1:13" x14ac:dyDescent="0.25">
      <c r="M101" s="83">
        <f>SUM(M78:M100)</f>
        <v>3145438078.2000003</v>
      </c>
    </row>
    <row r="102" spans="1:13" x14ac:dyDescent="0.25">
      <c r="M102" s="174">
        <f>M101-M44</f>
        <v>12335.141091823578</v>
      </c>
    </row>
  </sheetData>
  <sortState xmlns:xlrd2="http://schemas.microsoft.com/office/spreadsheetml/2017/richdata2" ref="A21:CY43">
    <sortCondition ref="F21:F43"/>
  </sortState>
  <mergeCells count="21">
    <mergeCell ref="CG18:CJ18"/>
    <mergeCell ref="AR18:AZ18"/>
    <mergeCell ref="BA18:BK18"/>
    <mergeCell ref="BL18:BW18"/>
    <mergeCell ref="N18:U18"/>
    <mergeCell ref="V18:W18"/>
    <mergeCell ref="X18:AE18"/>
    <mergeCell ref="AF18:AG18"/>
    <mergeCell ref="AH18:AP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scale="16"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FFE3-B932-4DDD-8327-94117EE0157D}">
  <sheetPr>
    <tabColor rgb="FFFF0000"/>
  </sheetPr>
  <dimension ref="A1:AX43"/>
  <sheetViews>
    <sheetView showZeros="0" topLeftCell="A13" zoomScaleNormal="100" workbookViewId="0">
      <selection activeCell="AJ18" sqref="AJ18"/>
    </sheetView>
  </sheetViews>
  <sheetFormatPr defaultRowHeight="12.75" x14ac:dyDescent="0.2"/>
  <cols>
    <col min="1" max="1" width="60" style="101" customWidth="1"/>
    <col min="2" max="2" width="13" style="101" customWidth="1"/>
    <col min="3" max="3" width="11.85546875" style="101" customWidth="1"/>
    <col min="4" max="4" width="10.42578125" style="101" customWidth="1"/>
    <col min="5" max="5" width="11.140625" style="101" customWidth="1"/>
    <col min="6" max="6" width="12.140625" style="101" customWidth="1"/>
    <col min="7" max="8" width="11.140625" style="101" customWidth="1"/>
    <col min="9" max="9" width="9.42578125" style="101" customWidth="1"/>
    <col min="10" max="10" width="10.140625" style="101" customWidth="1"/>
    <col min="11" max="11" width="11.140625" style="101" customWidth="1"/>
    <col min="12" max="12" width="12.140625" style="101" customWidth="1"/>
    <col min="13" max="14" width="11.140625" style="101" customWidth="1"/>
    <col min="15" max="15" width="9.7109375" style="101" customWidth="1"/>
    <col min="16" max="16" width="7.28515625" style="101" customWidth="1"/>
    <col min="17" max="20" width="7.42578125" style="101" customWidth="1"/>
    <col min="21" max="21" width="12.28515625" style="101" customWidth="1"/>
    <col min="22" max="22" width="12" style="101" bestFit="1" customWidth="1"/>
    <col min="23" max="23" width="11" style="101" bestFit="1" customWidth="1"/>
    <col min="24" max="24" width="11.42578125" style="101" bestFit="1" customWidth="1"/>
    <col min="25" max="26" width="11" style="101" customWidth="1"/>
    <col min="27" max="27" width="11" style="101" bestFit="1" customWidth="1"/>
    <col min="28" max="28" width="14.42578125" style="101" bestFit="1" customWidth="1"/>
    <col min="29" max="29" width="9.140625" style="101" customWidth="1"/>
    <col min="30" max="31" width="10.85546875" style="101" customWidth="1"/>
    <col min="32" max="32" width="9.5703125" style="101" customWidth="1"/>
    <col min="33" max="33" width="10.42578125" style="101" customWidth="1"/>
    <col min="34" max="34" width="9.5703125" style="101" customWidth="1"/>
    <col min="35" max="37" width="9.7109375" style="101" customWidth="1"/>
    <col min="38" max="38" width="8.5703125" style="101" bestFit="1" customWidth="1"/>
    <col min="39" max="39" width="8.5703125" style="101" customWidth="1"/>
    <col min="40" max="40" width="14.85546875" style="101" bestFit="1" customWidth="1"/>
    <col min="41" max="41" width="11.28515625" style="101" bestFit="1" customWidth="1"/>
    <col min="42" max="42" width="12.85546875" style="101" bestFit="1" customWidth="1"/>
    <col min="43" max="43" width="11.85546875" style="101" bestFit="1" customWidth="1"/>
    <col min="44" max="45" width="12.85546875" style="101" bestFit="1" customWidth="1"/>
    <col min="46" max="264" width="9.140625" style="101"/>
    <col min="265" max="265" width="54.140625" style="101" bestFit="1" customWidth="1"/>
    <col min="266" max="266" width="14.7109375" style="101" customWidth="1"/>
    <col min="267" max="267" width="10.140625" style="101" customWidth="1"/>
    <col min="268" max="268" width="10.42578125" style="101" bestFit="1" customWidth="1"/>
    <col min="269" max="270" width="9.42578125" style="101" bestFit="1" customWidth="1"/>
    <col min="271" max="272" width="9.42578125" style="101" customWidth="1"/>
    <col min="273" max="273" width="10.140625" style="101" bestFit="1" customWidth="1"/>
    <col min="274" max="277" width="9.140625" style="101"/>
    <col min="278" max="278" width="7.28515625" style="101" customWidth="1"/>
    <col min="279" max="281" width="7.42578125" style="101" customWidth="1"/>
    <col min="282" max="282" width="10.42578125" style="101" bestFit="1" customWidth="1"/>
    <col min="283" max="283" width="12" style="101" bestFit="1" customWidth="1"/>
    <col min="284" max="284" width="11" style="101" bestFit="1" customWidth="1"/>
    <col min="285" max="286" width="11" style="101" customWidth="1"/>
    <col min="287" max="287" width="10" style="101" bestFit="1" customWidth="1"/>
    <col min="288" max="288" width="14.42578125" style="101" bestFit="1" customWidth="1"/>
    <col min="289" max="299" width="0" style="101" hidden="1" customWidth="1"/>
    <col min="300" max="520" width="9.140625" style="101"/>
    <col min="521" max="521" width="54.140625" style="101" bestFit="1" customWidth="1"/>
    <col min="522" max="522" width="14.7109375" style="101" customWidth="1"/>
    <col min="523" max="523" width="10.140625" style="101" customWidth="1"/>
    <col min="524" max="524" width="10.42578125" style="101" bestFit="1" customWidth="1"/>
    <col min="525" max="526" width="9.42578125" style="101" bestFit="1" customWidth="1"/>
    <col min="527" max="528" width="9.42578125" style="101" customWidth="1"/>
    <col min="529" max="529" width="10.140625" style="101" bestFit="1" customWidth="1"/>
    <col min="530" max="533" width="9.140625" style="101"/>
    <col min="534" max="534" width="7.28515625" style="101" customWidth="1"/>
    <col min="535" max="537" width="7.42578125" style="101" customWidth="1"/>
    <col min="538" max="538" width="10.42578125" style="101" bestFit="1" customWidth="1"/>
    <col min="539" max="539" width="12" style="101" bestFit="1" customWidth="1"/>
    <col min="540" max="540" width="11" style="101" bestFit="1" customWidth="1"/>
    <col min="541" max="542" width="11" style="101" customWidth="1"/>
    <col min="543" max="543" width="10" style="101" bestFit="1" customWidth="1"/>
    <col min="544" max="544" width="14.42578125" style="101" bestFit="1" customWidth="1"/>
    <col min="545" max="555" width="0" style="101" hidden="1" customWidth="1"/>
    <col min="556" max="776" width="9.140625" style="101"/>
    <col min="777" max="777" width="54.140625" style="101" bestFit="1" customWidth="1"/>
    <col min="778" max="778" width="14.7109375" style="101" customWidth="1"/>
    <col min="779" max="779" width="10.140625" style="101" customWidth="1"/>
    <col min="780" max="780" width="10.42578125" style="101" bestFit="1" customWidth="1"/>
    <col min="781" max="782" width="9.42578125" style="101" bestFit="1" customWidth="1"/>
    <col min="783" max="784" width="9.42578125" style="101" customWidth="1"/>
    <col min="785" max="785" width="10.140625" style="101" bestFit="1" customWidth="1"/>
    <col min="786" max="789" width="9.140625" style="101"/>
    <col min="790" max="790" width="7.28515625" style="101" customWidth="1"/>
    <col min="791" max="793" width="7.42578125" style="101" customWidth="1"/>
    <col min="794" max="794" width="10.42578125" style="101" bestFit="1" customWidth="1"/>
    <col min="795" max="795" width="12" style="101" bestFit="1" customWidth="1"/>
    <col min="796" max="796" width="11" style="101" bestFit="1" customWidth="1"/>
    <col min="797" max="798" width="11" style="101" customWidth="1"/>
    <col min="799" max="799" width="10" style="101" bestFit="1" customWidth="1"/>
    <col min="800" max="800" width="14.42578125" style="101" bestFit="1" customWidth="1"/>
    <col min="801" max="811" width="0" style="101" hidden="1" customWidth="1"/>
    <col min="812" max="1032" width="9.140625" style="101"/>
    <col min="1033" max="1033" width="54.140625" style="101" bestFit="1" customWidth="1"/>
    <col min="1034" max="1034" width="14.7109375" style="101" customWidth="1"/>
    <col min="1035" max="1035" width="10.140625" style="101" customWidth="1"/>
    <col min="1036" max="1036" width="10.42578125" style="101" bestFit="1" customWidth="1"/>
    <col min="1037" max="1038" width="9.42578125" style="101" bestFit="1" customWidth="1"/>
    <col min="1039" max="1040" width="9.42578125" style="101" customWidth="1"/>
    <col min="1041" max="1041" width="10.140625" style="101" bestFit="1" customWidth="1"/>
    <col min="1042" max="1045" width="9.140625" style="101"/>
    <col min="1046" max="1046" width="7.28515625" style="101" customWidth="1"/>
    <col min="1047" max="1049" width="7.42578125" style="101" customWidth="1"/>
    <col min="1050" max="1050" width="10.42578125" style="101" bestFit="1" customWidth="1"/>
    <col min="1051" max="1051" width="12" style="101" bestFit="1" customWidth="1"/>
    <col min="1052" max="1052" width="11" style="101" bestFit="1" customWidth="1"/>
    <col min="1053" max="1054" width="11" style="101" customWidth="1"/>
    <col min="1055" max="1055" width="10" style="101" bestFit="1" customWidth="1"/>
    <col min="1056" max="1056" width="14.42578125" style="101" bestFit="1" customWidth="1"/>
    <col min="1057" max="1067" width="0" style="101" hidden="1" customWidth="1"/>
    <col min="1068" max="1288" width="9.140625" style="101"/>
    <col min="1289" max="1289" width="54.140625" style="101" bestFit="1" customWidth="1"/>
    <col min="1290" max="1290" width="14.7109375" style="101" customWidth="1"/>
    <col min="1291" max="1291" width="10.140625" style="101" customWidth="1"/>
    <col min="1292" max="1292" width="10.42578125" style="101" bestFit="1" customWidth="1"/>
    <col min="1293" max="1294" width="9.42578125" style="101" bestFit="1" customWidth="1"/>
    <col min="1295" max="1296" width="9.42578125" style="101" customWidth="1"/>
    <col min="1297" max="1297" width="10.140625" style="101" bestFit="1" customWidth="1"/>
    <col min="1298" max="1301" width="9.140625" style="101"/>
    <col min="1302" max="1302" width="7.28515625" style="101" customWidth="1"/>
    <col min="1303" max="1305" width="7.42578125" style="101" customWidth="1"/>
    <col min="1306" max="1306" width="10.42578125" style="101" bestFit="1" customWidth="1"/>
    <col min="1307" max="1307" width="12" style="101" bestFit="1" customWidth="1"/>
    <col min="1308" max="1308" width="11" style="101" bestFit="1" customWidth="1"/>
    <col min="1309" max="1310" width="11" style="101" customWidth="1"/>
    <col min="1311" max="1311" width="10" style="101" bestFit="1" customWidth="1"/>
    <col min="1312" max="1312" width="14.42578125" style="101" bestFit="1" customWidth="1"/>
    <col min="1313" max="1323" width="0" style="101" hidden="1" customWidth="1"/>
    <col min="1324" max="1544" width="9.140625" style="101"/>
    <col min="1545" max="1545" width="54.140625" style="101" bestFit="1" customWidth="1"/>
    <col min="1546" max="1546" width="14.7109375" style="101" customWidth="1"/>
    <col min="1547" max="1547" width="10.140625" style="101" customWidth="1"/>
    <col min="1548" max="1548" width="10.42578125" style="101" bestFit="1" customWidth="1"/>
    <col min="1549" max="1550" width="9.42578125" style="101" bestFit="1" customWidth="1"/>
    <col min="1551" max="1552" width="9.42578125" style="101" customWidth="1"/>
    <col min="1553" max="1553" width="10.140625" style="101" bestFit="1" customWidth="1"/>
    <col min="1554" max="1557" width="9.140625" style="101"/>
    <col min="1558" max="1558" width="7.28515625" style="101" customWidth="1"/>
    <col min="1559" max="1561" width="7.42578125" style="101" customWidth="1"/>
    <col min="1562" max="1562" width="10.42578125" style="101" bestFit="1" customWidth="1"/>
    <col min="1563" max="1563" width="12" style="101" bestFit="1" customWidth="1"/>
    <col min="1564" max="1564" width="11" style="101" bestFit="1" customWidth="1"/>
    <col min="1565" max="1566" width="11" style="101" customWidth="1"/>
    <col min="1567" max="1567" width="10" style="101" bestFit="1" customWidth="1"/>
    <col min="1568" max="1568" width="14.42578125" style="101" bestFit="1" customWidth="1"/>
    <col min="1569" max="1579" width="0" style="101" hidden="1" customWidth="1"/>
    <col min="1580" max="1800" width="9.140625" style="101"/>
    <col min="1801" max="1801" width="54.140625" style="101" bestFit="1" customWidth="1"/>
    <col min="1802" max="1802" width="14.7109375" style="101" customWidth="1"/>
    <col min="1803" max="1803" width="10.140625" style="101" customWidth="1"/>
    <col min="1804" max="1804" width="10.42578125" style="101" bestFit="1" customWidth="1"/>
    <col min="1805" max="1806" width="9.42578125" style="101" bestFit="1" customWidth="1"/>
    <col min="1807" max="1808" width="9.42578125" style="101" customWidth="1"/>
    <col min="1809" max="1809" width="10.140625" style="101" bestFit="1" customWidth="1"/>
    <col min="1810" max="1813" width="9.140625" style="101"/>
    <col min="1814" max="1814" width="7.28515625" style="101" customWidth="1"/>
    <col min="1815" max="1817" width="7.42578125" style="101" customWidth="1"/>
    <col min="1818" max="1818" width="10.42578125" style="101" bestFit="1" customWidth="1"/>
    <col min="1819" max="1819" width="12" style="101" bestFit="1" customWidth="1"/>
    <col min="1820" max="1820" width="11" style="101" bestFit="1" customWidth="1"/>
    <col min="1821" max="1822" width="11" style="101" customWidth="1"/>
    <col min="1823" max="1823" width="10" style="101" bestFit="1" customWidth="1"/>
    <col min="1824" max="1824" width="14.42578125" style="101" bestFit="1" customWidth="1"/>
    <col min="1825" max="1835" width="0" style="101" hidden="1" customWidth="1"/>
    <col min="1836" max="2056" width="9.140625" style="101"/>
    <col min="2057" max="2057" width="54.140625" style="101" bestFit="1" customWidth="1"/>
    <col min="2058" max="2058" width="14.7109375" style="101" customWidth="1"/>
    <col min="2059" max="2059" width="10.140625" style="101" customWidth="1"/>
    <col min="2060" max="2060" width="10.42578125" style="101" bestFit="1" customWidth="1"/>
    <col min="2061" max="2062" width="9.42578125" style="101" bestFit="1" customWidth="1"/>
    <col min="2063" max="2064" width="9.42578125" style="101" customWidth="1"/>
    <col min="2065" max="2065" width="10.140625" style="101" bestFit="1" customWidth="1"/>
    <col min="2066" max="2069" width="9.140625" style="101"/>
    <col min="2070" max="2070" width="7.28515625" style="101" customWidth="1"/>
    <col min="2071" max="2073" width="7.42578125" style="101" customWidth="1"/>
    <col min="2074" max="2074" width="10.42578125" style="101" bestFit="1" customWidth="1"/>
    <col min="2075" max="2075" width="12" style="101" bestFit="1" customWidth="1"/>
    <col min="2076" max="2076" width="11" style="101" bestFit="1" customWidth="1"/>
    <col min="2077" max="2078" width="11" style="101" customWidth="1"/>
    <col min="2079" max="2079" width="10" style="101" bestFit="1" customWidth="1"/>
    <col min="2080" max="2080" width="14.42578125" style="101" bestFit="1" customWidth="1"/>
    <col min="2081" max="2091" width="0" style="101" hidden="1" customWidth="1"/>
    <col min="2092" max="2312" width="9.140625" style="101"/>
    <col min="2313" max="2313" width="54.140625" style="101" bestFit="1" customWidth="1"/>
    <col min="2314" max="2314" width="14.7109375" style="101" customWidth="1"/>
    <col min="2315" max="2315" width="10.140625" style="101" customWidth="1"/>
    <col min="2316" max="2316" width="10.42578125" style="101" bestFit="1" customWidth="1"/>
    <col min="2317" max="2318" width="9.42578125" style="101" bestFit="1" customWidth="1"/>
    <col min="2319" max="2320" width="9.42578125" style="101" customWidth="1"/>
    <col min="2321" max="2321" width="10.140625" style="101" bestFit="1" customWidth="1"/>
    <col min="2322" max="2325" width="9.140625" style="101"/>
    <col min="2326" max="2326" width="7.28515625" style="101" customWidth="1"/>
    <col min="2327" max="2329" width="7.42578125" style="101" customWidth="1"/>
    <col min="2330" max="2330" width="10.42578125" style="101" bestFit="1" customWidth="1"/>
    <col min="2331" max="2331" width="12" style="101" bestFit="1" customWidth="1"/>
    <col min="2332" max="2332" width="11" style="101" bestFit="1" customWidth="1"/>
    <col min="2333" max="2334" width="11" style="101" customWidth="1"/>
    <col min="2335" max="2335" width="10" style="101" bestFit="1" customWidth="1"/>
    <col min="2336" max="2336" width="14.42578125" style="101" bestFit="1" customWidth="1"/>
    <col min="2337" max="2347" width="0" style="101" hidden="1" customWidth="1"/>
    <col min="2348" max="2568" width="9.140625" style="101"/>
    <col min="2569" max="2569" width="54.140625" style="101" bestFit="1" customWidth="1"/>
    <col min="2570" max="2570" width="14.7109375" style="101" customWidth="1"/>
    <col min="2571" max="2571" width="10.140625" style="101" customWidth="1"/>
    <col min="2572" max="2572" width="10.42578125" style="101" bestFit="1" customWidth="1"/>
    <col min="2573" max="2574" width="9.42578125" style="101" bestFit="1" customWidth="1"/>
    <col min="2575" max="2576" width="9.42578125" style="101" customWidth="1"/>
    <col min="2577" max="2577" width="10.140625" style="101" bestFit="1" customWidth="1"/>
    <col min="2578" max="2581" width="9.140625" style="101"/>
    <col min="2582" max="2582" width="7.28515625" style="101" customWidth="1"/>
    <col min="2583" max="2585" width="7.42578125" style="101" customWidth="1"/>
    <col min="2586" max="2586" width="10.42578125" style="101" bestFit="1" customWidth="1"/>
    <col min="2587" max="2587" width="12" style="101" bestFit="1" customWidth="1"/>
    <col min="2588" max="2588" width="11" style="101" bestFit="1" customWidth="1"/>
    <col min="2589" max="2590" width="11" style="101" customWidth="1"/>
    <col min="2591" max="2591" width="10" style="101" bestFit="1" customWidth="1"/>
    <col min="2592" max="2592" width="14.42578125" style="101" bestFit="1" customWidth="1"/>
    <col min="2593" max="2603" width="0" style="101" hidden="1" customWidth="1"/>
    <col min="2604" max="2824" width="9.140625" style="101"/>
    <col min="2825" max="2825" width="54.140625" style="101" bestFit="1" customWidth="1"/>
    <col min="2826" max="2826" width="14.7109375" style="101" customWidth="1"/>
    <col min="2827" max="2827" width="10.140625" style="101" customWidth="1"/>
    <col min="2828" max="2828" width="10.42578125" style="101" bestFit="1" customWidth="1"/>
    <col min="2829" max="2830" width="9.42578125" style="101" bestFit="1" customWidth="1"/>
    <col min="2831" max="2832" width="9.42578125" style="101" customWidth="1"/>
    <col min="2833" max="2833" width="10.140625" style="101" bestFit="1" customWidth="1"/>
    <col min="2834" max="2837" width="9.140625" style="101"/>
    <col min="2838" max="2838" width="7.28515625" style="101" customWidth="1"/>
    <col min="2839" max="2841" width="7.42578125" style="101" customWidth="1"/>
    <col min="2842" max="2842" width="10.42578125" style="101" bestFit="1" customWidth="1"/>
    <col min="2843" max="2843" width="12" style="101" bestFit="1" customWidth="1"/>
    <col min="2844" max="2844" width="11" style="101" bestFit="1" customWidth="1"/>
    <col min="2845" max="2846" width="11" style="101" customWidth="1"/>
    <col min="2847" max="2847" width="10" style="101" bestFit="1" customWidth="1"/>
    <col min="2848" max="2848" width="14.42578125" style="101" bestFit="1" customWidth="1"/>
    <col min="2849" max="2859" width="0" style="101" hidden="1" customWidth="1"/>
    <col min="2860" max="3080" width="9.140625" style="101"/>
    <col min="3081" max="3081" width="54.140625" style="101" bestFit="1" customWidth="1"/>
    <col min="3082" max="3082" width="14.7109375" style="101" customWidth="1"/>
    <col min="3083" max="3083" width="10.140625" style="101" customWidth="1"/>
    <col min="3084" max="3084" width="10.42578125" style="101" bestFit="1" customWidth="1"/>
    <col min="3085" max="3086" width="9.42578125" style="101" bestFit="1" customWidth="1"/>
    <col min="3087" max="3088" width="9.42578125" style="101" customWidth="1"/>
    <col min="3089" max="3089" width="10.140625" style="101" bestFit="1" customWidth="1"/>
    <col min="3090" max="3093" width="9.140625" style="101"/>
    <col min="3094" max="3094" width="7.28515625" style="101" customWidth="1"/>
    <col min="3095" max="3097" width="7.42578125" style="101" customWidth="1"/>
    <col min="3098" max="3098" width="10.42578125" style="101" bestFit="1" customWidth="1"/>
    <col min="3099" max="3099" width="12" style="101" bestFit="1" customWidth="1"/>
    <col min="3100" max="3100" width="11" style="101" bestFit="1" customWidth="1"/>
    <col min="3101" max="3102" width="11" style="101" customWidth="1"/>
    <col min="3103" max="3103" width="10" style="101" bestFit="1" customWidth="1"/>
    <col min="3104" max="3104" width="14.42578125" style="101" bestFit="1" customWidth="1"/>
    <col min="3105" max="3115" width="0" style="101" hidden="1" customWidth="1"/>
    <col min="3116" max="3336" width="9.140625" style="101"/>
    <col min="3337" max="3337" width="54.140625" style="101" bestFit="1" customWidth="1"/>
    <col min="3338" max="3338" width="14.7109375" style="101" customWidth="1"/>
    <col min="3339" max="3339" width="10.140625" style="101" customWidth="1"/>
    <col min="3340" max="3340" width="10.42578125" style="101" bestFit="1" customWidth="1"/>
    <col min="3341" max="3342" width="9.42578125" style="101" bestFit="1" customWidth="1"/>
    <col min="3343" max="3344" width="9.42578125" style="101" customWidth="1"/>
    <col min="3345" max="3345" width="10.140625" style="101" bestFit="1" customWidth="1"/>
    <col min="3346" max="3349" width="9.140625" style="101"/>
    <col min="3350" max="3350" width="7.28515625" style="101" customWidth="1"/>
    <col min="3351" max="3353" width="7.42578125" style="101" customWidth="1"/>
    <col min="3354" max="3354" width="10.42578125" style="101" bestFit="1" customWidth="1"/>
    <col min="3355" max="3355" width="12" style="101" bestFit="1" customWidth="1"/>
    <col min="3356" max="3356" width="11" style="101" bestFit="1" customWidth="1"/>
    <col min="3357" max="3358" width="11" style="101" customWidth="1"/>
    <col min="3359" max="3359" width="10" style="101" bestFit="1" customWidth="1"/>
    <col min="3360" max="3360" width="14.42578125" style="101" bestFit="1" customWidth="1"/>
    <col min="3361" max="3371" width="0" style="101" hidden="1" customWidth="1"/>
    <col min="3372" max="3592" width="9.140625" style="101"/>
    <col min="3593" max="3593" width="54.140625" style="101" bestFit="1" customWidth="1"/>
    <col min="3594" max="3594" width="14.7109375" style="101" customWidth="1"/>
    <col min="3595" max="3595" width="10.140625" style="101" customWidth="1"/>
    <col min="3596" max="3596" width="10.42578125" style="101" bestFit="1" customWidth="1"/>
    <col min="3597" max="3598" width="9.42578125" style="101" bestFit="1" customWidth="1"/>
    <col min="3599" max="3600" width="9.42578125" style="101" customWidth="1"/>
    <col min="3601" max="3601" width="10.140625" style="101" bestFit="1" customWidth="1"/>
    <col min="3602" max="3605" width="9.140625" style="101"/>
    <col min="3606" max="3606" width="7.28515625" style="101" customWidth="1"/>
    <col min="3607" max="3609" width="7.42578125" style="101" customWidth="1"/>
    <col min="3610" max="3610" width="10.42578125" style="101" bestFit="1" customWidth="1"/>
    <col min="3611" max="3611" width="12" style="101" bestFit="1" customWidth="1"/>
    <col min="3612" max="3612" width="11" style="101" bestFit="1" customWidth="1"/>
    <col min="3613" max="3614" width="11" style="101" customWidth="1"/>
    <col min="3615" max="3615" width="10" style="101" bestFit="1" customWidth="1"/>
    <col min="3616" max="3616" width="14.42578125" style="101" bestFit="1" customWidth="1"/>
    <col min="3617" max="3627" width="0" style="101" hidden="1" customWidth="1"/>
    <col min="3628" max="3848" width="9.140625" style="101"/>
    <col min="3849" max="3849" width="54.140625" style="101" bestFit="1" customWidth="1"/>
    <col min="3850" max="3850" width="14.7109375" style="101" customWidth="1"/>
    <col min="3851" max="3851" width="10.140625" style="101" customWidth="1"/>
    <col min="3852" max="3852" width="10.42578125" style="101" bestFit="1" customWidth="1"/>
    <col min="3853" max="3854" width="9.42578125" style="101" bestFit="1" customWidth="1"/>
    <col min="3855" max="3856" width="9.42578125" style="101" customWidth="1"/>
    <col min="3857" max="3857" width="10.140625" style="101" bestFit="1" customWidth="1"/>
    <col min="3858" max="3861" width="9.140625" style="101"/>
    <col min="3862" max="3862" width="7.28515625" style="101" customWidth="1"/>
    <col min="3863" max="3865" width="7.42578125" style="101" customWidth="1"/>
    <col min="3866" max="3866" width="10.42578125" style="101" bestFit="1" customWidth="1"/>
    <col min="3867" max="3867" width="12" style="101" bestFit="1" customWidth="1"/>
    <col min="3868" max="3868" width="11" style="101" bestFit="1" customWidth="1"/>
    <col min="3869" max="3870" width="11" style="101" customWidth="1"/>
    <col min="3871" max="3871" width="10" style="101" bestFit="1" customWidth="1"/>
    <col min="3872" max="3872" width="14.42578125" style="101" bestFit="1" customWidth="1"/>
    <col min="3873" max="3883" width="0" style="101" hidden="1" customWidth="1"/>
    <col min="3884" max="4104" width="9.140625" style="101"/>
    <col min="4105" max="4105" width="54.140625" style="101" bestFit="1" customWidth="1"/>
    <col min="4106" max="4106" width="14.7109375" style="101" customWidth="1"/>
    <col min="4107" max="4107" width="10.140625" style="101" customWidth="1"/>
    <col min="4108" max="4108" width="10.42578125" style="101" bestFit="1" customWidth="1"/>
    <col min="4109" max="4110" width="9.42578125" style="101" bestFit="1" customWidth="1"/>
    <col min="4111" max="4112" width="9.42578125" style="101" customWidth="1"/>
    <col min="4113" max="4113" width="10.140625" style="101" bestFit="1" customWidth="1"/>
    <col min="4114" max="4117" width="9.140625" style="101"/>
    <col min="4118" max="4118" width="7.28515625" style="101" customWidth="1"/>
    <col min="4119" max="4121" width="7.42578125" style="101" customWidth="1"/>
    <col min="4122" max="4122" width="10.42578125" style="101" bestFit="1" customWidth="1"/>
    <col min="4123" max="4123" width="12" style="101" bestFit="1" customWidth="1"/>
    <col min="4124" max="4124" width="11" style="101" bestFit="1" customWidth="1"/>
    <col min="4125" max="4126" width="11" style="101" customWidth="1"/>
    <col min="4127" max="4127" width="10" style="101" bestFit="1" customWidth="1"/>
    <col min="4128" max="4128" width="14.42578125" style="101" bestFit="1" customWidth="1"/>
    <col min="4129" max="4139" width="0" style="101" hidden="1" customWidth="1"/>
    <col min="4140" max="4360" width="9.140625" style="101"/>
    <col min="4361" max="4361" width="54.140625" style="101" bestFit="1" customWidth="1"/>
    <col min="4362" max="4362" width="14.7109375" style="101" customWidth="1"/>
    <col min="4363" max="4363" width="10.140625" style="101" customWidth="1"/>
    <col min="4364" max="4364" width="10.42578125" style="101" bestFit="1" customWidth="1"/>
    <col min="4365" max="4366" width="9.42578125" style="101" bestFit="1" customWidth="1"/>
    <col min="4367" max="4368" width="9.42578125" style="101" customWidth="1"/>
    <col min="4369" max="4369" width="10.140625" style="101" bestFit="1" customWidth="1"/>
    <col min="4370" max="4373" width="9.140625" style="101"/>
    <col min="4374" max="4374" width="7.28515625" style="101" customWidth="1"/>
    <col min="4375" max="4377" width="7.42578125" style="101" customWidth="1"/>
    <col min="4378" max="4378" width="10.42578125" style="101" bestFit="1" customWidth="1"/>
    <col min="4379" max="4379" width="12" style="101" bestFit="1" customWidth="1"/>
    <col min="4380" max="4380" width="11" style="101" bestFit="1" customWidth="1"/>
    <col min="4381" max="4382" width="11" style="101" customWidth="1"/>
    <col min="4383" max="4383" width="10" style="101" bestFit="1" customWidth="1"/>
    <col min="4384" max="4384" width="14.42578125" style="101" bestFit="1" customWidth="1"/>
    <col min="4385" max="4395" width="0" style="101" hidden="1" customWidth="1"/>
    <col min="4396" max="4616" width="9.140625" style="101"/>
    <col min="4617" max="4617" width="54.140625" style="101" bestFit="1" customWidth="1"/>
    <col min="4618" max="4618" width="14.7109375" style="101" customWidth="1"/>
    <col min="4619" max="4619" width="10.140625" style="101" customWidth="1"/>
    <col min="4620" max="4620" width="10.42578125" style="101" bestFit="1" customWidth="1"/>
    <col min="4621" max="4622" width="9.42578125" style="101" bestFit="1" customWidth="1"/>
    <col min="4623" max="4624" width="9.42578125" style="101" customWidth="1"/>
    <col min="4625" max="4625" width="10.140625" style="101" bestFit="1" customWidth="1"/>
    <col min="4626" max="4629" width="9.140625" style="101"/>
    <col min="4630" max="4630" width="7.28515625" style="101" customWidth="1"/>
    <col min="4631" max="4633" width="7.42578125" style="101" customWidth="1"/>
    <col min="4634" max="4634" width="10.42578125" style="101" bestFit="1" customWidth="1"/>
    <col min="4635" max="4635" width="12" style="101" bestFit="1" customWidth="1"/>
    <col min="4636" max="4636" width="11" style="101" bestFit="1" customWidth="1"/>
    <col min="4637" max="4638" width="11" style="101" customWidth="1"/>
    <col min="4639" max="4639" width="10" style="101" bestFit="1" customWidth="1"/>
    <col min="4640" max="4640" width="14.42578125" style="101" bestFit="1" customWidth="1"/>
    <col min="4641" max="4651" width="0" style="101" hidden="1" customWidth="1"/>
    <col min="4652" max="4872" width="9.140625" style="101"/>
    <col min="4873" max="4873" width="54.140625" style="101" bestFit="1" customWidth="1"/>
    <col min="4874" max="4874" width="14.7109375" style="101" customWidth="1"/>
    <col min="4875" max="4875" width="10.140625" style="101" customWidth="1"/>
    <col min="4876" max="4876" width="10.42578125" style="101" bestFit="1" customWidth="1"/>
    <col min="4877" max="4878" width="9.42578125" style="101" bestFit="1" customWidth="1"/>
    <col min="4879" max="4880" width="9.42578125" style="101" customWidth="1"/>
    <col min="4881" max="4881" width="10.140625" style="101" bestFit="1" customWidth="1"/>
    <col min="4882" max="4885" width="9.140625" style="101"/>
    <col min="4886" max="4886" width="7.28515625" style="101" customWidth="1"/>
    <col min="4887" max="4889" width="7.42578125" style="101" customWidth="1"/>
    <col min="4890" max="4890" width="10.42578125" style="101" bestFit="1" customWidth="1"/>
    <col min="4891" max="4891" width="12" style="101" bestFit="1" customWidth="1"/>
    <col min="4892" max="4892" width="11" style="101" bestFit="1" customWidth="1"/>
    <col min="4893" max="4894" width="11" style="101" customWidth="1"/>
    <col min="4895" max="4895" width="10" style="101" bestFit="1" customWidth="1"/>
    <col min="4896" max="4896" width="14.42578125" style="101" bestFit="1" customWidth="1"/>
    <col min="4897" max="4907" width="0" style="101" hidden="1" customWidth="1"/>
    <col min="4908" max="5128" width="9.140625" style="101"/>
    <col min="5129" max="5129" width="54.140625" style="101" bestFit="1" customWidth="1"/>
    <col min="5130" max="5130" width="14.7109375" style="101" customWidth="1"/>
    <col min="5131" max="5131" width="10.140625" style="101" customWidth="1"/>
    <col min="5132" max="5132" width="10.42578125" style="101" bestFit="1" customWidth="1"/>
    <col min="5133" max="5134" width="9.42578125" style="101" bestFit="1" customWidth="1"/>
    <col min="5135" max="5136" width="9.42578125" style="101" customWidth="1"/>
    <col min="5137" max="5137" width="10.140625" style="101" bestFit="1" customWidth="1"/>
    <col min="5138" max="5141" width="9.140625" style="101"/>
    <col min="5142" max="5142" width="7.28515625" style="101" customWidth="1"/>
    <col min="5143" max="5145" width="7.42578125" style="101" customWidth="1"/>
    <col min="5146" max="5146" width="10.42578125" style="101" bestFit="1" customWidth="1"/>
    <col min="5147" max="5147" width="12" style="101" bestFit="1" customWidth="1"/>
    <col min="5148" max="5148" width="11" style="101" bestFit="1" customWidth="1"/>
    <col min="5149" max="5150" width="11" style="101" customWidth="1"/>
    <col min="5151" max="5151" width="10" style="101" bestFit="1" customWidth="1"/>
    <col min="5152" max="5152" width="14.42578125" style="101" bestFit="1" customWidth="1"/>
    <col min="5153" max="5163" width="0" style="101" hidden="1" customWidth="1"/>
    <col min="5164" max="5384" width="9.140625" style="101"/>
    <col min="5385" max="5385" width="54.140625" style="101" bestFit="1" customWidth="1"/>
    <col min="5386" max="5386" width="14.7109375" style="101" customWidth="1"/>
    <col min="5387" max="5387" width="10.140625" style="101" customWidth="1"/>
    <col min="5388" max="5388" width="10.42578125" style="101" bestFit="1" customWidth="1"/>
    <col min="5389" max="5390" width="9.42578125" style="101" bestFit="1" customWidth="1"/>
    <col min="5391" max="5392" width="9.42578125" style="101" customWidth="1"/>
    <col min="5393" max="5393" width="10.140625" style="101" bestFit="1" customWidth="1"/>
    <col min="5394" max="5397" width="9.140625" style="101"/>
    <col min="5398" max="5398" width="7.28515625" style="101" customWidth="1"/>
    <col min="5399" max="5401" width="7.42578125" style="101" customWidth="1"/>
    <col min="5402" max="5402" width="10.42578125" style="101" bestFit="1" customWidth="1"/>
    <col min="5403" max="5403" width="12" style="101" bestFit="1" customWidth="1"/>
    <col min="5404" max="5404" width="11" style="101" bestFit="1" customWidth="1"/>
    <col min="5405" max="5406" width="11" style="101" customWidth="1"/>
    <col min="5407" max="5407" width="10" style="101" bestFit="1" customWidth="1"/>
    <col min="5408" max="5408" width="14.42578125" style="101" bestFit="1" customWidth="1"/>
    <col min="5409" max="5419" width="0" style="101" hidden="1" customWidth="1"/>
    <col min="5420" max="5640" width="9.140625" style="101"/>
    <col min="5641" max="5641" width="54.140625" style="101" bestFit="1" customWidth="1"/>
    <col min="5642" max="5642" width="14.7109375" style="101" customWidth="1"/>
    <col min="5643" max="5643" width="10.140625" style="101" customWidth="1"/>
    <col min="5644" max="5644" width="10.42578125" style="101" bestFit="1" customWidth="1"/>
    <col min="5645" max="5646" width="9.42578125" style="101" bestFit="1" customWidth="1"/>
    <col min="5647" max="5648" width="9.42578125" style="101" customWidth="1"/>
    <col min="5649" max="5649" width="10.140625" style="101" bestFit="1" customWidth="1"/>
    <col min="5650" max="5653" width="9.140625" style="101"/>
    <col min="5654" max="5654" width="7.28515625" style="101" customWidth="1"/>
    <col min="5655" max="5657" width="7.42578125" style="101" customWidth="1"/>
    <col min="5658" max="5658" width="10.42578125" style="101" bestFit="1" customWidth="1"/>
    <col min="5659" max="5659" width="12" style="101" bestFit="1" customWidth="1"/>
    <col min="5660" max="5660" width="11" style="101" bestFit="1" customWidth="1"/>
    <col min="5661" max="5662" width="11" style="101" customWidth="1"/>
    <col min="5663" max="5663" width="10" style="101" bestFit="1" customWidth="1"/>
    <col min="5664" max="5664" width="14.42578125" style="101" bestFit="1" customWidth="1"/>
    <col min="5665" max="5675" width="0" style="101" hidden="1" customWidth="1"/>
    <col min="5676" max="5896" width="9.140625" style="101"/>
    <col min="5897" max="5897" width="54.140625" style="101" bestFit="1" customWidth="1"/>
    <col min="5898" max="5898" width="14.7109375" style="101" customWidth="1"/>
    <col min="5899" max="5899" width="10.140625" style="101" customWidth="1"/>
    <col min="5900" max="5900" width="10.42578125" style="101" bestFit="1" customWidth="1"/>
    <col min="5901" max="5902" width="9.42578125" style="101" bestFit="1" customWidth="1"/>
    <col min="5903" max="5904" width="9.42578125" style="101" customWidth="1"/>
    <col min="5905" max="5905" width="10.140625" style="101" bestFit="1" customWidth="1"/>
    <col min="5906" max="5909" width="9.140625" style="101"/>
    <col min="5910" max="5910" width="7.28515625" style="101" customWidth="1"/>
    <col min="5911" max="5913" width="7.42578125" style="101" customWidth="1"/>
    <col min="5914" max="5914" width="10.42578125" style="101" bestFit="1" customWidth="1"/>
    <col min="5915" max="5915" width="12" style="101" bestFit="1" customWidth="1"/>
    <col min="5916" max="5916" width="11" style="101" bestFit="1" customWidth="1"/>
    <col min="5917" max="5918" width="11" style="101" customWidth="1"/>
    <col min="5919" max="5919" width="10" style="101" bestFit="1" customWidth="1"/>
    <col min="5920" max="5920" width="14.42578125" style="101" bestFit="1" customWidth="1"/>
    <col min="5921" max="5931" width="0" style="101" hidden="1" customWidth="1"/>
    <col min="5932" max="6152" width="9.140625" style="101"/>
    <col min="6153" max="6153" width="54.140625" style="101" bestFit="1" customWidth="1"/>
    <col min="6154" max="6154" width="14.7109375" style="101" customWidth="1"/>
    <col min="6155" max="6155" width="10.140625" style="101" customWidth="1"/>
    <col min="6156" max="6156" width="10.42578125" style="101" bestFit="1" customWidth="1"/>
    <col min="6157" max="6158" width="9.42578125" style="101" bestFit="1" customWidth="1"/>
    <col min="6159" max="6160" width="9.42578125" style="101" customWidth="1"/>
    <col min="6161" max="6161" width="10.140625" style="101" bestFit="1" customWidth="1"/>
    <col min="6162" max="6165" width="9.140625" style="101"/>
    <col min="6166" max="6166" width="7.28515625" style="101" customWidth="1"/>
    <col min="6167" max="6169" width="7.42578125" style="101" customWidth="1"/>
    <col min="6170" max="6170" width="10.42578125" style="101" bestFit="1" customWidth="1"/>
    <col min="6171" max="6171" width="12" style="101" bestFit="1" customWidth="1"/>
    <col min="6172" max="6172" width="11" style="101" bestFit="1" customWidth="1"/>
    <col min="6173" max="6174" width="11" style="101" customWidth="1"/>
    <col min="6175" max="6175" width="10" style="101" bestFit="1" customWidth="1"/>
    <col min="6176" max="6176" width="14.42578125" style="101" bestFit="1" customWidth="1"/>
    <col min="6177" max="6187" width="0" style="101" hidden="1" customWidth="1"/>
    <col min="6188" max="6408" width="9.140625" style="101"/>
    <col min="6409" max="6409" width="54.140625" style="101" bestFit="1" customWidth="1"/>
    <col min="6410" max="6410" width="14.7109375" style="101" customWidth="1"/>
    <col min="6411" max="6411" width="10.140625" style="101" customWidth="1"/>
    <col min="6412" max="6412" width="10.42578125" style="101" bestFit="1" customWidth="1"/>
    <col min="6413" max="6414" width="9.42578125" style="101" bestFit="1" customWidth="1"/>
    <col min="6415" max="6416" width="9.42578125" style="101" customWidth="1"/>
    <col min="6417" max="6417" width="10.140625" style="101" bestFit="1" customWidth="1"/>
    <col min="6418" max="6421" width="9.140625" style="101"/>
    <col min="6422" max="6422" width="7.28515625" style="101" customWidth="1"/>
    <col min="6423" max="6425" width="7.42578125" style="101" customWidth="1"/>
    <col min="6426" max="6426" width="10.42578125" style="101" bestFit="1" customWidth="1"/>
    <col min="6427" max="6427" width="12" style="101" bestFit="1" customWidth="1"/>
    <col min="6428" max="6428" width="11" style="101" bestFit="1" customWidth="1"/>
    <col min="6429" max="6430" width="11" style="101" customWidth="1"/>
    <col min="6431" max="6431" width="10" style="101" bestFit="1" customWidth="1"/>
    <col min="6432" max="6432" width="14.42578125" style="101" bestFit="1" customWidth="1"/>
    <col min="6433" max="6443" width="0" style="101" hidden="1" customWidth="1"/>
    <col min="6444" max="6664" width="9.140625" style="101"/>
    <col min="6665" max="6665" width="54.140625" style="101" bestFit="1" customWidth="1"/>
    <col min="6666" max="6666" width="14.7109375" style="101" customWidth="1"/>
    <col min="6667" max="6667" width="10.140625" style="101" customWidth="1"/>
    <col min="6668" max="6668" width="10.42578125" style="101" bestFit="1" customWidth="1"/>
    <col min="6669" max="6670" width="9.42578125" style="101" bestFit="1" customWidth="1"/>
    <col min="6671" max="6672" width="9.42578125" style="101" customWidth="1"/>
    <col min="6673" max="6673" width="10.140625" style="101" bestFit="1" customWidth="1"/>
    <col min="6674" max="6677" width="9.140625" style="101"/>
    <col min="6678" max="6678" width="7.28515625" style="101" customWidth="1"/>
    <col min="6679" max="6681" width="7.42578125" style="101" customWidth="1"/>
    <col min="6682" max="6682" width="10.42578125" style="101" bestFit="1" customWidth="1"/>
    <col min="6683" max="6683" width="12" style="101" bestFit="1" customWidth="1"/>
    <col min="6684" max="6684" width="11" style="101" bestFit="1" customWidth="1"/>
    <col min="6685" max="6686" width="11" style="101" customWidth="1"/>
    <col min="6687" max="6687" width="10" style="101" bestFit="1" customWidth="1"/>
    <col min="6688" max="6688" width="14.42578125" style="101" bestFit="1" customWidth="1"/>
    <col min="6689" max="6699" width="0" style="101" hidden="1" customWidth="1"/>
    <col min="6700" max="6920" width="9.140625" style="101"/>
    <col min="6921" max="6921" width="54.140625" style="101" bestFit="1" customWidth="1"/>
    <col min="6922" max="6922" width="14.7109375" style="101" customWidth="1"/>
    <col min="6923" max="6923" width="10.140625" style="101" customWidth="1"/>
    <col min="6924" max="6924" width="10.42578125" style="101" bestFit="1" customWidth="1"/>
    <col min="6925" max="6926" width="9.42578125" style="101" bestFit="1" customWidth="1"/>
    <col min="6927" max="6928" width="9.42578125" style="101" customWidth="1"/>
    <col min="6929" max="6929" width="10.140625" style="101" bestFit="1" customWidth="1"/>
    <col min="6930" max="6933" width="9.140625" style="101"/>
    <col min="6934" max="6934" width="7.28515625" style="101" customWidth="1"/>
    <col min="6935" max="6937" width="7.42578125" style="101" customWidth="1"/>
    <col min="6938" max="6938" width="10.42578125" style="101" bestFit="1" customWidth="1"/>
    <col min="6939" max="6939" width="12" style="101" bestFit="1" customWidth="1"/>
    <col min="6940" max="6940" width="11" style="101" bestFit="1" customWidth="1"/>
    <col min="6941" max="6942" width="11" style="101" customWidth="1"/>
    <col min="6943" max="6943" width="10" style="101" bestFit="1" customWidth="1"/>
    <col min="6944" max="6944" width="14.42578125" style="101" bestFit="1" customWidth="1"/>
    <col min="6945" max="6955" width="0" style="101" hidden="1" customWidth="1"/>
    <col min="6956" max="7176" width="9.140625" style="101"/>
    <col min="7177" max="7177" width="54.140625" style="101" bestFit="1" customWidth="1"/>
    <col min="7178" max="7178" width="14.7109375" style="101" customWidth="1"/>
    <col min="7179" max="7179" width="10.140625" style="101" customWidth="1"/>
    <col min="7180" max="7180" width="10.42578125" style="101" bestFit="1" customWidth="1"/>
    <col min="7181" max="7182" width="9.42578125" style="101" bestFit="1" customWidth="1"/>
    <col min="7183" max="7184" width="9.42578125" style="101" customWidth="1"/>
    <col min="7185" max="7185" width="10.140625" style="101" bestFit="1" customWidth="1"/>
    <col min="7186" max="7189" width="9.140625" style="101"/>
    <col min="7190" max="7190" width="7.28515625" style="101" customWidth="1"/>
    <col min="7191" max="7193" width="7.42578125" style="101" customWidth="1"/>
    <col min="7194" max="7194" width="10.42578125" style="101" bestFit="1" customWidth="1"/>
    <col min="7195" max="7195" width="12" style="101" bestFit="1" customWidth="1"/>
    <col min="7196" max="7196" width="11" style="101" bestFit="1" customWidth="1"/>
    <col min="7197" max="7198" width="11" style="101" customWidth="1"/>
    <col min="7199" max="7199" width="10" style="101" bestFit="1" customWidth="1"/>
    <col min="7200" max="7200" width="14.42578125" style="101" bestFit="1" customWidth="1"/>
    <col min="7201" max="7211" width="0" style="101" hidden="1" customWidth="1"/>
    <col min="7212" max="7432" width="9.140625" style="101"/>
    <col min="7433" max="7433" width="54.140625" style="101" bestFit="1" customWidth="1"/>
    <col min="7434" max="7434" width="14.7109375" style="101" customWidth="1"/>
    <col min="7435" max="7435" width="10.140625" style="101" customWidth="1"/>
    <col min="7436" max="7436" width="10.42578125" style="101" bestFit="1" customWidth="1"/>
    <col min="7437" max="7438" width="9.42578125" style="101" bestFit="1" customWidth="1"/>
    <col min="7439" max="7440" width="9.42578125" style="101" customWidth="1"/>
    <col min="7441" max="7441" width="10.140625" style="101" bestFit="1" customWidth="1"/>
    <col min="7442" max="7445" width="9.140625" style="101"/>
    <col min="7446" max="7446" width="7.28515625" style="101" customWidth="1"/>
    <col min="7447" max="7449" width="7.42578125" style="101" customWidth="1"/>
    <col min="7450" max="7450" width="10.42578125" style="101" bestFit="1" customWidth="1"/>
    <col min="7451" max="7451" width="12" style="101" bestFit="1" customWidth="1"/>
    <col min="7452" max="7452" width="11" style="101" bestFit="1" customWidth="1"/>
    <col min="7453" max="7454" width="11" style="101" customWidth="1"/>
    <col min="7455" max="7455" width="10" style="101" bestFit="1" customWidth="1"/>
    <col min="7456" max="7456" width="14.42578125" style="101" bestFit="1" customWidth="1"/>
    <col min="7457" max="7467" width="0" style="101" hidden="1" customWidth="1"/>
    <col min="7468" max="7688" width="9.140625" style="101"/>
    <col min="7689" max="7689" width="54.140625" style="101" bestFit="1" customWidth="1"/>
    <col min="7690" max="7690" width="14.7109375" style="101" customWidth="1"/>
    <col min="7691" max="7691" width="10.140625" style="101" customWidth="1"/>
    <col min="7692" max="7692" width="10.42578125" style="101" bestFit="1" customWidth="1"/>
    <col min="7693" max="7694" width="9.42578125" style="101" bestFit="1" customWidth="1"/>
    <col min="7695" max="7696" width="9.42578125" style="101" customWidth="1"/>
    <col min="7697" max="7697" width="10.140625" style="101" bestFit="1" customWidth="1"/>
    <col min="7698" max="7701" width="9.140625" style="101"/>
    <col min="7702" max="7702" width="7.28515625" style="101" customWidth="1"/>
    <col min="7703" max="7705" width="7.42578125" style="101" customWidth="1"/>
    <col min="7706" max="7706" width="10.42578125" style="101" bestFit="1" customWidth="1"/>
    <col min="7707" max="7707" width="12" style="101" bestFit="1" customWidth="1"/>
    <col min="7708" max="7708" width="11" style="101" bestFit="1" customWidth="1"/>
    <col min="7709" max="7710" width="11" style="101" customWidth="1"/>
    <col min="7711" max="7711" width="10" style="101" bestFit="1" customWidth="1"/>
    <col min="7712" max="7712" width="14.42578125" style="101" bestFit="1" customWidth="1"/>
    <col min="7713" max="7723" width="0" style="101" hidden="1" customWidth="1"/>
    <col min="7724" max="7944" width="9.140625" style="101"/>
    <col min="7945" max="7945" width="54.140625" style="101" bestFit="1" customWidth="1"/>
    <col min="7946" max="7946" width="14.7109375" style="101" customWidth="1"/>
    <col min="7947" max="7947" width="10.140625" style="101" customWidth="1"/>
    <col min="7948" max="7948" width="10.42578125" style="101" bestFit="1" customWidth="1"/>
    <col min="7949" max="7950" width="9.42578125" style="101" bestFit="1" customWidth="1"/>
    <col min="7951" max="7952" width="9.42578125" style="101" customWidth="1"/>
    <col min="7953" max="7953" width="10.140625" style="101" bestFit="1" customWidth="1"/>
    <col min="7954" max="7957" width="9.140625" style="101"/>
    <col min="7958" max="7958" width="7.28515625" style="101" customWidth="1"/>
    <col min="7959" max="7961" width="7.42578125" style="101" customWidth="1"/>
    <col min="7962" max="7962" width="10.42578125" style="101" bestFit="1" customWidth="1"/>
    <col min="7963" max="7963" width="12" style="101" bestFit="1" customWidth="1"/>
    <col min="7964" max="7964" width="11" style="101" bestFit="1" customWidth="1"/>
    <col min="7965" max="7966" width="11" style="101" customWidth="1"/>
    <col min="7967" max="7967" width="10" style="101" bestFit="1" customWidth="1"/>
    <col min="7968" max="7968" width="14.42578125" style="101" bestFit="1" customWidth="1"/>
    <col min="7969" max="7979" width="0" style="101" hidden="1" customWidth="1"/>
    <col min="7980" max="8200" width="9.140625" style="101"/>
    <col min="8201" max="8201" width="54.140625" style="101" bestFit="1" customWidth="1"/>
    <col min="8202" max="8202" width="14.7109375" style="101" customWidth="1"/>
    <col min="8203" max="8203" width="10.140625" style="101" customWidth="1"/>
    <col min="8204" max="8204" width="10.42578125" style="101" bestFit="1" customWidth="1"/>
    <col min="8205" max="8206" width="9.42578125" style="101" bestFit="1" customWidth="1"/>
    <col min="8207" max="8208" width="9.42578125" style="101" customWidth="1"/>
    <col min="8209" max="8209" width="10.140625" style="101" bestFit="1" customWidth="1"/>
    <col min="8210" max="8213" width="9.140625" style="101"/>
    <col min="8214" max="8214" width="7.28515625" style="101" customWidth="1"/>
    <col min="8215" max="8217" width="7.42578125" style="101" customWidth="1"/>
    <col min="8218" max="8218" width="10.42578125" style="101" bestFit="1" customWidth="1"/>
    <col min="8219" max="8219" width="12" style="101" bestFit="1" customWidth="1"/>
    <col min="8220" max="8220" width="11" style="101" bestFit="1" customWidth="1"/>
    <col min="8221" max="8222" width="11" style="101" customWidth="1"/>
    <col min="8223" max="8223" width="10" style="101" bestFit="1" customWidth="1"/>
    <col min="8224" max="8224" width="14.42578125" style="101" bestFit="1" customWidth="1"/>
    <col min="8225" max="8235" width="0" style="101" hidden="1" customWidth="1"/>
    <col min="8236" max="8456" width="9.140625" style="101"/>
    <col min="8457" max="8457" width="54.140625" style="101" bestFit="1" customWidth="1"/>
    <col min="8458" max="8458" width="14.7109375" style="101" customWidth="1"/>
    <col min="8459" max="8459" width="10.140625" style="101" customWidth="1"/>
    <col min="8460" max="8460" width="10.42578125" style="101" bestFit="1" customWidth="1"/>
    <col min="8461" max="8462" width="9.42578125" style="101" bestFit="1" customWidth="1"/>
    <col min="8463" max="8464" width="9.42578125" style="101" customWidth="1"/>
    <col min="8465" max="8465" width="10.140625" style="101" bestFit="1" customWidth="1"/>
    <col min="8466" max="8469" width="9.140625" style="101"/>
    <col min="8470" max="8470" width="7.28515625" style="101" customWidth="1"/>
    <col min="8471" max="8473" width="7.42578125" style="101" customWidth="1"/>
    <col min="8474" max="8474" width="10.42578125" style="101" bestFit="1" customWidth="1"/>
    <col min="8475" max="8475" width="12" style="101" bestFit="1" customWidth="1"/>
    <col min="8476" max="8476" width="11" style="101" bestFit="1" customWidth="1"/>
    <col min="8477" max="8478" width="11" style="101" customWidth="1"/>
    <col min="8479" max="8479" width="10" style="101" bestFit="1" customWidth="1"/>
    <col min="8480" max="8480" width="14.42578125" style="101" bestFit="1" customWidth="1"/>
    <col min="8481" max="8491" width="0" style="101" hidden="1" customWidth="1"/>
    <col min="8492" max="8712" width="9.140625" style="101"/>
    <col min="8713" max="8713" width="54.140625" style="101" bestFit="1" customWidth="1"/>
    <col min="8714" max="8714" width="14.7109375" style="101" customWidth="1"/>
    <col min="8715" max="8715" width="10.140625" style="101" customWidth="1"/>
    <col min="8716" max="8716" width="10.42578125" style="101" bestFit="1" customWidth="1"/>
    <col min="8717" max="8718" width="9.42578125" style="101" bestFit="1" customWidth="1"/>
    <col min="8719" max="8720" width="9.42578125" style="101" customWidth="1"/>
    <col min="8721" max="8721" width="10.140625" style="101" bestFit="1" customWidth="1"/>
    <col min="8722" max="8725" width="9.140625" style="101"/>
    <col min="8726" max="8726" width="7.28515625" style="101" customWidth="1"/>
    <col min="8727" max="8729" width="7.42578125" style="101" customWidth="1"/>
    <col min="8730" max="8730" width="10.42578125" style="101" bestFit="1" customWidth="1"/>
    <col min="8731" max="8731" width="12" style="101" bestFit="1" customWidth="1"/>
    <col min="8732" max="8732" width="11" style="101" bestFit="1" customWidth="1"/>
    <col min="8733" max="8734" width="11" style="101" customWidth="1"/>
    <col min="8735" max="8735" width="10" style="101" bestFit="1" customWidth="1"/>
    <col min="8736" max="8736" width="14.42578125" style="101" bestFit="1" customWidth="1"/>
    <col min="8737" max="8747" width="0" style="101" hidden="1" customWidth="1"/>
    <col min="8748" max="8968" width="9.140625" style="101"/>
    <col min="8969" max="8969" width="54.140625" style="101" bestFit="1" customWidth="1"/>
    <col min="8970" max="8970" width="14.7109375" style="101" customWidth="1"/>
    <col min="8971" max="8971" width="10.140625" style="101" customWidth="1"/>
    <col min="8972" max="8972" width="10.42578125" style="101" bestFit="1" customWidth="1"/>
    <col min="8973" max="8974" width="9.42578125" style="101" bestFit="1" customWidth="1"/>
    <col min="8975" max="8976" width="9.42578125" style="101" customWidth="1"/>
    <col min="8977" max="8977" width="10.140625" style="101" bestFit="1" customWidth="1"/>
    <col min="8978" max="8981" width="9.140625" style="101"/>
    <col min="8982" max="8982" width="7.28515625" style="101" customWidth="1"/>
    <col min="8983" max="8985" width="7.42578125" style="101" customWidth="1"/>
    <col min="8986" max="8986" width="10.42578125" style="101" bestFit="1" customWidth="1"/>
    <col min="8987" max="8987" width="12" style="101" bestFit="1" customWidth="1"/>
    <col min="8988" max="8988" width="11" style="101" bestFit="1" customWidth="1"/>
    <col min="8989" max="8990" width="11" style="101" customWidth="1"/>
    <col min="8991" max="8991" width="10" style="101" bestFit="1" customWidth="1"/>
    <col min="8992" max="8992" width="14.42578125" style="101" bestFit="1" customWidth="1"/>
    <col min="8993" max="9003" width="0" style="101" hidden="1" customWidth="1"/>
    <col min="9004" max="9224" width="9.140625" style="101"/>
    <col min="9225" max="9225" width="54.140625" style="101" bestFit="1" customWidth="1"/>
    <col min="9226" max="9226" width="14.7109375" style="101" customWidth="1"/>
    <col min="9227" max="9227" width="10.140625" style="101" customWidth="1"/>
    <col min="9228" max="9228" width="10.42578125" style="101" bestFit="1" customWidth="1"/>
    <col min="9229" max="9230" width="9.42578125" style="101" bestFit="1" customWidth="1"/>
    <col min="9231" max="9232" width="9.42578125" style="101" customWidth="1"/>
    <col min="9233" max="9233" width="10.140625" style="101" bestFit="1" customWidth="1"/>
    <col min="9234" max="9237" width="9.140625" style="101"/>
    <col min="9238" max="9238" width="7.28515625" style="101" customWidth="1"/>
    <col min="9239" max="9241" width="7.42578125" style="101" customWidth="1"/>
    <col min="9242" max="9242" width="10.42578125" style="101" bestFit="1" customWidth="1"/>
    <col min="9243" max="9243" width="12" style="101" bestFit="1" customWidth="1"/>
    <col min="9244" max="9244" width="11" style="101" bestFit="1" customWidth="1"/>
    <col min="9245" max="9246" width="11" style="101" customWidth="1"/>
    <col min="9247" max="9247" width="10" style="101" bestFit="1" customWidth="1"/>
    <col min="9248" max="9248" width="14.42578125" style="101" bestFit="1" customWidth="1"/>
    <col min="9249" max="9259" width="0" style="101" hidden="1" customWidth="1"/>
    <col min="9260" max="9480" width="9.140625" style="101"/>
    <col min="9481" max="9481" width="54.140625" style="101" bestFit="1" customWidth="1"/>
    <col min="9482" max="9482" width="14.7109375" style="101" customWidth="1"/>
    <col min="9483" max="9483" width="10.140625" style="101" customWidth="1"/>
    <col min="9484" max="9484" width="10.42578125" style="101" bestFit="1" customWidth="1"/>
    <col min="9485" max="9486" width="9.42578125" style="101" bestFit="1" customWidth="1"/>
    <col min="9487" max="9488" width="9.42578125" style="101" customWidth="1"/>
    <col min="9489" max="9489" width="10.140625" style="101" bestFit="1" customWidth="1"/>
    <col min="9490" max="9493" width="9.140625" style="101"/>
    <col min="9494" max="9494" width="7.28515625" style="101" customWidth="1"/>
    <col min="9495" max="9497" width="7.42578125" style="101" customWidth="1"/>
    <col min="9498" max="9498" width="10.42578125" style="101" bestFit="1" customWidth="1"/>
    <col min="9499" max="9499" width="12" style="101" bestFit="1" customWidth="1"/>
    <col min="9500" max="9500" width="11" style="101" bestFit="1" customWidth="1"/>
    <col min="9501" max="9502" width="11" style="101" customWidth="1"/>
    <col min="9503" max="9503" width="10" style="101" bestFit="1" customWidth="1"/>
    <col min="9504" max="9504" width="14.42578125" style="101" bestFit="1" customWidth="1"/>
    <col min="9505" max="9515" width="0" style="101" hidden="1" customWidth="1"/>
    <col min="9516" max="9736" width="9.140625" style="101"/>
    <col min="9737" max="9737" width="54.140625" style="101" bestFit="1" customWidth="1"/>
    <col min="9738" max="9738" width="14.7109375" style="101" customWidth="1"/>
    <col min="9739" max="9739" width="10.140625" style="101" customWidth="1"/>
    <col min="9740" max="9740" width="10.42578125" style="101" bestFit="1" customWidth="1"/>
    <col min="9741" max="9742" width="9.42578125" style="101" bestFit="1" customWidth="1"/>
    <col min="9743" max="9744" width="9.42578125" style="101" customWidth="1"/>
    <col min="9745" max="9745" width="10.140625" style="101" bestFit="1" customWidth="1"/>
    <col min="9746" max="9749" width="9.140625" style="101"/>
    <col min="9750" max="9750" width="7.28515625" style="101" customWidth="1"/>
    <col min="9751" max="9753" width="7.42578125" style="101" customWidth="1"/>
    <col min="9754" max="9754" width="10.42578125" style="101" bestFit="1" customWidth="1"/>
    <col min="9755" max="9755" width="12" style="101" bestFit="1" customWidth="1"/>
    <col min="9756" max="9756" width="11" style="101" bestFit="1" customWidth="1"/>
    <col min="9757" max="9758" width="11" style="101" customWidth="1"/>
    <col min="9759" max="9759" width="10" style="101" bestFit="1" customWidth="1"/>
    <col min="9760" max="9760" width="14.42578125" style="101" bestFit="1" customWidth="1"/>
    <col min="9761" max="9771" width="0" style="101" hidden="1" customWidth="1"/>
    <col min="9772" max="9992" width="9.140625" style="101"/>
    <col min="9993" max="9993" width="54.140625" style="101" bestFit="1" customWidth="1"/>
    <col min="9994" max="9994" width="14.7109375" style="101" customWidth="1"/>
    <col min="9995" max="9995" width="10.140625" style="101" customWidth="1"/>
    <col min="9996" max="9996" width="10.42578125" style="101" bestFit="1" customWidth="1"/>
    <col min="9997" max="9998" width="9.42578125" style="101" bestFit="1" customWidth="1"/>
    <col min="9999" max="10000" width="9.42578125" style="101" customWidth="1"/>
    <col min="10001" max="10001" width="10.140625" style="101" bestFit="1" customWidth="1"/>
    <col min="10002" max="10005" width="9.140625" style="101"/>
    <col min="10006" max="10006" width="7.28515625" style="101" customWidth="1"/>
    <col min="10007" max="10009" width="7.42578125" style="101" customWidth="1"/>
    <col min="10010" max="10010" width="10.42578125" style="101" bestFit="1" customWidth="1"/>
    <col min="10011" max="10011" width="12" style="101" bestFit="1" customWidth="1"/>
    <col min="10012" max="10012" width="11" style="101" bestFit="1" customWidth="1"/>
    <col min="10013" max="10014" width="11" style="101" customWidth="1"/>
    <col min="10015" max="10015" width="10" style="101" bestFit="1" customWidth="1"/>
    <col min="10016" max="10016" width="14.42578125" style="101" bestFit="1" customWidth="1"/>
    <col min="10017" max="10027" width="0" style="101" hidden="1" customWidth="1"/>
    <col min="10028" max="10248" width="9.140625" style="101"/>
    <col min="10249" max="10249" width="54.140625" style="101" bestFit="1" customWidth="1"/>
    <col min="10250" max="10250" width="14.7109375" style="101" customWidth="1"/>
    <col min="10251" max="10251" width="10.140625" style="101" customWidth="1"/>
    <col min="10252" max="10252" width="10.42578125" style="101" bestFit="1" customWidth="1"/>
    <col min="10253" max="10254" width="9.42578125" style="101" bestFit="1" customWidth="1"/>
    <col min="10255" max="10256" width="9.42578125" style="101" customWidth="1"/>
    <col min="10257" max="10257" width="10.140625" style="101" bestFit="1" customWidth="1"/>
    <col min="10258" max="10261" width="9.140625" style="101"/>
    <col min="10262" max="10262" width="7.28515625" style="101" customWidth="1"/>
    <col min="10263" max="10265" width="7.42578125" style="101" customWidth="1"/>
    <col min="10266" max="10266" width="10.42578125" style="101" bestFit="1" customWidth="1"/>
    <col min="10267" max="10267" width="12" style="101" bestFit="1" customWidth="1"/>
    <col min="10268" max="10268" width="11" style="101" bestFit="1" customWidth="1"/>
    <col min="10269" max="10270" width="11" style="101" customWidth="1"/>
    <col min="10271" max="10271" width="10" style="101" bestFit="1" customWidth="1"/>
    <col min="10272" max="10272" width="14.42578125" style="101" bestFit="1" customWidth="1"/>
    <col min="10273" max="10283" width="0" style="101" hidden="1" customWidth="1"/>
    <col min="10284" max="10504" width="9.140625" style="101"/>
    <col min="10505" max="10505" width="54.140625" style="101" bestFit="1" customWidth="1"/>
    <col min="10506" max="10506" width="14.7109375" style="101" customWidth="1"/>
    <col min="10507" max="10507" width="10.140625" style="101" customWidth="1"/>
    <col min="10508" max="10508" width="10.42578125" style="101" bestFit="1" customWidth="1"/>
    <col min="10509" max="10510" width="9.42578125" style="101" bestFit="1" customWidth="1"/>
    <col min="10511" max="10512" width="9.42578125" style="101" customWidth="1"/>
    <col min="10513" max="10513" width="10.140625" style="101" bestFit="1" customWidth="1"/>
    <col min="10514" max="10517" width="9.140625" style="101"/>
    <col min="10518" max="10518" width="7.28515625" style="101" customWidth="1"/>
    <col min="10519" max="10521" width="7.42578125" style="101" customWidth="1"/>
    <col min="10522" max="10522" width="10.42578125" style="101" bestFit="1" customWidth="1"/>
    <col min="10523" max="10523" width="12" style="101" bestFit="1" customWidth="1"/>
    <col min="10524" max="10524" width="11" style="101" bestFit="1" customWidth="1"/>
    <col min="10525" max="10526" width="11" style="101" customWidth="1"/>
    <col min="10527" max="10527" width="10" style="101" bestFit="1" customWidth="1"/>
    <col min="10528" max="10528" width="14.42578125" style="101" bestFit="1" customWidth="1"/>
    <col min="10529" max="10539" width="0" style="101" hidden="1" customWidth="1"/>
    <col min="10540" max="10760" width="9.140625" style="101"/>
    <col min="10761" max="10761" width="54.140625" style="101" bestFit="1" customWidth="1"/>
    <col min="10762" max="10762" width="14.7109375" style="101" customWidth="1"/>
    <col min="10763" max="10763" width="10.140625" style="101" customWidth="1"/>
    <col min="10764" max="10764" width="10.42578125" style="101" bestFit="1" customWidth="1"/>
    <col min="10765" max="10766" width="9.42578125" style="101" bestFit="1" customWidth="1"/>
    <col min="10767" max="10768" width="9.42578125" style="101" customWidth="1"/>
    <col min="10769" max="10769" width="10.140625" style="101" bestFit="1" customWidth="1"/>
    <col min="10770" max="10773" width="9.140625" style="101"/>
    <col min="10774" max="10774" width="7.28515625" style="101" customWidth="1"/>
    <col min="10775" max="10777" width="7.42578125" style="101" customWidth="1"/>
    <col min="10778" max="10778" width="10.42578125" style="101" bestFit="1" customWidth="1"/>
    <col min="10779" max="10779" width="12" style="101" bestFit="1" customWidth="1"/>
    <col min="10780" max="10780" width="11" style="101" bestFit="1" customWidth="1"/>
    <col min="10781" max="10782" width="11" style="101" customWidth="1"/>
    <col min="10783" max="10783" width="10" style="101" bestFit="1" customWidth="1"/>
    <col min="10784" max="10784" width="14.42578125" style="101" bestFit="1" customWidth="1"/>
    <col min="10785" max="10795" width="0" style="101" hidden="1" customWidth="1"/>
    <col min="10796" max="11016" width="9.140625" style="101"/>
    <col min="11017" max="11017" width="54.140625" style="101" bestFit="1" customWidth="1"/>
    <col min="11018" max="11018" width="14.7109375" style="101" customWidth="1"/>
    <col min="11019" max="11019" width="10.140625" style="101" customWidth="1"/>
    <col min="11020" max="11020" width="10.42578125" style="101" bestFit="1" customWidth="1"/>
    <col min="11021" max="11022" width="9.42578125" style="101" bestFit="1" customWidth="1"/>
    <col min="11023" max="11024" width="9.42578125" style="101" customWidth="1"/>
    <col min="11025" max="11025" width="10.140625" style="101" bestFit="1" customWidth="1"/>
    <col min="11026" max="11029" width="9.140625" style="101"/>
    <col min="11030" max="11030" width="7.28515625" style="101" customWidth="1"/>
    <col min="11031" max="11033" width="7.42578125" style="101" customWidth="1"/>
    <col min="11034" max="11034" width="10.42578125" style="101" bestFit="1" customWidth="1"/>
    <col min="11035" max="11035" width="12" style="101" bestFit="1" customWidth="1"/>
    <col min="11036" max="11036" width="11" style="101" bestFit="1" customWidth="1"/>
    <col min="11037" max="11038" width="11" style="101" customWidth="1"/>
    <col min="11039" max="11039" width="10" style="101" bestFit="1" customWidth="1"/>
    <col min="11040" max="11040" width="14.42578125" style="101" bestFit="1" customWidth="1"/>
    <col min="11041" max="11051" width="0" style="101" hidden="1" customWidth="1"/>
    <col min="11052" max="11272" width="9.140625" style="101"/>
    <col min="11273" max="11273" width="54.140625" style="101" bestFit="1" customWidth="1"/>
    <col min="11274" max="11274" width="14.7109375" style="101" customWidth="1"/>
    <col min="11275" max="11275" width="10.140625" style="101" customWidth="1"/>
    <col min="11276" max="11276" width="10.42578125" style="101" bestFit="1" customWidth="1"/>
    <col min="11277" max="11278" width="9.42578125" style="101" bestFit="1" customWidth="1"/>
    <col min="11279" max="11280" width="9.42578125" style="101" customWidth="1"/>
    <col min="11281" max="11281" width="10.140625" style="101" bestFit="1" customWidth="1"/>
    <col min="11282" max="11285" width="9.140625" style="101"/>
    <col min="11286" max="11286" width="7.28515625" style="101" customWidth="1"/>
    <col min="11287" max="11289" width="7.42578125" style="101" customWidth="1"/>
    <col min="11290" max="11290" width="10.42578125" style="101" bestFit="1" customWidth="1"/>
    <col min="11291" max="11291" width="12" style="101" bestFit="1" customWidth="1"/>
    <col min="11292" max="11292" width="11" style="101" bestFit="1" customWidth="1"/>
    <col min="11293" max="11294" width="11" style="101" customWidth="1"/>
    <col min="11295" max="11295" width="10" style="101" bestFit="1" customWidth="1"/>
    <col min="11296" max="11296" width="14.42578125" style="101" bestFit="1" customWidth="1"/>
    <col min="11297" max="11307" width="0" style="101" hidden="1" customWidth="1"/>
    <col min="11308" max="11528" width="9.140625" style="101"/>
    <col min="11529" max="11529" width="54.140625" style="101" bestFit="1" customWidth="1"/>
    <col min="11530" max="11530" width="14.7109375" style="101" customWidth="1"/>
    <col min="11531" max="11531" width="10.140625" style="101" customWidth="1"/>
    <col min="11532" max="11532" width="10.42578125" style="101" bestFit="1" customWidth="1"/>
    <col min="11533" max="11534" width="9.42578125" style="101" bestFit="1" customWidth="1"/>
    <col min="11535" max="11536" width="9.42578125" style="101" customWidth="1"/>
    <col min="11537" max="11537" width="10.140625" style="101" bestFit="1" customWidth="1"/>
    <col min="11538" max="11541" width="9.140625" style="101"/>
    <col min="11542" max="11542" width="7.28515625" style="101" customWidth="1"/>
    <col min="11543" max="11545" width="7.42578125" style="101" customWidth="1"/>
    <col min="11546" max="11546" width="10.42578125" style="101" bestFit="1" customWidth="1"/>
    <col min="11547" max="11547" width="12" style="101" bestFit="1" customWidth="1"/>
    <col min="11548" max="11548" width="11" style="101" bestFit="1" customWidth="1"/>
    <col min="11549" max="11550" width="11" style="101" customWidth="1"/>
    <col min="11551" max="11551" width="10" style="101" bestFit="1" customWidth="1"/>
    <col min="11552" max="11552" width="14.42578125" style="101" bestFit="1" customWidth="1"/>
    <col min="11553" max="11563" width="0" style="101" hidden="1" customWidth="1"/>
    <col min="11564" max="11784" width="9.140625" style="101"/>
    <col min="11785" max="11785" width="54.140625" style="101" bestFit="1" customWidth="1"/>
    <col min="11786" max="11786" width="14.7109375" style="101" customWidth="1"/>
    <col min="11787" max="11787" width="10.140625" style="101" customWidth="1"/>
    <col min="11788" max="11788" width="10.42578125" style="101" bestFit="1" customWidth="1"/>
    <col min="11789" max="11790" width="9.42578125" style="101" bestFit="1" customWidth="1"/>
    <col min="11791" max="11792" width="9.42578125" style="101" customWidth="1"/>
    <col min="11793" max="11793" width="10.140625" style="101" bestFit="1" customWidth="1"/>
    <col min="11794" max="11797" width="9.140625" style="101"/>
    <col min="11798" max="11798" width="7.28515625" style="101" customWidth="1"/>
    <col min="11799" max="11801" width="7.42578125" style="101" customWidth="1"/>
    <col min="11802" max="11802" width="10.42578125" style="101" bestFit="1" customWidth="1"/>
    <col min="11803" max="11803" width="12" style="101" bestFit="1" customWidth="1"/>
    <col min="11804" max="11804" width="11" style="101" bestFit="1" customWidth="1"/>
    <col min="11805" max="11806" width="11" style="101" customWidth="1"/>
    <col min="11807" max="11807" width="10" style="101" bestFit="1" customWidth="1"/>
    <col min="11808" max="11808" width="14.42578125" style="101" bestFit="1" customWidth="1"/>
    <col min="11809" max="11819" width="0" style="101" hidden="1" customWidth="1"/>
    <col min="11820" max="12040" width="9.140625" style="101"/>
    <col min="12041" max="12041" width="54.140625" style="101" bestFit="1" customWidth="1"/>
    <col min="12042" max="12042" width="14.7109375" style="101" customWidth="1"/>
    <col min="12043" max="12043" width="10.140625" style="101" customWidth="1"/>
    <col min="12044" max="12044" width="10.42578125" style="101" bestFit="1" customWidth="1"/>
    <col min="12045" max="12046" width="9.42578125" style="101" bestFit="1" customWidth="1"/>
    <col min="12047" max="12048" width="9.42578125" style="101" customWidth="1"/>
    <col min="12049" max="12049" width="10.140625" style="101" bestFit="1" customWidth="1"/>
    <col min="12050" max="12053" width="9.140625" style="101"/>
    <col min="12054" max="12054" width="7.28515625" style="101" customWidth="1"/>
    <col min="12055" max="12057" width="7.42578125" style="101" customWidth="1"/>
    <col min="12058" max="12058" width="10.42578125" style="101" bestFit="1" customWidth="1"/>
    <col min="12059" max="12059" width="12" style="101" bestFit="1" customWidth="1"/>
    <col min="12060" max="12060" width="11" style="101" bestFit="1" customWidth="1"/>
    <col min="12061" max="12062" width="11" style="101" customWidth="1"/>
    <col min="12063" max="12063" width="10" style="101" bestFit="1" customWidth="1"/>
    <col min="12064" max="12064" width="14.42578125" style="101" bestFit="1" customWidth="1"/>
    <col min="12065" max="12075" width="0" style="101" hidden="1" customWidth="1"/>
    <col min="12076" max="12296" width="9.140625" style="101"/>
    <col min="12297" max="12297" width="54.140625" style="101" bestFit="1" customWidth="1"/>
    <col min="12298" max="12298" width="14.7109375" style="101" customWidth="1"/>
    <col min="12299" max="12299" width="10.140625" style="101" customWidth="1"/>
    <col min="12300" max="12300" width="10.42578125" style="101" bestFit="1" customWidth="1"/>
    <col min="12301" max="12302" width="9.42578125" style="101" bestFit="1" customWidth="1"/>
    <col min="12303" max="12304" width="9.42578125" style="101" customWidth="1"/>
    <col min="12305" max="12305" width="10.140625" style="101" bestFit="1" customWidth="1"/>
    <col min="12306" max="12309" width="9.140625" style="101"/>
    <col min="12310" max="12310" width="7.28515625" style="101" customWidth="1"/>
    <col min="12311" max="12313" width="7.42578125" style="101" customWidth="1"/>
    <col min="12314" max="12314" width="10.42578125" style="101" bestFit="1" customWidth="1"/>
    <col min="12315" max="12315" width="12" style="101" bestFit="1" customWidth="1"/>
    <col min="12316" max="12316" width="11" style="101" bestFit="1" customWidth="1"/>
    <col min="12317" max="12318" width="11" style="101" customWidth="1"/>
    <col min="12319" max="12319" width="10" style="101" bestFit="1" customWidth="1"/>
    <col min="12320" max="12320" width="14.42578125" style="101" bestFit="1" customWidth="1"/>
    <col min="12321" max="12331" width="0" style="101" hidden="1" customWidth="1"/>
    <col min="12332" max="12552" width="9.140625" style="101"/>
    <col min="12553" max="12553" width="54.140625" style="101" bestFit="1" customWidth="1"/>
    <col min="12554" max="12554" width="14.7109375" style="101" customWidth="1"/>
    <col min="12555" max="12555" width="10.140625" style="101" customWidth="1"/>
    <col min="12556" max="12556" width="10.42578125" style="101" bestFit="1" customWidth="1"/>
    <col min="12557" max="12558" width="9.42578125" style="101" bestFit="1" customWidth="1"/>
    <col min="12559" max="12560" width="9.42578125" style="101" customWidth="1"/>
    <col min="12561" max="12561" width="10.140625" style="101" bestFit="1" customWidth="1"/>
    <col min="12562" max="12565" width="9.140625" style="101"/>
    <col min="12566" max="12566" width="7.28515625" style="101" customWidth="1"/>
    <col min="12567" max="12569" width="7.42578125" style="101" customWidth="1"/>
    <col min="12570" max="12570" width="10.42578125" style="101" bestFit="1" customWidth="1"/>
    <col min="12571" max="12571" width="12" style="101" bestFit="1" customWidth="1"/>
    <col min="12572" max="12572" width="11" style="101" bestFit="1" customWidth="1"/>
    <col min="12573" max="12574" width="11" style="101" customWidth="1"/>
    <col min="12575" max="12575" width="10" style="101" bestFit="1" customWidth="1"/>
    <col min="12576" max="12576" width="14.42578125" style="101" bestFit="1" customWidth="1"/>
    <col min="12577" max="12587" width="0" style="101" hidden="1" customWidth="1"/>
    <col min="12588" max="12808" width="9.140625" style="101"/>
    <col min="12809" max="12809" width="54.140625" style="101" bestFit="1" customWidth="1"/>
    <col min="12810" max="12810" width="14.7109375" style="101" customWidth="1"/>
    <col min="12811" max="12811" width="10.140625" style="101" customWidth="1"/>
    <col min="12812" max="12812" width="10.42578125" style="101" bestFit="1" customWidth="1"/>
    <col min="12813" max="12814" width="9.42578125" style="101" bestFit="1" customWidth="1"/>
    <col min="12815" max="12816" width="9.42578125" style="101" customWidth="1"/>
    <col min="12817" max="12817" width="10.140625" style="101" bestFit="1" customWidth="1"/>
    <col min="12818" max="12821" width="9.140625" style="101"/>
    <col min="12822" max="12822" width="7.28515625" style="101" customWidth="1"/>
    <col min="12823" max="12825" width="7.42578125" style="101" customWidth="1"/>
    <col min="12826" max="12826" width="10.42578125" style="101" bestFit="1" customWidth="1"/>
    <col min="12827" max="12827" width="12" style="101" bestFit="1" customWidth="1"/>
    <col min="12828" max="12828" width="11" style="101" bestFit="1" customWidth="1"/>
    <col min="12829" max="12830" width="11" style="101" customWidth="1"/>
    <col min="12831" max="12831" width="10" style="101" bestFit="1" customWidth="1"/>
    <col min="12832" max="12832" width="14.42578125" style="101" bestFit="1" customWidth="1"/>
    <col min="12833" max="12843" width="0" style="101" hidden="1" customWidth="1"/>
    <col min="12844" max="13064" width="9.140625" style="101"/>
    <col min="13065" max="13065" width="54.140625" style="101" bestFit="1" customWidth="1"/>
    <col min="13066" max="13066" width="14.7109375" style="101" customWidth="1"/>
    <col min="13067" max="13067" width="10.140625" style="101" customWidth="1"/>
    <col min="13068" max="13068" width="10.42578125" style="101" bestFit="1" customWidth="1"/>
    <col min="13069" max="13070" width="9.42578125" style="101" bestFit="1" customWidth="1"/>
    <col min="13071" max="13072" width="9.42578125" style="101" customWidth="1"/>
    <col min="13073" max="13073" width="10.140625" style="101" bestFit="1" customWidth="1"/>
    <col min="13074" max="13077" width="9.140625" style="101"/>
    <col min="13078" max="13078" width="7.28515625" style="101" customWidth="1"/>
    <col min="13079" max="13081" width="7.42578125" style="101" customWidth="1"/>
    <col min="13082" max="13082" width="10.42578125" style="101" bestFit="1" customWidth="1"/>
    <col min="13083" max="13083" width="12" style="101" bestFit="1" customWidth="1"/>
    <col min="13084" max="13084" width="11" style="101" bestFit="1" customWidth="1"/>
    <col min="13085" max="13086" width="11" style="101" customWidth="1"/>
    <col min="13087" max="13087" width="10" style="101" bestFit="1" customWidth="1"/>
    <col min="13088" max="13088" width="14.42578125" style="101" bestFit="1" customWidth="1"/>
    <col min="13089" max="13099" width="0" style="101" hidden="1" customWidth="1"/>
    <col min="13100" max="13320" width="9.140625" style="101"/>
    <col min="13321" max="13321" width="54.140625" style="101" bestFit="1" customWidth="1"/>
    <col min="13322" max="13322" width="14.7109375" style="101" customWidth="1"/>
    <col min="13323" max="13323" width="10.140625" style="101" customWidth="1"/>
    <col min="13324" max="13324" width="10.42578125" style="101" bestFit="1" customWidth="1"/>
    <col min="13325" max="13326" width="9.42578125" style="101" bestFit="1" customWidth="1"/>
    <col min="13327" max="13328" width="9.42578125" style="101" customWidth="1"/>
    <col min="13329" max="13329" width="10.140625" style="101" bestFit="1" customWidth="1"/>
    <col min="13330" max="13333" width="9.140625" style="101"/>
    <col min="13334" max="13334" width="7.28515625" style="101" customWidth="1"/>
    <col min="13335" max="13337" width="7.42578125" style="101" customWidth="1"/>
    <col min="13338" max="13338" width="10.42578125" style="101" bestFit="1" customWidth="1"/>
    <col min="13339" max="13339" width="12" style="101" bestFit="1" customWidth="1"/>
    <col min="13340" max="13340" width="11" style="101" bestFit="1" customWidth="1"/>
    <col min="13341" max="13342" width="11" style="101" customWidth="1"/>
    <col min="13343" max="13343" width="10" style="101" bestFit="1" customWidth="1"/>
    <col min="13344" max="13344" width="14.42578125" style="101" bestFit="1" customWidth="1"/>
    <col min="13345" max="13355" width="0" style="101" hidden="1" customWidth="1"/>
    <col min="13356" max="13576" width="9.140625" style="101"/>
    <col min="13577" max="13577" width="54.140625" style="101" bestFit="1" customWidth="1"/>
    <col min="13578" max="13578" width="14.7109375" style="101" customWidth="1"/>
    <col min="13579" max="13579" width="10.140625" style="101" customWidth="1"/>
    <col min="13580" max="13580" width="10.42578125" style="101" bestFit="1" customWidth="1"/>
    <col min="13581" max="13582" width="9.42578125" style="101" bestFit="1" customWidth="1"/>
    <col min="13583" max="13584" width="9.42578125" style="101" customWidth="1"/>
    <col min="13585" max="13585" width="10.140625" style="101" bestFit="1" customWidth="1"/>
    <col min="13586" max="13589" width="9.140625" style="101"/>
    <col min="13590" max="13590" width="7.28515625" style="101" customWidth="1"/>
    <col min="13591" max="13593" width="7.42578125" style="101" customWidth="1"/>
    <col min="13594" max="13594" width="10.42578125" style="101" bestFit="1" customWidth="1"/>
    <col min="13595" max="13595" width="12" style="101" bestFit="1" customWidth="1"/>
    <col min="13596" max="13596" width="11" style="101" bestFit="1" customWidth="1"/>
    <col min="13597" max="13598" width="11" style="101" customWidth="1"/>
    <col min="13599" max="13599" width="10" style="101" bestFit="1" customWidth="1"/>
    <col min="13600" max="13600" width="14.42578125" style="101" bestFit="1" customWidth="1"/>
    <col min="13601" max="13611" width="0" style="101" hidden="1" customWidth="1"/>
    <col min="13612" max="13832" width="9.140625" style="101"/>
    <col min="13833" max="13833" width="54.140625" style="101" bestFit="1" customWidth="1"/>
    <col min="13834" max="13834" width="14.7109375" style="101" customWidth="1"/>
    <col min="13835" max="13835" width="10.140625" style="101" customWidth="1"/>
    <col min="13836" max="13836" width="10.42578125" style="101" bestFit="1" customWidth="1"/>
    <col min="13837" max="13838" width="9.42578125" style="101" bestFit="1" customWidth="1"/>
    <col min="13839" max="13840" width="9.42578125" style="101" customWidth="1"/>
    <col min="13841" max="13841" width="10.140625" style="101" bestFit="1" customWidth="1"/>
    <col min="13842" max="13845" width="9.140625" style="101"/>
    <col min="13846" max="13846" width="7.28515625" style="101" customWidth="1"/>
    <col min="13847" max="13849" width="7.42578125" style="101" customWidth="1"/>
    <col min="13850" max="13850" width="10.42578125" style="101" bestFit="1" customWidth="1"/>
    <col min="13851" max="13851" width="12" style="101" bestFit="1" customWidth="1"/>
    <col min="13852" max="13852" width="11" style="101" bestFit="1" customWidth="1"/>
    <col min="13853" max="13854" width="11" style="101" customWidth="1"/>
    <col min="13855" max="13855" width="10" style="101" bestFit="1" customWidth="1"/>
    <col min="13856" max="13856" width="14.42578125" style="101" bestFit="1" customWidth="1"/>
    <col min="13857" max="13867" width="0" style="101" hidden="1" customWidth="1"/>
    <col min="13868" max="14088" width="9.140625" style="101"/>
    <col min="14089" max="14089" width="54.140625" style="101" bestFit="1" customWidth="1"/>
    <col min="14090" max="14090" width="14.7109375" style="101" customWidth="1"/>
    <col min="14091" max="14091" width="10.140625" style="101" customWidth="1"/>
    <col min="14092" max="14092" width="10.42578125" style="101" bestFit="1" customWidth="1"/>
    <col min="14093" max="14094" width="9.42578125" style="101" bestFit="1" customWidth="1"/>
    <col min="14095" max="14096" width="9.42578125" style="101" customWidth="1"/>
    <col min="14097" max="14097" width="10.140625" style="101" bestFit="1" customWidth="1"/>
    <col min="14098" max="14101" width="9.140625" style="101"/>
    <col min="14102" max="14102" width="7.28515625" style="101" customWidth="1"/>
    <col min="14103" max="14105" width="7.42578125" style="101" customWidth="1"/>
    <col min="14106" max="14106" width="10.42578125" style="101" bestFit="1" customWidth="1"/>
    <col min="14107" max="14107" width="12" style="101" bestFit="1" customWidth="1"/>
    <col min="14108" max="14108" width="11" style="101" bestFit="1" customWidth="1"/>
    <col min="14109" max="14110" width="11" style="101" customWidth="1"/>
    <col min="14111" max="14111" width="10" style="101" bestFit="1" customWidth="1"/>
    <col min="14112" max="14112" width="14.42578125" style="101" bestFit="1" customWidth="1"/>
    <col min="14113" max="14123" width="0" style="101" hidden="1" customWidth="1"/>
    <col min="14124" max="14344" width="9.140625" style="101"/>
    <col min="14345" max="14345" width="54.140625" style="101" bestFit="1" customWidth="1"/>
    <col min="14346" max="14346" width="14.7109375" style="101" customWidth="1"/>
    <col min="14347" max="14347" width="10.140625" style="101" customWidth="1"/>
    <col min="14348" max="14348" width="10.42578125" style="101" bestFit="1" customWidth="1"/>
    <col min="14349" max="14350" width="9.42578125" style="101" bestFit="1" customWidth="1"/>
    <col min="14351" max="14352" width="9.42578125" style="101" customWidth="1"/>
    <col min="14353" max="14353" width="10.140625" style="101" bestFit="1" customWidth="1"/>
    <col min="14354" max="14357" width="9.140625" style="101"/>
    <col min="14358" max="14358" width="7.28515625" style="101" customWidth="1"/>
    <col min="14359" max="14361" width="7.42578125" style="101" customWidth="1"/>
    <col min="14362" max="14362" width="10.42578125" style="101" bestFit="1" customWidth="1"/>
    <col min="14363" max="14363" width="12" style="101" bestFit="1" customWidth="1"/>
    <col min="14364" max="14364" width="11" style="101" bestFit="1" customWidth="1"/>
    <col min="14365" max="14366" width="11" style="101" customWidth="1"/>
    <col min="14367" max="14367" width="10" style="101" bestFit="1" customWidth="1"/>
    <col min="14368" max="14368" width="14.42578125" style="101" bestFit="1" customWidth="1"/>
    <col min="14369" max="14379" width="0" style="101" hidden="1" customWidth="1"/>
    <col min="14380" max="14600" width="9.140625" style="101"/>
    <col min="14601" max="14601" width="54.140625" style="101" bestFit="1" customWidth="1"/>
    <col min="14602" max="14602" width="14.7109375" style="101" customWidth="1"/>
    <col min="14603" max="14603" width="10.140625" style="101" customWidth="1"/>
    <col min="14604" max="14604" width="10.42578125" style="101" bestFit="1" customWidth="1"/>
    <col min="14605" max="14606" width="9.42578125" style="101" bestFit="1" customWidth="1"/>
    <col min="14607" max="14608" width="9.42578125" style="101" customWidth="1"/>
    <col min="14609" max="14609" width="10.140625" style="101" bestFit="1" customWidth="1"/>
    <col min="14610" max="14613" width="9.140625" style="101"/>
    <col min="14614" max="14614" width="7.28515625" style="101" customWidth="1"/>
    <col min="14615" max="14617" width="7.42578125" style="101" customWidth="1"/>
    <col min="14618" max="14618" width="10.42578125" style="101" bestFit="1" customWidth="1"/>
    <col min="14619" max="14619" width="12" style="101" bestFit="1" customWidth="1"/>
    <col min="14620" max="14620" width="11" style="101" bestFit="1" customWidth="1"/>
    <col min="14621" max="14622" width="11" style="101" customWidth="1"/>
    <col min="14623" max="14623" width="10" style="101" bestFit="1" customWidth="1"/>
    <col min="14624" max="14624" width="14.42578125" style="101" bestFit="1" customWidth="1"/>
    <col min="14625" max="14635" width="0" style="101" hidden="1" customWidth="1"/>
    <col min="14636" max="14856" width="9.140625" style="101"/>
    <col min="14857" max="14857" width="54.140625" style="101" bestFit="1" customWidth="1"/>
    <col min="14858" max="14858" width="14.7109375" style="101" customWidth="1"/>
    <col min="14859" max="14859" width="10.140625" style="101" customWidth="1"/>
    <col min="14860" max="14860" width="10.42578125" style="101" bestFit="1" customWidth="1"/>
    <col min="14861" max="14862" width="9.42578125" style="101" bestFit="1" customWidth="1"/>
    <col min="14863" max="14864" width="9.42578125" style="101" customWidth="1"/>
    <col min="14865" max="14865" width="10.140625" style="101" bestFit="1" customWidth="1"/>
    <col min="14866" max="14869" width="9.140625" style="101"/>
    <col min="14870" max="14870" width="7.28515625" style="101" customWidth="1"/>
    <col min="14871" max="14873" width="7.42578125" style="101" customWidth="1"/>
    <col min="14874" max="14874" width="10.42578125" style="101" bestFit="1" customWidth="1"/>
    <col min="14875" max="14875" width="12" style="101" bestFit="1" customWidth="1"/>
    <col min="14876" max="14876" width="11" style="101" bestFit="1" customWidth="1"/>
    <col min="14877" max="14878" width="11" style="101" customWidth="1"/>
    <col min="14879" max="14879" width="10" style="101" bestFit="1" customWidth="1"/>
    <col min="14880" max="14880" width="14.42578125" style="101" bestFit="1" customWidth="1"/>
    <col min="14881" max="14891" width="0" style="101" hidden="1" customWidth="1"/>
    <col min="14892" max="15112" width="9.140625" style="101"/>
    <col min="15113" max="15113" width="54.140625" style="101" bestFit="1" customWidth="1"/>
    <col min="15114" max="15114" width="14.7109375" style="101" customWidth="1"/>
    <col min="15115" max="15115" width="10.140625" style="101" customWidth="1"/>
    <col min="15116" max="15116" width="10.42578125" style="101" bestFit="1" customWidth="1"/>
    <col min="15117" max="15118" width="9.42578125" style="101" bestFit="1" customWidth="1"/>
    <col min="15119" max="15120" width="9.42578125" style="101" customWidth="1"/>
    <col min="15121" max="15121" width="10.140625" style="101" bestFit="1" customWidth="1"/>
    <col min="15122" max="15125" width="9.140625" style="101"/>
    <col min="15126" max="15126" width="7.28515625" style="101" customWidth="1"/>
    <col min="15127" max="15129" width="7.42578125" style="101" customWidth="1"/>
    <col min="15130" max="15130" width="10.42578125" style="101" bestFit="1" customWidth="1"/>
    <col min="15131" max="15131" width="12" style="101" bestFit="1" customWidth="1"/>
    <col min="15132" max="15132" width="11" style="101" bestFit="1" customWidth="1"/>
    <col min="15133" max="15134" width="11" style="101" customWidth="1"/>
    <col min="15135" max="15135" width="10" style="101" bestFit="1" customWidth="1"/>
    <col min="15136" max="15136" width="14.42578125" style="101" bestFit="1" customWidth="1"/>
    <col min="15137" max="15147" width="0" style="101" hidden="1" customWidth="1"/>
    <col min="15148" max="15368" width="9.140625" style="101"/>
    <col min="15369" max="15369" width="54.140625" style="101" bestFit="1" customWidth="1"/>
    <col min="15370" max="15370" width="14.7109375" style="101" customWidth="1"/>
    <col min="15371" max="15371" width="10.140625" style="101" customWidth="1"/>
    <col min="15372" max="15372" width="10.42578125" style="101" bestFit="1" customWidth="1"/>
    <col min="15373" max="15374" width="9.42578125" style="101" bestFit="1" customWidth="1"/>
    <col min="15375" max="15376" width="9.42578125" style="101" customWidth="1"/>
    <col min="15377" max="15377" width="10.140625" style="101" bestFit="1" customWidth="1"/>
    <col min="15378" max="15381" width="9.140625" style="101"/>
    <col min="15382" max="15382" width="7.28515625" style="101" customWidth="1"/>
    <col min="15383" max="15385" width="7.42578125" style="101" customWidth="1"/>
    <col min="15386" max="15386" width="10.42578125" style="101" bestFit="1" customWidth="1"/>
    <col min="15387" max="15387" width="12" style="101" bestFit="1" customWidth="1"/>
    <col min="15388" max="15388" width="11" style="101" bestFit="1" customWidth="1"/>
    <col min="15389" max="15390" width="11" style="101" customWidth="1"/>
    <col min="15391" max="15391" width="10" style="101" bestFit="1" customWidth="1"/>
    <col min="15392" max="15392" width="14.42578125" style="101" bestFit="1" customWidth="1"/>
    <col min="15393" max="15403" width="0" style="101" hidden="1" customWidth="1"/>
    <col min="15404" max="15624" width="9.140625" style="101"/>
    <col min="15625" max="15625" width="54.140625" style="101" bestFit="1" customWidth="1"/>
    <col min="15626" max="15626" width="14.7109375" style="101" customWidth="1"/>
    <col min="15627" max="15627" width="10.140625" style="101" customWidth="1"/>
    <col min="15628" max="15628" width="10.42578125" style="101" bestFit="1" customWidth="1"/>
    <col min="15629" max="15630" width="9.42578125" style="101" bestFit="1" customWidth="1"/>
    <col min="15631" max="15632" width="9.42578125" style="101" customWidth="1"/>
    <col min="15633" max="15633" width="10.140625" style="101" bestFit="1" customWidth="1"/>
    <col min="15634" max="15637" width="9.140625" style="101"/>
    <col min="15638" max="15638" width="7.28515625" style="101" customWidth="1"/>
    <col min="15639" max="15641" width="7.42578125" style="101" customWidth="1"/>
    <col min="15642" max="15642" width="10.42578125" style="101" bestFit="1" customWidth="1"/>
    <col min="15643" max="15643" width="12" style="101" bestFit="1" customWidth="1"/>
    <col min="15644" max="15644" width="11" style="101" bestFit="1" customWidth="1"/>
    <col min="15645" max="15646" width="11" style="101" customWidth="1"/>
    <col min="15647" max="15647" width="10" style="101" bestFit="1" customWidth="1"/>
    <col min="15648" max="15648" width="14.42578125" style="101" bestFit="1" customWidth="1"/>
    <col min="15649" max="15659" width="0" style="101" hidden="1" customWidth="1"/>
    <col min="15660" max="15880" width="9.140625" style="101"/>
    <col min="15881" max="15881" width="54.140625" style="101" bestFit="1" customWidth="1"/>
    <col min="15882" max="15882" width="14.7109375" style="101" customWidth="1"/>
    <col min="15883" max="15883" width="10.140625" style="101" customWidth="1"/>
    <col min="15884" max="15884" width="10.42578125" style="101" bestFit="1" customWidth="1"/>
    <col min="15885" max="15886" width="9.42578125" style="101" bestFit="1" customWidth="1"/>
    <col min="15887" max="15888" width="9.42578125" style="101" customWidth="1"/>
    <col min="15889" max="15889" width="10.140625" style="101" bestFit="1" customWidth="1"/>
    <col min="15890" max="15893" width="9.140625" style="101"/>
    <col min="15894" max="15894" width="7.28515625" style="101" customWidth="1"/>
    <col min="15895" max="15897" width="7.42578125" style="101" customWidth="1"/>
    <col min="15898" max="15898" width="10.42578125" style="101" bestFit="1" customWidth="1"/>
    <col min="15899" max="15899" width="12" style="101" bestFit="1" customWidth="1"/>
    <col min="15900" max="15900" width="11" style="101" bestFit="1" customWidth="1"/>
    <col min="15901" max="15902" width="11" style="101" customWidth="1"/>
    <col min="15903" max="15903" width="10" style="101" bestFit="1" customWidth="1"/>
    <col min="15904" max="15904" width="14.42578125" style="101" bestFit="1" customWidth="1"/>
    <col min="15905" max="15915" width="0" style="101" hidden="1" customWidth="1"/>
    <col min="15916" max="16136" width="9.140625" style="101"/>
    <col min="16137" max="16137" width="54.140625" style="101" bestFit="1" customWidth="1"/>
    <col min="16138" max="16138" width="14.7109375" style="101" customWidth="1"/>
    <col min="16139" max="16139" width="10.140625" style="101" customWidth="1"/>
    <col min="16140" max="16140" width="10.42578125" style="101" bestFit="1" customWidth="1"/>
    <col min="16141" max="16142" width="9.42578125" style="101" bestFit="1" customWidth="1"/>
    <col min="16143" max="16144" width="9.42578125" style="101" customWidth="1"/>
    <col min="16145" max="16145" width="10.140625" style="101" bestFit="1" customWidth="1"/>
    <col min="16146" max="16149" width="9.140625" style="101"/>
    <col min="16150" max="16150" width="7.28515625" style="101" customWidth="1"/>
    <col min="16151" max="16153" width="7.42578125" style="101" customWidth="1"/>
    <col min="16154" max="16154" width="10.42578125" style="101" bestFit="1" customWidth="1"/>
    <col min="16155" max="16155" width="12" style="101" bestFit="1" customWidth="1"/>
    <col min="16156" max="16156" width="11" style="101" bestFit="1" customWidth="1"/>
    <col min="16157" max="16158" width="11" style="101" customWidth="1"/>
    <col min="16159" max="16159" width="10" style="101" bestFit="1" customWidth="1"/>
    <col min="16160" max="16160" width="14.42578125" style="101" bestFit="1" customWidth="1"/>
    <col min="16161" max="16171" width="0" style="101" hidden="1" customWidth="1"/>
    <col min="16172" max="16384" width="9.140625" style="101"/>
  </cols>
  <sheetData>
    <row r="1" spans="1:50" s="96" customFormat="1" ht="45.75" customHeight="1" x14ac:dyDescent="0.25">
      <c r="A1" s="93" t="s">
        <v>136</v>
      </c>
      <c r="B1" s="253">
        <v>45992</v>
      </c>
      <c r="C1" s="254"/>
      <c r="D1" s="254"/>
      <c r="E1" s="254"/>
      <c r="F1" s="254"/>
      <c r="G1" s="254"/>
      <c r="H1" s="254"/>
      <c r="I1" s="254"/>
      <c r="J1" s="254"/>
      <c r="K1" s="254"/>
      <c r="L1" s="254"/>
      <c r="M1" s="255"/>
      <c r="N1" s="94"/>
      <c r="O1" s="94"/>
      <c r="P1" s="94"/>
      <c r="Q1" s="94"/>
      <c r="R1" s="94"/>
      <c r="S1" s="94"/>
      <c r="T1" s="94"/>
      <c r="U1" s="94"/>
      <c r="V1" s="94"/>
      <c r="W1" s="94"/>
      <c r="X1" s="94"/>
      <c r="Y1" s="94"/>
      <c r="Z1" s="94"/>
      <c r="AA1" s="95"/>
      <c r="AB1" s="95"/>
    </row>
    <row r="2" spans="1:50" ht="56.25" customHeight="1" x14ac:dyDescent="0.2">
      <c r="A2" s="97" t="s">
        <v>319</v>
      </c>
      <c r="B2" s="256" t="s">
        <v>386</v>
      </c>
      <c r="C2" s="257"/>
      <c r="D2" s="257"/>
      <c r="E2" s="257"/>
      <c r="F2" s="257"/>
      <c r="G2" s="257"/>
      <c r="H2" s="257"/>
      <c r="I2" s="257"/>
      <c r="J2" s="257"/>
      <c r="K2" s="257"/>
      <c r="L2" s="257"/>
      <c r="M2" s="258"/>
      <c r="N2" s="98"/>
      <c r="O2" s="98"/>
      <c r="P2" s="99"/>
      <c r="Q2" s="99"/>
      <c r="R2" s="99"/>
      <c r="S2" s="99"/>
      <c r="T2" s="99"/>
      <c r="U2" s="99"/>
      <c r="V2" s="99"/>
      <c r="W2" s="99"/>
      <c r="X2" s="99"/>
      <c r="Y2" s="99"/>
      <c r="Z2" s="99"/>
      <c r="AA2" s="100"/>
      <c r="AB2" s="100"/>
    </row>
    <row r="3" spans="1:50" ht="28.5" customHeight="1" x14ac:dyDescent="0.2">
      <c r="A3" s="259" t="s">
        <v>320</v>
      </c>
      <c r="B3" s="259"/>
      <c r="C3" s="259"/>
      <c r="D3" s="259"/>
      <c r="E3" s="259"/>
      <c r="F3" s="259"/>
      <c r="G3" s="259"/>
      <c r="H3" s="259"/>
      <c r="I3" s="259"/>
      <c r="J3" s="259"/>
      <c r="K3" s="259"/>
      <c r="L3" s="259"/>
      <c r="M3" s="259"/>
      <c r="N3" s="103"/>
      <c r="O3" s="103"/>
      <c r="P3" s="104"/>
      <c r="Q3" s="104"/>
      <c r="R3" s="104"/>
      <c r="S3" s="104"/>
      <c r="T3" s="104"/>
      <c r="U3" s="104"/>
      <c r="V3" s="104"/>
      <c r="W3" s="104"/>
      <c r="X3" s="104"/>
      <c r="Y3" s="104"/>
      <c r="Z3" s="104"/>
      <c r="AA3" s="100"/>
      <c r="AB3" s="100"/>
    </row>
    <row r="4" spans="1:50" x14ac:dyDescent="0.2">
      <c r="A4" s="259" t="s">
        <v>396</v>
      </c>
      <c r="B4" s="259"/>
      <c r="C4" s="259"/>
      <c r="D4" s="259"/>
      <c r="E4" s="259"/>
      <c r="F4" s="259"/>
      <c r="G4" s="259"/>
      <c r="H4" s="259"/>
      <c r="I4" s="259"/>
      <c r="J4" s="259"/>
      <c r="K4" s="259"/>
      <c r="L4" s="259"/>
      <c r="M4" s="259"/>
      <c r="N4" s="105"/>
      <c r="O4" s="105"/>
      <c r="P4" s="104"/>
      <c r="Q4" s="104"/>
      <c r="R4" s="104"/>
      <c r="S4" s="104"/>
      <c r="T4" s="104"/>
      <c r="U4" s="104"/>
    </row>
    <row r="5" spans="1:50" x14ac:dyDescent="0.2">
      <c r="A5" s="259"/>
      <c r="B5" s="259"/>
      <c r="C5" s="259"/>
      <c r="D5" s="259"/>
      <c r="E5" s="259"/>
      <c r="F5" s="259"/>
      <c r="G5" s="259"/>
      <c r="H5" s="259"/>
      <c r="I5" s="259"/>
      <c r="J5" s="259"/>
      <c r="K5" s="259"/>
      <c r="L5" s="259"/>
      <c r="M5" s="259"/>
      <c r="N5" s="94"/>
      <c r="O5" s="94"/>
      <c r="P5" s="106"/>
      <c r="Q5" s="106"/>
      <c r="R5" s="106"/>
      <c r="S5" s="106"/>
      <c r="T5" s="106"/>
      <c r="U5" s="106"/>
      <c r="V5" s="106"/>
      <c r="W5" s="106"/>
      <c r="X5" s="106"/>
      <c r="Y5" s="106"/>
      <c r="Z5" s="106"/>
      <c r="AA5" s="100"/>
      <c r="AB5" s="100"/>
    </row>
    <row r="6" spans="1:50" x14ac:dyDescent="0.2">
      <c r="A6" s="94"/>
      <c r="B6" s="94"/>
      <c r="C6" s="94"/>
      <c r="D6" s="94"/>
      <c r="E6" s="94"/>
      <c r="F6" s="94"/>
      <c r="G6" s="94"/>
      <c r="H6" s="94"/>
      <c r="I6" s="94"/>
      <c r="J6" s="94"/>
      <c r="K6" s="94"/>
      <c r="L6" s="94"/>
      <c r="M6" s="94"/>
      <c r="N6" s="94"/>
      <c r="O6" s="94"/>
      <c r="P6" s="106"/>
      <c r="Q6" s="106"/>
      <c r="R6" s="106"/>
      <c r="S6" s="106"/>
      <c r="T6" s="106"/>
      <c r="U6" s="106"/>
      <c r="V6" s="106"/>
      <c r="W6" s="106"/>
      <c r="X6" s="106"/>
      <c r="Y6" s="106"/>
      <c r="Z6" s="106"/>
      <c r="AA6" s="260"/>
      <c r="AB6" s="260"/>
    </row>
    <row r="7" spans="1:50" ht="38.25" x14ac:dyDescent="0.2">
      <c r="A7" s="108" t="s">
        <v>321</v>
      </c>
      <c r="B7" s="109" t="s">
        <v>322</v>
      </c>
      <c r="C7" s="94"/>
      <c r="D7" s="94"/>
      <c r="E7" s="94"/>
      <c r="F7" s="94"/>
      <c r="G7" s="94"/>
      <c r="H7" s="94"/>
      <c r="I7" s="94"/>
      <c r="J7" s="94"/>
      <c r="K7" s="94"/>
      <c r="L7" s="94"/>
      <c r="M7" s="94"/>
      <c r="N7" s="94"/>
      <c r="O7" s="94"/>
      <c r="P7" s="106"/>
      <c r="Q7" s="106"/>
      <c r="R7" s="106"/>
      <c r="S7" s="106"/>
      <c r="T7" s="106"/>
      <c r="U7" s="106"/>
      <c r="V7" s="106"/>
      <c r="W7" s="106"/>
      <c r="X7" s="106"/>
      <c r="Y7" s="106"/>
      <c r="Z7" s="106"/>
      <c r="AA7" s="107"/>
      <c r="AB7" s="107"/>
    </row>
    <row r="8" spans="1:50" ht="89.25" x14ac:dyDescent="0.2">
      <c r="A8" s="108" t="s">
        <v>323</v>
      </c>
      <c r="B8" s="109" t="s">
        <v>324</v>
      </c>
      <c r="C8" s="94"/>
      <c r="D8" s="94"/>
      <c r="E8" s="94"/>
      <c r="F8" s="94"/>
      <c r="G8" s="94"/>
      <c r="H8" s="94"/>
      <c r="I8" s="94"/>
      <c r="J8" s="94"/>
      <c r="K8" s="94"/>
      <c r="L8" s="94"/>
      <c r="M8" s="94"/>
      <c r="N8" s="94"/>
      <c r="O8" s="94"/>
      <c r="P8" s="106"/>
      <c r="Q8" s="106"/>
      <c r="R8" s="106"/>
      <c r="S8" s="106"/>
      <c r="T8" s="106"/>
      <c r="U8" s="106"/>
      <c r="V8" s="106"/>
      <c r="W8" s="106"/>
      <c r="X8" s="106"/>
      <c r="Y8" s="106"/>
      <c r="Z8" s="106"/>
      <c r="AA8" s="107"/>
      <c r="AB8" s="107"/>
    </row>
    <row r="9" spans="1:50" ht="25.5" x14ac:dyDescent="0.2">
      <c r="A9" s="108" t="s">
        <v>325</v>
      </c>
      <c r="B9" s="109" t="s">
        <v>326</v>
      </c>
      <c r="C9" s="94"/>
      <c r="D9" s="94"/>
      <c r="E9" s="94"/>
      <c r="F9" s="94"/>
      <c r="G9" s="94"/>
      <c r="H9" s="94"/>
      <c r="I9" s="94"/>
      <c r="J9" s="94"/>
      <c r="K9" s="94"/>
      <c r="L9" s="94"/>
      <c r="M9" s="94"/>
      <c r="N9" s="94"/>
      <c r="O9" s="94"/>
      <c r="P9" s="106"/>
      <c r="Q9" s="106"/>
      <c r="R9" s="106"/>
      <c r="S9" s="106"/>
      <c r="T9" s="106"/>
      <c r="U9" s="106"/>
      <c r="V9" s="106"/>
      <c r="W9" s="106"/>
      <c r="X9" s="106"/>
      <c r="Y9" s="106"/>
      <c r="Z9" s="106"/>
      <c r="AA9" s="107"/>
      <c r="AB9" s="107"/>
    </row>
    <row r="10" spans="1:50" ht="25.5" x14ac:dyDescent="0.25">
      <c r="A10" t="s">
        <v>327</v>
      </c>
      <c r="B10" s="109" t="s">
        <v>328</v>
      </c>
      <c r="C10" s="94"/>
      <c r="D10" s="94"/>
      <c r="E10" s="94"/>
      <c r="F10" s="94"/>
      <c r="G10" s="94"/>
      <c r="H10" s="94"/>
      <c r="I10" s="94"/>
      <c r="J10" s="94"/>
      <c r="K10" s="94"/>
      <c r="L10" s="94"/>
      <c r="M10" s="94"/>
      <c r="N10" s="94"/>
      <c r="O10" s="94"/>
      <c r="P10" s="106"/>
      <c r="Q10" s="106"/>
      <c r="R10" s="106"/>
      <c r="S10" s="106"/>
      <c r="T10" s="106"/>
      <c r="U10" s="106"/>
      <c r="V10" s="106"/>
      <c r="W10" s="106"/>
      <c r="X10" s="106"/>
      <c r="Y10" s="106"/>
      <c r="Z10" s="106"/>
      <c r="AA10" s="107"/>
      <c r="AB10" s="107"/>
    </row>
    <row r="11" spans="1:50" x14ac:dyDescent="0.2">
      <c r="A11" s="261"/>
      <c r="B11" s="262"/>
      <c r="C11" s="94"/>
      <c r="D11" s="94"/>
      <c r="E11" s="94"/>
      <c r="F11" s="94"/>
      <c r="G11" s="94"/>
      <c r="H11" s="94"/>
      <c r="I11" s="94"/>
      <c r="J11" s="94"/>
      <c r="K11" s="94"/>
      <c r="L11" s="94"/>
      <c r="M11" s="94"/>
      <c r="N11" s="94"/>
      <c r="O11" s="94"/>
      <c r="P11" s="106"/>
      <c r="Q11" s="106"/>
      <c r="R11" s="106"/>
      <c r="S11" s="106"/>
      <c r="T11" s="106"/>
      <c r="U11" s="106"/>
      <c r="V11" s="110"/>
      <c r="W11" s="106"/>
      <c r="X11" s="106"/>
      <c r="Y11" s="106"/>
      <c r="Z11" s="106"/>
      <c r="AA11" s="107"/>
      <c r="AB11" s="107"/>
    </row>
    <row r="12" spans="1:50" ht="18" customHeight="1" x14ac:dyDescent="0.2">
      <c r="B12" s="94"/>
      <c r="C12" s="94"/>
      <c r="D12" s="94"/>
      <c r="E12" s="94"/>
      <c r="F12" s="94"/>
      <c r="G12" s="94"/>
      <c r="H12" s="94"/>
      <c r="I12" s="94"/>
      <c r="J12" s="94"/>
      <c r="K12" s="94"/>
      <c r="L12" s="94"/>
      <c r="M12" s="94"/>
      <c r="N12" s="94"/>
      <c r="O12" s="94"/>
      <c r="P12" s="106"/>
      <c r="Q12" s="106"/>
      <c r="R12" s="106"/>
      <c r="S12" s="106"/>
      <c r="T12" s="106"/>
      <c r="U12" s="106"/>
      <c r="V12" s="110"/>
      <c r="W12" s="106"/>
      <c r="X12" s="106"/>
      <c r="Y12" s="106"/>
      <c r="Z12" s="106"/>
      <c r="AA12" s="107"/>
      <c r="AB12" s="107"/>
    </row>
    <row r="13" spans="1:50" ht="15.75" customHeight="1" thickBot="1" x14ac:dyDescent="0.25">
      <c r="A13" s="111" t="s">
        <v>329</v>
      </c>
      <c r="B13" s="102" t="s">
        <v>330</v>
      </c>
      <c r="C13" s="94"/>
      <c r="D13" s="94"/>
      <c r="E13" s="94"/>
      <c r="F13" s="94"/>
      <c r="G13" s="94"/>
      <c r="H13" s="94"/>
      <c r="I13" s="94"/>
      <c r="J13" s="94"/>
      <c r="K13" s="94"/>
      <c r="L13" s="94"/>
      <c r="M13" s="94"/>
      <c r="N13" s="94"/>
      <c r="O13" s="94"/>
      <c r="P13" s="106"/>
      <c r="Q13" s="106"/>
      <c r="R13" s="106"/>
      <c r="S13" s="106"/>
      <c r="T13" s="106"/>
      <c r="U13" s="106"/>
      <c r="V13" s="106"/>
      <c r="W13" s="106"/>
      <c r="X13" s="106"/>
      <c r="Y13" s="106"/>
      <c r="Z13" s="106"/>
      <c r="AA13" s="107"/>
      <c r="AB13" s="107"/>
      <c r="AK13" s="269" t="s">
        <v>300</v>
      </c>
    </row>
    <row r="14" spans="1:50" ht="13.5" thickBot="1" x14ac:dyDescent="0.25">
      <c r="C14" s="99"/>
      <c r="D14" s="112"/>
      <c r="E14" s="106"/>
      <c r="F14" s="106"/>
      <c r="G14" s="106"/>
      <c r="H14" s="106"/>
      <c r="I14" s="106"/>
      <c r="J14" s="106"/>
      <c r="K14" s="106"/>
      <c r="L14" s="106"/>
      <c r="M14" s="106"/>
      <c r="N14" s="94"/>
      <c r="O14" s="94"/>
      <c r="P14" s="106"/>
      <c r="Q14" s="106"/>
      <c r="R14" s="106"/>
      <c r="S14" s="106"/>
      <c r="T14" s="106"/>
      <c r="U14" s="106"/>
      <c r="V14" s="106"/>
      <c r="W14" s="106"/>
      <c r="X14" s="106"/>
      <c r="Y14" s="106"/>
      <c r="Z14" s="106"/>
      <c r="AA14" s="107"/>
      <c r="AB14" s="107"/>
      <c r="AC14" s="230" t="s">
        <v>331</v>
      </c>
      <c r="AD14" s="231"/>
      <c r="AE14" s="231"/>
      <c r="AF14" s="231"/>
      <c r="AG14" s="231"/>
      <c r="AH14" s="231"/>
      <c r="AI14" s="231"/>
      <c r="AJ14" s="231"/>
      <c r="AK14" s="231"/>
      <c r="AL14" s="231"/>
      <c r="AM14" s="231"/>
      <c r="AN14" s="231"/>
      <c r="AO14" s="231"/>
      <c r="AP14" s="231"/>
      <c r="AQ14" s="231"/>
      <c r="AR14" s="231"/>
      <c r="AS14" s="231"/>
      <c r="AT14" s="231"/>
      <c r="AU14" s="231"/>
      <c r="AV14" s="231"/>
      <c r="AW14" s="231"/>
      <c r="AX14" s="232"/>
    </row>
    <row r="15" spans="1:50" ht="13.5" customHeight="1" x14ac:dyDescent="0.2">
      <c r="A15" s="236" t="s">
        <v>329</v>
      </c>
      <c r="B15" s="239" t="s">
        <v>332</v>
      </c>
      <c r="C15" s="242" t="s">
        <v>333</v>
      </c>
      <c r="D15" s="245" t="s">
        <v>334</v>
      </c>
      <c r="E15" s="223"/>
      <c r="F15" s="223"/>
      <c r="G15" s="223"/>
      <c r="H15" s="223"/>
      <c r="I15" s="246"/>
      <c r="J15" s="245" t="s">
        <v>85</v>
      </c>
      <c r="K15" s="223"/>
      <c r="L15" s="223"/>
      <c r="M15" s="223"/>
      <c r="N15" s="223"/>
      <c r="O15" s="224"/>
      <c r="P15" s="247" t="s">
        <v>335</v>
      </c>
      <c r="Q15" s="242"/>
      <c r="R15" s="242"/>
      <c r="S15" s="242"/>
      <c r="T15" s="248"/>
      <c r="U15" s="228" t="s">
        <v>336</v>
      </c>
      <c r="V15" s="251" t="s">
        <v>337</v>
      </c>
      <c r="W15" s="223" t="s">
        <v>338</v>
      </c>
      <c r="X15" s="223" t="s">
        <v>339</v>
      </c>
      <c r="Y15" s="224" t="s">
        <v>340</v>
      </c>
      <c r="Z15" s="223" t="s">
        <v>341</v>
      </c>
      <c r="AA15" s="226" t="s">
        <v>342</v>
      </c>
      <c r="AB15" s="228" t="s">
        <v>343</v>
      </c>
      <c r="AC15" s="233"/>
      <c r="AD15" s="234"/>
      <c r="AE15" s="234"/>
      <c r="AF15" s="234"/>
      <c r="AG15" s="234"/>
      <c r="AH15" s="234"/>
      <c r="AI15" s="234"/>
      <c r="AJ15" s="234"/>
      <c r="AK15" s="234"/>
      <c r="AL15" s="234"/>
      <c r="AM15" s="234"/>
      <c r="AN15" s="234"/>
      <c r="AO15" s="234"/>
      <c r="AP15" s="234"/>
      <c r="AQ15" s="234"/>
      <c r="AR15" s="234"/>
      <c r="AS15" s="234"/>
      <c r="AT15" s="234"/>
      <c r="AU15" s="234"/>
      <c r="AV15" s="234"/>
      <c r="AW15" s="234"/>
      <c r="AX15" s="235"/>
    </row>
    <row r="16" spans="1:50" ht="58.5" customHeight="1" x14ac:dyDescent="0.2">
      <c r="A16" s="237"/>
      <c r="B16" s="240"/>
      <c r="C16" s="243"/>
      <c r="D16" s="219" t="s">
        <v>344</v>
      </c>
      <c r="E16" s="220" t="s">
        <v>345</v>
      </c>
      <c r="F16" s="220" t="s">
        <v>346</v>
      </c>
      <c r="G16" s="220" t="s">
        <v>347</v>
      </c>
      <c r="H16" s="220" t="s">
        <v>348</v>
      </c>
      <c r="I16" s="218" t="s">
        <v>349</v>
      </c>
      <c r="J16" s="219" t="s">
        <v>344</v>
      </c>
      <c r="K16" s="220" t="s">
        <v>350</v>
      </c>
      <c r="L16" s="220" t="s">
        <v>351</v>
      </c>
      <c r="M16" s="220" t="s">
        <v>352</v>
      </c>
      <c r="N16" s="221" t="s">
        <v>353</v>
      </c>
      <c r="O16" s="216" t="s">
        <v>354</v>
      </c>
      <c r="P16" s="249"/>
      <c r="Q16" s="244"/>
      <c r="R16" s="244"/>
      <c r="S16" s="244"/>
      <c r="T16" s="250"/>
      <c r="U16" s="229"/>
      <c r="V16" s="252"/>
      <c r="W16" s="220"/>
      <c r="X16" s="220"/>
      <c r="Y16" s="225"/>
      <c r="Z16" s="220"/>
      <c r="AA16" s="227"/>
      <c r="AB16" s="229"/>
      <c r="AC16" s="118" t="str">
        <f>'AUTO CALCULATION SHEET (2)'!N19</f>
        <v>Alumimium</v>
      </c>
      <c r="AD16" s="119" t="str">
        <f>'AUTO CALCULATION SHEET (2)'!AB19</f>
        <v>Copper Tape - 0.045 mm</v>
      </c>
      <c r="AE16" s="119" t="str">
        <f>'AUTO CALCULATION SHEET (2)'!AF19</f>
        <v>Extruded semiconductive</v>
      </c>
      <c r="AF16" s="119" t="str">
        <f>'AUTO CALCULATION SHEET (2)'!AH19</f>
        <v>HT-XLPE</v>
      </c>
      <c r="AG16" s="119" t="str">
        <f>'AUTO CALCULATION SHEET (2)'!AQ19</f>
        <v>POLY TAPE</v>
      </c>
      <c r="AH16" s="119" t="str">
        <f>'AUTO CALCULATION SHEET (2)'!AX19</f>
        <v>PVC Type ST-2</v>
      </c>
      <c r="AI16" s="119" t="str">
        <f>'AUTO CALCULATION SHEET (2)'!BD19</f>
        <v>Aluminium Round Wire</v>
      </c>
      <c r="AJ16" s="119" t="str">
        <f>'AUTO CALCULATION SHEET (2)'!BJ19</f>
        <v>Galvanised Steel Round Wire</v>
      </c>
      <c r="AK16" s="119" t="str">
        <f>'AUTO CALCULATION SHEET (2)'!BO19</f>
        <v>FRLSH PVC Type ST-2</v>
      </c>
      <c r="AL16" s="119" t="str">
        <f>'AUTO CALCULATION SHEET (2)'!BX19</f>
        <v>PP FILLER</v>
      </c>
      <c r="AM16" s="119" t="str">
        <f>'AUTO CALCULATION SHEET (2)'!BY19</f>
        <v>NCWBT</v>
      </c>
      <c r="AN16" s="119" t="str">
        <f>'AUTO CALCULATION SHEET (2)'!CA19</f>
        <v>Semi conducting Water Swellable tape</v>
      </c>
      <c r="AO16" s="119" t="str">
        <f>'AUTO CALCULATION SHEET (2)'!CE19</f>
        <v>RUBBERIZED COTTON TAPE</v>
      </c>
      <c r="AP16" s="210" t="s">
        <v>355</v>
      </c>
      <c r="AQ16" s="210" t="s">
        <v>356</v>
      </c>
      <c r="AR16" s="210" t="s">
        <v>357</v>
      </c>
      <c r="AS16" s="210" t="s">
        <v>358</v>
      </c>
      <c r="AT16" s="210" t="s">
        <v>359</v>
      </c>
      <c r="AU16" s="210" t="s">
        <v>360</v>
      </c>
      <c r="AV16" s="210" t="s">
        <v>361</v>
      </c>
      <c r="AW16" s="210" t="s">
        <v>362</v>
      </c>
      <c r="AX16" s="213" t="s">
        <v>363</v>
      </c>
    </row>
    <row r="17" spans="1:50" ht="24" customHeight="1" x14ac:dyDescent="0.2">
      <c r="A17" s="238"/>
      <c r="B17" s="241"/>
      <c r="C17" s="244"/>
      <c r="D17" s="219"/>
      <c r="E17" s="220"/>
      <c r="F17" s="220"/>
      <c r="G17" s="220"/>
      <c r="H17" s="220"/>
      <c r="I17" s="218"/>
      <c r="J17" s="219"/>
      <c r="K17" s="220"/>
      <c r="L17" s="220"/>
      <c r="M17" s="220"/>
      <c r="N17" s="222"/>
      <c r="O17" s="217"/>
      <c r="P17" s="113" t="s">
        <v>321</v>
      </c>
      <c r="Q17" s="114" t="s">
        <v>325</v>
      </c>
      <c r="R17" s="114" t="s">
        <v>323</v>
      </c>
      <c r="S17" s="114" t="s">
        <v>364</v>
      </c>
      <c r="T17" s="117" t="s">
        <v>365</v>
      </c>
      <c r="U17" s="229"/>
      <c r="V17" s="252"/>
      <c r="W17" s="220"/>
      <c r="X17" s="220"/>
      <c r="Y17" s="225"/>
      <c r="Z17" s="220"/>
      <c r="AA17" s="227"/>
      <c r="AB17" s="229"/>
      <c r="AC17" s="120">
        <v>316</v>
      </c>
      <c r="AD17" s="121">
        <v>1406</v>
      </c>
      <c r="AE17" s="121">
        <v>160</v>
      </c>
      <c r="AF17" s="121">
        <v>125</v>
      </c>
      <c r="AG17" s="121">
        <v>115</v>
      </c>
      <c r="AH17" s="121">
        <v>65</v>
      </c>
      <c r="AI17" s="121">
        <f>AC17+5</f>
        <v>321</v>
      </c>
      <c r="AJ17" s="121">
        <v>85</v>
      </c>
      <c r="AK17" s="121">
        <f>79+15</f>
        <v>94</v>
      </c>
      <c r="AL17" s="121">
        <v>77</v>
      </c>
      <c r="AM17" s="121">
        <v>310</v>
      </c>
      <c r="AN17" s="121">
        <v>368</v>
      </c>
      <c r="AO17" s="121">
        <v>283</v>
      </c>
      <c r="AP17" s="211"/>
      <c r="AQ17" s="211"/>
      <c r="AR17" s="211"/>
      <c r="AS17" s="211"/>
      <c r="AT17" s="211"/>
      <c r="AU17" s="211"/>
      <c r="AV17" s="211"/>
      <c r="AW17" s="211"/>
      <c r="AX17" s="214"/>
    </row>
    <row r="18" spans="1:50" ht="25.5" customHeight="1" x14ac:dyDescent="0.2">
      <c r="A18" s="122"/>
      <c r="B18" s="123" t="s">
        <v>366</v>
      </c>
      <c r="C18" s="100"/>
      <c r="D18" s="124"/>
      <c r="E18" s="125"/>
      <c r="F18" s="125"/>
      <c r="G18" s="125"/>
      <c r="H18" s="125"/>
      <c r="I18" s="126"/>
      <c r="J18" s="127"/>
      <c r="K18" s="125"/>
      <c r="L18" s="125"/>
      <c r="M18" s="125"/>
      <c r="N18" s="125"/>
      <c r="O18" s="128"/>
      <c r="P18" s="129"/>
      <c r="Q18" s="130"/>
      <c r="R18" s="130"/>
      <c r="S18" s="130"/>
      <c r="T18" s="131"/>
      <c r="U18" s="132"/>
      <c r="V18" s="115"/>
      <c r="W18" s="114"/>
      <c r="X18" s="114"/>
      <c r="Y18" s="116"/>
      <c r="Z18" s="114"/>
      <c r="AA18" s="133"/>
      <c r="AB18" s="134"/>
      <c r="AC18" s="120" t="s">
        <v>367</v>
      </c>
      <c r="AD18" s="120" t="s">
        <v>367</v>
      </c>
      <c r="AE18" s="120" t="s">
        <v>367</v>
      </c>
      <c r="AF18" s="120" t="s">
        <v>367</v>
      </c>
      <c r="AG18" s="120" t="s">
        <v>367</v>
      </c>
      <c r="AH18" s="120" t="s">
        <v>367</v>
      </c>
      <c r="AI18" s="120" t="s">
        <v>367</v>
      </c>
      <c r="AJ18" s="120" t="s">
        <v>367</v>
      </c>
      <c r="AK18" s="120" t="s">
        <v>367</v>
      </c>
      <c r="AL18" s="120" t="s">
        <v>367</v>
      </c>
      <c r="AM18" s="120" t="s">
        <v>367</v>
      </c>
      <c r="AN18" s="120" t="s">
        <v>367</v>
      </c>
      <c r="AO18" s="120" t="s">
        <v>367</v>
      </c>
      <c r="AP18" s="212"/>
      <c r="AQ18" s="212"/>
      <c r="AR18" s="212"/>
      <c r="AS18" s="212"/>
      <c r="AT18" s="212"/>
      <c r="AU18" s="212"/>
      <c r="AV18" s="212"/>
      <c r="AW18" s="212"/>
      <c r="AX18" s="215"/>
    </row>
    <row r="19" spans="1:50" ht="21.75" customHeight="1" x14ac:dyDescent="0.2">
      <c r="A19" s="135" t="str">
        <f>'AUTO CALCULATION SHEET (2)'!D21</f>
        <v>3 CORE X 400 SQ. MM. AL/ARM - WIRE (XLPE) - 11 KV</v>
      </c>
      <c r="B19" s="136">
        <v>4</v>
      </c>
      <c r="C19" s="137" t="s">
        <v>368</v>
      </c>
      <c r="D19" s="138">
        <v>46070</v>
      </c>
      <c r="E19" s="180">
        <v>316036.08</v>
      </c>
      <c r="F19" s="180">
        <v>1266186.6100000001</v>
      </c>
      <c r="G19" s="177">
        <v>194965</v>
      </c>
      <c r="H19" s="177">
        <v>153825</v>
      </c>
      <c r="I19" s="178">
        <v>74250</v>
      </c>
      <c r="J19" s="139">
        <f>$B$1</f>
        <v>45992</v>
      </c>
      <c r="K19" s="177">
        <v>298490</v>
      </c>
      <c r="L19" s="177">
        <v>1144212</v>
      </c>
      <c r="M19" s="177">
        <v>195005</v>
      </c>
      <c r="N19" s="177">
        <v>152825</v>
      </c>
      <c r="O19" s="178">
        <v>72250</v>
      </c>
      <c r="P19" s="140">
        <v>3.3740000000000001</v>
      </c>
      <c r="Q19" s="141">
        <v>1.3140000000000001</v>
      </c>
      <c r="R19" s="141">
        <v>3.6640000000000001</v>
      </c>
      <c r="S19" s="141">
        <v>6.6580000000000004</v>
      </c>
      <c r="T19" s="142">
        <v>0.124</v>
      </c>
      <c r="U19" s="181">
        <f>'AUTO CALCULATION SHEET (2)'!G78*1000</f>
        <v>2858860.0000000005</v>
      </c>
      <c r="V19" s="182">
        <f>(P19*(E19-K19))</f>
        <v>59200.473920000055</v>
      </c>
      <c r="W19" s="177">
        <f>(Q19*(G19-M19))</f>
        <v>-52.56</v>
      </c>
      <c r="X19" s="177">
        <f>(R19*(H19-N19))</f>
        <v>3664</v>
      </c>
      <c r="Y19" s="178">
        <f>(S19*(I19-O19))</f>
        <v>13316</v>
      </c>
      <c r="Z19" s="177">
        <f>T19*(F19-L19)</f>
        <v>15124.851640000014</v>
      </c>
      <c r="AA19" s="183">
        <f>V19+W19+X19+Y19+Z19</f>
        <v>91252.765560000058</v>
      </c>
      <c r="AB19" s="184">
        <f>+U19+AA19</f>
        <v>2950112.7655600007</v>
      </c>
      <c r="AC19" s="143">
        <f>'AUTO CALCULATION SHEET (2)'!N21</f>
        <v>3240</v>
      </c>
      <c r="AD19" s="144">
        <f>'AUTO CALCULATION SHEET (2)'!AB21</f>
        <v>176</v>
      </c>
      <c r="AE19" s="144">
        <f>'AUTO CALCULATION SHEET (2)'!AF21</f>
        <v>518</v>
      </c>
      <c r="AF19" s="144">
        <f>'AUTO CALCULATION SHEET (2)'!AH21</f>
        <v>930</v>
      </c>
      <c r="AG19" s="144">
        <f>'AUTO CALCULATION SHEET (2)'!AQ21</f>
        <v>0</v>
      </c>
      <c r="AH19" s="144">
        <f>'AUTO CALCULATION SHEET (2)'!AX21</f>
        <v>1130</v>
      </c>
      <c r="AI19" s="144">
        <f>'AUTO CALCULATION SHEET (2)'!BD21</f>
        <v>0</v>
      </c>
      <c r="AJ19" s="144">
        <f>'AUTO CALCULATION SHEET (2)'!BJ21</f>
        <v>5643</v>
      </c>
      <c r="AK19" s="144">
        <f>'AUTO CALCULATION SHEET (2)'!BO21</f>
        <v>1377</v>
      </c>
      <c r="AL19" s="144">
        <f>'AUTO CALCULATION SHEET (2)'!BX21</f>
        <v>1032</v>
      </c>
      <c r="AM19" s="144">
        <f>'AUTO CALCULATION SHEET (2)'!BY21</f>
        <v>58</v>
      </c>
      <c r="AN19" s="144">
        <f>'AUTO CALCULATION SHEET (2)'!CA21</f>
        <v>95</v>
      </c>
      <c r="AO19" s="144">
        <f>'AUTO CALCULATION SHEET (2)'!CE21</f>
        <v>60</v>
      </c>
      <c r="AP19" s="267">
        <f>SUMPRODUCT(AC19:AO19,$AC$17:$AO$17)</f>
        <v>2302353</v>
      </c>
      <c r="AQ19" s="268">
        <f>'AUTO CALCULATION SHEET (2)'!CK21</f>
        <v>104000</v>
      </c>
      <c r="AR19" s="267">
        <f>AP19+AQ19</f>
        <v>2406353</v>
      </c>
      <c r="AS19" s="268">
        <f>AB19-AR19</f>
        <v>543759.76556000067</v>
      </c>
      <c r="AT19" s="145">
        <f>ROUND((AS19/AB19)*100,2)</f>
        <v>18.43</v>
      </c>
      <c r="AU19" s="146">
        <v>0</v>
      </c>
      <c r="AV19" s="146">
        <v>2</v>
      </c>
      <c r="AW19" s="146">
        <v>1</v>
      </c>
      <c r="AX19" s="147">
        <f>AT19-AU19-AV19-AW19</f>
        <v>15.43</v>
      </c>
    </row>
    <row r="20" spans="1:50" ht="21.75" customHeight="1" x14ac:dyDescent="0.2">
      <c r="A20" s="135" t="str">
        <f>'AUTO CALCULATION SHEET (2)'!D22</f>
        <v>3 CORE X 300 SQ. MM. AL/ARM - WIRE (XLPE) - 11 KV</v>
      </c>
      <c r="B20" s="136">
        <v>3.15</v>
      </c>
      <c r="C20" s="137" t="s">
        <v>368</v>
      </c>
      <c r="D20" s="138">
        <v>46070</v>
      </c>
      <c r="E20" s="180">
        <v>316036.08</v>
      </c>
      <c r="F20" s="180">
        <v>1266186.6100000001</v>
      </c>
      <c r="G20" s="177">
        <v>194965</v>
      </c>
      <c r="H20" s="177">
        <v>153825</v>
      </c>
      <c r="I20" s="178">
        <v>74250</v>
      </c>
      <c r="J20" s="139">
        <f t="shared" ref="J20:J41" si="0">$B$1</f>
        <v>45992</v>
      </c>
      <c r="K20" s="177">
        <v>298490</v>
      </c>
      <c r="L20" s="177">
        <v>1144212</v>
      </c>
      <c r="M20" s="177">
        <v>195005</v>
      </c>
      <c r="N20" s="177">
        <v>152825</v>
      </c>
      <c r="O20" s="178">
        <v>72250</v>
      </c>
      <c r="P20" s="140">
        <v>2.6349999999999998</v>
      </c>
      <c r="Q20" s="141">
        <v>1.167</v>
      </c>
      <c r="R20" s="141">
        <v>3.161</v>
      </c>
      <c r="S20" s="141">
        <v>5.1820000000000004</v>
      </c>
      <c r="T20" s="142">
        <v>0.11</v>
      </c>
      <c r="U20" s="181">
        <f>'AUTO CALCULATION SHEET (2)'!G79*1000</f>
        <v>2296720.0000000005</v>
      </c>
      <c r="V20" s="182">
        <f>(P20*(E20-K20))</f>
        <v>46233.920800000036</v>
      </c>
      <c r="W20" s="177">
        <f>(Q20*(G20-M20))</f>
        <v>-46.68</v>
      </c>
      <c r="X20" s="177">
        <f>(R20*(H20-N20))</f>
        <v>3161</v>
      </c>
      <c r="Y20" s="178">
        <f>(S20*(I20-O20))</f>
        <v>10364</v>
      </c>
      <c r="Z20" s="177">
        <f>T20*(F20-L20)</f>
        <v>13417.207100000011</v>
      </c>
      <c r="AA20" s="183">
        <f>V20+W20+X20+Y20+Z20</f>
        <v>73129.447900000043</v>
      </c>
      <c r="AB20" s="184">
        <f>+U20+AA20</f>
        <v>2369849.4479000005</v>
      </c>
      <c r="AC20" s="143">
        <f>'AUTO CALCULATION SHEET (2)'!N22</f>
        <v>2430</v>
      </c>
      <c r="AD20" s="144">
        <f>'AUTO CALCULATION SHEET (2)'!AB22</f>
        <v>161</v>
      </c>
      <c r="AE20" s="144">
        <f>'AUTO CALCULATION SHEET (2)'!AF22</f>
        <v>465</v>
      </c>
      <c r="AF20" s="144">
        <f>'AUTO CALCULATION SHEET (2)'!AH22</f>
        <v>835</v>
      </c>
      <c r="AG20" s="144">
        <f>'AUTO CALCULATION SHEET (2)'!AQ22</f>
        <v>0</v>
      </c>
      <c r="AH20" s="144">
        <f>'AUTO CALCULATION SHEET (2)'!AX22</f>
        <v>974</v>
      </c>
      <c r="AI20" s="144">
        <f>'AUTO CALCULATION SHEET (2)'!BD22</f>
        <v>0</v>
      </c>
      <c r="AJ20" s="144">
        <f>'AUTO CALCULATION SHEET (2)'!BJ22</f>
        <v>4072</v>
      </c>
      <c r="AK20" s="144">
        <f>'AUTO CALCULATION SHEET (2)'!BO22</f>
        <v>1190</v>
      </c>
      <c r="AL20" s="144">
        <f>'AUTO CALCULATION SHEET (2)'!BX22</f>
        <v>862</v>
      </c>
      <c r="AM20" s="144">
        <f>'AUTO CALCULATION SHEET (2)'!BY22</f>
        <v>38</v>
      </c>
      <c r="AN20" s="144">
        <f>'AUTO CALCULATION SHEET (2)'!CA22</f>
        <v>86</v>
      </c>
      <c r="AO20" s="144">
        <f>'AUTO CALCULATION SHEET (2)'!CE22</f>
        <v>54</v>
      </c>
      <c r="AP20" s="267">
        <f t="shared" ref="AP20:AP39" si="1">SUMPRODUCT(AC20:AO20,$AC$17:$AO$17)</f>
        <v>1819395</v>
      </c>
      <c r="AQ20" s="268">
        <f>'AUTO CALCULATION SHEET (2)'!CK22</f>
        <v>104000</v>
      </c>
      <c r="AR20" s="267">
        <f t="shared" ref="AR20:AR39" si="2">AP20+AQ20</f>
        <v>1923395</v>
      </c>
      <c r="AS20" s="268">
        <f t="shared" ref="AS20:AS39" si="3">AB20-AR20</f>
        <v>446454.44790000049</v>
      </c>
      <c r="AT20" s="145">
        <f t="shared" ref="AT20:AT39" si="4">ROUND((AS20/AB20)*100,2)</f>
        <v>18.84</v>
      </c>
      <c r="AU20" s="146">
        <v>0</v>
      </c>
      <c r="AV20" s="146">
        <v>2</v>
      </c>
      <c r="AW20" s="146">
        <v>1</v>
      </c>
      <c r="AX20" s="147">
        <f t="shared" ref="AX20:AX39" si="5">AT20-AU20-AV20-AW20</f>
        <v>15.84</v>
      </c>
    </row>
    <row r="21" spans="1:50" ht="21.75" customHeight="1" x14ac:dyDescent="0.2">
      <c r="A21" s="135" t="str">
        <f>'AUTO CALCULATION SHEET (2)'!D23</f>
        <v>3 CORE X 185 SQ. MM AL/ARM - WIRE (XLPE) - 11 KV</v>
      </c>
      <c r="B21" s="136">
        <v>3.15</v>
      </c>
      <c r="C21" s="137" t="s">
        <v>368</v>
      </c>
      <c r="D21" s="138">
        <v>46070</v>
      </c>
      <c r="E21" s="180">
        <v>316036.08</v>
      </c>
      <c r="F21" s="180">
        <v>1266186.6100000001</v>
      </c>
      <c r="G21" s="177">
        <v>194965</v>
      </c>
      <c r="H21" s="177">
        <v>153825</v>
      </c>
      <c r="I21" s="178">
        <v>74250</v>
      </c>
      <c r="J21" s="139">
        <f t="shared" si="0"/>
        <v>45992</v>
      </c>
      <c r="K21" s="177">
        <v>298490</v>
      </c>
      <c r="L21" s="177">
        <v>1144212</v>
      </c>
      <c r="M21" s="177">
        <v>195005</v>
      </c>
      <c r="N21" s="177">
        <v>152825</v>
      </c>
      <c r="O21" s="178">
        <v>72250</v>
      </c>
      <c r="P21" s="140">
        <v>1.605</v>
      </c>
      <c r="Q21" s="141">
        <v>0.96799999999999997</v>
      </c>
      <c r="R21" s="141">
        <v>2.4060000000000001</v>
      </c>
      <c r="S21" s="141">
        <v>4.1479999999999997</v>
      </c>
      <c r="T21" s="142">
        <v>9.4E-2</v>
      </c>
      <c r="U21" s="181">
        <f>'AUTO CALCULATION SHEET (2)'!G80*1000</f>
        <v>1686820</v>
      </c>
      <c r="V21" s="182">
        <f>(P21*(E21-K21))</f>
        <v>28161.458400000025</v>
      </c>
      <c r="W21" s="177">
        <f>(Q21*(G21-M21))</f>
        <v>-38.72</v>
      </c>
      <c r="X21" s="177">
        <f>(R21*(H21-N21))</f>
        <v>2406</v>
      </c>
      <c r="Y21" s="178">
        <f>(S21*(I21-O21))</f>
        <v>8296</v>
      </c>
      <c r="Z21" s="177">
        <f>T21*(F21-L21)</f>
        <v>11465.613340000009</v>
      </c>
      <c r="AA21" s="183">
        <f>V21+W21+X21+Y21+Z21</f>
        <v>50290.351740000035</v>
      </c>
      <c r="AB21" s="184">
        <f>+U21+AA21</f>
        <v>1737110.3517400001</v>
      </c>
      <c r="AC21" s="143">
        <f>'AUTO CALCULATION SHEET (2)'!N23</f>
        <v>1499</v>
      </c>
      <c r="AD21" s="144">
        <f>'AUTO CALCULATION SHEET (2)'!AB23</f>
        <v>138</v>
      </c>
      <c r="AE21" s="144">
        <f>'AUTO CALCULATION SHEET (2)'!AF23</f>
        <v>387</v>
      </c>
      <c r="AF21" s="144">
        <f>'AUTO CALCULATION SHEET (2)'!AH23</f>
        <v>693</v>
      </c>
      <c r="AG21" s="144">
        <f>'AUTO CALCULATION SHEET (2)'!AQ23</f>
        <v>0</v>
      </c>
      <c r="AH21" s="144">
        <f>'AUTO CALCULATION SHEET (2)'!AX23</f>
        <v>809</v>
      </c>
      <c r="AI21" s="144">
        <f>'AUTO CALCULATION SHEET (2)'!BD23</f>
        <v>0</v>
      </c>
      <c r="AJ21" s="144">
        <f>'AUTO CALCULATION SHEET (2)'!BJ23</f>
        <v>3500</v>
      </c>
      <c r="AK21" s="144">
        <f>'AUTO CALCULATION SHEET (2)'!BO23</f>
        <v>945</v>
      </c>
      <c r="AL21" s="144">
        <f>'AUTO CALCULATION SHEET (2)'!BX23</f>
        <v>615</v>
      </c>
      <c r="AM21" s="144">
        <f>'AUTO CALCULATION SHEET (2)'!BY23</f>
        <v>35</v>
      </c>
      <c r="AN21" s="144">
        <f>'AUTO CALCULATION SHEET (2)'!CA23</f>
        <v>72</v>
      </c>
      <c r="AO21" s="144">
        <f>'AUTO CALCULATION SHEET (2)'!CE23</f>
        <v>48</v>
      </c>
      <c r="AP21" s="267">
        <f t="shared" si="1"/>
        <v>1353457</v>
      </c>
      <c r="AQ21" s="268">
        <f>'AUTO CALCULATION SHEET (2)'!CK23</f>
        <v>67600</v>
      </c>
      <c r="AR21" s="267">
        <f t="shared" si="2"/>
        <v>1421057</v>
      </c>
      <c r="AS21" s="268">
        <f t="shared" si="3"/>
        <v>316053.35174000007</v>
      </c>
      <c r="AT21" s="145">
        <f t="shared" si="4"/>
        <v>18.190000000000001</v>
      </c>
      <c r="AU21" s="146">
        <v>0</v>
      </c>
      <c r="AV21" s="146">
        <v>2</v>
      </c>
      <c r="AW21" s="146">
        <v>1</v>
      </c>
      <c r="AX21" s="147">
        <f t="shared" si="5"/>
        <v>15.190000000000001</v>
      </c>
    </row>
    <row r="22" spans="1:50" ht="21.75" customHeight="1" x14ac:dyDescent="0.2">
      <c r="A22" s="135" t="str">
        <f>'AUTO CALCULATION SHEET (2)'!D24</f>
        <v>3 CORE X 150 SQ. MM. AL/ARM - WIRE (XLPE) - 11 KV</v>
      </c>
      <c r="B22" s="136">
        <v>2.5</v>
      </c>
      <c r="C22" s="137" t="s">
        <v>368</v>
      </c>
      <c r="D22" s="138">
        <v>46070</v>
      </c>
      <c r="E22" s="180">
        <v>316036.08</v>
      </c>
      <c r="F22" s="180">
        <v>1266186.6100000001</v>
      </c>
      <c r="G22" s="177">
        <v>194965</v>
      </c>
      <c r="H22" s="177">
        <v>153825</v>
      </c>
      <c r="I22" s="178">
        <v>75250</v>
      </c>
      <c r="J22" s="139">
        <f t="shared" si="0"/>
        <v>45992</v>
      </c>
      <c r="K22" s="177">
        <v>298490</v>
      </c>
      <c r="L22" s="177">
        <v>1144212</v>
      </c>
      <c r="M22" s="177">
        <v>195005</v>
      </c>
      <c r="N22" s="177">
        <v>152825</v>
      </c>
      <c r="O22" s="178">
        <v>73250</v>
      </c>
      <c r="P22" s="140">
        <v>1.2789999999999999</v>
      </c>
      <c r="Q22" s="141">
        <v>0.89</v>
      </c>
      <c r="R22" s="141">
        <v>2.0609999999999999</v>
      </c>
      <c r="S22" s="141">
        <v>3.2650000000000001</v>
      </c>
      <c r="T22" s="142">
        <v>8.7999999999999995E-2</v>
      </c>
      <c r="U22" s="181">
        <f>'AUTO CALCULATION SHEET (2)'!G81*1000</f>
        <v>1405420</v>
      </c>
      <c r="V22" s="182">
        <f>(P22*(E22-K22))</f>
        <v>22441.436320000019</v>
      </c>
      <c r="W22" s="177">
        <f>(Q22*(G22-M22))</f>
        <v>-35.6</v>
      </c>
      <c r="X22" s="177">
        <f>(R22*(H22-N22))</f>
        <v>2061</v>
      </c>
      <c r="Y22" s="178">
        <f>(S22*(I22-O22))</f>
        <v>6530</v>
      </c>
      <c r="Z22" s="177">
        <f>T22*(F22-L22)</f>
        <v>10733.765680000008</v>
      </c>
      <c r="AA22" s="183">
        <f>V22+W22+X22+Y22+Z22</f>
        <v>41730.602000000028</v>
      </c>
      <c r="AB22" s="184">
        <f>+U22+AA22</f>
        <v>1447150.602</v>
      </c>
      <c r="AC22" s="143">
        <f>'AUTO CALCULATION SHEET (2)'!N24</f>
        <v>1215</v>
      </c>
      <c r="AD22" s="144">
        <f>'AUTO CALCULATION SHEET (2)'!AB24</f>
        <v>130</v>
      </c>
      <c r="AE22" s="144">
        <f>'AUTO CALCULATION SHEET (2)'!AF24</f>
        <v>359</v>
      </c>
      <c r="AF22" s="144">
        <f>'AUTO CALCULATION SHEET (2)'!AH24</f>
        <v>642</v>
      </c>
      <c r="AG22" s="144">
        <f>'AUTO CALCULATION SHEET (2)'!AQ24</f>
        <v>0</v>
      </c>
      <c r="AH22" s="144">
        <f>'AUTO CALCULATION SHEET (2)'!AX24</f>
        <v>666</v>
      </c>
      <c r="AI22" s="144">
        <f>'AUTO CALCULATION SHEET (2)'!BD24</f>
        <v>0</v>
      </c>
      <c r="AJ22" s="144">
        <f>'AUTO CALCULATION SHEET (2)'!BJ24</f>
        <v>2605</v>
      </c>
      <c r="AK22" s="144">
        <f>'AUTO CALCULATION SHEET (2)'!BO24</f>
        <v>812</v>
      </c>
      <c r="AL22" s="144">
        <f>'AUTO CALCULATION SHEET (2)'!BX24</f>
        <v>567</v>
      </c>
      <c r="AM22" s="144">
        <f>'AUTO CALCULATION SHEET (2)'!BY24</f>
        <v>18</v>
      </c>
      <c r="AN22" s="144">
        <f>'AUTO CALCULATION SHEET (2)'!CA24</f>
        <v>67</v>
      </c>
      <c r="AO22" s="144">
        <f>'AUTO CALCULATION SHEET (2)'!CE24</f>
        <v>44</v>
      </c>
      <c r="AP22" s="267">
        <f t="shared" si="1"/>
        <v>1131800</v>
      </c>
      <c r="AQ22" s="268">
        <f>'AUTO CALCULATION SHEET (2)'!CK24</f>
        <v>46800</v>
      </c>
      <c r="AR22" s="267">
        <f t="shared" si="2"/>
        <v>1178600</v>
      </c>
      <c r="AS22" s="268">
        <f t="shared" si="3"/>
        <v>268550.60199999996</v>
      </c>
      <c r="AT22" s="145">
        <f t="shared" si="4"/>
        <v>18.559999999999999</v>
      </c>
      <c r="AU22" s="146">
        <v>0</v>
      </c>
      <c r="AV22" s="146">
        <v>2</v>
      </c>
      <c r="AW22" s="146">
        <v>1</v>
      </c>
      <c r="AX22" s="147">
        <f t="shared" si="5"/>
        <v>15.559999999999999</v>
      </c>
    </row>
    <row r="23" spans="1:50" ht="21.75" customHeight="1" x14ac:dyDescent="0.2">
      <c r="A23" s="135" t="str">
        <f>'AUTO CALCULATION SHEET (2)'!D25</f>
        <v>3 CORE X 120 SQ. MM. AL/ARM - WIRE (XLPE) - 11 KV</v>
      </c>
      <c r="B23" s="136">
        <v>2.5</v>
      </c>
      <c r="C23" s="137" t="s">
        <v>368</v>
      </c>
      <c r="D23" s="138">
        <v>46070</v>
      </c>
      <c r="E23" s="180">
        <v>316036.08</v>
      </c>
      <c r="F23" s="180">
        <v>1266186.6100000001</v>
      </c>
      <c r="G23" s="177">
        <v>194965</v>
      </c>
      <c r="H23" s="177">
        <v>153825</v>
      </c>
      <c r="I23" s="178">
        <v>75250</v>
      </c>
      <c r="J23" s="139">
        <f t="shared" si="0"/>
        <v>45992</v>
      </c>
      <c r="K23" s="177">
        <v>298490</v>
      </c>
      <c r="L23" s="177">
        <v>1144212</v>
      </c>
      <c r="M23" s="177">
        <v>195005</v>
      </c>
      <c r="N23" s="177">
        <v>152825</v>
      </c>
      <c r="O23" s="178">
        <v>73250</v>
      </c>
      <c r="P23" s="140">
        <v>1.036</v>
      </c>
      <c r="Q23" s="141">
        <v>0.82199999999999995</v>
      </c>
      <c r="R23" s="141">
        <v>1.877</v>
      </c>
      <c r="S23" s="141">
        <v>2.8820000000000001</v>
      </c>
      <c r="T23" s="142">
        <v>8.3000000000000004E-2</v>
      </c>
      <c r="U23" s="181">
        <f>'AUTO CALCULATION SHEET (2)'!G82*1000</f>
        <v>1257820</v>
      </c>
      <c r="V23" s="182">
        <f>(P23*(E23-K23))</f>
        <v>18177.738880000019</v>
      </c>
      <c r="W23" s="177">
        <f>(Q23*(G23-M23))</f>
        <v>-32.879999999999995</v>
      </c>
      <c r="X23" s="177">
        <f>(R23*(H23-N23))</f>
        <v>1877</v>
      </c>
      <c r="Y23" s="178">
        <f>(S23*(I23-O23))</f>
        <v>5764</v>
      </c>
      <c r="Z23" s="177">
        <f>T23*(F23-L23)</f>
        <v>10123.892630000009</v>
      </c>
      <c r="AA23" s="183">
        <f>V23+W23+X23+Y23+Z23</f>
        <v>35909.751510000031</v>
      </c>
      <c r="AB23" s="184">
        <f>+U23+AA23</f>
        <v>1293729.7515100001</v>
      </c>
      <c r="AC23" s="143">
        <f>'AUTO CALCULATION SHEET (2)'!N25</f>
        <v>972</v>
      </c>
      <c r="AD23" s="144">
        <f>'AUTO CALCULATION SHEET (2)'!AB25</f>
        <v>123</v>
      </c>
      <c r="AE23" s="144">
        <f>'AUTO CALCULATION SHEET (2)'!AF25</f>
        <v>332</v>
      </c>
      <c r="AF23" s="144">
        <f>'AUTO CALCULATION SHEET (2)'!AH25</f>
        <v>593</v>
      </c>
      <c r="AG23" s="144">
        <f>'AUTO CALCULATION SHEET (2)'!AQ25</f>
        <v>0</v>
      </c>
      <c r="AH23" s="144">
        <f>'AUTO CALCULATION SHEET (2)'!AX25</f>
        <v>605</v>
      </c>
      <c r="AI23" s="144">
        <f>'AUTO CALCULATION SHEET (2)'!BD25</f>
        <v>0</v>
      </c>
      <c r="AJ23" s="144">
        <f>'AUTO CALCULATION SHEET (2)'!BJ25</f>
        <v>2485</v>
      </c>
      <c r="AK23" s="144">
        <f>'AUTO CALCULATION SHEET (2)'!BO25</f>
        <v>726</v>
      </c>
      <c r="AL23" s="144">
        <f>'AUTO CALCULATION SHEET (2)'!BX25</f>
        <v>503</v>
      </c>
      <c r="AM23" s="144">
        <f>'AUTO CALCULATION SHEET (2)'!BY25</f>
        <v>17</v>
      </c>
      <c r="AN23" s="144">
        <f>'AUTO CALCULATION SHEET (2)'!CA25</f>
        <v>62</v>
      </c>
      <c r="AO23" s="144">
        <f>'AUTO CALCULATION SHEET (2)'!CE25</f>
        <v>42</v>
      </c>
      <c r="AP23" s="267">
        <f t="shared" si="1"/>
        <v>1004832</v>
      </c>
      <c r="AQ23" s="268">
        <f>'AUTO CALCULATION SHEET (2)'!CK25</f>
        <v>46800</v>
      </c>
      <c r="AR23" s="267">
        <f t="shared" si="2"/>
        <v>1051632</v>
      </c>
      <c r="AS23" s="268">
        <f t="shared" si="3"/>
        <v>242097.75151000009</v>
      </c>
      <c r="AT23" s="145">
        <f t="shared" si="4"/>
        <v>18.71</v>
      </c>
      <c r="AU23" s="146">
        <v>0</v>
      </c>
      <c r="AV23" s="146">
        <v>2</v>
      </c>
      <c r="AW23" s="146">
        <v>1</v>
      </c>
      <c r="AX23" s="147">
        <f t="shared" si="5"/>
        <v>15.71</v>
      </c>
    </row>
    <row r="24" spans="1:50" ht="21.75" customHeight="1" x14ac:dyDescent="0.2">
      <c r="A24" s="135" t="str">
        <f>'AUTO CALCULATION SHEET (2)'!D26</f>
        <v>3 CORE X 95 SQ. MM. AL/ARM - WIRE (XLPE) - 11 KV</v>
      </c>
      <c r="B24" s="136">
        <v>2.5</v>
      </c>
      <c r="C24" s="137" t="s">
        <v>368</v>
      </c>
      <c r="D24" s="138">
        <v>46070</v>
      </c>
      <c r="E24" s="180">
        <v>316036.08</v>
      </c>
      <c r="F24" s="180">
        <v>1266186.6100000001</v>
      </c>
      <c r="G24" s="177">
        <v>194965</v>
      </c>
      <c r="H24" s="177">
        <v>153825</v>
      </c>
      <c r="I24" s="178">
        <v>75250</v>
      </c>
      <c r="J24" s="139">
        <f t="shared" si="0"/>
        <v>45992</v>
      </c>
      <c r="K24" s="177">
        <v>298490</v>
      </c>
      <c r="L24" s="177">
        <v>1144212</v>
      </c>
      <c r="M24" s="177">
        <v>195005</v>
      </c>
      <c r="N24" s="177">
        <v>152825</v>
      </c>
      <c r="O24" s="178">
        <v>73250</v>
      </c>
      <c r="P24" s="140">
        <v>0.82099999999999995</v>
      </c>
      <c r="Q24" s="141">
        <v>0.755</v>
      </c>
      <c r="R24" s="141">
        <v>1.647</v>
      </c>
      <c r="S24" s="141">
        <v>2.718</v>
      </c>
      <c r="T24" s="142">
        <v>7.6999999999999999E-2</v>
      </c>
      <c r="U24" s="181">
        <f>'AUTO CALCULATION SHEET (2)'!G83*1000</f>
        <v>1204969.9999999998</v>
      </c>
      <c r="V24" s="182">
        <f>(P24*(E24-K24))</f>
        <v>14405.331680000012</v>
      </c>
      <c r="W24" s="177">
        <f>(Q24*(G24-M24))</f>
        <v>-30.2</v>
      </c>
      <c r="X24" s="177">
        <f>(R24*(H24-N24))</f>
        <v>1647</v>
      </c>
      <c r="Y24" s="178">
        <f>(S24*(I24-O24))</f>
        <v>5436</v>
      </c>
      <c r="Z24" s="177">
        <f>T24*(F24-L24)</f>
        <v>9392.0449700000081</v>
      </c>
      <c r="AA24" s="183">
        <f>V24+W24+X24+Y24+Z24</f>
        <v>30850.176650000023</v>
      </c>
      <c r="AB24" s="184">
        <f>+U24+AA24</f>
        <v>1235820.1766499998</v>
      </c>
      <c r="AC24" s="143">
        <f>'AUTO CALCULATION SHEET (2)'!N26</f>
        <v>770</v>
      </c>
      <c r="AD24" s="144">
        <f>'AUTO CALCULATION SHEET (2)'!AB26</f>
        <v>115</v>
      </c>
      <c r="AE24" s="144">
        <f>'AUTO CALCULATION SHEET (2)'!AF26</f>
        <v>304</v>
      </c>
      <c r="AF24" s="144">
        <f>'AUTO CALCULATION SHEET (2)'!AH26</f>
        <v>542</v>
      </c>
      <c r="AG24" s="144">
        <f>'AUTO CALCULATION SHEET (2)'!AQ26</f>
        <v>0</v>
      </c>
      <c r="AH24" s="144">
        <f>'AUTO CALCULATION SHEET (2)'!AX26</f>
        <v>576</v>
      </c>
      <c r="AI24" s="144">
        <f>'AUTO CALCULATION SHEET (2)'!BD26</f>
        <v>0</v>
      </c>
      <c r="AJ24" s="144">
        <f>'AUTO CALCULATION SHEET (2)'!BJ26</f>
        <v>2324</v>
      </c>
      <c r="AK24" s="144">
        <f>'AUTO CALCULATION SHEET (2)'!BO26</f>
        <v>685</v>
      </c>
      <c r="AL24" s="144">
        <f>'AUTO CALCULATION SHEET (2)'!BX26</f>
        <v>418</v>
      </c>
      <c r="AM24" s="144">
        <f>'AUTO CALCULATION SHEET (2)'!BY26</f>
        <v>15</v>
      </c>
      <c r="AN24" s="144">
        <f>'AUTO CALCULATION SHEET (2)'!CA26</f>
        <v>57</v>
      </c>
      <c r="AO24" s="144">
        <f>'AUTO CALCULATION SHEET (2)'!CE26</f>
        <v>40</v>
      </c>
      <c r="AP24" s="267">
        <f t="shared" si="1"/>
        <v>889902</v>
      </c>
      <c r="AQ24" s="268">
        <f>'AUTO CALCULATION SHEET (2)'!CK26</f>
        <v>46800</v>
      </c>
      <c r="AR24" s="267">
        <f t="shared" si="2"/>
        <v>936702</v>
      </c>
      <c r="AS24" s="268">
        <f t="shared" si="3"/>
        <v>299118.1766499998</v>
      </c>
      <c r="AT24" s="145">
        <f t="shared" si="4"/>
        <v>24.2</v>
      </c>
      <c r="AU24" s="146">
        <v>0</v>
      </c>
      <c r="AV24" s="146">
        <v>2</v>
      </c>
      <c r="AW24" s="146">
        <v>1</v>
      </c>
      <c r="AX24" s="147">
        <f t="shared" si="5"/>
        <v>21.2</v>
      </c>
    </row>
    <row r="25" spans="1:50" ht="21.75" customHeight="1" x14ac:dyDescent="0.2">
      <c r="A25" s="135" t="str">
        <f>'AUTO CALCULATION SHEET (2)'!D27</f>
        <v>3 CORE X 70 SQ. MM. AL/ARM - WIRE (XLPE) - 11 KV</v>
      </c>
      <c r="B25" s="136">
        <v>2.5</v>
      </c>
      <c r="C25" s="137" t="s">
        <v>368</v>
      </c>
      <c r="D25" s="138">
        <v>46070</v>
      </c>
      <c r="E25" s="180">
        <v>316036.08</v>
      </c>
      <c r="F25" s="180">
        <v>1266186.6100000001</v>
      </c>
      <c r="G25" s="177">
        <v>194965</v>
      </c>
      <c r="H25" s="177">
        <v>153825</v>
      </c>
      <c r="I25" s="178">
        <v>75250</v>
      </c>
      <c r="J25" s="139">
        <f t="shared" si="0"/>
        <v>45992</v>
      </c>
      <c r="K25" s="177">
        <v>298490</v>
      </c>
      <c r="L25" s="177">
        <v>1144212</v>
      </c>
      <c r="M25" s="177">
        <v>195005</v>
      </c>
      <c r="N25" s="177">
        <v>152825</v>
      </c>
      <c r="O25" s="178">
        <v>73250</v>
      </c>
      <c r="P25" s="140">
        <v>0.59299999999999997</v>
      </c>
      <c r="Q25" s="141">
        <v>0.67900000000000005</v>
      </c>
      <c r="R25" s="141">
        <v>1.3959999999999999</v>
      </c>
      <c r="S25" s="141">
        <v>2.5030000000000001</v>
      </c>
      <c r="T25" s="142">
        <v>7.0999999999999994E-2</v>
      </c>
      <c r="U25" s="181">
        <f>'AUTO CALCULATION SHEET (2)'!G84*1000</f>
        <v>1060929.9999999998</v>
      </c>
      <c r="V25" s="182">
        <f>(P25*(E25-K25))</f>
        <v>10404.82544000001</v>
      </c>
      <c r="W25" s="177">
        <f>(Q25*(G25-M25))</f>
        <v>-27.160000000000004</v>
      </c>
      <c r="X25" s="177">
        <f>(R25*(H25-N25))</f>
        <v>1396</v>
      </c>
      <c r="Y25" s="178">
        <f>(S25*(I25-O25))</f>
        <v>5006</v>
      </c>
      <c r="Z25" s="177">
        <f>T25*(F25-L25)</f>
        <v>8660.1973100000068</v>
      </c>
      <c r="AA25" s="183">
        <f>V25+W25+X25+Y25+Z25</f>
        <v>25439.862750000018</v>
      </c>
      <c r="AB25" s="184">
        <f>+U25+AA25</f>
        <v>1086369.8627499999</v>
      </c>
      <c r="AC25" s="143">
        <f>'AUTO CALCULATION SHEET (2)'!N27</f>
        <v>567</v>
      </c>
      <c r="AD25" s="144">
        <f>'AUTO CALCULATION SHEET (2)'!AB27</f>
        <v>107</v>
      </c>
      <c r="AE25" s="144">
        <f>'AUTO CALCULATION SHEET (2)'!AF27</f>
        <v>268</v>
      </c>
      <c r="AF25" s="144">
        <f>'AUTO CALCULATION SHEET (2)'!AH27</f>
        <v>497</v>
      </c>
      <c r="AG25" s="144">
        <f>'AUTO CALCULATION SHEET (2)'!AQ27</f>
        <v>0</v>
      </c>
      <c r="AH25" s="144">
        <f>'AUTO CALCULATION SHEET (2)'!AX27</f>
        <v>477</v>
      </c>
      <c r="AI25" s="144">
        <f>'AUTO CALCULATION SHEET (2)'!BD27</f>
        <v>0</v>
      </c>
      <c r="AJ25" s="144">
        <f>'AUTO CALCULATION SHEET (2)'!BJ27</f>
        <v>2204</v>
      </c>
      <c r="AK25" s="144">
        <f>'AUTO CALCULATION SHEET (2)'!BO27</f>
        <v>610</v>
      </c>
      <c r="AL25" s="144">
        <f>'AUTO CALCULATION SHEET (2)'!BX27</f>
        <v>383</v>
      </c>
      <c r="AM25" s="144">
        <f>'AUTO CALCULATION SHEET (2)'!BY27</f>
        <v>15</v>
      </c>
      <c r="AN25" s="144">
        <f>'AUTO CALCULATION SHEET (2)'!CA27</f>
        <v>53</v>
      </c>
      <c r="AO25" s="144">
        <f>'AUTO CALCULATION SHEET (2)'!CE27</f>
        <v>38</v>
      </c>
      <c r="AP25" s="267">
        <f t="shared" si="1"/>
        <v>774703</v>
      </c>
      <c r="AQ25" s="268">
        <f>'AUTO CALCULATION SHEET (2)'!CK27</f>
        <v>46800</v>
      </c>
      <c r="AR25" s="267">
        <f t="shared" si="2"/>
        <v>821503</v>
      </c>
      <c r="AS25" s="268">
        <f t="shared" si="3"/>
        <v>264866.86274999985</v>
      </c>
      <c r="AT25" s="145">
        <f t="shared" si="4"/>
        <v>24.38</v>
      </c>
      <c r="AU25" s="146">
        <v>0</v>
      </c>
      <c r="AV25" s="146">
        <v>2</v>
      </c>
      <c r="AW25" s="146">
        <v>1</v>
      </c>
      <c r="AX25" s="147">
        <f t="shared" si="5"/>
        <v>21.38</v>
      </c>
    </row>
    <row r="26" spans="1:50" ht="21.75" customHeight="1" x14ac:dyDescent="0.2">
      <c r="A26" s="135" t="str">
        <f>'AUTO CALCULATION SHEET (2)'!D28</f>
        <v>3 CORE X 50 SQ. MM. AL/ARD - WIRE (XLPE) - 11 KV</v>
      </c>
      <c r="B26" s="136">
        <v>2.5</v>
      </c>
      <c r="C26" s="137" t="s">
        <v>368</v>
      </c>
      <c r="D26" s="138">
        <v>46070</v>
      </c>
      <c r="E26" s="180">
        <v>316036.08</v>
      </c>
      <c r="F26" s="180">
        <v>1266186.6100000001</v>
      </c>
      <c r="G26" s="177">
        <v>194965</v>
      </c>
      <c r="H26" s="177">
        <v>153825</v>
      </c>
      <c r="I26" s="178">
        <v>75250</v>
      </c>
      <c r="J26" s="139">
        <f t="shared" si="0"/>
        <v>45992</v>
      </c>
      <c r="K26" s="177">
        <v>298490</v>
      </c>
      <c r="L26" s="177">
        <v>1144212</v>
      </c>
      <c r="M26" s="177">
        <v>195005</v>
      </c>
      <c r="N26" s="177">
        <v>152825</v>
      </c>
      <c r="O26" s="178">
        <v>73250</v>
      </c>
      <c r="P26" s="140">
        <v>0.41</v>
      </c>
      <c r="Q26" s="141">
        <v>0.6</v>
      </c>
      <c r="R26" s="141">
        <v>1.26</v>
      </c>
      <c r="S26" s="141">
        <v>2.3210000000000002</v>
      </c>
      <c r="T26" s="142">
        <v>6.5000000000000002E-2</v>
      </c>
      <c r="U26" s="181">
        <f>'AUTO CALCULATION SHEET (2)'!G85*1000</f>
        <v>1036660.0000000001</v>
      </c>
      <c r="V26" s="182">
        <f>(P26*(E26-K26))</f>
        <v>7193.892800000006</v>
      </c>
      <c r="W26" s="177">
        <f>(Q26*(G26-M26))</f>
        <v>-24</v>
      </c>
      <c r="X26" s="177">
        <f>(R26*(H26-N26))</f>
        <v>1260</v>
      </c>
      <c r="Y26" s="178">
        <f>(S26*(I26-O26))</f>
        <v>4642</v>
      </c>
      <c r="Z26" s="177">
        <f>T26*(F26-L26)</f>
        <v>7928.3496500000065</v>
      </c>
      <c r="AA26" s="183">
        <f>V26+W26+X26+Y26+Z26</f>
        <v>21000.242450000012</v>
      </c>
      <c r="AB26" s="184">
        <f>+U26+AA26</f>
        <v>1057660.24245</v>
      </c>
      <c r="AC26" s="143">
        <f>'AUTO CALCULATION SHEET (2)'!N28</f>
        <v>405</v>
      </c>
      <c r="AD26" s="144">
        <f>'AUTO CALCULATION SHEET (2)'!AB28</f>
        <v>99</v>
      </c>
      <c r="AE26" s="144">
        <f>'AUTO CALCULATION SHEET (2)'!AF28</f>
        <v>241</v>
      </c>
      <c r="AF26" s="144">
        <f>'AUTO CALCULATION SHEET (2)'!AH28</f>
        <v>446</v>
      </c>
      <c r="AG26" s="144">
        <f>'AUTO CALCULATION SHEET (2)'!AQ28</f>
        <v>0</v>
      </c>
      <c r="AH26" s="144">
        <f>'AUTO CALCULATION SHEET (2)'!AX28</f>
        <v>407</v>
      </c>
      <c r="AI26" s="144">
        <f>'AUTO CALCULATION SHEET (2)'!BD28</f>
        <v>0</v>
      </c>
      <c r="AJ26" s="144">
        <f>'AUTO CALCULATION SHEET (2)'!BJ28</f>
        <v>2044</v>
      </c>
      <c r="AK26" s="144">
        <f>'AUTO CALCULATION SHEET (2)'!BO28</f>
        <v>566</v>
      </c>
      <c r="AL26" s="144">
        <f>'AUTO CALCULATION SHEET (2)'!BX28</f>
        <v>330</v>
      </c>
      <c r="AM26" s="144">
        <f>'AUTO CALCULATION SHEET (2)'!BY28</f>
        <v>6</v>
      </c>
      <c r="AN26" s="144">
        <f>'AUTO CALCULATION SHEET (2)'!CA28</f>
        <v>48</v>
      </c>
      <c r="AO26" s="144">
        <f>'AUTO CALCULATION SHEET (2)'!CE28</f>
        <v>35</v>
      </c>
      <c r="AP26" s="267">
        <f t="shared" si="1"/>
        <v>669722</v>
      </c>
      <c r="AQ26" s="268">
        <f>'AUTO CALCULATION SHEET (2)'!CK28</f>
        <v>39000</v>
      </c>
      <c r="AR26" s="267">
        <f t="shared" si="2"/>
        <v>708722</v>
      </c>
      <c r="AS26" s="268">
        <f t="shared" si="3"/>
        <v>348938.24245000002</v>
      </c>
      <c r="AT26" s="145">
        <f t="shared" si="4"/>
        <v>32.99</v>
      </c>
      <c r="AU26" s="146">
        <v>0</v>
      </c>
      <c r="AV26" s="146">
        <v>2</v>
      </c>
      <c r="AW26" s="146">
        <v>1</v>
      </c>
      <c r="AX26" s="147">
        <f t="shared" si="5"/>
        <v>29.990000000000002</v>
      </c>
    </row>
    <row r="27" spans="1:50" ht="21.75" customHeight="1" x14ac:dyDescent="0.2">
      <c r="A27" s="135" t="str">
        <f>'AUTO CALCULATION SHEET (2)'!D29</f>
        <v>3 CORE X 35 SQ. MM. AL/ARM - WIRE (XLPE) - 11 KV</v>
      </c>
      <c r="B27" s="136">
        <v>2</v>
      </c>
      <c r="C27" s="137" t="s">
        <v>368</v>
      </c>
      <c r="D27" s="138">
        <v>46070</v>
      </c>
      <c r="E27" s="180">
        <v>316036.08</v>
      </c>
      <c r="F27" s="180">
        <v>1266186.6100000001</v>
      </c>
      <c r="G27" s="177">
        <v>194965</v>
      </c>
      <c r="H27" s="177">
        <v>153825</v>
      </c>
      <c r="I27" s="178">
        <v>77250</v>
      </c>
      <c r="J27" s="139">
        <f t="shared" si="0"/>
        <v>45992</v>
      </c>
      <c r="K27" s="177">
        <v>298490</v>
      </c>
      <c r="L27" s="177">
        <v>1144212</v>
      </c>
      <c r="M27" s="177">
        <v>195005</v>
      </c>
      <c r="N27" s="177">
        <v>152825</v>
      </c>
      <c r="O27" s="178">
        <v>75250</v>
      </c>
      <c r="P27" s="140">
        <v>0.30199999999999999</v>
      </c>
      <c r="Q27" s="141">
        <v>0.54500000000000004</v>
      </c>
      <c r="R27" s="141">
        <v>1.1419999999999999</v>
      </c>
      <c r="S27" s="141">
        <v>1.853</v>
      </c>
      <c r="T27" s="142">
        <v>6.0999999999999999E-2</v>
      </c>
      <c r="U27" s="181">
        <f>'AUTO CALCULATION SHEET (2)'!G86*1000</f>
        <v>876160</v>
      </c>
      <c r="V27" s="182">
        <f>(P27*(E27-K27))</f>
        <v>5298.9161600000043</v>
      </c>
      <c r="W27" s="177">
        <f>(Q27*(G27-M27))</f>
        <v>-21.8</v>
      </c>
      <c r="X27" s="177">
        <f>(R27*(H27-N27))</f>
        <v>1142</v>
      </c>
      <c r="Y27" s="178">
        <f>(S27*(I27-O27))</f>
        <v>3706</v>
      </c>
      <c r="Z27" s="177">
        <f>T27*(F27-L27)</f>
        <v>7440.4512100000065</v>
      </c>
      <c r="AA27" s="183">
        <f>V27+W27+X27+Y27+Z27</f>
        <v>17565.567370000012</v>
      </c>
      <c r="AB27" s="184">
        <f>+U27+AA27</f>
        <v>893725.56737000006</v>
      </c>
      <c r="AC27" s="143">
        <f>'AUTO CALCULATION SHEET (2)'!N29</f>
        <v>284</v>
      </c>
      <c r="AD27" s="144">
        <f>'AUTO CALCULATION SHEET (2)'!AB29</f>
        <v>93</v>
      </c>
      <c r="AE27" s="144">
        <f>'AUTO CALCULATION SHEET (2)'!AF29</f>
        <v>220</v>
      </c>
      <c r="AF27" s="144">
        <f>'AUTO CALCULATION SHEET (2)'!AH29</f>
        <v>410</v>
      </c>
      <c r="AG27" s="144">
        <f>'AUTO CALCULATION SHEET (2)'!AQ29</f>
        <v>0</v>
      </c>
      <c r="AH27" s="144">
        <f>'AUTO CALCULATION SHEET (2)'!AX29</f>
        <v>335</v>
      </c>
      <c r="AI27" s="144">
        <f>'AUTO CALCULATION SHEET (2)'!BD29</f>
        <v>0</v>
      </c>
      <c r="AJ27" s="144">
        <f>'AUTO CALCULATION SHEET (2)'!BJ29</f>
        <v>1539</v>
      </c>
      <c r="AK27" s="144">
        <f>'AUTO CALCULATION SHEET (2)'!BO29</f>
        <v>500</v>
      </c>
      <c r="AL27" s="144">
        <f>'AUTO CALCULATION SHEET (2)'!BX29</f>
        <v>290</v>
      </c>
      <c r="AM27" s="144">
        <f>'AUTO CALCULATION SHEET (2)'!BY29</f>
        <v>6</v>
      </c>
      <c r="AN27" s="144">
        <f>'AUTO CALCULATION SHEET (2)'!CA29</f>
        <v>44</v>
      </c>
      <c r="AO27" s="144">
        <f>'AUTO CALCULATION SHEET (2)'!CE29</f>
        <v>32</v>
      </c>
      <c r="AP27" s="267">
        <f t="shared" si="1"/>
        <v>555980</v>
      </c>
      <c r="AQ27" s="268">
        <f>'AUTO CALCULATION SHEET (2)'!CK29</f>
        <v>39000</v>
      </c>
      <c r="AR27" s="267">
        <f t="shared" si="2"/>
        <v>594980</v>
      </c>
      <c r="AS27" s="268">
        <f t="shared" si="3"/>
        <v>298745.56737000006</v>
      </c>
      <c r="AT27" s="145">
        <f t="shared" si="4"/>
        <v>33.43</v>
      </c>
      <c r="AU27" s="146">
        <v>0</v>
      </c>
      <c r="AV27" s="146">
        <v>2</v>
      </c>
      <c r="AW27" s="146">
        <v>1</v>
      </c>
      <c r="AX27" s="147">
        <f t="shared" si="5"/>
        <v>30.43</v>
      </c>
    </row>
    <row r="28" spans="1:50" ht="21.75" customHeight="1" x14ac:dyDescent="0.2">
      <c r="A28" s="135" t="str">
        <f>'AUTO CALCULATION SHEET (2)'!D30</f>
        <v>1 CORE X 1000 SQ. MM. AL/ARM (XLPE) - 11 KV</v>
      </c>
      <c r="B28" s="136">
        <v>2.5</v>
      </c>
      <c r="C28" s="137" t="s">
        <v>368</v>
      </c>
      <c r="D28" s="138">
        <v>46070</v>
      </c>
      <c r="E28" s="180">
        <v>316036.08</v>
      </c>
      <c r="F28" s="180">
        <v>1266186.6100000001</v>
      </c>
      <c r="G28" s="177">
        <v>194965</v>
      </c>
      <c r="H28" s="177">
        <v>153825</v>
      </c>
      <c r="I28" s="178"/>
      <c r="J28" s="139">
        <f t="shared" si="0"/>
        <v>45992</v>
      </c>
      <c r="K28" s="177">
        <v>298490</v>
      </c>
      <c r="L28" s="177">
        <v>1144212</v>
      </c>
      <c r="M28" s="177">
        <v>195005</v>
      </c>
      <c r="N28" s="177">
        <v>152825</v>
      </c>
      <c r="O28" s="178"/>
      <c r="P28" s="140">
        <v>3.7490000000000001</v>
      </c>
      <c r="Q28" s="141">
        <v>0.66</v>
      </c>
      <c r="R28" s="141">
        <v>1.0349999999999999</v>
      </c>
      <c r="S28" s="141"/>
      <c r="T28" s="142">
        <v>5.8000000000000003E-2</v>
      </c>
      <c r="U28" s="181">
        <f>'AUTO CALCULATION SHEET (2)'!G87*1000</f>
        <v>1786610</v>
      </c>
      <c r="V28" s="182">
        <f>(P28*(E28-K28))</f>
        <v>65780.253920000061</v>
      </c>
      <c r="W28" s="177">
        <f>(Q28*(G28-M28))</f>
        <v>-26.400000000000002</v>
      </c>
      <c r="X28" s="177">
        <f>(R28*(H28-N28))</f>
        <v>1035</v>
      </c>
      <c r="Y28" s="178">
        <f>(S28*(I28-O28))</f>
        <v>0</v>
      </c>
      <c r="Z28" s="177">
        <f>T28*(F28-L28)</f>
        <v>7074.5273800000059</v>
      </c>
      <c r="AA28" s="183">
        <f>V28+W28+X28+Y28+Z28</f>
        <v>73863.381300000066</v>
      </c>
      <c r="AB28" s="184">
        <f>+U28+AA28</f>
        <v>1860473.3813</v>
      </c>
      <c r="AC28" s="143">
        <f>'AUTO CALCULATION SHEET (2)'!N30</f>
        <v>2732</v>
      </c>
      <c r="AD28" s="144">
        <f>'AUTO CALCULATION SHEET (2)'!AB30</f>
        <v>84</v>
      </c>
      <c r="AE28" s="144">
        <f>'AUTO CALCULATION SHEET (2)'!AF30</f>
        <v>276</v>
      </c>
      <c r="AF28" s="144">
        <f>'AUTO CALCULATION SHEET (2)'!AH30</f>
        <v>480</v>
      </c>
      <c r="AG28" s="144">
        <f>'AUTO CALCULATION SHEET (2)'!AQ30</f>
        <v>35</v>
      </c>
      <c r="AH28" s="144">
        <f>'AUTO CALCULATION SHEET (2)'!AX30</f>
        <v>218</v>
      </c>
      <c r="AI28" s="144">
        <f>'AUTO CALCULATION SHEET (2)'!BD30</f>
        <v>814</v>
      </c>
      <c r="AJ28" s="144">
        <f>'AUTO CALCULATION SHEET (2)'!BJ30</f>
        <v>0</v>
      </c>
      <c r="AK28" s="144">
        <f>'AUTO CALCULATION SHEET (2)'!BO30</f>
        <v>706</v>
      </c>
      <c r="AL28" s="144">
        <f>'AUTO CALCULATION SHEET (2)'!BX30</f>
        <v>0</v>
      </c>
      <c r="AM28" s="144">
        <f>'AUTO CALCULATION SHEET (2)'!BY30</f>
        <v>39</v>
      </c>
      <c r="AN28" s="144">
        <f>'AUTO CALCULATION SHEET (2)'!CA30</f>
        <v>49</v>
      </c>
      <c r="AO28" s="144">
        <f>'AUTO CALCULATION SHEET (2)'!CE30</f>
        <v>42</v>
      </c>
      <c r="AP28" s="267">
        <f t="shared" si="1"/>
        <v>1473437</v>
      </c>
      <c r="AQ28" s="268">
        <f>'AUTO CALCULATION SHEET (2)'!CK30</f>
        <v>39000</v>
      </c>
      <c r="AR28" s="267">
        <f t="shared" si="2"/>
        <v>1512437</v>
      </c>
      <c r="AS28" s="268">
        <f t="shared" si="3"/>
        <v>348036.38130000001</v>
      </c>
      <c r="AT28" s="145">
        <f t="shared" si="4"/>
        <v>18.71</v>
      </c>
      <c r="AU28" s="146">
        <v>0</v>
      </c>
      <c r="AV28" s="146">
        <v>2</v>
      </c>
      <c r="AW28" s="146">
        <v>1</v>
      </c>
      <c r="AX28" s="147">
        <f t="shared" si="5"/>
        <v>15.71</v>
      </c>
    </row>
    <row r="29" spans="1:50" ht="21.75" customHeight="1" x14ac:dyDescent="0.2">
      <c r="A29" s="135" t="str">
        <f>'AUTO CALCULATION SHEET (2)'!D31</f>
        <v>1 CORE X 630 SQ. MM. AL/ARM (XLPE)  - 11 KV</v>
      </c>
      <c r="B29" s="136">
        <v>2</v>
      </c>
      <c r="C29" s="137" t="s">
        <v>368</v>
      </c>
      <c r="D29" s="138">
        <v>46070</v>
      </c>
      <c r="E29" s="180">
        <v>316036.08</v>
      </c>
      <c r="F29" s="180">
        <v>1266186.6100000001</v>
      </c>
      <c r="G29" s="177">
        <v>194965</v>
      </c>
      <c r="H29" s="177">
        <v>153825</v>
      </c>
      <c r="I29" s="178"/>
      <c r="J29" s="139">
        <f t="shared" si="0"/>
        <v>45992</v>
      </c>
      <c r="K29" s="177">
        <v>298490</v>
      </c>
      <c r="L29" s="177">
        <v>1144212</v>
      </c>
      <c r="M29" s="177">
        <v>195005</v>
      </c>
      <c r="N29" s="177">
        <v>152825</v>
      </c>
      <c r="O29" s="178"/>
      <c r="P29" s="140">
        <v>2.3690000000000002</v>
      </c>
      <c r="Q29" s="141">
        <v>0.52900000000000003</v>
      </c>
      <c r="R29" s="141">
        <v>0.73899999999999999</v>
      </c>
      <c r="S29" s="141"/>
      <c r="T29" s="142">
        <v>0.05</v>
      </c>
      <c r="U29" s="181">
        <f>'AUTO CALCULATION SHEET (2)'!G88*1000</f>
        <v>1195040</v>
      </c>
      <c r="V29" s="182">
        <f>(P29*(E29-K29))</f>
        <v>41566.663520000046</v>
      </c>
      <c r="W29" s="177">
        <f>(Q29*(G29-M29))</f>
        <v>-21.16</v>
      </c>
      <c r="X29" s="177">
        <f>(R29*(H29-N29))</f>
        <v>739</v>
      </c>
      <c r="Y29" s="178">
        <f>(S29*(I29-O29))</f>
        <v>0</v>
      </c>
      <c r="Z29" s="177">
        <f>T29*(F29-L29)</f>
        <v>6098.7305000000051</v>
      </c>
      <c r="AA29" s="183">
        <f>V29+W29+X29+Y29+Z29</f>
        <v>48383.234020000047</v>
      </c>
      <c r="AB29" s="184">
        <f>+U29+AA29</f>
        <v>1243423.2340200001</v>
      </c>
      <c r="AC29" s="143">
        <f>'AUTO CALCULATION SHEET (2)'!N31</f>
        <v>1701</v>
      </c>
      <c r="AD29" s="144">
        <f>'AUTO CALCULATION SHEET (2)'!AB31</f>
        <v>69</v>
      </c>
      <c r="AE29" s="144">
        <f>'AUTO CALCULATION SHEET (2)'!AF31</f>
        <v>213</v>
      </c>
      <c r="AF29" s="144">
        <f>'AUTO CALCULATION SHEET (2)'!AH31</f>
        <v>380</v>
      </c>
      <c r="AG29" s="144">
        <f>'AUTO CALCULATION SHEET (2)'!AQ31</f>
        <v>29</v>
      </c>
      <c r="AH29" s="144">
        <f>'AUTO CALCULATION SHEET (2)'!AX31</f>
        <v>159</v>
      </c>
      <c r="AI29" s="144">
        <f>'AUTO CALCULATION SHEET (2)'!BD31</f>
        <v>539</v>
      </c>
      <c r="AJ29" s="144">
        <f>'AUTO CALCULATION SHEET (2)'!BJ31</f>
        <v>0</v>
      </c>
      <c r="AK29" s="144">
        <f>'AUTO CALCULATION SHEET (2)'!BO31</f>
        <v>500</v>
      </c>
      <c r="AL29" s="144">
        <f>'AUTO CALCULATION SHEET (2)'!BX31</f>
        <v>0</v>
      </c>
      <c r="AM29" s="144">
        <f>'AUTO CALCULATION SHEET (2)'!BY31</f>
        <v>26</v>
      </c>
      <c r="AN29" s="144">
        <f>'AUTO CALCULATION SHEET (2)'!CA31</f>
        <v>39</v>
      </c>
      <c r="AO29" s="144">
        <f>'AUTO CALCULATION SHEET (2)'!CE31</f>
        <v>33</v>
      </c>
      <c r="AP29" s="267">
        <f t="shared" si="1"/>
        <v>981550</v>
      </c>
      <c r="AQ29" s="268">
        <f>'AUTO CALCULATION SHEET (2)'!CK31</f>
        <v>32500</v>
      </c>
      <c r="AR29" s="267">
        <f t="shared" si="2"/>
        <v>1014050</v>
      </c>
      <c r="AS29" s="268">
        <f t="shared" si="3"/>
        <v>229373.23402000009</v>
      </c>
      <c r="AT29" s="145">
        <f t="shared" si="4"/>
        <v>18.45</v>
      </c>
      <c r="AU29" s="146">
        <v>0</v>
      </c>
      <c r="AV29" s="146">
        <v>2</v>
      </c>
      <c r="AW29" s="146">
        <v>1</v>
      </c>
      <c r="AX29" s="147">
        <f t="shared" si="5"/>
        <v>15.45</v>
      </c>
    </row>
    <row r="30" spans="1:50" ht="21.75" customHeight="1" x14ac:dyDescent="0.2">
      <c r="A30" s="135" t="str">
        <f>'AUTO CALCULATION SHEET (2)'!D32</f>
        <v>1 CORE X 400 SQ. MM. AL/ARM (XLPE) - 11 KV</v>
      </c>
      <c r="B30" s="136">
        <v>2</v>
      </c>
      <c r="C30" s="137" t="s">
        <v>368</v>
      </c>
      <c r="D30" s="138">
        <v>46070</v>
      </c>
      <c r="E30" s="180">
        <v>316036.08</v>
      </c>
      <c r="F30" s="180">
        <v>1266186.6100000001</v>
      </c>
      <c r="G30" s="177">
        <v>194965</v>
      </c>
      <c r="H30" s="177">
        <v>153825</v>
      </c>
      <c r="I30" s="178"/>
      <c r="J30" s="139">
        <f t="shared" si="0"/>
        <v>45992</v>
      </c>
      <c r="K30" s="177">
        <v>298490</v>
      </c>
      <c r="L30" s="177">
        <v>1144212</v>
      </c>
      <c r="M30" s="177">
        <v>195005</v>
      </c>
      <c r="N30" s="177">
        <v>152825</v>
      </c>
      <c r="O30" s="178"/>
      <c r="P30" s="140">
        <v>1.5649999999999999</v>
      </c>
      <c r="Q30" s="141">
        <v>0.42</v>
      </c>
      <c r="R30" s="141">
        <v>0.57799999999999996</v>
      </c>
      <c r="S30" s="141"/>
      <c r="T30" s="142">
        <v>4.1000000000000002E-2</v>
      </c>
      <c r="U30" s="181">
        <f>'AUTO CALCULATION SHEET (2)'!G89*1000</f>
        <v>865870</v>
      </c>
      <c r="V30" s="182">
        <f>(P30*(E30-K30))</f>
        <v>27459.615200000026</v>
      </c>
      <c r="W30" s="177">
        <f>(Q30*(G30-M30))</f>
        <v>-16.8</v>
      </c>
      <c r="X30" s="177">
        <f>(R30*(H30-N30))</f>
        <v>578</v>
      </c>
      <c r="Y30" s="178">
        <f>(S30*(I30-O30))</f>
        <v>0</v>
      </c>
      <c r="Z30" s="177">
        <f>T30*(F30-L30)</f>
        <v>5000.9590100000041</v>
      </c>
      <c r="AA30" s="183">
        <f>V30+W30+X30+Y30+Z30</f>
        <v>33021.774210000032</v>
      </c>
      <c r="AB30" s="184">
        <f>+U30+AA30</f>
        <v>898891.77421000006</v>
      </c>
      <c r="AC30" s="143">
        <f>'AUTO CALCULATION SHEET (2)'!N32</f>
        <v>1080</v>
      </c>
      <c r="AD30" s="144">
        <f>'AUTO CALCULATION SHEET (2)'!AB32</f>
        <v>59</v>
      </c>
      <c r="AE30" s="144">
        <f>'AUTO CALCULATION SHEET (2)'!AF32</f>
        <v>172</v>
      </c>
      <c r="AF30" s="144">
        <f>'AUTO CALCULATION SHEET (2)'!AH32</f>
        <v>310</v>
      </c>
      <c r="AG30" s="144">
        <f>'AUTO CALCULATION SHEET (2)'!AQ32</f>
        <v>24</v>
      </c>
      <c r="AH30" s="144">
        <f>'AUTO CALCULATION SHEET (2)'!AX32</f>
        <v>115</v>
      </c>
      <c r="AI30" s="144">
        <f>'AUTO CALCULATION SHEET (2)'!BD32</f>
        <v>460</v>
      </c>
      <c r="AJ30" s="144">
        <f>'AUTO CALCULATION SHEET (2)'!BJ32</f>
        <v>0</v>
      </c>
      <c r="AK30" s="144">
        <f>'AUTO CALCULATION SHEET (2)'!BO32</f>
        <v>400</v>
      </c>
      <c r="AL30" s="144">
        <f>'AUTO CALCULATION SHEET (2)'!BX32</f>
        <v>0</v>
      </c>
      <c r="AM30" s="144">
        <f>'AUTO CALCULATION SHEET (2)'!BY32</f>
        <v>20</v>
      </c>
      <c r="AN30" s="144">
        <f>'AUTO CALCULATION SHEET (2)'!CA32</f>
        <v>32</v>
      </c>
      <c r="AO30" s="144">
        <f>'AUTO CALCULATION SHEET (2)'!CE32</f>
        <v>30</v>
      </c>
      <c r="AP30" s="267">
        <f t="shared" si="1"/>
        <v>712465</v>
      </c>
      <c r="AQ30" s="268">
        <f>'AUTO CALCULATION SHEET (2)'!CK32</f>
        <v>23400</v>
      </c>
      <c r="AR30" s="267">
        <f t="shared" si="2"/>
        <v>735865</v>
      </c>
      <c r="AS30" s="268">
        <f t="shared" si="3"/>
        <v>163026.77421000006</v>
      </c>
      <c r="AT30" s="145">
        <f t="shared" si="4"/>
        <v>18.14</v>
      </c>
      <c r="AU30" s="146">
        <v>0</v>
      </c>
      <c r="AV30" s="146">
        <v>2</v>
      </c>
      <c r="AW30" s="146">
        <v>1</v>
      </c>
      <c r="AX30" s="147">
        <f t="shared" si="5"/>
        <v>15.14</v>
      </c>
    </row>
    <row r="31" spans="1:50" ht="21.75" customHeight="1" x14ac:dyDescent="0.2">
      <c r="A31" s="135" t="str">
        <f>'AUTO CALCULATION SHEET (2)'!D33</f>
        <v>1 CORE X 300 SQ. MM. AL./ARM (XLPE)  - 11 KV</v>
      </c>
      <c r="B31" s="136">
        <v>2</v>
      </c>
      <c r="C31" s="137" t="s">
        <v>368</v>
      </c>
      <c r="D31" s="138">
        <v>46070</v>
      </c>
      <c r="E31" s="180">
        <v>316036.08</v>
      </c>
      <c r="F31" s="180">
        <v>1266186.6100000001</v>
      </c>
      <c r="G31" s="177">
        <v>194965</v>
      </c>
      <c r="H31" s="177">
        <v>153825</v>
      </c>
      <c r="I31" s="178"/>
      <c r="J31" s="139">
        <f t="shared" si="0"/>
        <v>45992</v>
      </c>
      <c r="K31" s="177">
        <v>298490</v>
      </c>
      <c r="L31" s="177">
        <v>1144212</v>
      </c>
      <c r="M31" s="177">
        <v>195005</v>
      </c>
      <c r="N31" s="177">
        <v>152825</v>
      </c>
      <c r="O31" s="178"/>
      <c r="P31" s="140">
        <v>1.2829999999999999</v>
      </c>
      <c r="Q31" s="141">
        <v>0.372</v>
      </c>
      <c r="R31" s="141">
        <v>0.50600000000000001</v>
      </c>
      <c r="S31" s="141"/>
      <c r="T31" s="142">
        <v>3.5999999999999997E-2</v>
      </c>
      <c r="U31" s="181">
        <f>'AUTO CALCULATION SHEET (2)'!G90*1000</f>
        <v>733540</v>
      </c>
      <c r="V31" s="182">
        <f>(P31*(E31-K31))</f>
        <v>22511.620640000019</v>
      </c>
      <c r="W31" s="177">
        <f>(Q31*(G31-M31))</f>
        <v>-14.879999999999999</v>
      </c>
      <c r="X31" s="177">
        <f>(R31*(H31-N31))</f>
        <v>506</v>
      </c>
      <c r="Y31" s="178">
        <f>(S31*(I31-O31))</f>
        <v>0</v>
      </c>
      <c r="Z31" s="177">
        <f>T31*(F31-L31)</f>
        <v>4391.0859600000031</v>
      </c>
      <c r="AA31" s="183">
        <f>V31+W31+X31+Y31+Z31</f>
        <v>27393.826600000022</v>
      </c>
      <c r="AB31" s="184">
        <f>+U31+AA31</f>
        <v>760933.82660000003</v>
      </c>
      <c r="AC31" s="143">
        <f>'AUTO CALCULATION SHEET (2)'!N33</f>
        <v>810</v>
      </c>
      <c r="AD31" s="144">
        <f>'AUTO CALCULATION SHEET (2)'!AB33</f>
        <v>54</v>
      </c>
      <c r="AE31" s="144">
        <f>'AUTO CALCULATION SHEET (2)'!AF33</f>
        <v>155</v>
      </c>
      <c r="AF31" s="144">
        <f>'AUTO CALCULATION SHEET (2)'!AH33</f>
        <v>278</v>
      </c>
      <c r="AG31" s="144">
        <f>'AUTO CALCULATION SHEET (2)'!AQ33</f>
        <v>22</v>
      </c>
      <c r="AH31" s="144">
        <f>'AUTO CALCULATION SHEET (2)'!AX33</f>
        <v>105</v>
      </c>
      <c r="AI31" s="144">
        <f>'AUTO CALCULATION SHEET (2)'!BD33</f>
        <v>424</v>
      </c>
      <c r="AJ31" s="144">
        <f>'AUTO CALCULATION SHEET (2)'!BJ33</f>
        <v>0</v>
      </c>
      <c r="AK31" s="144">
        <f>'AUTO CALCULATION SHEET (2)'!BO33</f>
        <v>343</v>
      </c>
      <c r="AL31" s="144">
        <f>'AUTO CALCULATION SHEET (2)'!BX33</f>
        <v>0</v>
      </c>
      <c r="AM31" s="144">
        <f>'AUTO CALCULATION SHEET (2)'!BY33</f>
        <v>13</v>
      </c>
      <c r="AN31" s="144">
        <f>'AUTO CALCULATION SHEET (2)'!CA33</f>
        <v>29</v>
      </c>
      <c r="AO31" s="144">
        <f>'AUTO CALCULATION SHEET (2)'!CE33</f>
        <v>27</v>
      </c>
      <c r="AP31" s="267">
        <f t="shared" si="1"/>
        <v>591478</v>
      </c>
      <c r="AQ31" s="268">
        <f>'AUTO CALCULATION SHEET (2)'!CK33</f>
        <v>19500</v>
      </c>
      <c r="AR31" s="267">
        <f t="shared" si="2"/>
        <v>610978</v>
      </c>
      <c r="AS31" s="268">
        <f t="shared" si="3"/>
        <v>149955.82660000003</v>
      </c>
      <c r="AT31" s="145">
        <f t="shared" si="4"/>
        <v>19.71</v>
      </c>
      <c r="AU31" s="146">
        <v>0</v>
      </c>
      <c r="AV31" s="146">
        <v>2</v>
      </c>
      <c r="AW31" s="146">
        <v>1</v>
      </c>
      <c r="AX31" s="147">
        <f t="shared" si="5"/>
        <v>16.71</v>
      </c>
    </row>
    <row r="32" spans="1:50" ht="21.75" customHeight="1" x14ac:dyDescent="0.2">
      <c r="A32" s="135" t="str">
        <f>'AUTO CALCULATION SHEET (2)'!D34</f>
        <v>3 CORE X 400 SQ. MM AL/ARM - WIRE (XLPE) - 33 KV</v>
      </c>
      <c r="B32" s="136">
        <v>4</v>
      </c>
      <c r="C32" s="137" t="s">
        <v>368</v>
      </c>
      <c r="D32" s="138">
        <v>46070</v>
      </c>
      <c r="E32" s="180">
        <v>316036.08</v>
      </c>
      <c r="F32" s="180">
        <v>1266186.6100000001</v>
      </c>
      <c r="G32" s="177">
        <v>194965</v>
      </c>
      <c r="H32" s="177">
        <v>153825</v>
      </c>
      <c r="I32" s="178">
        <v>74250</v>
      </c>
      <c r="J32" s="139">
        <f t="shared" si="0"/>
        <v>45992</v>
      </c>
      <c r="K32" s="177">
        <v>298490</v>
      </c>
      <c r="L32" s="177">
        <v>1144212</v>
      </c>
      <c r="M32" s="177">
        <v>195005</v>
      </c>
      <c r="N32" s="177">
        <v>152825</v>
      </c>
      <c r="O32" s="178">
        <v>72250</v>
      </c>
      <c r="P32" s="140">
        <v>3.3740000000000001</v>
      </c>
      <c r="Q32" s="141">
        <v>3.2290000000000001</v>
      </c>
      <c r="R32" s="141">
        <v>5.7359999999999998</v>
      </c>
      <c r="S32" s="141">
        <v>8.76</v>
      </c>
      <c r="T32" s="142">
        <v>0.16400000000000001</v>
      </c>
      <c r="U32" s="181">
        <f>'AUTO CALCULATION SHEET (2)'!G91*1000</f>
        <v>3620970.0000000005</v>
      </c>
      <c r="V32" s="182">
        <f>(P32*(E32-K32))</f>
        <v>59200.473920000055</v>
      </c>
      <c r="W32" s="177">
        <f>(Q32*(G32-M32))</f>
        <v>-129.16</v>
      </c>
      <c r="X32" s="177">
        <f>(R32*(H32-N32))</f>
        <v>5736</v>
      </c>
      <c r="Y32" s="178">
        <f>(S32*(I32-O32))</f>
        <v>17520</v>
      </c>
      <c r="Z32" s="177">
        <f>T32*(F32-L32)</f>
        <v>20003.836040000017</v>
      </c>
      <c r="AA32" s="183">
        <f>V32+W32+X32+Y32+Z32</f>
        <v>102331.14996000007</v>
      </c>
      <c r="AB32" s="184">
        <f>+U32+AA32</f>
        <v>3723301.1499600005</v>
      </c>
      <c r="AC32" s="143">
        <f>'AUTO CALCULATION SHEET (2)'!N34</f>
        <v>3240</v>
      </c>
      <c r="AD32" s="144">
        <f>'AUTO CALCULATION SHEET (2)'!AB34</f>
        <v>229</v>
      </c>
      <c r="AE32" s="144">
        <f>'AUTO CALCULATION SHEET (2)'!AF34</f>
        <v>618</v>
      </c>
      <c r="AF32" s="144">
        <f>'AUTO CALCULATION SHEET (2)'!AH34</f>
        <v>2674</v>
      </c>
      <c r="AG32" s="144">
        <f>'AUTO CALCULATION SHEET (2)'!AQ34</f>
        <v>0</v>
      </c>
      <c r="AH32" s="144">
        <f>'AUTO CALCULATION SHEET (2)'!AX34</f>
        <v>1792</v>
      </c>
      <c r="AI32" s="144">
        <f>'AUTO CALCULATION SHEET (2)'!BD34</f>
        <v>0</v>
      </c>
      <c r="AJ32" s="144">
        <f>'AUTO CALCULATION SHEET (2)'!BJ34</f>
        <v>7284</v>
      </c>
      <c r="AK32" s="144">
        <f>'AUTO CALCULATION SHEET (2)'!BO34</f>
        <v>1760</v>
      </c>
      <c r="AL32" s="144">
        <f>'AUTO CALCULATION SHEET (2)'!BX34</f>
        <v>1750</v>
      </c>
      <c r="AM32" s="144">
        <f>'AUTO CALCULATION SHEET (2)'!BY34</f>
        <v>58</v>
      </c>
      <c r="AN32" s="144">
        <f>'AUTO CALCULATION SHEET (2)'!CA34</f>
        <v>114</v>
      </c>
      <c r="AO32" s="144">
        <f>'AUTO CALCULATION SHEET (2)'!CE34</f>
        <v>76</v>
      </c>
      <c r="AP32" s="267">
        <f t="shared" si="1"/>
        <v>2896194</v>
      </c>
      <c r="AQ32" s="268">
        <f>'AUTO CALCULATION SHEET (2)'!CK34</f>
        <v>143000</v>
      </c>
      <c r="AR32" s="267">
        <f t="shared" si="2"/>
        <v>3039194</v>
      </c>
      <c r="AS32" s="268">
        <f t="shared" si="3"/>
        <v>684107.14996000053</v>
      </c>
      <c r="AT32" s="145">
        <f t="shared" si="4"/>
        <v>18.37</v>
      </c>
      <c r="AU32" s="146">
        <v>0</v>
      </c>
      <c r="AV32" s="146">
        <v>2</v>
      </c>
      <c r="AW32" s="146">
        <v>1</v>
      </c>
      <c r="AX32" s="147">
        <f t="shared" si="5"/>
        <v>15.370000000000001</v>
      </c>
    </row>
    <row r="33" spans="1:50" ht="21.75" customHeight="1" x14ac:dyDescent="0.2">
      <c r="A33" s="135" t="str">
        <f>'AUTO CALCULATION SHEET (2)'!D35</f>
        <v>3 CORE X 300 SQ. MM. AL/ARM - WIRE (XLPE) - 33 KV</v>
      </c>
      <c r="B33" s="136">
        <v>4</v>
      </c>
      <c r="C33" s="137" t="s">
        <v>368</v>
      </c>
      <c r="D33" s="138">
        <v>46070</v>
      </c>
      <c r="E33" s="180">
        <v>316036.08</v>
      </c>
      <c r="F33" s="180">
        <v>1266186.6100000001</v>
      </c>
      <c r="G33" s="177">
        <v>194965</v>
      </c>
      <c r="H33" s="177">
        <v>153825</v>
      </c>
      <c r="I33" s="178">
        <v>74250</v>
      </c>
      <c r="J33" s="139">
        <f t="shared" si="0"/>
        <v>45992</v>
      </c>
      <c r="K33" s="177">
        <v>298490</v>
      </c>
      <c r="L33" s="177">
        <v>1144212</v>
      </c>
      <c r="M33" s="177">
        <v>195005</v>
      </c>
      <c r="N33" s="177">
        <v>152825</v>
      </c>
      <c r="O33" s="178">
        <v>72250</v>
      </c>
      <c r="P33" s="140">
        <v>2.6349999999999998</v>
      </c>
      <c r="Q33" s="141">
        <v>2.919</v>
      </c>
      <c r="R33" s="141">
        <v>5.0289999999999999</v>
      </c>
      <c r="S33" s="141">
        <v>8.1869999999999994</v>
      </c>
      <c r="T33" s="142">
        <v>0.15</v>
      </c>
      <c r="U33" s="181">
        <f>'AUTO CALCULATION SHEET (2)'!G92*1000</f>
        <v>3140880</v>
      </c>
      <c r="V33" s="182">
        <f>(P33*(E33-K33))</f>
        <v>46233.920800000036</v>
      </c>
      <c r="W33" s="177">
        <f>(Q33*(G33-M33))</f>
        <v>-116.76</v>
      </c>
      <c r="X33" s="177">
        <f>(R33*(H33-N33))</f>
        <v>5029</v>
      </c>
      <c r="Y33" s="178">
        <f>(S33*(I33-O33))</f>
        <v>16373.999999999998</v>
      </c>
      <c r="Z33" s="177">
        <f>T33*(F33-L33)</f>
        <v>18296.191500000015</v>
      </c>
      <c r="AA33" s="183">
        <f>V33+W33+X33+Y33+Z33</f>
        <v>85816.352300000042</v>
      </c>
      <c r="AB33" s="184">
        <f>+U33+AA33</f>
        <v>3226696.3522999999</v>
      </c>
      <c r="AC33" s="143">
        <f>'AUTO CALCULATION SHEET (2)'!N35</f>
        <v>2430</v>
      </c>
      <c r="AD33" s="144">
        <f>'AUTO CALCULATION SHEET (2)'!AB35</f>
        <v>214</v>
      </c>
      <c r="AE33" s="144">
        <f>'AUTO CALCULATION SHEET (2)'!AF35</f>
        <v>564</v>
      </c>
      <c r="AF33" s="144">
        <f>'AUTO CALCULATION SHEET (2)'!AH35</f>
        <v>2438</v>
      </c>
      <c r="AG33" s="144">
        <f>'AUTO CALCULATION SHEET (2)'!AQ35</f>
        <v>0</v>
      </c>
      <c r="AH33" s="144">
        <f>'AUTO CALCULATION SHEET (2)'!AX35</f>
        <v>1594</v>
      </c>
      <c r="AI33" s="144">
        <f>'AUTO CALCULATION SHEET (2)'!BD35</f>
        <v>0</v>
      </c>
      <c r="AJ33" s="144">
        <f>'AUTO CALCULATION SHEET (2)'!BJ35</f>
        <v>6874</v>
      </c>
      <c r="AK33" s="144">
        <f>'AUTO CALCULATION SHEET (2)'!BO35</f>
        <v>1655</v>
      </c>
      <c r="AL33" s="144">
        <f>'AUTO CALCULATION SHEET (2)'!BX35</f>
        <v>1525</v>
      </c>
      <c r="AM33" s="144">
        <f>'AUTO CALCULATION SHEET (2)'!BY35</f>
        <v>38</v>
      </c>
      <c r="AN33" s="144">
        <f>'AUTO CALCULATION SHEET (2)'!CA35</f>
        <v>104</v>
      </c>
      <c r="AO33" s="144">
        <f>'AUTO CALCULATION SHEET (2)'!CE35</f>
        <v>72</v>
      </c>
      <c r="AP33" s="267">
        <f t="shared" si="1"/>
        <v>2495077</v>
      </c>
      <c r="AQ33" s="268">
        <f>'AUTO CALCULATION SHEET (2)'!CK35</f>
        <v>132600</v>
      </c>
      <c r="AR33" s="267">
        <f t="shared" si="2"/>
        <v>2627677</v>
      </c>
      <c r="AS33" s="268">
        <f t="shared" si="3"/>
        <v>599019.35229999991</v>
      </c>
      <c r="AT33" s="145">
        <f t="shared" si="4"/>
        <v>18.559999999999999</v>
      </c>
      <c r="AU33" s="146">
        <v>0</v>
      </c>
      <c r="AV33" s="146">
        <v>2</v>
      </c>
      <c r="AW33" s="146">
        <v>1</v>
      </c>
      <c r="AX33" s="147">
        <f t="shared" si="5"/>
        <v>15.559999999999999</v>
      </c>
    </row>
    <row r="34" spans="1:50" ht="21.75" customHeight="1" x14ac:dyDescent="0.2">
      <c r="A34" s="135" t="str">
        <f>'AUTO CALCULATION SHEET (2)'!D36</f>
        <v>3 CORE X 185 SQ. MM AL/ARM - WIRE (XLPE) - 33 KV</v>
      </c>
      <c r="B34" s="136">
        <v>4</v>
      </c>
      <c r="C34" s="137" t="s">
        <v>368</v>
      </c>
      <c r="D34" s="138">
        <v>46070</v>
      </c>
      <c r="E34" s="180">
        <v>316036.08</v>
      </c>
      <c r="F34" s="180">
        <v>1266186.6100000001</v>
      </c>
      <c r="G34" s="177">
        <v>194965</v>
      </c>
      <c r="H34" s="177">
        <v>153825</v>
      </c>
      <c r="I34" s="178">
        <v>74250</v>
      </c>
      <c r="J34" s="139">
        <f t="shared" si="0"/>
        <v>45992</v>
      </c>
      <c r="K34" s="177">
        <v>298490</v>
      </c>
      <c r="L34" s="177">
        <v>1144212</v>
      </c>
      <c r="M34" s="177">
        <v>195005</v>
      </c>
      <c r="N34" s="177">
        <v>152825</v>
      </c>
      <c r="O34" s="178">
        <v>72250</v>
      </c>
      <c r="P34" s="140">
        <v>1.605</v>
      </c>
      <c r="Q34" s="141">
        <v>2.5129999999999999</v>
      </c>
      <c r="R34" s="141">
        <v>4.1660000000000004</v>
      </c>
      <c r="S34" s="141">
        <v>7.3559999999999999</v>
      </c>
      <c r="T34" s="142">
        <v>0.13400000000000001</v>
      </c>
      <c r="U34" s="181">
        <f>'AUTO CALCULATION SHEET (2)'!G93*1000</f>
        <v>2498050.0000000005</v>
      </c>
      <c r="V34" s="182">
        <f>(P34*(E34-K34))</f>
        <v>28161.458400000025</v>
      </c>
      <c r="W34" s="177">
        <f>(Q34*(G34-M34))</f>
        <v>-100.52</v>
      </c>
      <c r="X34" s="177">
        <f>(R34*(H34-N34))</f>
        <v>4166</v>
      </c>
      <c r="Y34" s="178">
        <f>(S34*(I34-O34))</f>
        <v>14712</v>
      </c>
      <c r="Z34" s="177">
        <f>T34*(F34-L34)</f>
        <v>16344.597740000014</v>
      </c>
      <c r="AA34" s="183">
        <f>V34+W34+X34+Y34+Z34</f>
        <v>63283.53614000004</v>
      </c>
      <c r="AB34" s="184">
        <f>+U34+AA34</f>
        <v>2561333.5361400004</v>
      </c>
      <c r="AC34" s="143">
        <f>'AUTO CALCULATION SHEET (2)'!N36</f>
        <v>1499</v>
      </c>
      <c r="AD34" s="144">
        <f>'AUTO CALCULATION SHEET (2)'!AB36</f>
        <v>191</v>
      </c>
      <c r="AE34" s="144">
        <f>'AUTO CALCULATION SHEET (2)'!AF36</f>
        <v>486</v>
      </c>
      <c r="AF34" s="144">
        <f>'AUTO CALCULATION SHEET (2)'!AH36</f>
        <v>2091</v>
      </c>
      <c r="AG34" s="144">
        <f>'AUTO CALCULATION SHEET (2)'!AQ36</f>
        <v>0</v>
      </c>
      <c r="AH34" s="144">
        <f>'AUTO CALCULATION SHEET (2)'!AX36</f>
        <v>1305</v>
      </c>
      <c r="AI34" s="144">
        <f>'AUTO CALCULATION SHEET (2)'!BD36</f>
        <v>0</v>
      </c>
      <c r="AJ34" s="144">
        <f>'AUTO CALCULATION SHEET (2)'!BJ36</f>
        <v>6155</v>
      </c>
      <c r="AK34" s="144">
        <f>'AUTO CALCULATION SHEET (2)'!BO36</f>
        <v>1480</v>
      </c>
      <c r="AL34" s="144">
        <f>'AUTO CALCULATION SHEET (2)'!BX36</f>
        <v>1224</v>
      </c>
      <c r="AM34" s="144">
        <f>'AUTO CALCULATION SHEET (2)'!BY36</f>
        <v>35</v>
      </c>
      <c r="AN34" s="144">
        <f>'AUTO CALCULATION SHEET (2)'!CA36</f>
        <v>90</v>
      </c>
      <c r="AO34" s="144">
        <f>'AUTO CALCULATION SHEET (2)'!CE36</f>
        <v>65</v>
      </c>
      <c r="AP34" s="267">
        <f t="shared" si="1"/>
        <v>1985098</v>
      </c>
      <c r="AQ34" s="268">
        <f>'AUTO CALCULATION SHEET (2)'!CK36</f>
        <v>104000</v>
      </c>
      <c r="AR34" s="267">
        <f t="shared" si="2"/>
        <v>2089098</v>
      </c>
      <c r="AS34" s="268">
        <f t="shared" si="3"/>
        <v>472235.53614000045</v>
      </c>
      <c r="AT34" s="145">
        <f t="shared" si="4"/>
        <v>18.440000000000001</v>
      </c>
      <c r="AU34" s="146">
        <v>0</v>
      </c>
      <c r="AV34" s="146">
        <v>2</v>
      </c>
      <c r="AW34" s="146">
        <v>1</v>
      </c>
      <c r="AX34" s="147">
        <f t="shared" si="5"/>
        <v>15.440000000000001</v>
      </c>
    </row>
    <row r="35" spans="1:50" ht="21.75" customHeight="1" x14ac:dyDescent="0.2">
      <c r="A35" s="135" t="str">
        <f>'AUTO CALCULATION SHEET (2)'!D37</f>
        <v>3 CORE X 95 SQ. MM. AL/ARM  WIRE (XLPE) - 33 KV</v>
      </c>
      <c r="B35" s="136">
        <v>3.15</v>
      </c>
      <c r="C35" s="137" t="s">
        <v>368</v>
      </c>
      <c r="D35" s="138">
        <v>46070</v>
      </c>
      <c r="E35" s="180">
        <v>316036.08</v>
      </c>
      <c r="F35" s="180">
        <v>1266186.6100000001</v>
      </c>
      <c r="G35" s="177">
        <v>194965</v>
      </c>
      <c r="H35" s="177">
        <v>153825</v>
      </c>
      <c r="I35" s="178">
        <v>74250</v>
      </c>
      <c r="J35" s="139">
        <f t="shared" si="0"/>
        <v>45992</v>
      </c>
      <c r="K35" s="177">
        <v>298490</v>
      </c>
      <c r="L35" s="177">
        <v>1144212</v>
      </c>
      <c r="M35" s="177">
        <v>195005</v>
      </c>
      <c r="N35" s="177">
        <v>152825</v>
      </c>
      <c r="O35" s="178">
        <v>72250</v>
      </c>
      <c r="P35" s="140">
        <v>0.82099999999999995</v>
      </c>
      <c r="Q35" s="141">
        <v>2.0710000000000002</v>
      </c>
      <c r="R35" s="141">
        <v>3.367</v>
      </c>
      <c r="S35" s="141">
        <v>5.4370000000000003</v>
      </c>
      <c r="T35" s="142">
        <v>0.11700000000000001</v>
      </c>
      <c r="U35" s="181">
        <f>'AUTO CALCULATION SHEET (2)'!G94*1000</f>
        <v>1985160</v>
      </c>
      <c r="V35" s="182">
        <f>(P35*(E35-K35))</f>
        <v>14405.331680000012</v>
      </c>
      <c r="W35" s="177">
        <f>(Q35*(G35-M35))</f>
        <v>-82.84</v>
      </c>
      <c r="X35" s="177">
        <f>(R35*(H35-N35))</f>
        <v>3367</v>
      </c>
      <c r="Y35" s="178">
        <f>(S35*(I35-O35))</f>
        <v>10874</v>
      </c>
      <c r="Z35" s="177">
        <f>T35*(F35-L35)</f>
        <v>14271.029370000013</v>
      </c>
      <c r="AA35" s="183">
        <f>V35+W35+X35+Y35+Z35</f>
        <v>42834.521050000025</v>
      </c>
      <c r="AB35" s="184">
        <f>+U35+AA35</f>
        <v>2027994.5210500001</v>
      </c>
      <c r="AC35" s="143">
        <f>'AUTO CALCULATION SHEET (2)'!N37</f>
        <v>770</v>
      </c>
      <c r="AD35" s="144">
        <f>'AUTO CALCULATION SHEET (2)'!AB37</f>
        <v>167</v>
      </c>
      <c r="AE35" s="144">
        <f>'AUTO CALCULATION SHEET (2)'!AF37</f>
        <v>403</v>
      </c>
      <c r="AF35" s="144">
        <f>'AUTO CALCULATION SHEET (2)'!AH37</f>
        <v>1724</v>
      </c>
      <c r="AG35" s="144">
        <f>'AUTO CALCULATION SHEET (2)'!AQ37</f>
        <v>0</v>
      </c>
      <c r="AH35" s="144">
        <f>'AUTO CALCULATION SHEET (2)'!AX37</f>
        <v>1045</v>
      </c>
      <c r="AI35" s="144">
        <f>'AUTO CALCULATION SHEET (2)'!BD37</f>
        <v>0</v>
      </c>
      <c r="AJ35" s="144">
        <f>'AUTO CALCULATION SHEET (2)'!BJ37</f>
        <v>4262</v>
      </c>
      <c r="AK35" s="144">
        <f>'AUTO CALCULATION SHEET (2)'!BO37</f>
        <v>1296</v>
      </c>
      <c r="AL35" s="144">
        <f>'AUTO CALCULATION SHEET (2)'!BX37</f>
        <v>940</v>
      </c>
      <c r="AM35" s="144">
        <f>'AUTO CALCULATION SHEET (2)'!BY37</f>
        <v>15</v>
      </c>
      <c r="AN35" s="144">
        <f>'AUTO CALCULATION SHEET (2)'!CA37</f>
        <v>75</v>
      </c>
      <c r="AO35" s="144">
        <f>'AUTO CALCULATION SHEET (2)'!CE37</f>
        <v>57</v>
      </c>
      <c r="AP35" s="267">
        <f t="shared" si="1"/>
        <v>1430882</v>
      </c>
      <c r="AQ35" s="268">
        <f>'AUTO CALCULATION SHEET (2)'!CK37</f>
        <v>104000</v>
      </c>
      <c r="AR35" s="267">
        <f t="shared" si="2"/>
        <v>1534882</v>
      </c>
      <c r="AS35" s="268">
        <f t="shared" si="3"/>
        <v>493112.5210500001</v>
      </c>
      <c r="AT35" s="145">
        <f t="shared" si="4"/>
        <v>24.32</v>
      </c>
      <c r="AU35" s="146">
        <v>0</v>
      </c>
      <c r="AV35" s="146">
        <v>2</v>
      </c>
      <c r="AW35" s="146">
        <v>1</v>
      </c>
      <c r="AX35" s="147">
        <f t="shared" si="5"/>
        <v>21.32</v>
      </c>
    </row>
    <row r="36" spans="1:50" ht="21.75" customHeight="1" x14ac:dyDescent="0.2">
      <c r="A36" s="135" t="str">
        <f>'AUTO CALCULATION SHEET (2)'!D38</f>
        <v>3 CORE X 70 SQ. MM. AL/ARM - WIRE (XLPE) - 33 KV</v>
      </c>
      <c r="B36" s="136">
        <v>3.15</v>
      </c>
      <c r="C36" s="137" t="s">
        <v>368</v>
      </c>
      <c r="D36" s="138">
        <v>46070</v>
      </c>
      <c r="E36" s="180">
        <v>316036.08</v>
      </c>
      <c r="F36" s="180">
        <v>1266186.6100000001</v>
      </c>
      <c r="G36" s="177">
        <v>194965</v>
      </c>
      <c r="H36" s="177">
        <v>153825</v>
      </c>
      <c r="I36" s="178">
        <v>74250</v>
      </c>
      <c r="J36" s="139">
        <f t="shared" si="0"/>
        <v>45992</v>
      </c>
      <c r="K36" s="177">
        <v>298490</v>
      </c>
      <c r="L36" s="177">
        <v>1144212</v>
      </c>
      <c r="M36" s="177">
        <v>195005</v>
      </c>
      <c r="N36" s="177">
        <v>152825</v>
      </c>
      <c r="O36" s="178">
        <v>72250</v>
      </c>
      <c r="P36" s="140">
        <v>0.59299999999999997</v>
      </c>
      <c r="Q36" s="141">
        <v>1.9159999999999999</v>
      </c>
      <c r="R36" s="141">
        <v>3.2189999999999999</v>
      </c>
      <c r="S36" s="141">
        <v>4.8090000000000002</v>
      </c>
      <c r="T36" s="142">
        <v>0.111</v>
      </c>
      <c r="U36" s="181">
        <f>'AUTO CALCULATION SHEET (2)'!G95*1000</f>
        <v>1816890</v>
      </c>
      <c r="V36" s="182">
        <f>(P36*(E36-K36))</f>
        <v>10404.82544000001</v>
      </c>
      <c r="W36" s="177">
        <f>(Q36*(G36-M36))</f>
        <v>-76.64</v>
      </c>
      <c r="X36" s="177">
        <f>(R36*(H36-N36))</f>
        <v>3219</v>
      </c>
      <c r="Y36" s="178">
        <f>(S36*(I36-O36))</f>
        <v>9618</v>
      </c>
      <c r="Z36" s="177">
        <f>T36*(F36-L36)</f>
        <v>13539.181710000012</v>
      </c>
      <c r="AA36" s="183">
        <f>V36+W36+X36+Y36+Z36</f>
        <v>36704.36715000002</v>
      </c>
      <c r="AB36" s="184">
        <f>+U36+AA36</f>
        <v>1853594.3671500001</v>
      </c>
      <c r="AC36" s="143">
        <f>'AUTO CALCULATION SHEET (2)'!N38</f>
        <v>567</v>
      </c>
      <c r="AD36" s="144">
        <f>'AUTO CALCULATION SHEET (2)'!AB38</f>
        <v>161</v>
      </c>
      <c r="AE36" s="144">
        <f>'AUTO CALCULATION SHEET (2)'!AF38</f>
        <v>378</v>
      </c>
      <c r="AF36" s="144">
        <f>'AUTO CALCULATION SHEET (2)'!AH38</f>
        <v>1615</v>
      </c>
      <c r="AG36" s="144">
        <f>'AUTO CALCULATION SHEET (2)'!AQ38</f>
        <v>0</v>
      </c>
      <c r="AH36" s="144">
        <f>'AUTO CALCULATION SHEET (2)'!AX38</f>
        <v>974</v>
      </c>
      <c r="AI36" s="144">
        <f>'AUTO CALCULATION SHEET (2)'!BD38</f>
        <v>0</v>
      </c>
      <c r="AJ36" s="144">
        <f>'AUTO CALCULATION SHEET (2)'!BJ38</f>
        <v>4072</v>
      </c>
      <c r="AK36" s="144">
        <f>'AUTO CALCULATION SHEET (2)'!BO38</f>
        <v>1190</v>
      </c>
      <c r="AL36" s="144">
        <f>'AUTO CALCULATION SHEET (2)'!BX38</f>
        <v>862</v>
      </c>
      <c r="AM36" s="144">
        <f>'AUTO CALCULATION SHEET (2)'!BY38</f>
        <v>15</v>
      </c>
      <c r="AN36" s="144">
        <f>'AUTO CALCULATION SHEET (2)'!CA38</f>
        <v>72</v>
      </c>
      <c r="AO36" s="144">
        <f>'AUTO CALCULATION SHEET (2)'!CE38</f>
        <v>54</v>
      </c>
      <c r="AP36" s="267">
        <f t="shared" si="1"/>
        <v>1301985</v>
      </c>
      <c r="AQ36" s="268">
        <f>'AUTO CALCULATION SHEET (2)'!CK38</f>
        <v>104000</v>
      </c>
      <c r="AR36" s="267">
        <f t="shared" si="2"/>
        <v>1405985</v>
      </c>
      <c r="AS36" s="268">
        <f t="shared" si="3"/>
        <v>447609.36715000006</v>
      </c>
      <c r="AT36" s="145">
        <f t="shared" si="4"/>
        <v>24.15</v>
      </c>
      <c r="AU36" s="146">
        <v>0</v>
      </c>
      <c r="AV36" s="146">
        <v>2</v>
      </c>
      <c r="AW36" s="146">
        <v>1</v>
      </c>
      <c r="AX36" s="147">
        <f t="shared" si="5"/>
        <v>21.15</v>
      </c>
    </row>
    <row r="37" spans="1:50" ht="21.75" customHeight="1" x14ac:dyDescent="0.2">
      <c r="A37" s="135" t="str">
        <f>'AUTO CALCULATION SHEET (2)'!D39</f>
        <v>3 CORE X 50 SQ. MM. AL/ARD - WIRE (XLPE) - 33 KV (E)</v>
      </c>
      <c r="B37" s="136">
        <v>3.15</v>
      </c>
      <c r="C37" s="137" t="s">
        <v>368</v>
      </c>
      <c r="D37" s="138">
        <v>46070</v>
      </c>
      <c r="E37" s="180">
        <v>316036.08</v>
      </c>
      <c r="F37" s="180">
        <v>1266186.6100000001</v>
      </c>
      <c r="G37" s="177">
        <v>194965</v>
      </c>
      <c r="H37" s="177">
        <v>153825</v>
      </c>
      <c r="I37" s="178">
        <v>74250</v>
      </c>
      <c r="J37" s="139">
        <f t="shared" si="0"/>
        <v>45992</v>
      </c>
      <c r="K37" s="177">
        <v>298490</v>
      </c>
      <c r="L37" s="177">
        <v>1144212</v>
      </c>
      <c r="M37" s="177">
        <v>195005</v>
      </c>
      <c r="N37" s="177">
        <v>152825</v>
      </c>
      <c r="O37" s="178">
        <v>72250</v>
      </c>
      <c r="P37" s="140">
        <v>0.41</v>
      </c>
      <c r="Q37" s="141">
        <v>1.7509999999999999</v>
      </c>
      <c r="R37" s="141">
        <v>2.8639999999999999</v>
      </c>
      <c r="S37" s="141">
        <v>4.569</v>
      </c>
      <c r="T37" s="142">
        <v>0.104</v>
      </c>
      <c r="U37" s="181">
        <f>'AUTO CALCULATION SHEET (2)'!G96*1000</f>
        <v>1843750</v>
      </c>
      <c r="V37" s="182">
        <f>(P37*(E37-K37))</f>
        <v>7193.892800000006</v>
      </c>
      <c r="W37" s="177">
        <f>(Q37*(G37-M37))</f>
        <v>-70.039999999999992</v>
      </c>
      <c r="X37" s="177">
        <f>(R37*(H37-N37))</f>
        <v>2864</v>
      </c>
      <c r="Y37" s="178">
        <f>(S37*(I37-O37))</f>
        <v>9138</v>
      </c>
      <c r="Z37" s="177">
        <f>T37*(F37-L37)</f>
        <v>12685.359440000009</v>
      </c>
      <c r="AA37" s="183">
        <f>V37+W37+X37+Y37+Z37</f>
        <v>31811.212240000015</v>
      </c>
      <c r="AB37" s="184">
        <f>+U37+AA37</f>
        <v>1875561.21224</v>
      </c>
      <c r="AC37" s="143">
        <f>'AUTO CALCULATION SHEET (2)'!N39</f>
        <v>405</v>
      </c>
      <c r="AD37" s="144">
        <f>'AUTO CALCULATION SHEET (2)'!AB39</f>
        <v>153</v>
      </c>
      <c r="AE37" s="144">
        <f>'AUTO CALCULATION SHEET (2)'!AF39</f>
        <v>350</v>
      </c>
      <c r="AF37" s="144">
        <f>'AUTO CALCULATION SHEET (2)'!AH39</f>
        <v>1490</v>
      </c>
      <c r="AG37" s="144">
        <f>'AUTO CALCULATION SHEET (2)'!AQ39</f>
        <v>0</v>
      </c>
      <c r="AH37" s="144">
        <f>'AUTO CALCULATION SHEET (2)'!AX39</f>
        <v>878</v>
      </c>
      <c r="AI37" s="144">
        <f>'AUTO CALCULATION SHEET (2)'!BD39</f>
        <v>0</v>
      </c>
      <c r="AJ37" s="144">
        <f>'AUTO CALCULATION SHEET (2)'!BJ39</f>
        <v>3881</v>
      </c>
      <c r="AK37" s="144">
        <f>'AUTO CALCULATION SHEET (2)'!BO39</f>
        <v>1080</v>
      </c>
      <c r="AL37" s="144">
        <f>'AUTO CALCULATION SHEET (2)'!BX39</f>
        <v>778</v>
      </c>
      <c r="AM37" s="144">
        <f>'AUTO CALCULATION SHEET (2)'!BY39</f>
        <v>6</v>
      </c>
      <c r="AN37" s="144">
        <f>'AUTO CALCULATION SHEET (2)'!CA39</f>
        <v>66</v>
      </c>
      <c r="AO37" s="144">
        <f>'AUTO CALCULATION SHEET (2)'!CE39</f>
        <v>52</v>
      </c>
      <c r="AP37" s="267">
        <f t="shared" si="1"/>
        <v>1174593</v>
      </c>
      <c r="AQ37" s="268">
        <f>'AUTO CALCULATION SHEET (2)'!CK39</f>
        <v>72800</v>
      </c>
      <c r="AR37" s="267">
        <f t="shared" si="2"/>
        <v>1247393</v>
      </c>
      <c r="AS37" s="268">
        <f t="shared" si="3"/>
        <v>628168.21224000002</v>
      </c>
      <c r="AT37" s="145">
        <f t="shared" si="4"/>
        <v>33.49</v>
      </c>
      <c r="AU37" s="146">
        <v>0</v>
      </c>
      <c r="AV37" s="146">
        <v>2</v>
      </c>
      <c r="AW37" s="146">
        <v>1</v>
      </c>
      <c r="AX37" s="147">
        <f t="shared" si="5"/>
        <v>30.490000000000002</v>
      </c>
    </row>
    <row r="38" spans="1:50" ht="21.75" customHeight="1" x14ac:dyDescent="0.2">
      <c r="A38" s="135" t="str">
        <f>'AUTO CALCULATION SHEET (2)'!D40</f>
        <v>3 CORE X 35 SQ. MM. AL/ARM - WIRE (XLPE) - 33 KV (E)</v>
      </c>
      <c r="B38" s="136">
        <v>3.15</v>
      </c>
      <c r="C38" s="137" t="s">
        <v>368</v>
      </c>
      <c r="D38" s="138">
        <v>46070</v>
      </c>
      <c r="E38" s="180">
        <v>316036.08</v>
      </c>
      <c r="F38" s="180">
        <v>1266186.6100000001</v>
      </c>
      <c r="G38" s="177">
        <v>194965</v>
      </c>
      <c r="H38" s="177">
        <v>153825</v>
      </c>
      <c r="I38" s="178">
        <v>74250</v>
      </c>
      <c r="J38" s="139">
        <f t="shared" si="0"/>
        <v>45992</v>
      </c>
      <c r="K38" s="177">
        <v>298490</v>
      </c>
      <c r="L38" s="177">
        <v>1144212</v>
      </c>
      <c r="M38" s="177">
        <v>195005</v>
      </c>
      <c r="N38" s="177">
        <v>152825</v>
      </c>
      <c r="O38" s="178">
        <v>72250</v>
      </c>
      <c r="P38" s="140">
        <v>0.30199999999999999</v>
      </c>
      <c r="Q38" s="141">
        <v>1.6379999999999999</v>
      </c>
      <c r="R38" s="266">
        <v>2.8639999999999999</v>
      </c>
      <c r="S38" s="141">
        <v>2.5169999999999999</v>
      </c>
      <c r="T38" s="265">
        <v>0.104</v>
      </c>
      <c r="U38" s="181">
        <f>'AUTO CALCULATION SHEET (2)'!G97*1000</f>
        <v>1843750</v>
      </c>
      <c r="V38" s="182">
        <f>(P38*(E38-K38))</f>
        <v>5298.9161600000043</v>
      </c>
      <c r="W38" s="177">
        <f>(Q38*(G38-M38))</f>
        <v>-65.52</v>
      </c>
      <c r="X38" s="177">
        <f>(R38*(H38-N38))</f>
        <v>2864</v>
      </c>
      <c r="Y38" s="178">
        <f>(S38*(I38-O38))</f>
        <v>5034</v>
      </c>
      <c r="Z38" s="177">
        <f>T38*(F38-L38)</f>
        <v>12685.359440000009</v>
      </c>
      <c r="AA38" s="183">
        <f>V38+W38+X38+Y38+Z38</f>
        <v>25816.755600000011</v>
      </c>
      <c r="AB38" s="184">
        <f>+U38+AA38</f>
        <v>1869566.7556</v>
      </c>
      <c r="AC38" s="143">
        <f>'AUTO CALCULATION SHEET (2)'!N40</f>
        <v>405</v>
      </c>
      <c r="AD38" s="144">
        <f>'AUTO CALCULATION SHEET (2)'!AB40</f>
        <v>153</v>
      </c>
      <c r="AE38" s="144">
        <f>'AUTO CALCULATION SHEET (2)'!AF40</f>
        <v>350</v>
      </c>
      <c r="AF38" s="144">
        <f>'AUTO CALCULATION SHEET (2)'!AH40</f>
        <v>1490</v>
      </c>
      <c r="AG38" s="144">
        <f>'AUTO CALCULATION SHEET (2)'!AQ40</f>
        <v>0</v>
      </c>
      <c r="AH38" s="144">
        <f>'AUTO CALCULATION SHEET (2)'!AX40</f>
        <v>878</v>
      </c>
      <c r="AI38" s="144">
        <f>'AUTO CALCULATION SHEET (2)'!BD40</f>
        <v>0</v>
      </c>
      <c r="AJ38" s="144">
        <f>'AUTO CALCULATION SHEET (2)'!BJ40</f>
        <v>3881</v>
      </c>
      <c r="AK38" s="144">
        <f>'AUTO CALCULATION SHEET (2)'!BO40</f>
        <v>1080</v>
      </c>
      <c r="AL38" s="144">
        <f>'AUTO CALCULATION SHEET (2)'!BX40</f>
        <v>778</v>
      </c>
      <c r="AM38" s="144">
        <f>'AUTO CALCULATION SHEET (2)'!BY40</f>
        <v>6</v>
      </c>
      <c r="AN38" s="144">
        <f>'AUTO CALCULATION SHEET (2)'!CA40</f>
        <v>66</v>
      </c>
      <c r="AO38" s="144">
        <f>'AUTO CALCULATION SHEET (2)'!CE40</f>
        <v>52</v>
      </c>
      <c r="AP38" s="267">
        <f t="shared" si="1"/>
        <v>1174593</v>
      </c>
      <c r="AQ38" s="268">
        <f>'AUTO CALCULATION SHEET (2)'!CK40</f>
        <v>72800</v>
      </c>
      <c r="AR38" s="267">
        <f t="shared" si="2"/>
        <v>1247393</v>
      </c>
      <c r="AS38" s="268">
        <f t="shared" si="3"/>
        <v>622173.75560000003</v>
      </c>
      <c r="AT38" s="145">
        <f t="shared" si="4"/>
        <v>33.28</v>
      </c>
      <c r="AU38" s="146">
        <v>0</v>
      </c>
      <c r="AV38" s="146">
        <v>2</v>
      </c>
      <c r="AW38" s="146">
        <v>1</v>
      </c>
      <c r="AX38" s="147">
        <f t="shared" si="5"/>
        <v>30.28</v>
      </c>
    </row>
    <row r="39" spans="1:50" ht="21.75" customHeight="1" x14ac:dyDescent="0.2">
      <c r="A39" s="135" t="str">
        <f>'AUTO CALCULATION SHEET (2)'!D41</f>
        <v>1 CORE X 630 SQ. MM. AL/ARM (XLPE)  - 33 KV</v>
      </c>
      <c r="B39" s="136">
        <v>2.5</v>
      </c>
      <c r="C39" s="137" t="s">
        <v>368</v>
      </c>
      <c r="D39" s="138">
        <v>46070</v>
      </c>
      <c r="E39" s="180">
        <v>316036.08</v>
      </c>
      <c r="F39" s="180">
        <v>1266186.6100000001</v>
      </c>
      <c r="G39" s="177">
        <v>194965</v>
      </c>
      <c r="H39" s="177">
        <v>153825</v>
      </c>
      <c r="I39" s="178"/>
      <c r="J39" s="139">
        <f t="shared" si="0"/>
        <v>45992</v>
      </c>
      <c r="K39" s="177">
        <v>298490</v>
      </c>
      <c r="L39" s="177">
        <v>1144212</v>
      </c>
      <c r="M39" s="177">
        <v>195005</v>
      </c>
      <c r="N39" s="177">
        <v>152825</v>
      </c>
      <c r="O39" s="178"/>
      <c r="P39" s="140">
        <v>2.9780000000000002</v>
      </c>
      <c r="Q39" s="141">
        <v>1.2649999999999999</v>
      </c>
      <c r="R39" s="141">
        <v>1.1679999999999999</v>
      </c>
      <c r="S39" s="141"/>
      <c r="T39" s="263">
        <v>6.3E-2</v>
      </c>
      <c r="U39" s="181">
        <f>'AUTO CALCULATION SHEET (2)'!G98*1000</f>
        <v>1496210</v>
      </c>
      <c r="V39" s="182">
        <f>(P39*(E39-K39))</f>
        <v>52252.226240000055</v>
      </c>
      <c r="W39" s="177">
        <f>(Q39*(G39-M39))</f>
        <v>-50.599999999999994</v>
      </c>
      <c r="X39" s="177">
        <f>(R39*(H39-N39))</f>
        <v>1168</v>
      </c>
      <c r="Y39" s="178">
        <f>(S39*(I39-O39))</f>
        <v>0</v>
      </c>
      <c r="Z39" s="177">
        <f>T39*(F39-L39)</f>
        <v>7684.4004300000061</v>
      </c>
      <c r="AA39" s="183">
        <f>V39+W39+X39+Y39+Z39</f>
        <v>61054.026670000065</v>
      </c>
      <c r="AB39" s="184">
        <f>+U39+AA39</f>
        <v>1557264.0266700001</v>
      </c>
      <c r="AC39" s="143">
        <f>'AUTO CALCULATION SHEET (2)'!N41</f>
        <v>1701</v>
      </c>
      <c r="AD39" s="144">
        <f>'AUTO CALCULATION SHEET (2)'!AB41</f>
        <v>87</v>
      </c>
      <c r="AE39" s="144">
        <f>'AUTO CALCULATION SHEET (2)'!AF41</f>
        <v>243</v>
      </c>
      <c r="AF39" s="144">
        <f>'AUTO CALCULATION SHEET (2)'!AH41</f>
        <v>1056</v>
      </c>
      <c r="AG39" s="144">
        <f>'AUTO CALCULATION SHEET (2)'!AQ41</f>
        <v>36</v>
      </c>
      <c r="AH39" s="144">
        <f>'AUTO CALCULATION SHEET (2)'!AX41</f>
        <v>224</v>
      </c>
      <c r="AI39" s="144">
        <f>'AUTO CALCULATION SHEET (2)'!BD41</f>
        <v>842</v>
      </c>
      <c r="AJ39" s="144">
        <f>'AUTO CALCULATION SHEET (2)'!BJ41</f>
        <v>0</v>
      </c>
      <c r="AK39" s="144">
        <f>'AUTO CALCULATION SHEET (2)'!BO41</f>
        <v>769</v>
      </c>
      <c r="AL39" s="144">
        <f>'AUTO CALCULATION SHEET (2)'!BX41</f>
        <v>0</v>
      </c>
      <c r="AM39" s="144">
        <f>'AUTO CALCULATION SHEET (2)'!BY41</f>
        <v>26</v>
      </c>
      <c r="AN39" s="144">
        <f>'AUTO CALCULATION SHEET (2)'!CA41</f>
        <v>46</v>
      </c>
      <c r="AO39" s="144">
        <f>'AUTO CALCULATION SHEET (2)'!CE41</f>
        <v>42</v>
      </c>
      <c r="AP39" s="267">
        <f t="shared" si="1"/>
        <v>1228860</v>
      </c>
      <c r="AQ39" s="268">
        <f>'AUTO CALCULATION SHEET (2)'!CK41</f>
        <v>39000</v>
      </c>
      <c r="AR39" s="267">
        <f t="shared" si="2"/>
        <v>1267860</v>
      </c>
      <c r="AS39" s="268">
        <f t="shared" si="3"/>
        <v>289404.02667000005</v>
      </c>
      <c r="AT39" s="145">
        <f t="shared" si="4"/>
        <v>18.579999999999998</v>
      </c>
      <c r="AU39" s="146">
        <v>0</v>
      </c>
      <c r="AV39" s="146">
        <v>2</v>
      </c>
      <c r="AW39" s="146">
        <v>1</v>
      </c>
      <c r="AX39" s="147">
        <f t="shared" si="5"/>
        <v>15.579999999999998</v>
      </c>
    </row>
    <row r="40" spans="1:50" ht="21.75" customHeight="1" x14ac:dyDescent="0.2">
      <c r="A40" s="135" t="str">
        <f>'AUTO CALCULATION SHEET (2)'!D42</f>
        <v>1 CORE X 400 SQ. MM. AL/ARM (XLPE) - 33 KV</v>
      </c>
      <c r="B40" s="136">
        <v>2.5</v>
      </c>
      <c r="C40" s="137" t="s">
        <v>368</v>
      </c>
      <c r="D40" s="138">
        <v>46070</v>
      </c>
      <c r="E40" s="180">
        <v>316036.08</v>
      </c>
      <c r="F40" s="180">
        <v>1266186.6100000001</v>
      </c>
      <c r="G40" s="177">
        <v>194965</v>
      </c>
      <c r="H40" s="177">
        <v>153825</v>
      </c>
      <c r="I40" s="179"/>
      <c r="J40" s="139">
        <f t="shared" si="0"/>
        <v>45992</v>
      </c>
      <c r="K40" s="177">
        <v>298490</v>
      </c>
      <c r="L40" s="177">
        <v>1144212</v>
      </c>
      <c r="M40" s="177">
        <v>195005</v>
      </c>
      <c r="N40" s="177">
        <v>152825</v>
      </c>
      <c r="O40" s="179"/>
      <c r="P40" s="175">
        <v>2.0459999999999998</v>
      </c>
      <c r="Q40" s="176">
        <v>1.0409999999999999</v>
      </c>
      <c r="R40" s="176">
        <v>0.86599999999999999</v>
      </c>
      <c r="S40" s="176"/>
      <c r="T40" s="264">
        <v>5.3999999999999999E-2</v>
      </c>
      <c r="U40" s="181">
        <f>'AUTO CALCULATION SHEET (2)'!G99*1000</f>
        <v>1143490</v>
      </c>
      <c r="V40" s="182">
        <f>(P40*(E40-K40))</f>
        <v>35899.279680000029</v>
      </c>
      <c r="W40" s="177">
        <f>(Q40*(G40-M40))</f>
        <v>-41.64</v>
      </c>
      <c r="X40" s="177">
        <f>(R40*(H40-N40))</f>
        <v>866</v>
      </c>
      <c r="Y40" s="178">
        <f>(S40*(I40-O40))</f>
        <v>0</v>
      </c>
      <c r="Z40" s="177">
        <f>T40*(F40-L40)</f>
        <v>6586.6289400000051</v>
      </c>
      <c r="AA40" s="183">
        <f>V40+W40+X40+Y40+Z40</f>
        <v>43310.268620000032</v>
      </c>
      <c r="AB40" s="184">
        <f>+U40+AA40</f>
        <v>1186800.26862</v>
      </c>
      <c r="AC40" s="143">
        <f>'AUTO CALCULATION SHEET (2)'!N42</f>
        <v>1080</v>
      </c>
      <c r="AD40" s="144">
        <f>'AUTO CALCULATION SHEET (2)'!AB42</f>
        <v>76</v>
      </c>
      <c r="AE40" s="144">
        <f>'AUTO CALCULATION SHEET (2)'!AF42</f>
        <v>206</v>
      </c>
      <c r="AF40" s="144">
        <f>'AUTO CALCULATION SHEET (2)'!AH42</f>
        <v>890</v>
      </c>
      <c r="AG40" s="144">
        <f>'AUTO CALCULATION SHEET (2)'!AQ42</f>
        <v>32</v>
      </c>
      <c r="AH40" s="144">
        <f>'AUTO CALCULATION SHEET (2)'!AX42</f>
        <v>172</v>
      </c>
      <c r="AI40" s="144">
        <f>'AUTO CALCULATION SHEET (2)'!BD42</f>
        <v>731</v>
      </c>
      <c r="AJ40" s="144">
        <f>'AUTO CALCULATION SHEET (2)'!BJ42</f>
        <v>0</v>
      </c>
      <c r="AK40" s="144">
        <f>'AUTO CALCULATION SHEET (2)'!BO42</f>
        <v>604</v>
      </c>
      <c r="AL40" s="144">
        <f>'AUTO CALCULATION SHEET (2)'!BX42</f>
        <v>0</v>
      </c>
      <c r="AM40" s="144">
        <f>'AUTO CALCULATION SHEET (2)'!BY42</f>
        <v>19</v>
      </c>
      <c r="AN40" s="144">
        <f>'AUTO CALCULATION SHEET (2)'!CA42</f>
        <v>38</v>
      </c>
      <c r="AO40" s="144">
        <f>'AUTO CALCULATION SHEET (2)'!CE42</f>
        <v>37</v>
      </c>
      <c r="AP40" s="267">
        <f t="shared" ref="AP40:AP41" si="6">SUMPRODUCT(AC40:AO40,$AC$17:$AO$17)</f>
        <v>928978</v>
      </c>
      <c r="AQ40" s="268">
        <f>'AUTO CALCULATION SHEET (2)'!CK42</f>
        <v>36400</v>
      </c>
      <c r="AR40" s="267">
        <f t="shared" ref="AR40:AR41" si="7">AP40+AQ40</f>
        <v>965378</v>
      </c>
      <c r="AS40" s="268">
        <f t="shared" ref="AS40:AS41" si="8">AB40-AR40</f>
        <v>221422.26861999999</v>
      </c>
      <c r="AT40" s="145">
        <f t="shared" ref="AT40:AT41" si="9">ROUND((AS40/AB40)*100,2)</f>
        <v>18.66</v>
      </c>
      <c r="AU40" s="146">
        <v>0</v>
      </c>
      <c r="AV40" s="146">
        <v>2</v>
      </c>
      <c r="AW40" s="146">
        <v>1</v>
      </c>
      <c r="AX40" s="147">
        <f t="shared" ref="AX40:AX41" si="10">AT40-AU40-AV40-AW40</f>
        <v>15.66</v>
      </c>
    </row>
    <row r="41" spans="1:50" ht="21.75" customHeight="1" x14ac:dyDescent="0.2">
      <c r="A41" s="135" t="str">
        <f>'AUTO CALCULATION SHEET (2)'!D43</f>
        <v>1 CORE X 300 SQ. MM. AL/ARM (XLPE)  - 33 KV</v>
      </c>
      <c r="B41" s="136">
        <v>2.5</v>
      </c>
      <c r="C41" s="137" t="s">
        <v>368</v>
      </c>
      <c r="D41" s="138">
        <v>46070</v>
      </c>
      <c r="E41" s="180">
        <v>316036.08</v>
      </c>
      <c r="F41" s="180">
        <v>1266186.6100000001</v>
      </c>
      <c r="G41" s="177">
        <v>194965</v>
      </c>
      <c r="H41" s="177">
        <v>153825</v>
      </c>
      <c r="I41" s="179"/>
      <c r="J41" s="139">
        <f t="shared" si="0"/>
        <v>45992</v>
      </c>
      <c r="K41" s="177">
        <v>298490</v>
      </c>
      <c r="L41" s="177">
        <v>1144212</v>
      </c>
      <c r="M41" s="177">
        <v>195005</v>
      </c>
      <c r="N41" s="177">
        <v>152825</v>
      </c>
      <c r="O41" s="179"/>
      <c r="P41" s="175">
        <v>1.7529999999999999</v>
      </c>
      <c r="Q41" s="176">
        <v>0.94299999999999995</v>
      </c>
      <c r="R41" s="176">
        <v>0.81100000000000005</v>
      </c>
      <c r="S41" s="141"/>
      <c r="T41" s="263">
        <v>0.05</v>
      </c>
      <c r="U41" s="181">
        <f>'AUTO CALCULATION SHEET (2)'!G100*1000</f>
        <v>999390</v>
      </c>
      <c r="V41" s="182">
        <f>(P41*(E41-K41))</f>
        <v>30758.278240000025</v>
      </c>
      <c r="W41" s="177">
        <f>(Q41*(G41-M41))</f>
        <v>-37.72</v>
      </c>
      <c r="X41" s="177">
        <f>(R41*(H41-N41))</f>
        <v>811</v>
      </c>
      <c r="Y41" s="178">
        <f>(S41*(I41-O41))</f>
        <v>0</v>
      </c>
      <c r="Z41" s="177">
        <f>T41*(F41-L41)</f>
        <v>6098.7305000000051</v>
      </c>
      <c r="AA41" s="183">
        <f>V41+W41+X41+Y41+Z41</f>
        <v>37630.288740000033</v>
      </c>
      <c r="AB41" s="184">
        <f>+U41+AA41</f>
        <v>1037020.28874</v>
      </c>
      <c r="AC41" s="143">
        <f>'AUTO CALCULATION SHEET (2)'!N43</f>
        <v>810</v>
      </c>
      <c r="AD41" s="144">
        <f>'AUTO CALCULATION SHEET (2)'!AB43</f>
        <v>71</v>
      </c>
      <c r="AE41" s="144">
        <f>'AUTO CALCULATION SHEET (2)'!AF43</f>
        <v>187</v>
      </c>
      <c r="AF41" s="144">
        <f>'AUTO CALCULATION SHEET (2)'!AH43</f>
        <v>810</v>
      </c>
      <c r="AG41" s="144">
        <f>'AUTO CALCULATION SHEET (2)'!AQ43</f>
        <v>30</v>
      </c>
      <c r="AH41" s="144">
        <f>'AUTO CALCULATION SHEET (2)'!AX43</f>
        <v>161</v>
      </c>
      <c r="AI41" s="144">
        <f>'AUTO CALCULATION SHEET (2)'!BD43</f>
        <v>690</v>
      </c>
      <c r="AJ41" s="144">
        <f>'AUTO CALCULATION SHEET (2)'!BJ43</f>
        <v>0</v>
      </c>
      <c r="AK41" s="144">
        <f>'AUTO CALCULATION SHEET (2)'!BO43</f>
        <v>570</v>
      </c>
      <c r="AL41" s="144">
        <f>'AUTO CALCULATION SHEET (2)'!BX43</f>
        <v>0</v>
      </c>
      <c r="AM41" s="144">
        <f>'AUTO CALCULATION SHEET (2)'!BY43</f>
        <v>13</v>
      </c>
      <c r="AN41" s="144">
        <f>'AUTO CALCULATION SHEET (2)'!CA43</f>
        <v>35</v>
      </c>
      <c r="AO41" s="144">
        <f>'AUTO CALCULATION SHEET (2)'!CE43</f>
        <v>35</v>
      </c>
      <c r="AP41" s="267">
        <f t="shared" si="6"/>
        <v>802756</v>
      </c>
      <c r="AQ41" s="268">
        <f>'AUTO CALCULATION SHEET (2)'!CK43</f>
        <v>33800</v>
      </c>
      <c r="AR41" s="267">
        <f t="shared" si="7"/>
        <v>836556</v>
      </c>
      <c r="AS41" s="268">
        <f t="shared" si="8"/>
        <v>200464.28873999999</v>
      </c>
      <c r="AT41" s="145">
        <f t="shared" si="9"/>
        <v>19.329999999999998</v>
      </c>
      <c r="AU41" s="146">
        <v>0</v>
      </c>
      <c r="AV41" s="146">
        <v>2</v>
      </c>
      <c r="AW41" s="146">
        <v>1</v>
      </c>
      <c r="AX41" s="147">
        <f t="shared" si="10"/>
        <v>16.329999999999998</v>
      </c>
    </row>
    <row r="42" spans="1:50" s="164" customFormat="1" ht="31.5" customHeight="1" thickBot="1" x14ac:dyDescent="0.25">
      <c r="A42" s="148"/>
      <c r="B42" s="148"/>
      <c r="C42" s="149"/>
      <c r="D42" s="150"/>
      <c r="E42" s="151"/>
      <c r="F42" s="151"/>
      <c r="G42" s="151"/>
      <c r="H42" s="151"/>
      <c r="I42" s="152"/>
      <c r="J42" s="153"/>
      <c r="K42" s="154"/>
      <c r="L42" s="154"/>
      <c r="M42" s="154"/>
      <c r="N42" s="154"/>
      <c r="O42" s="155"/>
      <c r="P42" s="153"/>
      <c r="Q42" s="151"/>
      <c r="R42" s="151"/>
      <c r="S42" s="156"/>
      <c r="T42" s="152"/>
      <c r="U42" s="157"/>
      <c r="V42" s="158"/>
      <c r="W42" s="159"/>
      <c r="X42" s="159"/>
      <c r="Y42" s="160"/>
      <c r="Z42" s="159"/>
      <c r="AA42" s="161"/>
      <c r="AB42" s="157"/>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3"/>
    </row>
    <row r="43" spans="1:50" s="164" customFormat="1" x14ac:dyDescent="0.2">
      <c r="A43" s="101"/>
      <c r="B43" s="101"/>
      <c r="C43" s="101"/>
      <c r="D43" s="101"/>
      <c r="E43" s="165"/>
      <c r="F43" s="165"/>
      <c r="G43" s="101"/>
      <c r="H43" s="101"/>
      <c r="I43" s="101"/>
      <c r="J43" s="101"/>
      <c r="K43" s="101"/>
      <c r="L43" s="101"/>
      <c r="M43" s="101"/>
    </row>
  </sheetData>
  <mergeCells count="42">
    <mergeCell ref="A11:B11"/>
    <mergeCell ref="B1:M1"/>
    <mergeCell ref="B2:M2"/>
    <mergeCell ref="A3:M3"/>
    <mergeCell ref="A4:M5"/>
    <mergeCell ref="AA6:AB6"/>
    <mergeCell ref="A15:A17"/>
    <mergeCell ref="B15:B17"/>
    <mergeCell ref="C15:C17"/>
    <mergeCell ref="D15:I15"/>
    <mergeCell ref="J15:O15"/>
    <mergeCell ref="D16:D17"/>
    <mergeCell ref="E16:E17"/>
    <mergeCell ref="F16:F17"/>
    <mergeCell ref="G16:G17"/>
    <mergeCell ref="H16:H17"/>
    <mergeCell ref="N16:N17"/>
    <mergeCell ref="X15:X17"/>
    <mergeCell ref="Y15:Y17"/>
    <mergeCell ref="Z15:Z17"/>
    <mergeCell ref="AA15:AA17"/>
    <mergeCell ref="P15:T16"/>
    <mergeCell ref="U15:U17"/>
    <mergeCell ref="V15:V17"/>
    <mergeCell ref="W15:W17"/>
    <mergeCell ref="I16:I17"/>
    <mergeCell ref="J16:J17"/>
    <mergeCell ref="K16:K17"/>
    <mergeCell ref="L16:L17"/>
    <mergeCell ref="M16:M17"/>
    <mergeCell ref="AU16:AU18"/>
    <mergeCell ref="AV16:AV18"/>
    <mergeCell ref="AW16:AW18"/>
    <mergeCell ref="AX16:AX18"/>
    <mergeCell ref="O16:O17"/>
    <mergeCell ref="AP16:AP18"/>
    <mergeCell ref="AQ16:AQ18"/>
    <mergeCell ref="AR16:AR18"/>
    <mergeCell ref="AS16:AS18"/>
    <mergeCell ref="AT16:AT18"/>
    <mergeCell ref="AB15:AB17"/>
    <mergeCell ref="AC14:AX1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2026-02-17T11:06:53Z</cp:lastPrinted>
  <dcterms:created xsi:type="dcterms:W3CDTF">2021-04-03T12:13:55Z</dcterms:created>
  <dcterms:modified xsi:type="dcterms:W3CDTF">2026-02-17T11:14:09Z</dcterms:modified>
</cp:coreProperties>
</file>